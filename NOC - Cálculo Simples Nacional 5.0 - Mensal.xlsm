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18.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2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EstaPastaDeTrabalho"/>
  <mc:AlternateContent xmlns:mc="http://schemas.openxmlformats.org/markup-compatibility/2006">
    <mc:Choice Requires="x15">
      <x15ac:absPath xmlns:x15ac="http://schemas.microsoft.com/office/spreadsheetml/2010/11/ac" url="C:\Users\lucin\OneDrive\Área de Trabalho\Planilhas Simples Nacional e Planejamento Tributário\"/>
    </mc:Choice>
  </mc:AlternateContent>
  <workbookProtection workbookAlgorithmName="SHA-512" workbookHashValue="6c6V6phfKFxlDxYt+CtX5vBpsPDCrUggBnXFyS97aH0B0T8qkUAZSTVx7FFrcQNU4ar/4GIN7J3N6CvJzboTvg==" workbookSaltValue="zLsEVz94pgqUrUac26dSmQ==" workbookSpinCount="100000" lockStructure="1"/>
  <bookViews>
    <workbookView showSheetTabs="0" xWindow="-120" yWindow="-120" windowWidth="29040" windowHeight="15840" tabRatio="916" firstSheet="5" activeTab="5"/>
  </bookViews>
  <sheets>
    <sheet name="BH (1)" sheetId="1" state="hidden" r:id="rId1"/>
    <sheet name="BH (2)" sheetId="35" state="hidden" r:id="rId2"/>
    <sheet name="BH (3)" sheetId="36" state="hidden" r:id="rId3"/>
    <sheet name="Suporte" sheetId="2" state="hidden" r:id="rId4"/>
    <sheet name="Info" sheetId="33" state="hidden" r:id="rId5"/>
    <sheet name="Acesso" sheetId="34" r:id="rId6"/>
    <sheet name="GO" sheetId="31" state="hidden" r:id="rId7"/>
    <sheet name="Início" sheetId="5" state="hidden" r:id="rId8"/>
    <sheet name="Aprendizado" sheetId="32" state="hidden" r:id="rId9"/>
    <sheet name="Cadastros" sheetId="6" state="hidden" r:id="rId10"/>
    <sheet name="Empresa" sheetId="12" state="hidden" r:id="rId11"/>
    <sheet name="Consulta" sheetId="14" state="hidden" r:id="rId12"/>
    <sheet name="Tabela01" sheetId="13" state="hidden" r:id="rId13"/>
    <sheet name="Tabela02" sheetId="37" state="hidden" r:id="rId14"/>
    <sheet name="Tabela03" sheetId="38" state="hidden" r:id="rId15"/>
    <sheet name="Tabela04" sheetId="39" state="hidden" r:id="rId16"/>
    <sheet name="Tabela05" sheetId="40" state="hidden" r:id="rId17"/>
    <sheet name="Lançamentos" sheetId="41" state="hidden" r:id="rId18"/>
    <sheet name="Anexos" sheetId="7" state="hidden" r:id="rId19"/>
    <sheet name="Indústria" sheetId="42" state="hidden" r:id="rId20"/>
    <sheet name="Anexo III" sheetId="43" state="hidden" r:id="rId21"/>
    <sheet name="Anexo IV" sheetId="44" state="hidden" r:id="rId22"/>
    <sheet name="Anexo V" sheetId="45" state="hidden" r:id="rId23"/>
    <sheet name="Controles" sheetId="8" state="hidden" r:id="rId24"/>
    <sheet name="Relatórios" sheetId="9" state="hidden" r:id="rId25"/>
    <sheet name="Impressão" sheetId="11" state="hidden" r:id="rId26"/>
    <sheet name="Dashboard" sheetId="10" state="hidden" r:id="rId27"/>
    <sheet name="Planilha15" sheetId="15" state="hidden" r:id="rId28"/>
  </sheets>
  <functionGroups builtInGroupCount="18"/>
  <definedNames>
    <definedName name="_xlnm._FilterDatabase" localSheetId="12" hidden="1">Tabela01!$C$4:$G$4</definedName>
    <definedName name="_xlnm._FilterDatabase" localSheetId="13" hidden="1">Tabela02!$C$4:$G$4</definedName>
    <definedName name="_xlnm._FilterDatabase" localSheetId="14" hidden="1">Tabela03!$C$4:$G$4</definedName>
    <definedName name="_xlnm._FilterDatabase" localSheetId="15" hidden="1">Tabela04!$C$4:$G$4</definedName>
    <definedName name="_xlnm._FilterDatabase" localSheetId="16" hidden="1">Tabela05!$C$4:$G$4</definedName>
    <definedName name="Anexo">'BH (1)'!$H$3:$H$7</definedName>
    <definedName name="Ano">'BH (1)'!$D$4:$D$14</definedName>
    <definedName name="_xlnm.Print_Area" localSheetId="25">Impressão!$D$7:$U$46</definedName>
    <definedName name="_xlnm.Print_Area" localSheetId="24">Relatórios!$C$4:$P$52</definedName>
    <definedName name="Dia">'BH (1)'!$B$4:$B$34</definedName>
    <definedName name="MÊs">'BH (1)'!$C$4:$C$15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H5" i="41" l="1"/>
  <c r="N24" i="43" s="1"/>
  <c r="G7" i="41"/>
  <c r="G8" i="41" s="1"/>
  <c r="I44" i="43"/>
  <c r="G44" i="43"/>
  <c r="I43" i="43"/>
  <c r="G43" i="43"/>
  <c r="I42" i="43"/>
  <c r="G42" i="43"/>
  <c r="I41" i="43"/>
  <c r="G41" i="43"/>
  <c r="I40" i="43"/>
  <c r="G40" i="43"/>
  <c r="I45" i="44"/>
  <c r="G45" i="44"/>
  <c r="I44" i="44"/>
  <c r="G44" i="44"/>
  <c r="I43" i="44"/>
  <c r="G43" i="44"/>
  <c r="I42" i="44"/>
  <c r="G42" i="44"/>
  <c r="I41" i="44"/>
  <c r="G41" i="44"/>
  <c r="I40" i="44"/>
  <c r="G40" i="44"/>
  <c r="I45" i="45"/>
  <c r="G45" i="45"/>
  <c r="I44" i="45"/>
  <c r="G44" i="45"/>
  <c r="I43" i="45"/>
  <c r="G43" i="45"/>
  <c r="I42" i="45"/>
  <c r="G42" i="45"/>
  <c r="I41" i="45"/>
  <c r="G41" i="45"/>
  <c r="I40" i="45"/>
  <c r="G40" i="45"/>
  <c r="I45" i="42"/>
  <c r="G45" i="42"/>
  <c r="I44" i="42"/>
  <c r="G44" i="42"/>
  <c r="I43" i="42"/>
  <c r="G43" i="42"/>
  <c r="I42" i="42"/>
  <c r="G42" i="42"/>
  <c r="I41" i="42"/>
  <c r="G41" i="42"/>
  <c r="I40" i="42"/>
  <c r="G40" i="42"/>
  <c r="G40" i="7"/>
  <c r="I41" i="7"/>
  <c r="I42" i="7"/>
  <c r="I43" i="7"/>
  <c r="I44" i="7"/>
  <c r="I40" i="7"/>
  <c r="G41" i="7"/>
  <c r="G42" i="7"/>
  <c r="G43" i="7"/>
  <c r="G44" i="7"/>
  <c r="C21" i="44"/>
  <c r="E52" i="44"/>
  <c r="F52" i="44"/>
  <c r="G52" i="44"/>
  <c r="H52" i="44"/>
  <c r="I52" i="44"/>
  <c r="D52" i="44"/>
  <c r="E48" i="44"/>
  <c r="F48" i="44"/>
  <c r="G48" i="44"/>
  <c r="H48" i="44"/>
  <c r="I48" i="44"/>
  <c r="D48" i="44"/>
  <c r="C57" i="43"/>
  <c r="I58" i="43" s="1"/>
  <c r="C57" i="44"/>
  <c r="I58" i="44" s="1"/>
  <c r="C55" i="43"/>
  <c r="C55" i="44"/>
  <c r="E52" i="43"/>
  <c r="F52" i="43"/>
  <c r="G52" i="43"/>
  <c r="H52" i="43"/>
  <c r="I52" i="43"/>
  <c r="D52" i="43"/>
  <c r="E48" i="43"/>
  <c r="F48" i="43"/>
  <c r="G48" i="43"/>
  <c r="H48" i="43"/>
  <c r="I48" i="43"/>
  <c r="D48" i="43"/>
  <c r="E47" i="43"/>
  <c r="F47" i="43"/>
  <c r="G47" i="43"/>
  <c r="H47" i="43"/>
  <c r="I47" i="43"/>
  <c r="E47" i="44"/>
  <c r="F47" i="44"/>
  <c r="G47" i="44"/>
  <c r="G51" i="44" s="1"/>
  <c r="H47" i="44"/>
  <c r="I47" i="44"/>
  <c r="D47" i="43"/>
  <c r="D47" i="44"/>
  <c r="I51" i="43"/>
  <c r="G51" i="43"/>
  <c r="E51" i="43"/>
  <c r="H51" i="43"/>
  <c r="F51" i="43"/>
  <c r="D51" i="43"/>
  <c r="I51" i="44"/>
  <c r="E51" i="44"/>
  <c r="H51" i="44"/>
  <c r="F51" i="44"/>
  <c r="D51" i="44"/>
  <c r="N24" i="44" l="1"/>
  <c r="N24" i="45"/>
  <c r="I56" i="44"/>
  <c r="I56" i="43"/>
  <c r="R5" i="7" l="1"/>
  <c r="R6" i="7"/>
  <c r="R5" i="42"/>
  <c r="R6" i="42"/>
  <c r="R5" i="44"/>
  <c r="R6" i="44"/>
  <c r="R5" i="45"/>
  <c r="R6" i="45"/>
  <c r="R5" i="43"/>
  <c r="R6" i="43"/>
  <c r="R4" i="7"/>
  <c r="R4" i="42"/>
  <c r="R4" i="44"/>
  <c r="R4" i="45"/>
  <c r="R4" i="43"/>
  <c r="R14" i="11"/>
  <c r="N14" i="11"/>
  <c r="P7" i="9"/>
  <c r="P6" i="9"/>
  <c r="H9" i="1"/>
  <c r="F14" i="11"/>
  <c r="P5" i="9"/>
  <c r="F3" i="1"/>
  <c r="E5" i="1"/>
  <c r="E4" i="1"/>
  <c r="E3" i="1"/>
  <c r="P4" i="9"/>
  <c r="I14" i="11" s="1"/>
  <c r="M52" i="9"/>
  <c r="M51" i="9"/>
  <c r="M50" i="9"/>
  <c r="M49" i="9"/>
  <c r="M48" i="9"/>
  <c r="M47" i="9"/>
  <c r="K52" i="9"/>
  <c r="K51" i="9"/>
  <c r="K50" i="9"/>
  <c r="K49" i="9"/>
  <c r="K48" i="9"/>
  <c r="K47" i="9"/>
  <c r="I52" i="9"/>
  <c r="I51" i="9"/>
  <c r="I50" i="9"/>
  <c r="I49" i="9"/>
  <c r="I48" i="9"/>
  <c r="I47" i="9"/>
  <c r="G52" i="9"/>
  <c r="G51" i="9"/>
  <c r="G50" i="9"/>
  <c r="G49" i="9"/>
  <c r="G48" i="9"/>
  <c r="G47" i="9"/>
  <c r="E52" i="9"/>
  <c r="E51" i="9"/>
  <c r="E50" i="9"/>
  <c r="E49" i="9"/>
  <c r="E48" i="9"/>
  <c r="E47" i="9"/>
  <c r="C48" i="9"/>
  <c r="C49" i="9"/>
  <c r="C50" i="9"/>
  <c r="C51" i="9"/>
  <c r="C52" i="9"/>
  <c r="C47" i="9"/>
  <c r="D46" i="9"/>
  <c r="E46" i="9"/>
  <c r="F46" i="9"/>
  <c r="G46" i="9"/>
  <c r="H46" i="9"/>
  <c r="I46" i="9"/>
  <c r="J46" i="9"/>
  <c r="K46" i="9"/>
  <c r="L46" i="9"/>
  <c r="M46" i="9"/>
  <c r="N46" i="9"/>
  <c r="C46" i="9"/>
  <c r="E36" i="9"/>
  <c r="G36" i="9"/>
  <c r="I36" i="9"/>
  <c r="K36" i="9"/>
  <c r="M36" i="9"/>
  <c r="C36" i="9"/>
  <c r="M32" i="9"/>
  <c r="E26" i="9"/>
  <c r="G26" i="9"/>
  <c r="I26" i="9"/>
  <c r="K26" i="9"/>
  <c r="M26" i="9"/>
  <c r="C26" i="9"/>
  <c r="O22" i="9"/>
  <c r="O21" i="9"/>
  <c r="O20" i="9"/>
  <c r="O19" i="9"/>
  <c r="O18" i="9"/>
  <c r="O17" i="9"/>
  <c r="M22" i="9"/>
  <c r="M21" i="9"/>
  <c r="M20" i="9"/>
  <c r="M19" i="9"/>
  <c r="M18" i="9"/>
  <c r="M17" i="9"/>
  <c r="K22" i="9"/>
  <c r="K21" i="9"/>
  <c r="K20" i="9"/>
  <c r="K19" i="9"/>
  <c r="K18" i="9"/>
  <c r="K17" i="9"/>
  <c r="I22" i="9"/>
  <c r="I21" i="9"/>
  <c r="I20" i="9"/>
  <c r="I19" i="9"/>
  <c r="I18" i="9"/>
  <c r="I17" i="9"/>
  <c r="G22" i="9"/>
  <c r="G21" i="9"/>
  <c r="G20" i="9"/>
  <c r="G19" i="9"/>
  <c r="G18" i="9"/>
  <c r="G17" i="9"/>
  <c r="E22" i="9"/>
  <c r="E21" i="9"/>
  <c r="E20" i="9"/>
  <c r="E19" i="9"/>
  <c r="E18" i="9"/>
  <c r="E17" i="9"/>
  <c r="C18" i="9"/>
  <c r="C19" i="9"/>
  <c r="C20" i="9"/>
  <c r="C21" i="9"/>
  <c r="C22" i="9"/>
  <c r="C17" i="9"/>
  <c r="D16" i="9"/>
  <c r="E16" i="9"/>
  <c r="F16" i="9"/>
  <c r="G16" i="9"/>
  <c r="H16" i="9"/>
  <c r="I16" i="9"/>
  <c r="J16" i="9"/>
  <c r="K16" i="9"/>
  <c r="L16" i="9"/>
  <c r="M16" i="9"/>
  <c r="N16" i="9"/>
  <c r="O16" i="9"/>
  <c r="P16" i="9"/>
  <c r="C16" i="9"/>
  <c r="M12" i="9"/>
  <c r="M11" i="9"/>
  <c r="M10" i="9"/>
  <c r="M9" i="9"/>
  <c r="M8" i="9"/>
  <c r="M7" i="9"/>
  <c r="K12" i="9"/>
  <c r="K11" i="9"/>
  <c r="K10" i="9"/>
  <c r="K9" i="9"/>
  <c r="K8" i="9"/>
  <c r="K7" i="9"/>
  <c r="I12" i="9"/>
  <c r="I11" i="9"/>
  <c r="I10" i="9"/>
  <c r="I9" i="9"/>
  <c r="I8" i="9"/>
  <c r="I7" i="9"/>
  <c r="G12" i="9"/>
  <c r="G11" i="9"/>
  <c r="G10" i="9"/>
  <c r="G9" i="9"/>
  <c r="G8" i="9"/>
  <c r="G7" i="9"/>
  <c r="E12" i="9"/>
  <c r="E11" i="9"/>
  <c r="E10" i="9"/>
  <c r="E9" i="9"/>
  <c r="E8" i="9"/>
  <c r="E7" i="9"/>
  <c r="C8" i="9"/>
  <c r="C9" i="9"/>
  <c r="C10" i="9"/>
  <c r="C11" i="9"/>
  <c r="C12" i="9"/>
  <c r="C7" i="9"/>
  <c r="D6" i="9"/>
  <c r="E6" i="9"/>
  <c r="F6" i="9"/>
  <c r="G6" i="9"/>
  <c r="H6" i="9"/>
  <c r="I6" i="9"/>
  <c r="J6" i="9"/>
  <c r="K6" i="9"/>
  <c r="L6" i="9"/>
  <c r="M6" i="9"/>
  <c r="N6" i="9"/>
  <c r="C6" i="9"/>
  <c r="H5" i="8"/>
  <c r="G6" i="8"/>
  <c r="G5" i="8"/>
  <c r="M20" i="45"/>
  <c r="M21" i="45"/>
  <c r="M22" i="45"/>
  <c r="M29" i="45" s="1"/>
  <c r="M36" i="45" s="1"/>
  <c r="M23" i="45"/>
  <c r="M30" i="45" s="1"/>
  <c r="M37" i="45" s="1"/>
  <c r="M24" i="45"/>
  <c r="M19" i="45"/>
  <c r="K20" i="45"/>
  <c r="K21" i="45"/>
  <c r="K22" i="45"/>
  <c r="K23" i="45"/>
  <c r="K30" i="45" s="1"/>
  <c r="K37" i="45" s="1"/>
  <c r="K44" i="45" s="1"/>
  <c r="K24" i="45"/>
  <c r="K19" i="45"/>
  <c r="I20" i="45"/>
  <c r="I21" i="45"/>
  <c r="I22" i="45"/>
  <c r="I23" i="45"/>
  <c r="I24" i="45"/>
  <c r="I31" i="45" s="1"/>
  <c r="I19" i="45"/>
  <c r="I26" i="45" s="1"/>
  <c r="G20" i="45"/>
  <c r="G21" i="45"/>
  <c r="G22" i="45"/>
  <c r="G23" i="45"/>
  <c r="G30" i="45" s="1"/>
  <c r="G24" i="45"/>
  <c r="G19" i="45"/>
  <c r="E20" i="45"/>
  <c r="E21" i="45"/>
  <c r="E22" i="45"/>
  <c r="E23" i="45"/>
  <c r="E24" i="45"/>
  <c r="E19" i="45"/>
  <c r="C20" i="45"/>
  <c r="C27" i="45" s="1"/>
  <c r="C34" i="45" s="1"/>
  <c r="C41" i="45" s="1"/>
  <c r="C21" i="45"/>
  <c r="C22" i="45"/>
  <c r="C23" i="45"/>
  <c r="C24" i="45"/>
  <c r="C31" i="45" s="1"/>
  <c r="C38" i="45" s="1"/>
  <c r="C45" i="45" s="1"/>
  <c r="C19" i="45"/>
  <c r="C26" i="45" s="1"/>
  <c r="C33" i="45" s="1"/>
  <c r="C40" i="45" s="1"/>
  <c r="E30" i="45"/>
  <c r="E37" i="45" s="1"/>
  <c r="E44" i="45" s="1"/>
  <c r="M28" i="45"/>
  <c r="M35" i="45" s="1"/>
  <c r="M42" i="45" s="1"/>
  <c r="I27" i="45"/>
  <c r="M31" i="45"/>
  <c r="M38" i="45" s="1"/>
  <c r="M45" i="45" s="1"/>
  <c r="K31" i="45"/>
  <c r="K38" i="45" s="1"/>
  <c r="K45" i="45" s="1"/>
  <c r="G31" i="45"/>
  <c r="E31" i="45"/>
  <c r="E38" i="45" s="1"/>
  <c r="E45" i="45" s="1"/>
  <c r="I30" i="45"/>
  <c r="C30" i="45"/>
  <c r="C37" i="45" s="1"/>
  <c r="C44" i="45" s="1"/>
  <c r="K29" i="45"/>
  <c r="K36" i="45" s="1"/>
  <c r="K43" i="45" s="1"/>
  <c r="I29" i="45"/>
  <c r="G29" i="45"/>
  <c r="E29" i="45"/>
  <c r="E36" i="45" s="1"/>
  <c r="E43" i="45" s="1"/>
  <c r="C29" i="45"/>
  <c r="C36" i="45" s="1"/>
  <c r="C43" i="45" s="1"/>
  <c r="K28" i="45"/>
  <c r="K35" i="45" s="1"/>
  <c r="K42" i="45" s="1"/>
  <c r="I28" i="45"/>
  <c r="G28" i="45"/>
  <c r="E28" i="45"/>
  <c r="E35" i="45" s="1"/>
  <c r="E42" i="45" s="1"/>
  <c r="C28" i="45"/>
  <c r="C35" i="45" s="1"/>
  <c r="C42" i="45" s="1"/>
  <c r="M27" i="45"/>
  <c r="M34" i="45" s="1"/>
  <c r="M41" i="45" s="1"/>
  <c r="K27" i="45"/>
  <c r="K34" i="45" s="1"/>
  <c r="K41" i="45" s="1"/>
  <c r="G27" i="45"/>
  <c r="E27" i="45"/>
  <c r="E34" i="45" s="1"/>
  <c r="E41" i="45" s="1"/>
  <c r="M26" i="45"/>
  <c r="M33" i="45" s="1"/>
  <c r="M40" i="45" s="1"/>
  <c r="K26" i="45"/>
  <c r="K33" i="45" s="1"/>
  <c r="K40" i="45" s="1"/>
  <c r="G26" i="45"/>
  <c r="E26" i="45"/>
  <c r="E33" i="45" s="1"/>
  <c r="E40" i="45" s="1"/>
  <c r="N18" i="45"/>
  <c r="I9" i="45"/>
  <c r="H9" i="45"/>
  <c r="G9" i="45"/>
  <c r="J18" i="45" s="1"/>
  <c r="F9" i="45"/>
  <c r="H18" i="45" s="1"/>
  <c r="E9" i="45"/>
  <c r="D9" i="45"/>
  <c r="H5" i="45"/>
  <c r="M20" i="44"/>
  <c r="M38" i="9" s="1"/>
  <c r="M21" i="44"/>
  <c r="M39" i="9" s="1"/>
  <c r="M22" i="44"/>
  <c r="M29" i="44" s="1"/>
  <c r="M36" i="44" s="1"/>
  <c r="M23" i="44"/>
  <c r="M30" i="44" s="1"/>
  <c r="M37" i="44" s="1"/>
  <c r="M44" i="44" s="1"/>
  <c r="M24" i="44"/>
  <c r="M42" i="9" s="1"/>
  <c r="M19" i="44"/>
  <c r="M37" i="9" s="1"/>
  <c r="K20" i="44"/>
  <c r="K38" i="9" s="1"/>
  <c r="K21" i="44"/>
  <c r="K39" i="9" s="1"/>
  <c r="K22" i="44"/>
  <c r="K29" i="44" s="1"/>
  <c r="K36" i="44" s="1"/>
  <c r="K43" i="44" s="1"/>
  <c r="K23" i="44"/>
  <c r="K30" i="44" s="1"/>
  <c r="K37" i="44" s="1"/>
  <c r="K44" i="44" s="1"/>
  <c r="K24" i="44"/>
  <c r="K42" i="9" s="1"/>
  <c r="K19" i="44"/>
  <c r="K26" i="44" s="1"/>
  <c r="K33" i="44" s="1"/>
  <c r="K40" i="44" s="1"/>
  <c r="I20" i="44"/>
  <c r="I38" i="9" s="1"/>
  <c r="I21" i="44"/>
  <c r="I39" i="9" s="1"/>
  <c r="I22" i="44"/>
  <c r="I40" i="9" s="1"/>
  <c r="I23" i="44"/>
  <c r="I41" i="9" s="1"/>
  <c r="I24" i="44"/>
  <c r="I42" i="9" s="1"/>
  <c r="I19" i="44"/>
  <c r="I26" i="44" s="1"/>
  <c r="G20" i="44"/>
  <c r="G38" i="9" s="1"/>
  <c r="G21" i="44"/>
  <c r="G28" i="44" s="1"/>
  <c r="G22" i="44"/>
  <c r="G29" i="44" s="1"/>
  <c r="G23" i="44"/>
  <c r="G41" i="9" s="1"/>
  <c r="G24" i="44"/>
  <c r="G42" i="9" s="1"/>
  <c r="G19" i="44"/>
  <c r="G26" i="44" s="1"/>
  <c r="E20" i="44"/>
  <c r="E38" i="9" s="1"/>
  <c r="E21" i="44"/>
  <c r="E28" i="44" s="1"/>
  <c r="E35" i="44" s="1"/>
  <c r="E42" i="44" s="1"/>
  <c r="E22" i="44"/>
  <c r="E40" i="9" s="1"/>
  <c r="E23" i="44"/>
  <c r="E41" i="9" s="1"/>
  <c r="E24" i="44"/>
  <c r="E42" i="9" s="1"/>
  <c r="E19" i="44"/>
  <c r="E26" i="44" s="1"/>
  <c r="E33" i="44" s="1"/>
  <c r="E40" i="44" s="1"/>
  <c r="C20" i="44"/>
  <c r="C27" i="44" s="1"/>
  <c r="C34" i="44" s="1"/>
  <c r="C41" i="44" s="1"/>
  <c r="C39" i="9"/>
  <c r="C22" i="44"/>
  <c r="C40" i="9" s="1"/>
  <c r="C23" i="44"/>
  <c r="C41" i="9" s="1"/>
  <c r="C24" i="44"/>
  <c r="C31" i="44" s="1"/>
  <c r="C38" i="44" s="1"/>
  <c r="C45" i="44" s="1"/>
  <c r="C19" i="44"/>
  <c r="C26" i="44" s="1"/>
  <c r="C33" i="44" s="1"/>
  <c r="C40" i="44" s="1"/>
  <c r="M31" i="44"/>
  <c r="M38" i="44" s="1"/>
  <c r="I31" i="44"/>
  <c r="E31" i="44"/>
  <c r="E38" i="44" s="1"/>
  <c r="E45" i="44" s="1"/>
  <c r="I30" i="44"/>
  <c r="E30" i="44"/>
  <c r="E37" i="44" s="1"/>
  <c r="E44" i="44" s="1"/>
  <c r="I29" i="44"/>
  <c r="E29" i="44"/>
  <c r="E36" i="44" s="1"/>
  <c r="E43" i="44" s="1"/>
  <c r="M28" i="44"/>
  <c r="M35" i="44" s="1"/>
  <c r="M42" i="44" s="1"/>
  <c r="I28" i="44"/>
  <c r="M27" i="44"/>
  <c r="M34" i="44" s="1"/>
  <c r="M41" i="44" s="1"/>
  <c r="I27" i="44"/>
  <c r="E27" i="44"/>
  <c r="E34" i="44" s="1"/>
  <c r="E41" i="44" s="1"/>
  <c r="M26" i="44"/>
  <c r="M33" i="44" s="1"/>
  <c r="M40" i="44" s="1"/>
  <c r="K31" i="44"/>
  <c r="K38" i="44" s="1"/>
  <c r="K45" i="44" s="1"/>
  <c r="G31" i="44"/>
  <c r="G30" i="44"/>
  <c r="C30" i="44"/>
  <c r="C37" i="44" s="1"/>
  <c r="C44" i="44" s="1"/>
  <c r="C29" i="44"/>
  <c r="C36" i="44" s="1"/>
  <c r="C43" i="44" s="1"/>
  <c r="K28" i="44"/>
  <c r="K35" i="44" s="1"/>
  <c r="K42" i="44" s="1"/>
  <c r="C28" i="44"/>
  <c r="C35" i="44" s="1"/>
  <c r="C42" i="44" s="1"/>
  <c r="K27" i="44"/>
  <c r="K34" i="44" s="1"/>
  <c r="K41" i="44" s="1"/>
  <c r="G27" i="44"/>
  <c r="I9" i="44"/>
  <c r="H9" i="44"/>
  <c r="G9" i="44"/>
  <c r="F9" i="44"/>
  <c r="H18" i="44" s="1"/>
  <c r="H36" i="9" s="1"/>
  <c r="E9" i="44"/>
  <c r="D9" i="44"/>
  <c r="H5" i="44"/>
  <c r="J5" i="45" l="1"/>
  <c r="I5" i="45"/>
  <c r="I6" i="45"/>
  <c r="L6" i="45" s="1"/>
  <c r="J5" i="44"/>
  <c r="I5" i="44"/>
  <c r="S33" i="44" s="1"/>
  <c r="C42" i="9"/>
  <c r="C38" i="9"/>
  <c r="E39" i="9"/>
  <c r="G37" i="9"/>
  <c r="K37" i="9"/>
  <c r="K41" i="9"/>
  <c r="C37" i="9"/>
  <c r="M40" i="9"/>
  <c r="E37" i="9"/>
  <c r="G39" i="9"/>
  <c r="I37" i="9"/>
  <c r="M41" i="9"/>
  <c r="G40" i="9"/>
  <c r="K40" i="9"/>
  <c r="M44" i="45"/>
  <c r="M43" i="45"/>
  <c r="M45" i="44"/>
  <c r="M43" i="44"/>
  <c r="I6" i="44"/>
  <c r="L6" i="44" s="1"/>
  <c r="D18" i="45"/>
  <c r="F18" i="45"/>
  <c r="L18" i="45"/>
  <c r="J18" i="44"/>
  <c r="J36" i="9" s="1"/>
  <c r="D18" i="44"/>
  <c r="D36" i="9" s="1"/>
  <c r="L18" i="44"/>
  <c r="L36" i="9" s="1"/>
  <c r="F18" i="44"/>
  <c r="F36" i="9" s="1"/>
  <c r="N18" i="44"/>
  <c r="N36" i="9" s="1"/>
  <c r="M20" i="43"/>
  <c r="M28" i="9" s="1"/>
  <c r="M21" i="43"/>
  <c r="M29" i="9" s="1"/>
  <c r="M22" i="43"/>
  <c r="M30" i="9" s="1"/>
  <c r="M23" i="43"/>
  <c r="M19" i="43"/>
  <c r="K20" i="43"/>
  <c r="K28" i="9" s="1"/>
  <c r="K21" i="43"/>
  <c r="K22" i="43"/>
  <c r="K30" i="9" s="1"/>
  <c r="K23" i="43"/>
  <c r="K24" i="43"/>
  <c r="K32" i="9" s="1"/>
  <c r="K19" i="43"/>
  <c r="I20" i="43"/>
  <c r="I28" i="9" s="1"/>
  <c r="I21" i="43"/>
  <c r="I29" i="9" s="1"/>
  <c r="I22" i="43"/>
  <c r="I23" i="43"/>
  <c r="I24" i="43"/>
  <c r="I32" i="9" s="1"/>
  <c r="I19" i="43"/>
  <c r="G20" i="43"/>
  <c r="G21" i="43"/>
  <c r="G29" i="9" s="1"/>
  <c r="G22" i="43"/>
  <c r="G23" i="43"/>
  <c r="G31" i="9" s="1"/>
  <c r="G24" i="43"/>
  <c r="G32" i="9" s="1"/>
  <c r="G19" i="43"/>
  <c r="G27" i="9" s="1"/>
  <c r="E20" i="43"/>
  <c r="E28" i="9" s="1"/>
  <c r="E21" i="43"/>
  <c r="E29" i="9" s="1"/>
  <c r="E22" i="43"/>
  <c r="E30" i="9" s="1"/>
  <c r="E23" i="43"/>
  <c r="E24" i="43"/>
  <c r="E32" i="9" s="1"/>
  <c r="E19" i="43"/>
  <c r="E27" i="9" s="1"/>
  <c r="C20" i="43"/>
  <c r="C28" i="9" s="1"/>
  <c r="C21" i="43"/>
  <c r="C29" i="9" s="1"/>
  <c r="C22" i="43"/>
  <c r="C30" i="9" s="1"/>
  <c r="C23" i="43"/>
  <c r="C24" i="43"/>
  <c r="C32" i="9" s="1"/>
  <c r="C19" i="43"/>
  <c r="C27" i="9" s="1"/>
  <c r="I9" i="43"/>
  <c r="N18" i="43" s="1"/>
  <c r="N26" i="9" s="1"/>
  <c r="H5" i="43"/>
  <c r="M31" i="43"/>
  <c r="M38" i="43" s="1"/>
  <c r="K31" i="43"/>
  <c r="K38" i="43" s="1"/>
  <c r="K45" i="43" s="1"/>
  <c r="I31" i="43"/>
  <c r="I45" i="43" s="1"/>
  <c r="G31" i="43"/>
  <c r="G45" i="43" s="1"/>
  <c r="E31" i="43"/>
  <c r="E38" i="43" s="1"/>
  <c r="E45" i="43" s="1"/>
  <c r="C31" i="43"/>
  <c r="C38" i="43" s="1"/>
  <c r="C45" i="43" s="1"/>
  <c r="G30" i="43"/>
  <c r="M29" i="43"/>
  <c r="M36" i="43" s="1"/>
  <c r="K29" i="43"/>
  <c r="K36" i="43" s="1"/>
  <c r="K43" i="43" s="1"/>
  <c r="E29" i="43"/>
  <c r="E36" i="43" s="1"/>
  <c r="E43" i="43" s="1"/>
  <c r="C29" i="43"/>
  <c r="C36" i="43" s="1"/>
  <c r="C43" i="43" s="1"/>
  <c r="M28" i="43"/>
  <c r="M35" i="43" s="1"/>
  <c r="I28" i="43"/>
  <c r="G28" i="43"/>
  <c r="E28" i="43"/>
  <c r="E35" i="43" s="1"/>
  <c r="E42" i="43" s="1"/>
  <c r="C28" i="43"/>
  <c r="C35" i="43" s="1"/>
  <c r="C42" i="43" s="1"/>
  <c r="M27" i="43"/>
  <c r="M34" i="43" s="1"/>
  <c r="K27" i="43"/>
  <c r="K34" i="43" s="1"/>
  <c r="K41" i="43" s="1"/>
  <c r="I27" i="43"/>
  <c r="E27" i="43"/>
  <c r="E34" i="43" s="1"/>
  <c r="E41" i="43" s="1"/>
  <c r="C27" i="43"/>
  <c r="C34" i="43" s="1"/>
  <c r="C41" i="43" s="1"/>
  <c r="G26" i="43"/>
  <c r="E26" i="43"/>
  <c r="E33" i="43" s="1"/>
  <c r="E40" i="43" s="1"/>
  <c r="C26" i="43"/>
  <c r="C33" i="43" s="1"/>
  <c r="C40" i="43" s="1"/>
  <c r="H9" i="43"/>
  <c r="L18" i="43" s="1"/>
  <c r="L26" i="9" s="1"/>
  <c r="G9" i="43"/>
  <c r="J18" i="43" s="1"/>
  <c r="J26" i="9" s="1"/>
  <c r="F9" i="43"/>
  <c r="H18" i="43" s="1"/>
  <c r="H26" i="9" s="1"/>
  <c r="E9" i="43"/>
  <c r="F18" i="43" s="1"/>
  <c r="F26" i="9" s="1"/>
  <c r="D9" i="43"/>
  <c r="D18" i="43" s="1"/>
  <c r="D26" i="9" s="1"/>
  <c r="C26" i="42"/>
  <c r="O31" i="42"/>
  <c r="O30" i="42"/>
  <c r="O29" i="42"/>
  <c r="O28" i="42"/>
  <c r="O27" i="42"/>
  <c r="O26" i="42"/>
  <c r="O20" i="42"/>
  <c r="O21" i="42"/>
  <c r="O22" i="42"/>
  <c r="O23" i="42"/>
  <c r="O24" i="42"/>
  <c r="O19" i="42"/>
  <c r="M20" i="42"/>
  <c r="M21" i="42"/>
  <c r="M22" i="42"/>
  <c r="M23" i="42"/>
  <c r="M24" i="42"/>
  <c r="M19" i="42"/>
  <c r="M26" i="42" s="1"/>
  <c r="M33" i="42" s="1"/>
  <c r="K20" i="42"/>
  <c r="K21" i="42"/>
  <c r="K22" i="42"/>
  <c r="K23" i="42"/>
  <c r="K30" i="42" s="1"/>
  <c r="K37" i="42" s="1"/>
  <c r="K44" i="42" s="1"/>
  <c r="K24" i="42"/>
  <c r="K19" i="42"/>
  <c r="I20" i="42"/>
  <c r="I21" i="42"/>
  <c r="I22" i="42"/>
  <c r="I23" i="42"/>
  <c r="I30" i="42" s="1"/>
  <c r="I24" i="42"/>
  <c r="I19" i="42"/>
  <c r="G20" i="42"/>
  <c r="G21" i="42"/>
  <c r="G22" i="42"/>
  <c r="G23" i="42"/>
  <c r="G30" i="42" s="1"/>
  <c r="G24" i="42"/>
  <c r="G19" i="42"/>
  <c r="E20" i="42"/>
  <c r="E21" i="42"/>
  <c r="E22" i="42"/>
  <c r="E23" i="42"/>
  <c r="E24" i="42"/>
  <c r="E31" i="42" s="1"/>
  <c r="E38" i="42" s="1"/>
  <c r="E45" i="42" s="1"/>
  <c r="E19" i="42"/>
  <c r="C20" i="42"/>
  <c r="C21" i="42"/>
  <c r="C22" i="42"/>
  <c r="C23" i="42"/>
  <c r="C24" i="42"/>
  <c r="C19" i="42"/>
  <c r="C33" i="42"/>
  <c r="C40" i="42" s="1"/>
  <c r="I15" i="42"/>
  <c r="G29" i="42"/>
  <c r="C28" i="42"/>
  <c r="C35" i="42" s="1"/>
  <c r="C42" i="42" s="1"/>
  <c r="K26" i="42"/>
  <c r="K33" i="42" s="1"/>
  <c r="K40" i="42" s="1"/>
  <c r="M31" i="42"/>
  <c r="M38" i="42" s="1"/>
  <c r="K31" i="42"/>
  <c r="K38" i="42" s="1"/>
  <c r="K45" i="42" s="1"/>
  <c r="I31" i="42"/>
  <c r="G31" i="42"/>
  <c r="C31" i="42"/>
  <c r="C38" i="42" s="1"/>
  <c r="C45" i="42" s="1"/>
  <c r="M30" i="42"/>
  <c r="M37" i="42" s="1"/>
  <c r="E30" i="42"/>
  <c r="E37" i="42" s="1"/>
  <c r="E44" i="42" s="1"/>
  <c r="C30" i="42"/>
  <c r="C37" i="42" s="1"/>
  <c r="C44" i="42" s="1"/>
  <c r="M29" i="42"/>
  <c r="M36" i="42" s="1"/>
  <c r="K29" i="42"/>
  <c r="K36" i="42" s="1"/>
  <c r="K43" i="42" s="1"/>
  <c r="I29" i="42"/>
  <c r="E29" i="42"/>
  <c r="E36" i="42" s="1"/>
  <c r="E43" i="42" s="1"/>
  <c r="C29" i="42"/>
  <c r="C36" i="42" s="1"/>
  <c r="C43" i="42" s="1"/>
  <c r="M28" i="42"/>
  <c r="M35" i="42" s="1"/>
  <c r="K28" i="42"/>
  <c r="K35" i="42" s="1"/>
  <c r="K42" i="42" s="1"/>
  <c r="I28" i="42"/>
  <c r="G28" i="42"/>
  <c r="E28" i="42"/>
  <c r="E35" i="42" s="1"/>
  <c r="E42" i="42" s="1"/>
  <c r="M27" i="42"/>
  <c r="M34" i="42" s="1"/>
  <c r="K27" i="42"/>
  <c r="K34" i="42" s="1"/>
  <c r="K41" i="42" s="1"/>
  <c r="I27" i="42"/>
  <c r="G27" i="42"/>
  <c r="E27" i="42"/>
  <c r="E34" i="42" s="1"/>
  <c r="E41" i="42" s="1"/>
  <c r="C27" i="42"/>
  <c r="C34" i="42" s="1"/>
  <c r="C41" i="42" s="1"/>
  <c r="I26" i="42"/>
  <c r="G26" i="42"/>
  <c r="E26" i="42"/>
  <c r="E33" i="42" s="1"/>
  <c r="E40" i="42" s="1"/>
  <c r="I9" i="42"/>
  <c r="N18" i="42" s="1"/>
  <c r="H9" i="42"/>
  <c r="L18" i="42" s="1"/>
  <c r="G9" i="42"/>
  <c r="J18" i="42" s="1"/>
  <c r="F9" i="42"/>
  <c r="H18" i="42" s="1"/>
  <c r="E9" i="42"/>
  <c r="F18" i="42" s="1"/>
  <c r="D9" i="42"/>
  <c r="D18" i="42" s="1"/>
  <c r="H5" i="42"/>
  <c r="H5" i="7"/>
  <c r="E33" i="7"/>
  <c r="E40" i="7" s="1"/>
  <c r="K33" i="7"/>
  <c r="K40" i="7" s="1"/>
  <c r="M33" i="7"/>
  <c r="C33" i="7"/>
  <c r="C40" i="7" s="1"/>
  <c r="E26" i="7"/>
  <c r="G26" i="7"/>
  <c r="I26" i="7"/>
  <c r="K26" i="7"/>
  <c r="M26" i="7"/>
  <c r="E27" i="7"/>
  <c r="E34" i="7" s="1"/>
  <c r="E41" i="7" s="1"/>
  <c r="G27" i="7"/>
  <c r="I27" i="7"/>
  <c r="K27" i="7"/>
  <c r="K34" i="7" s="1"/>
  <c r="K41" i="7" s="1"/>
  <c r="M27" i="7"/>
  <c r="M34" i="7" s="1"/>
  <c r="E28" i="7"/>
  <c r="E35" i="7" s="1"/>
  <c r="E42" i="7" s="1"/>
  <c r="G28" i="7"/>
  <c r="I28" i="7"/>
  <c r="K28" i="7"/>
  <c r="K35" i="7" s="1"/>
  <c r="K42" i="7" s="1"/>
  <c r="M28" i="7"/>
  <c r="M35" i="7" s="1"/>
  <c r="E29" i="7"/>
  <c r="E36" i="7" s="1"/>
  <c r="E43" i="7" s="1"/>
  <c r="G29" i="7"/>
  <c r="I29" i="7"/>
  <c r="K29" i="7"/>
  <c r="K36" i="7" s="1"/>
  <c r="K43" i="7" s="1"/>
  <c r="M29" i="7"/>
  <c r="M36" i="7" s="1"/>
  <c r="E30" i="7"/>
  <c r="E37" i="7" s="1"/>
  <c r="E44" i="7" s="1"/>
  <c r="G30" i="7"/>
  <c r="I30" i="7"/>
  <c r="K30" i="7"/>
  <c r="K37" i="7" s="1"/>
  <c r="K44" i="7" s="1"/>
  <c r="M30" i="7"/>
  <c r="M37" i="7" s="1"/>
  <c r="E31" i="7"/>
  <c r="E38" i="7" s="1"/>
  <c r="E45" i="7" s="1"/>
  <c r="G31" i="7"/>
  <c r="G45" i="7" s="1"/>
  <c r="I31" i="7"/>
  <c r="I45" i="7" s="1"/>
  <c r="K31" i="7"/>
  <c r="K38" i="7" s="1"/>
  <c r="K45" i="7" s="1"/>
  <c r="M31" i="7"/>
  <c r="M38" i="7" s="1"/>
  <c r="C27" i="7"/>
  <c r="C34" i="7" s="1"/>
  <c r="C41" i="7" s="1"/>
  <c r="C28" i="7"/>
  <c r="C35" i="7" s="1"/>
  <c r="C42" i="7" s="1"/>
  <c r="C29" i="7"/>
  <c r="C36" i="7" s="1"/>
  <c r="C43" i="7" s="1"/>
  <c r="C30" i="7"/>
  <c r="C37" i="7" s="1"/>
  <c r="C44" i="7" s="1"/>
  <c r="C31" i="7"/>
  <c r="C38" i="7" s="1"/>
  <c r="C45" i="7" s="1"/>
  <c r="C26" i="7"/>
  <c r="D13" i="41"/>
  <c r="E20" i="41"/>
  <c r="D20" i="41"/>
  <c r="D22" i="41" s="1"/>
  <c r="C22" i="41"/>
  <c r="C23" i="41" s="1"/>
  <c r="F23" i="41" s="1"/>
  <c r="E17" i="41"/>
  <c r="D17" i="41"/>
  <c r="C17" i="41"/>
  <c r="C18" i="41" s="1"/>
  <c r="F18" i="41" s="1"/>
  <c r="C15" i="41"/>
  <c r="E15" i="41"/>
  <c r="D15" i="41"/>
  <c r="D14" i="41"/>
  <c r="D10" i="41"/>
  <c r="D11" i="41"/>
  <c r="M20" i="7"/>
  <c r="M21" i="7"/>
  <c r="M22" i="7"/>
  <c r="M23" i="7"/>
  <c r="M24" i="7"/>
  <c r="M19" i="7"/>
  <c r="K20" i="7"/>
  <c r="K21" i="7"/>
  <c r="K22" i="7"/>
  <c r="K23" i="7"/>
  <c r="K24" i="7"/>
  <c r="K19" i="7"/>
  <c r="I20" i="7"/>
  <c r="I21" i="7"/>
  <c r="I22" i="7"/>
  <c r="I23" i="7"/>
  <c r="I24" i="7"/>
  <c r="I19" i="7"/>
  <c r="G20" i="7"/>
  <c r="G21" i="7"/>
  <c r="G22" i="7"/>
  <c r="G23" i="7"/>
  <c r="G24" i="7"/>
  <c r="G19" i="7"/>
  <c r="E20" i="7"/>
  <c r="E21" i="7"/>
  <c r="E22" i="7"/>
  <c r="E23" i="7"/>
  <c r="E24" i="7"/>
  <c r="E19" i="7"/>
  <c r="C20" i="7"/>
  <c r="C21" i="7"/>
  <c r="C22" i="7"/>
  <c r="C23" i="7"/>
  <c r="C24" i="7"/>
  <c r="C19" i="7"/>
  <c r="R33" i="44" l="1"/>
  <c r="L5" i="44"/>
  <c r="N5" i="44" s="1"/>
  <c r="J49" i="44" s="1"/>
  <c r="C20" i="41"/>
  <c r="C21" i="41" s="1"/>
  <c r="F21" i="41" s="1"/>
  <c r="F15" i="41"/>
  <c r="I6" i="7"/>
  <c r="L6" i="7" s="1"/>
  <c r="J5" i="7"/>
  <c r="I5" i="7"/>
  <c r="R40" i="7" s="1"/>
  <c r="R40" i="44"/>
  <c r="J5" i="43"/>
  <c r="I5" i="43"/>
  <c r="S33" i="43" s="1"/>
  <c r="J5" i="42"/>
  <c r="I5" i="42"/>
  <c r="F17" i="41"/>
  <c r="G17" i="41" s="1"/>
  <c r="H17" i="41" s="1"/>
  <c r="G29" i="43"/>
  <c r="G30" i="9"/>
  <c r="M30" i="43"/>
  <c r="M37" i="43" s="1"/>
  <c r="M44" i="43" s="1"/>
  <c r="M31" i="9"/>
  <c r="E30" i="43"/>
  <c r="E37" i="43" s="1"/>
  <c r="E44" i="43" s="1"/>
  <c r="E31" i="9"/>
  <c r="I30" i="43"/>
  <c r="I31" i="9"/>
  <c r="K26" i="43"/>
  <c r="K33" i="43" s="1"/>
  <c r="K40" i="43" s="1"/>
  <c r="K27" i="9"/>
  <c r="K28" i="43"/>
  <c r="K35" i="43" s="1"/>
  <c r="K42" i="43" s="1"/>
  <c r="K29" i="9"/>
  <c r="G27" i="43"/>
  <c r="G28" i="9"/>
  <c r="I29" i="43"/>
  <c r="I30" i="9"/>
  <c r="C30" i="43"/>
  <c r="C37" i="43" s="1"/>
  <c r="C44" i="43" s="1"/>
  <c r="C31" i="9"/>
  <c r="I26" i="43"/>
  <c r="I27" i="9"/>
  <c r="K30" i="43"/>
  <c r="K37" i="43" s="1"/>
  <c r="K44" i="43" s="1"/>
  <c r="K31" i="9"/>
  <c r="M26" i="43"/>
  <c r="M33" i="43" s="1"/>
  <c r="M40" i="43" s="1"/>
  <c r="M27" i="9"/>
  <c r="R40" i="43"/>
  <c r="L5" i="45"/>
  <c r="N5" i="45" s="1"/>
  <c r="R33" i="45"/>
  <c r="S33" i="45"/>
  <c r="R40" i="45"/>
  <c r="M41" i="43"/>
  <c r="M45" i="43"/>
  <c r="M45" i="7"/>
  <c r="M45" i="42"/>
  <c r="M42" i="43"/>
  <c r="M43" i="43"/>
  <c r="M2" i="35"/>
  <c r="H6" i="8"/>
  <c r="H7" i="8" s="1"/>
  <c r="I6" i="43"/>
  <c r="L6" i="43" s="1"/>
  <c r="D12" i="41"/>
  <c r="O33" i="42"/>
  <c r="O40" i="42" s="1"/>
  <c r="O35" i="42"/>
  <c r="O42" i="42" s="1"/>
  <c r="O37" i="42"/>
  <c r="O44" i="42" s="1"/>
  <c r="O34" i="42"/>
  <c r="O41" i="42" s="1"/>
  <c r="O36" i="42"/>
  <c r="O43" i="42" s="1"/>
  <c r="O38" i="42"/>
  <c r="O45" i="42" s="1"/>
  <c r="I6" i="42"/>
  <c r="L6" i="42" s="1"/>
  <c r="C16" i="41"/>
  <c r="F16" i="41" s="1"/>
  <c r="E22" i="41"/>
  <c r="F22" i="41" s="1"/>
  <c r="G22" i="41" s="1"/>
  <c r="I15" i="7"/>
  <c r="I9" i="7"/>
  <c r="N18" i="7" s="1"/>
  <c r="H9" i="7"/>
  <c r="L18" i="7" s="1"/>
  <c r="G9" i="7"/>
  <c r="J18" i="7" s="1"/>
  <c r="F9" i="7"/>
  <c r="H18" i="7" s="1"/>
  <c r="E9" i="7"/>
  <c r="F18" i="7" s="1"/>
  <c r="D9" i="7"/>
  <c r="D18" i="7" s="1"/>
  <c r="L55" i="35"/>
  <c r="L56" i="35"/>
  <c r="L57" i="35"/>
  <c r="L58" i="35"/>
  <c r="L54" i="35"/>
  <c r="J55" i="35"/>
  <c r="J56" i="35"/>
  <c r="J57" i="35"/>
  <c r="J58" i="35"/>
  <c r="J59" i="35"/>
  <c r="J54" i="35"/>
  <c r="H55" i="35"/>
  <c r="H56" i="35"/>
  <c r="H57" i="35"/>
  <c r="H58" i="35"/>
  <c r="H59" i="35"/>
  <c r="H54" i="35"/>
  <c r="F55" i="35"/>
  <c r="F56" i="35"/>
  <c r="F57" i="35"/>
  <c r="F58" i="35"/>
  <c r="F59" i="35"/>
  <c r="F54" i="35"/>
  <c r="D55" i="35"/>
  <c r="D56" i="35"/>
  <c r="D57" i="35"/>
  <c r="D58" i="35"/>
  <c r="D59" i="35"/>
  <c r="D54" i="35"/>
  <c r="B55" i="35"/>
  <c r="B56" i="35"/>
  <c r="B57" i="35"/>
  <c r="B58" i="35"/>
  <c r="B59" i="35"/>
  <c r="B54" i="35"/>
  <c r="L40" i="35"/>
  <c r="L41" i="35"/>
  <c r="L42" i="35"/>
  <c r="L43" i="35"/>
  <c r="L39" i="35"/>
  <c r="J40" i="35"/>
  <c r="J41" i="35"/>
  <c r="J42" i="35"/>
  <c r="J43" i="35"/>
  <c r="J44" i="35"/>
  <c r="J39" i="35"/>
  <c r="H40" i="35"/>
  <c r="H41" i="35"/>
  <c r="H42" i="35"/>
  <c r="H43" i="35"/>
  <c r="H44" i="35"/>
  <c r="H39" i="35"/>
  <c r="F40" i="35"/>
  <c r="F41" i="35"/>
  <c r="F42" i="35"/>
  <c r="F43" i="35"/>
  <c r="F44" i="35"/>
  <c r="F39" i="35"/>
  <c r="D40" i="35"/>
  <c r="D41" i="35"/>
  <c r="D42" i="35"/>
  <c r="D43" i="35"/>
  <c r="D44" i="35"/>
  <c r="D39" i="35"/>
  <c r="B40" i="35"/>
  <c r="B41" i="35"/>
  <c r="B42" i="35"/>
  <c r="B43" i="35"/>
  <c r="B44" i="35"/>
  <c r="B39" i="35"/>
  <c r="L25" i="35"/>
  <c r="L26" i="35"/>
  <c r="L27" i="35"/>
  <c r="L28" i="35"/>
  <c r="L24" i="35"/>
  <c r="J25" i="35"/>
  <c r="J26" i="35"/>
  <c r="J27" i="35"/>
  <c r="J28" i="35"/>
  <c r="J29" i="35"/>
  <c r="J24" i="35"/>
  <c r="H25" i="35"/>
  <c r="H26" i="35"/>
  <c r="H27" i="35"/>
  <c r="H28" i="35"/>
  <c r="H29" i="35"/>
  <c r="H24" i="35"/>
  <c r="F25" i="35"/>
  <c r="F26" i="35"/>
  <c r="F27" i="35"/>
  <c r="F28" i="35"/>
  <c r="F29" i="35"/>
  <c r="F24" i="35"/>
  <c r="D25" i="35"/>
  <c r="D26" i="35"/>
  <c r="D27" i="35"/>
  <c r="D28" i="35"/>
  <c r="D29" i="35"/>
  <c r="D24" i="35"/>
  <c r="B25" i="35"/>
  <c r="B26" i="35"/>
  <c r="B27" i="35"/>
  <c r="B28" i="35"/>
  <c r="B29" i="35"/>
  <c r="B24" i="35"/>
  <c r="N16" i="35"/>
  <c r="N17" i="35"/>
  <c r="N18" i="35"/>
  <c r="N19" i="35"/>
  <c r="N20" i="35"/>
  <c r="N15" i="35"/>
  <c r="L16" i="35"/>
  <c r="L17" i="35"/>
  <c r="L18" i="35"/>
  <c r="L19" i="35"/>
  <c r="L20" i="35"/>
  <c r="L15" i="35"/>
  <c r="J16" i="35"/>
  <c r="J17" i="35"/>
  <c r="J18" i="35"/>
  <c r="J19" i="35"/>
  <c r="J20" i="35"/>
  <c r="J15" i="35"/>
  <c r="H16" i="35"/>
  <c r="H17" i="35"/>
  <c r="H18" i="35"/>
  <c r="H19" i="35"/>
  <c r="H20" i="35"/>
  <c r="H15" i="35"/>
  <c r="F16" i="35"/>
  <c r="F17" i="35"/>
  <c r="F18" i="35"/>
  <c r="F19" i="35"/>
  <c r="F20" i="35"/>
  <c r="F15" i="35"/>
  <c r="D16" i="35"/>
  <c r="D17" i="35"/>
  <c r="D18" i="35"/>
  <c r="D19" i="35"/>
  <c r="D20" i="35"/>
  <c r="D15" i="35"/>
  <c r="B16" i="35"/>
  <c r="B17" i="35"/>
  <c r="B18" i="35"/>
  <c r="B19" i="35"/>
  <c r="B20" i="35"/>
  <c r="B15" i="35"/>
  <c r="L7" i="35"/>
  <c r="L8" i="35"/>
  <c r="L9" i="35"/>
  <c r="L10" i="35"/>
  <c r="L11" i="35"/>
  <c r="L6" i="35"/>
  <c r="J7" i="35"/>
  <c r="J8" i="35"/>
  <c r="J9" i="35"/>
  <c r="J10" i="35"/>
  <c r="J11" i="35"/>
  <c r="J6" i="35"/>
  <c r="H7" i="35"/>
  <c r="H8" i="35"/>
  <c r="H9" i="35"/>
  <c r="H10" i="35"/>
  <c r="H11" i="35"/>
  <c r="H6" i="35"/>
  <c r="F7" i="35"/>
  <c r="F8" i="35"/>
  <c r="F9" i="35"/>
  <c r="F10" i="35"/>
  <c r="F11" i="35"/>
  <c r="F6" i="35"/>
  <c r="D7" i="35"/>
  <c r="D8" i="35"/>
  <c r="D9" i="35"/>
  <c r="D10" i="35"/>
  <c r="D11" i="35"/>
  <c r="D6" i="35"/>
  <c r="B7" i="35"/>
  <c r="B8" i="35"/>
  <c r="B9" i="35"/>
  <c r="B10" i="35"/>
  <c r="B11" i="35"/>
  <c r="B6" i="35"/>
  <c r="R33" i="43" l="1"/>
  <c r="F20" i="41"/>
  <c r="G20" i="41" s="1"/>
  <c r="H20" i="41" s="1"/>
  <c r="G15" i="41"/>
  <c r="H15" i="41" s="1"/>
  <c r="M37" i="35"/>
  <c r="G42" i="35" s="1"/>
  <c r="F13" i="44" s="1"/>
  <c r="E14" i="41"/>
  <c r="F14" i="41" s="1"/>
  <c r="E13" i="41"/>
  <c r="F13" i="41" s="1"/>
  <c r="M52" i="35"/>
  <c r="M57" i="35" s="1"/>
  <c r="I13" i="45" s="1"/>
  <c r="F49" i="44"/>
  <c r="D49" i="44"/>
  <c r="G49" i="44"/>
  <c r="H49" i="44"/>
  <c r="J53" i="44"/>
  <c r="I49" i="44"/>
  <c r="E49" i="44"/>
  <c r="D9" i="8"/>
  <c r="F10" i="1" s="1"/>
  <c r="G10" i="1" s="1"/>
  <c r="S6" i="45"/>
  <c r="R41" i="45" s="1"/>
  <c r="T6" i="45" s="1"/>
  <c r="S4" i="45"/>
  <c r="T4" i="45" s="1"/>
  <c r="Q5" i="45"/>
  <c r="S5" i="45"/>
  <c r="R34" i="45" s="1"/>
  <c r="Q4" i="45"/>
  <c r="S33" i="7"/>
  <c r="R33" i="7"/>
  <c r="L5" i="42"/>
  <c r="N5" i="42" s="1"/>
  <c r="R33" i="42"/>
  <c r="S33" i="42"/>
  <c r="R40" i="42"/>
  <c r="S5" i="44"/>
  <c r="S4" i="44"/>
  <c r="T4" i="44" s="1"/>
  <c r="Q5" i="44"/>
  <c r="S6" i="44"/>
  <c r="R41" i="44" s="1"/>
  <c r="T6" i="44" s="1"/>
  <c r="Q4" i="44"/>
  <c r="D8" i="8"/>
  <c r="F9" i="1" s="1"/>
  <c r="G9" i="1" s="1"/>
  <c r="Q6" i="45"/>
  <c r="M39" i="35"/>
  <c r="I10" i="44" s="1"/>
  <c r="C43" i="35"/>
  <c r="D14" i="44" s="1"/>
  <c r="K40" i="35"/>
  <c r="H11" i="44" s="1"/>
  <c r="G40" i="35"/>
  <c r="F11" i="44" s="1"/>
  <c r="K43" i="35"/>
  <c r="H14" i="44" s="1"/>
  <c r="K39" i="35"/>
  <c r="H10" i="44" s="1"/>
  <c r="E41" i="35"/>
  <c r="E12" i="44" s="1"/>
  <c r="M44" i="35"/>
  <c r="I15" i="44" s="1"/>
  <c r="K42" i="35"/>
  <c r="H13" i="44" s="1"/>
  <c r="G44" i="35"/>
  <c r="F15" i="44" s="1"/>
  <c r="Q6" i="44"/>
  <c r="L5" i="7"/>
  <c r="M4" i="35" s="1"/>
  <c r="C6" i="35" s="1"/>
  <c r="D10" i="7" s="1"/>
  <c r="L5" i="43"/>
  <c r="N5" i="43" s="1"/>
  <c r="J49" i="43" s="1"/>
  <c r="H22" i="41"/>
  <c r="M43" i="35" l="1"/>
  <c r="I14" i="44" s="1"/>
  <c r="C42" i="35"/>
  <c r="D13" i="44" s="1"/>
  <c r="G41" i="35"/>
  <c r="F12" i="44" s="1"/>
  <c r="I59" i="35"/>
  <c r="G15" i="45" s="1"/>
  <c r="E40" i="35"/>
  <c r="E11" i="44" s="1"/>
  <c r="G39" i="35"/>
  <c r="F10" i="44" s="1"/>
  <c r="I42" i="35"/>
  <c r="G13" i="44" s="1"/>
  <c r="I39" i="35"/>
  <c r="G10" i="44" s="1"/>
  <c r="J10" i="44" s="1"/>
  <c r="I44" i="35"/>
  <c r="G15" i="44" s="1"/>
  <c r="I20" i="41"/>
  <c r="E44" i="35"/>
  <c r="E15" i="44" s="1"/>
  <c r="G43" i="35"/>
  <c r="F14" i="44" s="1"/>
  <c r="J14" i="44" s="1"/>
  <c r="M41" i="35"/>
  <c r="I12" i="44" s="1"/>
  <c r="E39" i="35"/>
  <c r="E10" i="44" s="1"/>
  <c r="I43" i="35"/>
  <c r="G14" i="44" s="1"/>
  <c r="E42" i="35"/>
  <c r="E13" i="44" s="1"/>
  <c r="J13" i="44" s="1"/>
  <c r="M40" i="35"/>
  <c r="I11" i="44" s="1"/>
  <c r="C39" i="35"/>
  <c r="D10" i="44" s="1"/>
  <c r="M42" i="35"/>
  <c r="I13" i="44" s="1"/>
  <c r="I40" i="35"/>
  <c r="G11" i="44" s="1"/>
  <c r="C41" i="35"/>
  <c r="D12" i="44" s="1"/>
  <c r="I41" i="35"/>
  <c r="G12" i="44" s="1"/>
  <c r="C44" i="35"/>
  <c r="D15" i="44" s="1"/>
  <c r="C40" i="35"/>
  <c r="D11" i="44" s="1"/>
  <c r="J11" i="44" s="1"/>
  <c r="E43" i="35"/>
  <c r="E14" i="44" s="1"/>
  <c r="K41" i="35"/>
  <c r="H12" i="44" s="1"/>
  <c r="K44" i="35"/>
  <c r="H15" i="44" s="1"/>
  <c r="I15" i="41"/>
  <c r="I22" i="41"/>
  <c r="C56" i="35"/>
  <c r="D12" i="45" s="1"/>
  <c r="G55" i="35"/>
  <c r="F11" i="45" s="1"/>
  <c r="C57" i="35"/>
  <c r="D13" i="45" s="1"/>
  <c r="G56" i="35"/>
  <c r="F12" i="45" s="1"/>
  <c r="K58" i="35"/>
  <c r="H14" i="45" s="1"/>
  <c r="K57" i="35"/>
  <c r="H13" i="45" s="1"/>
  <c r="M56" i="35"/>
  <c r="I12" i="45" s="1"/>
  <c r="E54" i="35"/>
  <c r="E10" i="45" s="1"/>
  <c r="K56" i="35"/>
  <c r="H12" i="45" s="1"/>
  <c r="E59" i="35"/>
  <c r="E15" i="45" s="1"/>
  <c r="M59" i="35"/>
  <c r="I15" i="45" s="1"/>
  <c r="G58" i="35"/>
  <c r="F14" i="45" s="1"/>
  <c r="C59" i="35"/>
  <c r="D15" i="45" s="1"/>
  <c r="K59" i="35"/>
  <c r="H15" i="45" s="1"/>
  <c r="I58" i="35"/>
  <c r="G14" i="45" s="1"/>
  <c r="E55" i="35"/>
  <c r="E11" i="45" s="1"/>
  <c r="G54" i="35"/>
  <c r="F10" i="45" s="1"/>
  <c r="I57" i="35"/>
  <c r="G13" i="45" s="1"/>
  <c r="E58" i="35"/>
  <c r="E14" i="45" s="1"/>
  <c r="M54" i="35"/>
  <c r="I10" i="45" s="1"/>
  <c r="I55" i="35"/>
  <c r="G11" i="45" s="1"/>
  <c r="C54" i="35"/>
  <c r="D10" i="45" s="1"/>
  <c r="I56" i="35"/>
  <c r="G12" i="45" s="1"/>
  <c r="E57" i="35"/>
  <c r="E13" i="45" s="1"/>
  <c r="C58" i="35"/>
  <c r="D14" i="45" s="1"/>
  <c r="I54" i="35"/>
  <c r="G10" i="45" s="1"/>
  <c r="M58" i="35"/>
  <c r="I14" i="45" s="1"/>
  <c r="G57" i="35"/>
  <c r="F13" i="45" s="1"/>
  <c r="M55" i="35"/>
  <c r="I11" i="45" s="1"/>
  <c r="E56" i="35"/>
  <c r="E12" i="45" s="1"/>
  <c r="K54" i="35"/>
  <c r="H10" i="45" s="1"/>
  <c r="C55" i="35"/>
  <c r="D11" i="45" s="1"/>
  <c r="K55" i="35"/>
  <c r="H11" i="45" s="1"/>
  <c r="O13" i="35"/>
  <c r="I16" i="35" s="1"/>
  <c r="G11" i="42" s="1"/>
  <c r="G59" i="35"/>
  <c r="F15" i="45" s="1"/>
  <c r="H53" i="44"/>
  <c r="F53" i="44"/>
  <c r="D53" i="44"/>
  <c r="G53" i="44"/>
  <c r="E53" i="44"/>
  <c r="F49" i="43"/>
  <c r="G49" i="43"/>
  <c r="J53" i="43"/>
  <c r="H49" i="43"/>
  <c r="E49" i="43"/>
  <c r="I49" i="43"/>
  <c r="D49" i="43"/>
  <c r="N29" i="44"/>
  <c r="L31" i="44"/>
  <c r="L27" i="44"/>
  <c r="J29" i="44"/>
  <c r="H31" i="44"/>
  <c r="H27" i="44"/>
  <c r="F29" i="44"/>
  <c r="D28" i="44"/>
  <c r="N28" i="44"/>
  <c r="L30" i="44"/>
  <c r="L26" i="44"/>
  <c r="J28" i="44"/>
  <c r="H30" i="44"/>
  <c r="H26" i="44"/>
  <c r="F28" i="44"/>
  <c r="D29" i="44"/>
  <c r="J26" i="44"/>
  <c r="H28" i="44"/>
  <c r="F30" i="44"/>
  <c r="D27" i="44"/>
  <c r="N31" i="44"/>
  <c r="N27" i="44"/>
  <c r="L29" i="44"/>
  <c r="J31" i="44"/>
  <c r="J27" i="44"/>
  <c r="H29" i="44"/>
  <c r="F31" i="44"/>
  <c r="F27" i="44"/>
  <c r="D26" i="44"/>
  <c r="D30" i="44"/>
  <c r="N30" i="44"/>
  <c r="N26" i="44"/>
  <c r="L28" i="44"/>
  <c r="J30" i="44"/>
  <c r="F26" i="44"/>
  <c r="D31" i="44"/>
  <c r="N31" i="45"/>
  <c r="N27" i="45"/>
  <c r="L29" i="45"/>
  <c r="J31" i="45"/>
  <c r="J27" i="45"/>
  <c r="H29" i="45"/>
  <c r="F31" i="45"/>
  <c r="F27" i="45"/>
  <c r="D29" i="45"/>
  <c r="D26" i="45"/>
  <c r="N30" i="45"/>
  <c r="N26" i="45"/>
  <c r="L28" i="45"/>
  <c r="J30" i="45"/>
  <c r="J26" i="45"/>
  <c r="H28" i="45"/>
  <c r="F30" i="45"/>
  <c r="F26" i="45"/>
  <c r="D30" i="45"/>
  <c r="L26" i="45"/>
  <c r="J28" i="45"/>
  <c r="H30" i="45"/>
  <c r="N29" i="45"/>
  <c r="L31" i="45"/>
  <c r="L27" i="45"/>
  <c r="J29" i="45"/>
  <c r="H31" i="45"/>
  <c r="H27" i="45"/>
  <c r="F29" i="45"/>
  <c r="D27" i="45"/>
  <c r="D31" i="45"/>
  <c r="N28" i="45"/>
  <c r="L30" i="45"/>
  <c r="H26" i="45"/>
  <c r="F28" i="45"/>
  <c r="D28" i="45"/>
  <c r="J41" i="44"/>
  <c r="J45" i="44"/>
  <c r="J43" i="44"/>
  <c r="J44" i="44"/>
  <c r="H41" i="44"/>
  <c r="H40" i="44"/>
  <c r="H44" i="44"/>
  <c r="H43" i="44"/>
  <c r="H42" i="44"/>
  <c r="J40" i="44"/>
  <c r="H45" i="44"/>
  <c r="J42" i="44"/>
  <c r="L40" i="44"/>
  <c r="D43" i="44"/>
  <c r="F42" i="44"/>
  <c r="D42" i="44"/>
  <c r="D41" i="44"/>
  <c r="D44" i="44"/>
  <c r="F43" i="44"/>
  <c r="L45" i="44"/>
  <c r="L44" i="44"/>
  <c r="N42" i="44"/>
  <c r="N40" i="44"/>
  <c r="F41" i="44"/>
  <c r="D45" i="44"/>
  <c r="N41" i="44"/>
  <c r="N44" i="44"/>
  <c r="L42" i="44"/>
  <c r="F44" i="44"/>
  <c r="D40" i="44"/>
  <c r="F40" i="44"/>
  <c r="F45" i="44"/>
  <c r="L41" i="44"/>
  <c r="L43" i="44"/>
  <c r="N45" i="44"/>
  <c r="N43" i="44"/>
  <c r="J45" i="45"/>
  <c r="J41" i="45"/>
  <c r="H43" i="45"/>
  <c r="H40" i="45"/>
  <c r="H45" i="45"/>
  <c r="H42" i="45"/>
  <c r="J42" i="45"/>
  <c r="H44" i="45"/>
  <c r="J44" i="45"/>
  <c r="H41" i="45"/>
  <c r="J43" i="45"/>
  <c r="J40" i="45"/>
  <c r="N42" i="45"/>
  <c r="D41" i="45"/>
  <c r="F43" i="45"/>
  <c r="L42" i="45"/>
  <c r="N40" i="45"/>
  <c r="L44" i="45"/>
  <c r="D44" i="45"/>
  <c r="D45" i="45"/>
  <c r="F42" i="45"/>
  <c r="N41" i="45"/>
  <c r="F40" i="45"/>
  <c r="D42" i="45"/>
  <c r="L40" i="45"/>
  <c r="L45" i="45"/>
  <c r="D43" i="45"/>
  <c r="N45" i="45"/>
  <c r="F45" i="45"/>
  <c r="L43" i="45"/>
  <c r="L41" i="45"/>
  <c r="F44" i="45"/>
  <c r="F41" i="45"/>
  <c r="D40" i="45"/>
  <c r="N43" i="45"/>
  <c r="N44" i="45"/>
  <c r="H38" i="45"/>
  <c r="H34" i="45"/>
  <c r="H37" i="45"/>
  <c r="H33" i="45"/>
  <c r="H36" i="45"/>
  <c r="H35" i="45"/>
  <c r="H33" i="44"/>
  <c r="H36" i="44"/>
  <c r="H35" i="44"/>
  <c r="H38" i="44"/>
  <c r="H34" i="44"/>
  <c r="H37" i="44"/>
  <c r="N36" i="44"/>
  <c r="L38" i="44"/>
  <c r="L34" i="44"/>
  <c r="N35" i="44"/>
  <c r="L37" i="44"/>
  <c r="L33" i="44"/>
  <c r="N38" i="44"/>
  <c r="N34" i="44"/>
  <c r="L36" i="44"/>
  <c r="N37" i="44"/>
  <c r="N33" i="44"/>
  <c r="L35" i="44"/>
  <c r="J37" i="44"/>
  <c r="J33" i="44"/>
  <c r="F38" i="44"/>
  <c r="F34" i="44"/>
  <c r="F20" i="44" s="1"/>
  <c r="F38" i="9" s="1"/>
  <c r="J34" i="44"/>
  <c r="J20" i="44" s="1"/>
  <c r="F36" i="44"/>
  <c r="J38" i="44"/>
  <c r="F35" i="44"/>
  <c r="D36" i="44"/>
  <c r="J36" i="44"/>
  <c r="D37" i="44"/>
  <c r="J35" i="44"/>
  <c r="F33" i="44"/>
  <c r="F37" i="44"/>
  <c r="D34" i="44"/>
  <c r="D38" i="44"/>
  <c r="D33" i="44"/>
  <c r="D35" i="44"/>
  <c r="N38" i="45"/>
  <c r="N34" i="45"/>
  <c r="L36" i="45"/>
  <c r="J38" i="45"/>
  <c r="J34" i="45"/>
  <c r="N37" i="45"/>
  <c r="N33" i="45"/>
  <c r="L35" i="45"/>
  <c r="J37" i="45"/>
  <c r="J33" i="45"/>
  <c r="N36" i="45"/>
  <c r="L38" i="45"/>
  <c r="L34" i="45"/>
  <c r="J36" i="45"/>
  <c r="N35" i="45"/>
  <c r="L37" i="45"/>
  <c r="L33" i="45"/>
  <c r="J35" i="45"/>
  <c r="F37" i="45"/>
  <c r="F36" i="45"/>
  <c r="D36" i="45"/>
  <c r="F35" i="45"/>
  <c r="D37" i="45"/>
  <c r="F33" i="45"/>
  <c r="F34" i="45"/>
  <c r="D34" i="45"/>
  <c r="D38" i="45"/>
  <c r="D33" i="45"/>
  <c r="D19" i="45" s="1"/>
  <c r="F38" i="45"/>
  <c r="D35" i="45"/>
  <c r="S34" i="45"/>
  <c r="T5" i="45" s="1"/>
  <c r="D7" i="8"/>
  <c r="F8" i="1" s="1"/>
  <c r="G8" i="1" s="1"/>
  <c r="Q4" i="43"/>
  <c r="N31" i="43" s="1"/>
  <c r="S5" i="43"/>
  <c r="S6" i="43"/>
  <c r="S4" i="43"/>
  <c r="T4" i="43" s="1"/>
  <c r="Q5" i="43"/>
  <c r="N38" i="43" s="1"/>
  <c r="S34" i="44"/>
  <c r="R34" i="44"/>
  <c r="D6" i="8"/>
  <c r="F7" i="1" s="1"/>
  <c r="G7" i="1" s="1"/>
  <c r="S6" i="42"/>
  <c r="R41" i="42" s="1"/>
  <c r="T6" i="42" s="1"/>
  <c r="S4" i="42"/>
  <c r="T4" i="42" s="1"/>
  <c r="Q5" i="42"/>
  <c r="Q4" i="42"/>
  <c r="S5" i="42"/>
  <c r="R34" i="42" s="1"/>
  <c r="N5" i="7"/>
  <c r="Q6" i="43"/>
  <c r="J15" i="44"/>
  <c r="M22" i="35"/>
  <c r="M20" i="35"/>
  <c r="J15" i="42" s="1"/>
  <c r="M16" i="35"/>
  <c r="J11" i="42" s="1"/>
  <c r="K18" i="35"/>
  <c r="H13" i="42" s="1"/>
  <c r="G18" i="35"/>
  <c r="F13" i="42" s="1"/>
  <c r="E16" i="35"/>
  <c r="E11" i="42" s="1"/>
  <c r="O17" i="35"/>
  <c r="I12" i="42" s="1"/>
  <c r="I19" i="35"/>
  <c r="G14" i="42" s="1"/>
  <c r="G17" i="35"/>
  <c r="F12" i="42" s="1"/>
  <c r="E19" i="35"/>
  <c r="E14" i="42" s="1"/>
  <c r="E15" i="35"/>
  <c r="E10" i="42" s="1"/>
  <c r="O16" i="35"/>
  <c r="I11" i="42" s="1"/>
  <c r="M18" i="35"/>
  <c r="J13" i="42" s="1"/>
  <c r="K16" i="35"/>
  <c r="H11" i="42" s="1"/>
  <c r="I18" i="35"/>
  <c r="G13" i="42" s="1"/>
  <c r="G20" i="35"/>
  <c r="F15" i="42" s="1"/>
  <c r="E18" i="35"/>
  <c r="E13" i="42" s="1"/>
  <c r="C15" i="35"/>
  <c r="D10" i="42" s="1"/>
  <c r="C19" i="35"/>
  <c r="D14" i="42" s="1"/>
  <c r="O15" i="35"/>
  <c r="I10" i="42" s="1"/>
  <c r="M17" i="35"/>
  <c r="J12" i="42" s="1"/>
  <c r="K19" i="35"/>
  <c r="H14" i="42" s="1"/>
  <c r="I17" i="35"/>
  <c r="G12" i="42" s="1"/>
  <c r="G19" i="35"/>
  <c r="F14" i="42" s="1"/>
  <c r="G15" i="35"/>
  <c r="F10" i="42" s="1"/>
  <c r="C16" i="35"/>
  <c r="D11" i="42" s="1"/>
  <c r="C20" i="35"/>
  <c r="D15" i="42" s="1"/>
  <c r="O18" i="35"/>
  <c r="I13" i="42" s="1"/>
  <c r="E20" i="35"/>
  <c r="E15" i="42" s="1"/>
  <c r="C17" i="35"/>
  <c r="D12" i="42" s="1"/>
  <c r="K17" i="35"/>
  <c r="H12" i="42" s="1"/>
  <c r="C18" i="35"/>
  <c r="D13" i="42" s="1"/>
  <c r="Q6" i="42"/>
  <c r="I17" i="41"/>
  <c r="C10" i="35"/>
  <c r="D14" i="7" s="1"/>
  <c r="G6" i="35"/>
  <c r="E10" i="35"/>
  <c r="G8" i="35"/>
  <c r="G11" i="35"/>
  <c r="K7" i="35"/>
  <c r="E8" i="35"/>
  <c r="K10" i="35"/>
  <c r="E11" i="35"/>
  <c r="I7" i="35"/>
  <c r="I10" i="35"/>
  <c r="C8" i="35"/>
  <c r="D12" i="7" s="1"/>
  <c r="G7" i="35"/>
  <c r="M8" i="35"/>
  <c r="G10" i="35"/>
  <c r="M6" i="35"/>
  <c r="E7" i="35"/>
  <c r="K9" i="35"/>
  <c r="K6" i="35"/>
  <c r="C9" i="35"/>
  <c r="D13" i="7" s="1"/>
  <c r="I9" i="35"/>
  <c r="C11" i="35"/>
  <c r="D15" i="7" s="1"/>
  <c r="I6" i="35"/>
  <c r="M7" i="35"/>
  <c r="G9" i="35"/>
  <c r="M10" i="35"/>
  <c r="K8" i="35"/>
  <c r="E9" i="35"/>
  <c r="K11" i="35"/>
  <c r="E6" i="35"/>
  <c r="I8" i="35"/>
  <c r="I11" i="35"/>
  <c r="C7" i="35"/>
  <c r="D11" i="7" s="1"/>
  <c r="M9" i="35"/>
  <c r="I23" i="41" l="1"/>
  <c r="N24" i="42" s="1"/>
  <c r="J12" i="44"/>
  <c r="J14" i="45"/>
  <c r="I15" i="35"/>
  <c r="G10" i="42" s="1"/>
  <c r="I20" i="35"/>
  <c r="G15" i="42" s="1"/>
  <c r="E17" i="35"/>
  <c r="E12" i="42" s="1"/>
  <c r="K15" i="35"/>
  <c r="H10" i="42" s="1"/>
  <c r="O19" i="35"/>
  <c r="I14" i="42" s="1"/>
  <c r="G16" i="35"/>
  <c r="F11" i="42" s="1"/>
  <c r="K20" i="35"/>
  <c r="H15" i="42" s="1"/>
  <c r="M19" i="35"/>
  <c r="J14" i="42" s="1"/>
  <c r="M15" i="35"/>
  <c r="J10" i="42" s="1"/>
  <c r="I18" i="41"/>
  <c r="N24" i="7" s="1"/>
  <c r="J12" i="45"/>
  <c r="J15" i="45"/>
  <c r="J10" i="45"/>
  <c r="J13" i="45"/>
  <c r="J11" i="45"/>
  <c r="Q6" i="7"/>
  <c r="N42" i="7" s="1"/>
  <c r="Q5" i="7"/>
  <c r="L23" i="45"/>
  <c r="L51" i="9" s="1"/>
  <c r="J19" i="44"/>
  <c r="J37" i="9" s="1"/>
  <c r="L21" i="44"/>
  <c r="L20" i="45"/>
  <c r="L48" i="9" s="1"/>
  <c r="H22" i="44"/>
  <c r="L23" i="44"/>
  <c r="H21" i="44"/>
  <c r="H39" i="9" s="1"/>
  <c r="F21" i="45"/>
  <c r="F49" i="9" s="1"/>
  <c r="F21" i="44"/>
  <c r="F39" i="9" s="1"/>
  <c r="H23" i="44"/>
  <c r="F24" i="45"/>
  <c r="F52" i="9" s="1"/>
  <c r="H24" i="44"/>
  <c r="H42" i="9" s="1"/>
  <c r="H24" i="45"/>
  <c r="H52" i="9" s="1"/>
  <c r="F22" i="45"/>
  <c r="F50" i="9" s="1"/>
  <c r="F23" i="44"/>
  <c r="D24" i="45"/>
  <c r="D52" i="9" s="1"/>
  <c r="D23" i="45"/>
  <c r="D20" i="45"/>
  <c r="D48" i="9" s="1"/>
  <c r="N20" i="44"/>
  <c r="N38" i="9" s="1"/>
  <c r="N21" i="44"/>
  <c r="N39" i="9" s="1"/>
  <c r="H20" i="45"/>
  <c r="H48" i="9" s="1"/>
  <c r="H21" i="45"/>
  <c r="H49" i="9" s="1"/>
  <c r="J23" i="45"/>
  <c r="J51" i="9" s="1"/>
  <c r="J20" i="45"/>
  <c r="J48" i="9" s="1"/>
  <c r="D20" i="44"/>
  <c r="D38" i="9" s="1"/>
  <c r="D23" i="44"/>
  <c r="L20" i="44"/>
  <c r="L38" i="9" s="1"/>
  <c r="H23" i="45"/>
  <c r="H51" i="9" s="1"/>
  <c r="D19" i="44"/>
  <c r="D37" i="9" s="1"/>
  <c r="H53" i="43"/>
  <c r="G53" i="43"/>
  <c r="E53" i="43"/>
  <c r="F53" i="43"/>
  <c r="D53" i="43"/>
  <c r="L24" i="45"/>
  <c r="L52" i="9" s="1"/>
  <c r="J24" i="45"/>
  <c r="J52" i="9" s="1"/>
  <c r="D58" i="44"/>
  <c r="K53" i="44"/>
  <c r="D56" i="44"/>
  <c r="H19" i="45"/>
  <c r="H47" i="9" s="1"/>
  <c r="G58" i="44"/>
  <c r="G56" i="44"/>
  <c r="F20" i="45"/>
  <c r="F48" i="9" s="1"/>
  <c r="N21" i="45"/>
  <c r="N49" i="9" s="1"/>
  <c r="N22" i="45"/>
  <c r="N50" i="9" s="1"/>
  <c r="N19" i="45"/>
  <c r="N47" i="9" s="1"/>
  <c r="L22" i="45"/>
  <c r="L50" i="9" s="1"/>
  <c r="F19" i="44"/>
  <c r="F37" i="9" s="1"/>
  <c r="J22" i="44"/>
  <c r="J40" i="9" s="1"/>
  <c r="F22" i="44"/>
  <c r="F40" i="9" s="1"/>
  <c r="N23" i="44"/>
  <c r="N41" i="9" s="1"/>
  <c r="L19" i="44"/>
  <c r="L37" i="9" s="1"/>
  <c r="H19" i="44"/>
  <c r="H37" i="9" s="1"/>
  <c r="H20" i="44"/>
  <c r="H38" i="9" s="1"/>
  <c r="F58" i="44"/>
  <c r="F56" i="44"/>
  <c r="F19" i="45"/>
  <c r="F47" i="9" s="1"/>
  <c r="D22" i="44"/>
  <c r="D40" i="9" s="1"/>
  <c r="L22" i="44"/>
  <c r="L40" i="9" s="1"/>
  <c r="H22" i="45"/>
  <c r="H50" i="9" s="1"/>
  <c r="E58" i="44"/>
  <c r="E56" i="44"/>
  <c r="H58" i="44"/>
  <c r="H56" i="44"/>
  <c r="D21" i="45"/>
  <c r="D49" i="9" s="1"/>
  <c r="D22" i="45"/>
  <c r="D50" i="9" s="1"/>
  <c r="J21" i="45"/>
  <c r="J49" i="9" s="1"/>
  <c r="J22" i="45"/>
  <c r="J50" i="9" s="1"/>
  <c r="N20" i="45"/>
  <c r="N48" i="9" s="1"/>
  <c r="D24" i="44"/>
  <c r="D42" i="9" s="1"/>
  <c r="J24" i="44"/>
  <c r="J42" i="9" s="1"/>
  <c r="N19" i="44"/>
  <c r="N37" i="9" s="1"/>
  <c r="N42" i="9"/>
  <c r="N29" i="43"/>
  <c r="L31" i="43"/>
  <c r="L27" i="43"/>
  <c r="J29" i="43"/>
  <c r="H31" i="43"/>
  <c r="H27" i="43"/>
  <c r="F29" i="43"/>
  <c r="D30" i="43"/>
  <c r="N28" i="43"/>
  <c r="L30" i="43"/>
  <c r="L26" i="43"/>
  <c r="J28" i="43"/>
  <c r="H30" i="43"/>
  <c r="H26" i="43"/>
  <c r="F28" i="43"/>
  <c r="D26" i="43"/>
  <c r="D27" i="43"/>
  <c r="D31" i="43"/>
  <c r="N26" i="43"/>
  <c r="L28" i="43"/>
  <c r="J26" i="43"/>
  <c r="F26" i="43"/>
  <c r="D29" i="43"/>
  <c r="N27" i="43"/>
  <c r="L29" i="43"/>
  <c r="J31" i="43"/>
  <c r="J27" i="43"/>
  <c r="H29" i="43"/>
  <c r="F31" i="43"/>
  <c r="F27" i="43"/>
  <c r="D28" i="43"/>
  <c r="N30" i="43"/>
  <c r="J30" i="43"/>
  <c r="H28" i="43"/>
  <c r="F30" i="43"/>
  <c r="L19" i="45"/>
  <c r="L47" i="9" s="1"/>
  <c r="D26" i="42"/>
  <c r="N31" i="42"/>
  <c r="N27" i="42"/>
  <c r="L29" i="42"/>
  <c r="J31" i="42"/>
  <c r="J27" i="42"/>
  <c r="H29" i="42"/>
  <c r="F31" i="42"/>
  <c r="F27" i="42"/>
  <c r="D27" i="42"/>
  <c r="D31" i="42"/>
  <c r="N30" i="42"/>
  <c r="N26" i="42"/>
  <c r="L28" i="42"/>
  <c r="J30" i="42"/>
  <c r="J26" i="42"/>
  <c r="H28" i="42"/>
  <c r="F30" i="42"/>
  <c r="F26" i="42"/>
  <c r="D28" i="42"/>
  <c r="J28" i="42"/>
  <c r="H30" i="42"/>
  <c r="F28" i="42"/>
  <c r="N29" i="42"/>
  <c r="L31" i="42"/>
  <c r="L27" i="42"/>
  <c r="J29" i="42"/>
  <c r="H31" i="42"/>
  <c r="H27" i="42"/>
  <c r="F29" i="42"/>
  <c r="D29" i="42"/>
  <c r="N28" i="42"/>
  <c r="L30" i="42"/>
  <c r="L26" i="42"/>
  <c r="H26" i="42"/>
  <c r="D30" i="42"/>
  <c r="H43" i="43"/>
  <c r="J45" i="43"/>
  <c r="J43" i="43"/>
  <c r="H41" i="43"/>
  <c r="H42" i="43"/>
  <c r="H45" i="43"/>
  <c r="J44" i="43"/>
  <c r="J40" i="43"/>
  <c r="J42" i="43"/>
  <c r="H40" i="43"/>
  <c r="H44" i="43"/>
  <c r="J41" i="43"/>
  <c r="D45" i="43"/>
  <c r="D41" i="43"/>
  <c r="F42" i="43"/>
  <c r="L45" i="43"/>
  <c r="L43" i="43"/>
  <c r="D40" i="43"/>
  <c r="F41" i="43"/>
  <c r="D43" i="43"/>
  <c r="F43" i="43"/>
  <c r="L41" i="43"/>
  <c r="F45" i="43"/>
  <c r="D42" i="43"/>
  <c r="F40" i="43"/>
  <c r="L44" i="43"/>
  <c r="L40" i="43"/>
  <c r="D44" i="43"/>
  <c r="L42" i="43"/>
  <c r="N42" i="43"/>
  <c r="F44" i="43"/>
  <c r="N44" i="43"/>
  <c r="N43" i="43"/>
  <c r="N41" i="43"/>
  <c r="N45" i="43"/>
  <c r="N40" i="43"/>
  <c r="J19" i="45"/>
  <c r="J47" i="9" s="1"/>
  <c r="N23" i="45"/>
  <c r="N51" i="9" s="1"/>
  <c r="F24" i="44"/>
  <c r="F42" i="9" s="1"/>
  <c r="J40" i="7"/>
  <c r="L45" i="7"/>
  <c r="F42" i="7"/>
  <c r="D44" i="7"/>
  <c r="F23" i="45"/>
  <c r="F51" i="9" s="1"/>
  <c r="N52" i="9"/>
  <c r="L24" i="44"/>
  <c r="L42" i="9" s="1"/>
  <c r="N43" i="42"/>
  <c r="J42" i="42"/>
  <c r="N41" i="42"/>
  <c r="N44" i="42"/>
  <c r="N40" i="42"/>
  <c r="N42" i="42"/>
  <c r="J41" i="42"/>
  <c r="H42" i="42"/>
  <c r="H41" i="42"/>
  <c r="H43" i="42"/>
  <c r="J43" i="42"/>
  <c r="H45" i="42"/>
  <c r="J40" i="42"/>
  <c r="J45" i="42"/>
  <c r="H40" i="42"/>
  <c r="J44" i="42"/>
  <c r="H44" i="42"/>
  <c r="F44" i="42"/>
  <c r="L44" i="42"/>
  <c r="D41" i="42"/>
  <c r="L40" i="42"/>
  <c r="F40" i="42"/>
  <c r="D42" i="42"/>
  <c r="F42" i="42"/>
  <c r="L41" i="42"/>
  <c r="D40" i="42"/>
  <c r="F41" i="42"/>
  <c r="L43" i="42"/>
  <c r="D43" i="42"/>
  <c r="F43" i="42"/>
  <c r="F45" i="42"/>
  <c r="L42" i="42"/>
  <c r="L45" i="42"/>
  <c r="D45" i="42"/>
  <c r="D44" i="42"/>
  <c r="N45" i="42"/>
  <c r="L21" i="45"/>
  <c r="L49" i="9" s="1"/>
  <c r="D21" i="44"/>
  <c r="D39" i="9" s="1"/>
  <c r="J21" i="44"/>
  <c r="J39" i="9" s="1"/>
  <c r="J23" i="44"/>
  <c r="N22" i="44"/>
  <c r="N40" i="9" s="1"/>
  <c r="H33" i="42"/>
  <c r="H36" i="42"/>
  <c r="H35" i="42"/>
  <c r="H38" i="42"/>
  <c r="H34" i="42"/>
  <c r="H37" i="42"/>
  <c r="H35" i="43"/>
  <c r="H38" i="43"/>
  <c r="H34" i="43"/>
  <c r="H37" i="43"/>
  <c r="H33" i="43"/>
  <c r="H36" i="43"/>
  <c r="N38" i="42"/>
  <c r="N34" i="42"/>
  <c r="L36" i="42"/>
  <c r="J38" i="42"/>
  <c r="J34" i="42"/>
  <c r="N37" i="42"/>
  <c r="N33" i="42"/>
  <c r="L35" i="42"/>
  <c r="J37" i="42"/>
  <c r="J33" i="42"/>
  <c r="D33" i="42"/>
  <c r="N36" i="42"/>
  <c r="L38" i="42"/>
  <c r="L34" i="42"/>
  <c r="J36" i="42"/>
  <c r="N35" i="42"/>
  <c r="L37" i="42"/>
  <c r="L33" i="42"/>
  <c r="J35" i="42"/>
  <c r="F33" i="42"/>
  <c r="F35" i="42"/>
  <c r="F37" i="42"/>
  <c r="F36" i="42"/>
  <c r="D35" i="42"/>
  <c r="F34" i="42"/>
  <c r="D36" i="42"/>
  <c r="F38" i="42"/>
  <c r="D37" i="42"/>
  <c r="D34" i="42"/>
  <c r="D38" i="42"/>
  <c r="N36" i="43"/>
  <c r="L38" i="43"/>
  <c r="L34" i="43"/>
  <c r="J36" i="43"/>
  <c r="N35" i="43"/>
  <c r="L37" i="43"/>
  <c r="L33" i="43"/>
  <c r="J35" i="43"/>
  <c r="N34" i="43"/>
  <c r="L36" i="43"/>
  <c r="J38" i="43"/>
  <c r="J34" i="43"/>
  <c r="N37" i="43"/>
  <c r="N33" i="43"/>
  <c r="L35" i="43"/>
  <c r="J37" i="43"/>
  <c r="J33" i="43"/>
  <c r="F36" i="43"/>
  <c r="F37" i="43"/>
  <c r="F33" i="43"/>
  <c r="F35" i="43"/>
  <c r="D34" i="43"/>
  <c r="D38" i="43"/>
  <c r="D33" i="43"/>
  <c r="F34" i="43"/>
  <c r="D35" i="43"/>
  <c r="F38" i="43"/>
  <c r="D36" i="43"/>
  <c r="D37" i="43"/>
  <c r="J38" i="9"/>
  <c r="H40" i="9"/>
  <c r="T5" i="44"/>
  <c r="R41" i="43"/>
  <c r="T6" i="43" s="1"/>
  <c r="P41" i="42"/>
  <c r="P45" i="42"/>
  <c r="P44" i="42"/>
  <c r="P42" i="42"/>
  <c r="P43" i="42"/>
  <c r="P40" i="42"/>
  <c r="D5" i="8"/>
  <c r="F6" i="1" s="1"/>
  <c r="G6" i="1" s="1"/>
  <c r="Q4" i="7"/>
  <c r="S5" i="7"/>
  <c r="S6" i="7"/>
  <c r="R41" i="7" s="1"/>
  <c r="T6" i="7" s="1"/>
  <c r="S4" i="7"/>
  <c r="T4" i="7" s="1"/>
  <c r="S34" i="42"/>
  <c r="T5" i="42" s="1"/>
  <c r="R34" i="43"/>
  <c r="S34" i="43"/>
  <c r="D47" i="9"/>
  <c r="L39" i="9"/>
  <c r="D35" i="35"/>
  <c r="E35" i="35"/>
  <c r="C35" i="35"/>
  <c r="F35" i="35"/>
  <c r="G35" i="35"/>
  <c r="C24" i="35"/>
  <c r="D10" i="43" s="1"/>
  <c r="M29" i="35"/>
  <c r="I15" i="43" s="1"/>
  <c r="M25" i="35"/>
  <c r="I11" i="43" s="1"/>
  <c r="K26" i="35"/>
  <c r="H12" i="43" s="1"/>
  <c r="I28" i="35"/>
  <c r="G14" i="43" s="1"/>
  <c r="I24" i="35"/>
  <c r="G10" i="43" s="1"/>
  <c r="G26" i="35"/>
  <c r="F12" i="43" s="1"/>
  <c r="E28" i="35"/>
  <c r="E14" i="43" s="1"/>
  <c r="E24" i="35"/>
  <c r="E10" i="43" s="1"/>
  <c r="C28" i="35"/>
  <c r="D14" i="43" s="1"/>
  <c r="M28" i="35"/>
  <c r="I14" i="43" s="1"/>
  <c r="K29" i="35"/>
  <c r="H15" i="43" s="1"/>
  <c r="K25" i="35"/>
  <c r="H11" i="43" s="1"/>
  <c r="I27" i="35"/>
  <c r="G13" i="43" s="1"/>
  <c r="G29" i="35"/>
  <c r="F15" i="43" s="1"/>
  <c r="G25" i="35"/>
  <c r="F11" i="43" s="1"/>
  <c r="E27" i="35"/>
  <c r="E13" i="43" s="1"/>
  <c r="C25" i="35"/>
  <c r="D11" i="43" s="1"/>
  <c r="C29" i="35"/>
  <c r="D15" i="43" s="1"/>
  <c r="M26" i="35"/>
  <c r="I12" i="43" s="1"/>
  <c r="I29" i="35"/>
  <c r="G15" i="43" s="1"/>
  <c r="G27" i="35"/>
  <c r="F13" i="43" s="1"/>
  <c r="E25" i="35"/>
  <c r="E11" i="43" s="1"/>
  <c r="M27" i="35"/>
  <c r="I13" i="43" s="1"/>
  <c r="K28" i="35"/>
  <c r="H14" i="43" s="1"/>
  <c r="K24" i="35"/>
  <c r="H10" i="43" s="1"/>
  <c r="I26" i="35"/>
  <c r="G12" i="43" s="1"/>
  <c r="G28" i="35"/>
  <c r="F14" i="43" s="1"/>
  <c r="G24" i="35"/>
  <c r="F10" i="43" s="1"/>
  <c r="E26" i="35"/>
  <c r="E12" i="43" s="1"/>
  <c r="C26" i="35"/>
  <c r="D12" i="43" s="1"/>
  <c r="M24" i="35"/>
  <c r="I10" i="43" s="1"/>
  <c r="K27" i="35"/>
  <c r="H13" i="43" s="1"/>
  <c r="I25" i="35"/>
  <c r="G11" i="43" s="1"/>
  <c r="E29" i="35"/>
  <c r="E15" i="43" s="1"/>
  <c r="C27" i="35"/>
  <c r="D13" i="43" s="1"/>
  <c r="O22" i="35"/>
  <c r="P28" i="42"/>
  <c r="P26" i="42"/>
  <c r="P27" i="42"/>
  <c r="P30" i="42"/>
  <c r="P31" i="42"/>
  <c r="P29" i="42"/>
  <c r="P34" i="42"/>
  <c r="P38" i="42"/>
  <c r="P37" i="42"/>
  <c r="P36" i="42"/>
  <c r="P35" i="42"/>
  <c r="P33" i="42"/>
  <c r="H14" i="7"/>
  <c r="H12" i="7"/>
  <c r="H10" i="7"/>
  <c r="F14" i="7"/>
  <c r="E12" i="7"/>
  <c r="I13" i="7"/>
  <c r="I14" i="7"/>
  <c r="I12" i="7"/>
  <c r="F10" i="7"/>
  <c r="E13" i="7"/>
  <c r="I11" i="7"/>
  <c r="I10" i="7"/>
  <c r="F12" i="7"/>
  <c r="G10" i="7"/>
  <c r="E14" i="7"/>
  <c r="E10" i="7"/>
  <c r="H13" i="7"/>
  <c r="H11" i="7"/>
  <c r="H15" i="7"/>
  <c r="F13" i="7"/>
  <c r="E11" i="7"/>
  <c r="F11" i="7"/>
  <c r="E15" i="7"/>
  <c r="F15" i="7"/>
  <c r="G12" i="7"/>
  <c r="G14" i="7"/>
  <c r="G15" i="7"/>
  <c r="G11" i="7"/>
  <c r="G13" i="7"/>
  <c r="H45" i="7" l="1"/>
  <c r="D45" i="7"/>
  <c r="J44" i="7"/>
  <c r="J43" i="7"/>
  <c r="N41" i="7"/>
  <c r="D43" i="7"/>
  <c r="L44" i="7"/>
  <c r="F40" i="7"/>
  <c r="D41" i="7"/>
  <c r="H42" i="7"/>
  <c r="J41" i="7"/>
  <c r="L40" i="7"/>
  <c r="H40" i="7"/>
  <c r="N43" i="7"/>
  <c r="F45" i="7"/>
  <c r="H43" i="7"/>
  <c r="J42" i="7"/>
  <c r="D40" i="7"/>
  <c r="F43" i="7"/>
  <c r="D42" i="7"/>
  <c r="H44" i="7"/>
  <c r="N44" i="7"/>
  <c r="N40" i="7"/>
  <c r="H41" i="7"/>
  <c r="L42" i="7"/>
  <c r="F41" i="7"/>
  <c r="F44" i="7"/>
  <c r="L43" i="7"/>
  <c r="L41" i="7"/>
  <c r="J45" i="7"/>
  <c r="N31" i="7"/>
  <c r="H20" i="43"/>
  <c r="L23" i="43"/>
  <c r="D23" i="42"/>
  <c r="D21" i="9" s="1"/>
  <c r="D21" i="42"/>
  <c r="D19" i="9" s="1"/>
  <c r="H19" i="42"/>
  <c r="H17" i="9" s="1"/>
  <c r="L23" i="42"/>
  <c r="L21" i="9" s="1"/>
  <c r="D24" i="43"/>
  <c r="F24" i="42"/>
  <c r="F22" i="9" s="1"/>
  <c r="H22" i="43"/>
  <c r="H24" i="43"/>
  <c r="J22" i="42"/>
  <c r="J20" i="9" s="1"/>
  <c r="D21" i="43"/>
  <c r="D20" i="43"/>
  <c r="H21" i="42"/>
  <c r="H19" i="9" s="1"/>
  <c r="J24" i="42"/>
  <c r="J22" i="9" s="1"/>
  <c r="N19" i="42"/>
  <c r="N17" i="9" s="1"/>
  <c r="L22" i="42"/>
  <c r="L20" i="9" s="1"/>
  <c r="H19" i="43"/>
  <c r="T3" i="45"/>
  <c r="O5" i="45" s="1"/>
  <c r="N52" i="35" s="1"/>
  <c r="H20" i="42"/>
  <c r="H18" i="9" s="1"/>
  <c r="H23" i="43"/>
  <c r="D19" i="43"/>
  <c r="D27" i="9" s="1"/>
  <c r="F19" i="43"/>
  <c r="L22" i="43"/>
  <c r="N23" i="42"/>
  <c r="N21" i="9" s="1"/>
  <c r="J58" i="44"/>
  <c r="F20" i="42"/>
  <c r="F18" i="9" s="1"/>
  <c r="T3" i="44"/>
  <c r="O5" i="44" s="1"/>
  <c r="N37" i="35" s="1"/>
  <c r="D23" i="43"/>
  <c r="N20" i="43"/>
  <c r="F21" i="42"/>
  <c r="F19" i="9" s="1"/>
  <c r="N20" i="42"/>
  <c r="N18" i="9" s="1"/>
  <c r="H23" i="42"/>
  <c r="H21" i="9" s="1"/>
  <c r="H21" i="43"/>
  <c r="E58" i="43"/>
  <c r="E56" i="43"/>
  <c r="P19" i="42"/>
  <c r="P17" i="9" s="1"/>
  <c r="J56" i="44"/>
  <c r="G58" i="43"/>
  <c r="G56" i="43"/>
  <c r="F58" i="43"/>
  <c r="F56" i="43"/>
  <c r="L21" i="43"/>
  <c r="J21" i="43"/>
  <c r="J22" i="43"/>
  <c r="J30" i="9" s="1"/>
  <c r="N22" i="42"/>
  <c r="N20" i="9" s="1"/>
  <c r="H24" i="42"/>
  <c r="H22" i="9" s="1"/>
  <c r="H22" i="42"/>
  <c r="H20" i="9" s="1"/>
  <c r="D58" i="43"/>
  <c r="K53" i="43"/>
  <c r="D56" i="43"/>
  <c r="H58" i="43"/>
  <c r="H56" i="43"/>
  <c r="F22" i="43"/>
  <c r="J24" i="43"/>
  <c r="J20" i="42"/>
  <c r="J18" i="9" s="1"/>
  <c r="N29" i="7"/>
  <c r="L31" i="7"/>
  <c r="L27" i="7"/>
  <c r="J29" i="7"/>
  <c r="H31" i="7"/>
  <c r="H27" i="7"/>
  <c r="F29" i="7"/>
  <c r="D26" i="7"/>
  <c r="D28" i="7"/>
  <c r="N28" i="7"/>
  <c r="L30" i="7"/>
  <c r="L26" i="7"/>
  <c r="J28" i="7"/>
  <c r="H30" i="7"/>
  <c r="H26" i="7"/>
  <c r="F28" i="7"/>
  <c r="D29" i="7"/>
  <c r="L28" i="7"/>
  <c r="J30" i="7"/>
  <c r="D27" i="7"/>
  <c r="N27" i="7"/>
  <c r="L29" i="7"/>
  <c r="J31" i="7"/>
  <c r="J27" i="7"/>
  <c r="H29" i="7"/>
  <c r="F31" i="7"/>
  <c r="F27" i="7"/>
  <c r="D30" i="7"/>
  <c r="N30" i="7"/>
  <c r="N26" i="7"/>
  <c r="J26" i="7"/>
  <c r="H28" i="7"/>
  <c r="F30" i="7"/>
  <c r="F26" i="7"/>
  <c r="D31" i="7"/>
  <c r="F20" i="43"/>
  <c r="L19" i="43"/>
  <c r="L20" i="43"/>
  <c r="D20" i="42"/>
  <c r="D18" i="9" s="1"/>
  <c r="L21" i="42"/>
  <c r="L19" i="9" s="1"/>
  <c r="D19" i="42"/>
  <c r="D17" i="9" s="1"/>
  <c r="D22" i="43"/>
  <c r="N19" i="43"/>
  <c r="D24" i="42"/>
  <c r="D22" i="9" s="1"/>
  <c r="F22" i="42"/>
  <c r="F20" i="9" s="1"/>
  <c r="J21" i="42"/>
  <c r="J19" i="9" s="1"/>
  <c r="F24" i="43"/>
  <c r="F23" i="43"/>
  <c r="J19" i="43"/>
  <c r="N23" i="43"/>
  <c r="L24" i="43"/>
  <c r="D22" i="42"/>
  <c r="D20" i="9" s="1"/>
  <c r="F19" i="42"/>
  <c r="F17" i="9" s="1"/>
  <c r="L19" i="42"/>
  <c r="L17" i="9" s="1"/>
  <c r="L20" i="42"/>
  <c r="L18" i="9" s="1"/>
  <c r="J19" i="42"/>
  <c r="J17" i="9" s="1"/>
  <c r="F21" i="43"/>
  <c r="J23" i="43"/>
  <c r="J20" i="43"/>
  <c r="N32" i="9"/>
  <c r="F23" i="42"/>
  <c r="F21" i="9" s="1"/>
  <c r="L24" i="42"/>
  <c r="L22" i="9" s="1"/>
  <c r="J23" i="42"/>
  <c r="J21" i="9" s="1"/>
  <c r="N22" i="9"/>
  <c r="N21" i="42"/>
  <c r="N19" i="9" s="1"/>
  <c r="P24" i="42"/>
  <c r="P22" i="9" s="1"/>
  <c r="P21" i="42"/>
  <c r="P19" i="9" s="1"/>
  <c r="P23" i="42"/>
  <c r="P21" i="9" s="1"/>
  <c r="N21" i="43"/>
  <c r="N22" i="43"/>
  <c r="P22" i="42"/>
  <c r="P20" i="9" s="1"/>
  <c r="P20" i="42"/>
  <c r="P18" i="9" s="1"/>
  <c r="N36" i="7"/>
  <c r="L38" i="7"/>
  <c r="L34" i="7"/>
  <c r="J36" i="7"/>
  <c r="N35" i="7"/>
  <c r="L37" i="7"/>
  <c r="L33" i="7"/>
  <c r="J35" i="7"/>
  <c r="N34" i="7"/>
  <c r="L36" i="7"/>
  <c r="J38" i="7"/>
  <c r="J34" i="7"/>
  <c r="N37" i="7"/>
  <c r="N33" i="7"/>
  <c r="L35" i="7"/>
  <c r="J37" i="7"/>
  <c r="J33" i="7"/>
  <c r="H35" i="7"/>
  <c r="F38" i="7"/>
  <c r="F34" i="7"/>
  <c r="D34" i="7"/>
  <c r="H34" i="7"/>
  <c r="F33" i="7"/>
  <c r="F37" i="7"/>
  <c r="D35" i="7"/>
  <c r="D33" i="7"/>
  <c r="H38" i="7"/>
  <c r="H33" i="7"/>
  <c r="F36" i="7"/>
  <c r="D36" i="7"/>
  <c r="H37" i="7"/>
  <c r="F35" i="7"/>
  <c r="D37" i="7"/>
  <c r="H36" i="7"/>
  <c r="D38" i="7"/>
  <c r="T5" i="43"/>
  <c r="T3" i="43" s="1"/>
  <c r="L41" i="9"/>
  <c r="H41" i="9"/>
  <c r="R34" i="7"/>
  <c r="S34" i="7"/>
  <c r="D51" i="9"/>
  <c r="J41" i="9"/>
  <c r="J14" i="43"/>
  <c r="J15" i="7"/>
  <c r="J11" i="43"/>
  <c r="J10" i="43"/>
  <c r="J13" i="43"/>
  <c r="J12" i="43"/>
  <c r="J15" i="43"/>
  <c r="J13" i="7"/>
  <c r="J12" i="7"/>
  <c r="J14" i="7"/>
  <c r="J11" i="7"/>
  <c r="J10" i="7"/>
  <c r="K15" i="42"/>
  <c r="K10" i="42"/>
  <c r="K13" i="42"/>
  <c r="K11" i="42"/>
  <c r="K14" i="42"/>
  <c r="K12" i="42"/>
  <c r="C50" i="35"/>
  <c r="D50" i="35"/>
  <c r="F50" i="35"/>
  <c r="E50" i="35"/>
  <c r="G50" i="35"/>
  <c r="H23" i="7" l="1"/>
  <c r="H11" i="9" s="1"/>
  <c r="L21" i="7"/>
  <c r="L9" i="9" s="1"/>
  <c r="D22" i="7"/>
  <c r="D10" i="9" s="1"/>
  <c r="H21" i="7"/>
  <c r="H9" i="9" s="1"/>
  <c r="H19" i="7"/>
  <c r="H7" i="9" s="1"/>
  <c r="J23" i="7"/>
  <c r="J11" i="9" s="1"/>
  <c r="E8" i="8"/>
  <c r="D20" i="7"/>
  <c r="D8" i="9" s="1"/>
  <c r="J19" i="7"/>
  <c r="J7" i="9" s="1"/>
  <c r="F22" i="7"/>
  <c r="F10" i="9" s="1"/>
  <c r="L23" i="7"/>
  <c r="L11" i="9" s="1"/>
  <c r="E9" i="8"/>
  <c r="H22" i="7"/>
  <c r="H10" i="9" s="1"/>
  <c r="N20" i="7"/>
  <c r="N8" i="9" s="1"/>
  <c r="H20" i="7"/>
  <c r="H8" i="9" s="1"/>
  <c r="N23" i="7"/>
  <c r="N11" i="9" s="1"/>
  <c r="L24" i="7"/>
  <c r="L12" i="9" s="1"/>
  <c r="O5" i="43"/>
  <c r="E7" i="8" s="1"/>
  <c r="F21" i="7"/>
  <c r="F9" i="9" s="1"/>
  <c r="F23" i="7"/>
  <c r="F11" i="9" s="1"/>
  <c r="F20" i="7"/>
  <c r="F8" i="9" s="1"/>
  <c r="N21" i="7"/>
  <c r="N9" i="9" s="1"/>
  <c r="J56" i="43"/>
  <c r="D24" i="7"/>
  <c r="D12" i="9" s="1"/>
  <c r="F19" i="7"/>
  <c r="F7" i="9" s="1"/>
  <c r="F24" i="7"/>
  <c r="F12" i="9" s="1"/>
  <c r="J24" i="7"/>
  <c r="J12" i="9" s="1"/>
  <c r="J22" i="7"/>
  <c r="J10" i="9" s="1"/>
  <c r="D19" i="7"/>
  <c r="D7" i="9" s="1"/>
  <c r="N19" i="7"/>
  <c r="N7" i="9" s="1"/>
  <c r="L22" i="7"/>
  <c r="L10" i="9" s="1"/>
  <c r="L19" i="7"/>
  <c r="L7" i="9" s="1"/>
  <c r="L20" i="7"/>
  <c r="L8" i="9" s="1"/>
  <c r="J58" i="43"/>
  <c r="D23" i="7"/>
  <c r="D11" i="9" s="1"/>
  <c r="D21" i="7"/>
  <c r="D9" i="9" s="1"/>
  <c r="J20" i="7"/>
  <c r="J8" i="9" s="1"/>
  <c r="N12" i="9"/>
  <c r="N22" i="7"/>
  <c r="N10" i="9" s="1"/>
  <c r="H24" i="7"/>
  <c r="H12" i="9" s="1"/>
  <c r="J21" i="7"/>
  <c r="J9" i="9" s="1"/>
  <c r="T3" i="42"/>
  <c r="O5" i="42" s="1"/>
  <c r="D41" i="9"/>
  <c r="T5" i="7"/>
  <c r="T3" i="7" s="1"/>
  <c r="O5" i="7" s="1"/>
  <c r="F41" i="9"/>
  <c r="H27" i="9"/>
  <c r="L32" i="9"/>
  <c r="F32" i="9"/>
  <c r="N27" i="9"/>
  <c r="F27" i="9"/>
  <c r="D32" i="9"/>
  <c r="H30" i="9"/>
  <c r="N29" i="9"/>
  <c r="H29" i="9"/>
  <c r="N28" i="9"/>
  <c r="L27" i="9"/>
  <c r="J32" i="9"/>
  <c r="D30" i="9"/>
  <c r="J29" i="9"/>
  <c r="N31" i="9"/>
  <c r="N30" i="9"/>
  <c r="H32" i="9"/>
  <c r="L30" i="9"/>
  <c r="F30" i="9"/>
  <c r="D29" i="9"/>
  <c r="J28" i="9"/>
  <c r="D28" i="9"/>
  <c r="J27" i="9"/>
  <c r="L28" i="9"/>
  <c r="F28" i="9"/>
  <c r="F29" i="9"/>
  <c r="L29" i="9"/>
  <c r="H28" i="9"/>
  <c r="N22" i="35" l="1"/>
  <c r="E6" i="8"/>
  <c r="P13" i="35"/>
  <c r="H31" i="9"/>
  <c r="F31" i="9"/>
  <c r="L31" i="9"/>
  <c r="J31" i="9"/>
  <c r="E5" i="8" l="1"/>
  <c r="N4" i="35"/>
  <c r="D31" i="9"/>
</calcChain>
</file>

<file path=xl/sharedStrings.xml><?xml version="1.0" encoding="utf-8"?>
<sst xmlns="http://schemas.openxmlformats.org/spreadsheetml/2006/main" count="401" uniqueCount="129">
  <si>
    <t>Banco de Dados</t>
  </si>
  <si>
    <r>
      <t xml:space="preserve">                      Missão:             </t>
    </r>
    <r>
      <rPr>
        <sz val="10"/>
        <color theme="1"/>
        <rFont val="Calibri"/>
        <family val="2"/>
        <scheme val="minor"/>
      </rPr>
      <t>Garantir a excelência em planilhas únicas e personalizadas, que facilitem e maximizem os resultados de nossos clientes.</t>
    </r>
  </si>
  <si>
    <r>
      <t xml:space="preserve">                      Visão:                </t>
    </r>
    <r>
      <rPr>
        <sz val="10"/>
        <color theme="1"/>
        <rFont val="Calibri"/>
        <family val="2"/>
        <scheme val="minor"/>
      </rPr>
      <t>Ser a maior produtora de planilhas profissionais do Brasil, gerando cada vez mais valor e comodidade a nossos clientes.</t>
    </r>
  </si>
  <si>
    <r>
      <t xml:space="preserve">                      Valores:             </t>
    </r>
    <r>
      <rPr>
        <sz val="10"/>
        <color theme="1"/>
        <rFont val="Calibri"/>
        <family val="2"/>
        <scheme val="minor"/>
      </rPr>
      <t>Nossa conduta é direcionada a altos padrões éticos, de responsabilidade, confiança, comprometimento com o crescimento e resultados.</t>
    </r>
  </si>
  <si>
    <t>Obrigado pela confiança em nosso produto e pela preferência em nosso trabalho! É um prazer tê-lo(a) como cliente.</t>
  </si>
  <si>
    <t>Qualquer dúvida na usabilidade da planilha, não deixe conferir o material sobre a mesma:</t>
  </si>
  <si>
    <t xml:space="preserve">» </t>
  </si>
  <si>
    <t>Planilha Gestão de Departamento Pessoal</t>
  </si>
  <si>
    <t>Manual de Instruções:</t>
  </si>
  <si>
    <t>Planilha de Banco de Horas</t>
  </si>
  <si>
    <t>Email para suporte:</t>
  </si>
  <si>
    <t>onsidecorporation@gmail.com</t>
  </si>
  <si>
    <t>»</t>
  </si>
  <si>
    <t>Planilha Indicadores de Recursos Humanos</t>
  </si>
  <si>
    <t>Nossas planilhas:</t>
  </si>
  <si>
    <t>Planilha Cálculo de Verbas Rescisórias</t>
  </si>
  <si>
    <t>Para garantir todos os recursos da planilha, recomendamos o uso do Excel 2007 ou superior.</t>
  </si>
  <si>
    <t>Planilha Privada.</t>
  </si>
  <si>
    <t>Nossas planilha jamais devem ser distribuídas ou revendidas (A mesma possui um código que conseguimos verificar se ocorrer).</t>
  </si>
  <si>
    <t>Caso tenha interesse em pacotes de planilhas, entre em contato conosco... Temos oportunidades incríveis para você!</t>
  </si>
  <si>
    <t>Todos os direitos reservados.</t>
  </si>
  <si>
    <t>Copyright © 2021 Onside Corporation ®</t>
  </si>
  <si>
    <t>Em vídeo anexado ao produto.</t>
  </si>
  <si>
    <t>www.onsidecorporation.com.br</t>
  </si>
  <si>
    <t>https://onsidecorporation.com.br/gestaodedepartamentopessoal/</t>
  </si>
  <si>
    <t>https://onsidecorporation.com.br/bancodehoras/</t>
  </si>
  <si>
    <t>https://onsidecorporation.com.br/indicadoresderecursoshumanos/</t>
  </si>
  <si>
    <t>https://onsidecorporation.com.br/calculoderescisao/</t>
  </si>
  <si>
    <t>Relatório de Resultados</t>
  </si>
  <si>
    <t>#01B8AA</t>
  </si>
  <si>
    <t>#F2C80F</t>
  </si>
  <si>
    <t>#2B353E</t>
  </si>
  <si>
    <t>#FB5A56</t>
  </si>
  <si>
    <t>#333F4F</t>
  </si>
  <si>
    <t>#850c35</t>
  </si>
  <si>
    <t>#4F031C</t>
  </si>
  <si>
    <t>n°</t>
  </si>
  <si>
    <t>Mínimo</t>
  </si>
  <si>
    <t>Máximo</t>
  </si>
  <si>
    <t>Base</t>
  </si>
  <si>
    <t>Dedução</t>
  </si>
  <si>
    <t>IRPJ</t>
  </si>
  <si>
    <t>CSLL</t>
  </si>
  <si>
    <t>Cofins</t>
  </si>
  <si>
    <t>PIS/Pasep</t>
  </si>
  <si>
    <t>CPP</t>
  </si>
  <si>
    <t>ICMS</t>
  </si>
  <si>
    <t>IPI</t>
  </si>
  <si>
    <t>ISS</t>
  </si>
  <si>
    <t>-</t>
  </si>
  <si>
    <t>Jan</t>
  </si>
  <si>
    <t>Fev</t>
  </si>
  <si>
    <t>Mar</t>
  </si>
  <si>
    <t>Abr</t>
  </si>
  <si>
    <t>Mai</t>
  </si>
  <si>
    <t>Jun</t>
  </si>
  <si>
    <t>Jul</t>
  </si>
  <si>
    <t>Ago</t>
  </si>
  <si>
    <t>Set</t>
  </si>
  <si>
    <t>Out</t>
  </si>
  <si>
    <t>Nov</t>
  </si>
  <si>
    <t>Dez</t>
  </si>
  <si>
    <t>Data para o Relatório</t>
  </si>
  <si>
    <t>Nome da Empresa Analisada</t>
  </si>
  <si>
    <t>Indústria</t>
  </si>
  <si>
    <t>Comércio</t>
  </si>
  <si>
    <t>Anexo III</t>
  </si>
  <si>
    <t>Anexo IV</t>
  </si>
  <si>
    <t>Anexo V</t>
  </si>
  <si>
    <t>%</t>
  </si>
  <si>
    <t>5a Faixa, com</t>
  </si>
  <si>
    <t>(Alíquota efetiva -</t>
  </si>
  <si>
    <t>(Alíquota efetiva –</t>
  </si>
  <si>
    <t>Percentual de ISS fixo em 5%</t>
  </si>
  <si>
    <t>alíquota efet. &gt; a</t>
  </si>
  <si>
    <t>5%) x</t>
  </si>
  <si>
    <t>Faturamento</t>
  </si>
  <si>
    <t>Valor</t>
  </si>
  <si>
    <t>Descrição</t>
  </si>
  <si>
    <t>Alíquota Efetiva</t>
  </si>
  <si>
    <t>Repartição da Alíquota Efetiva</t>
  </si>
  <si>
    <t>Tipo</t>
  </si>
  <si>
    <t>Faixa 01</t>
  </si>
  <si>
    <t>Faixa 02</t>
  </si>
  <si>
    <t>Faixa 03</t>
  </si>
  <si>
    <t>Faixa 04</t>
  </si>
  <si>
    <t>Faixa 05</t>
  </si>
  <si>
    <t>Faixa 06</t>
  </si>
  <si>
    <t>Total</t>
  </si>
  <si>
    <t>Repartição do Valor total do DAS</t>
  </si>
  <si>
    <t>RBT 12 - Receita Bruta Acumulada dos Últimos 12 Meses</t>
  </si>
  <si>
    <t>RBA - Receita Bruta Acumulada no Ano Corrente</t>
  </si>
  <si>
    <t>Valor da Receita 100% Tributada (Incidência de Todos os Impostos)</t>
  </si>
  <si>
    <t>Valor da Receita Monofásicas (Sem Incidência de Pis e Cofins)</t>
  </si>
  <si>
    <t>Valor da Receita Substituição Tributária (Sem Incidência de ICMS)</t>
  </si>
  <si>
    <t>Valor da Receita Excedente ao Limite</t>
  </si>
  <si>
    <t>Receita Bruta do Período de Apuração</t>
  </si>
  <si>
    <t>Acima</t>
  </si>
  <si>
    <t>Abaixo</t>
  </si>
  <si>
    <t>Valor DAS + ICMS por Fora</t>
  </si>
  <si>
    <t xml:space="preserve">   ← ICMS Recolhido por Fora</t>
  </si>
  <si>
    <t xml:space="preserve">   ← ISS Recolhido por Fora</t>
  </si>
  <si>
    <t>Valor DAS + ISS por Fora</t>
  </si>
  <si>
    <t>Repartição</t>
  </si>
  <si>
    <t>Alíquota de ISS a ser considerada se ultrapassar o sublimite</t>
  </si>
  <si>
    <t>Percentual</t>
  </si>
  <si>
    <t>Anexo I - Comércio</t>
  </si>
  <si>
    <t>Anexo II - Indústria</t>
  </si>
  <si>
    <t>Anexo III - Serviços</t>
  </si>
  <si>
    <t>Anexo IV - Serviços</t>
  </si>
  <si>
    <t>Anexo V - Serviços</t>
  </si>
  <si>
    <t>Percentual da Receita do Mês Corrente em Relação ao Acumulado</t>
  </si>
  <si>
    <t>Empresa:</t>
  </si>
  <si>
    <t>Data:</t>
  </si>
  <si>
    <t>CNPJ da Empresa:</t>
  </si>
  <si>
    <t>Qual Anexo Está Enquadrada</t>
  </si>
  <si>
    <t>Empresa Exemplo LTDA</t>
  </si>
  <si>
    <t>00.000.000/0001-00</t>
  </si>
  <si>
    <t>Anexo I</t>
  </si>
  <si>
    <t>Anexo II</t>
  </si>
  <si>
    <t>CNPJ:</t>
  </si>
  <si>
    <t>Anexo:</t>
  </si>
  <si>
    <t>Tributado</t>
  </si>
  <si>
    <t>Monofásico</t>
  </si>
  <si>
    <t>ST</t>
  </si>
  <si>
    <t>Total da Massa Salarial para Análise do Fator R                         Salários + 13° Salários + Pró-Labore + INSS e FGTS</t>
  </si>
  <si>
    <t>Alíquota do Fator R</t>
  </si>
  <si>
    <t>Anexo à ser Tributado</t>
  </si>
  <si>
    <t>Valor 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</si>
</sst>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quot;R$&quot;* #,##0.00_);_(&quot;R$&quot;* \(#,##0.00\);_(&quot;R$&quot;* &quot;-&quot;??_);_(@_)"/>
    <numFmt numFmtId="165" formatCode="0.0000%"/>
    <numFmt numFmtId="166" formatCode="&quot;R$&quot;\ #,##0.00"/>
    <numFmt numFmtId="167" formatCode="#,##0.0000"/>
    <numFmt numFmtId="168" formatCode="0.0000"/>
    <numFmt numFmtId="169" formatCode="&quot;R$&quot;\ #,##0.000"/>
  </numFmts>
  <fonts count="33">
    <font>
      <sz val="11"/>
      <color theme="1"/>
      <name val="Calibri"/>
      <family val="2"/>
      <scheme val="minor"/>
    </font>
    <font>
      <sz val="10"/>
      <color theme="1" tint="0.249977111117893"/>
      <name val="Calibri"/>
      <family val="2"/>
      <scheme val="minor"/>
    </font>
    <font>
      <sz val="10"/>
      <color theme="1"/>
      <name val="Calibri"/>
      <family val="2"/>
      <scheme val="minor"/>
    </font>
    <font>
      <b/>
      <sz val="10"/>
      <color theme="1"/>
      <name val="Calibri"/>
      <family val="2"/>
      <scheme val="minor"/>
    </font>
    <font>
      <sz val="8"/>
      <color rgb="FF000000"/>
      <name val="Segoe UI"/>
      <family val="2"/>
    </font>
    <font>
      <u/>
      <sz val="11"/>
      <color theme="10"/>
      <name val="Calibri"/>
      <family val="2"/>
      <scheme val="minor"/>
    </font>
    <font>
      <b/>
      <sz val="10"/>
      <color theme="1" tint="0.34998626667073579"/>
      <name val="Calibri"/>
      <family val="2"/>
      <scheme val="minor"/>
    </font>
    <font>
      <sz val="10"/>
      <color theme="1" tint="0.34998626667073579"/>
      <name val="Calibri"/>
      <family val="2"/>
      <scheme val="minor"/>
    </font>
    <font>
      <b/>
      <sz val="10"/>
      <color rgb="FF00B050"/>
      <name val="Calibri"/>
      <family val="2"/>
      <scheme val="minor"/>
    </font>
    <font>
      <u/>
      <sz val="10"/>
      <color theme="10"/>
      <name val="Calibri"/>
      <family val="2"/>
      <scheme val="minor"/>
    </font>
    <font>
      <sz val="10"/>
      <color rgb="FF006666"/>
      <name val="Calibri"/>
      <family val="2"/>
      <scheme val="minor"/>
    </font>
    <font>
      <sz val="8"/>
      <color theme="1" tint="0.249977111117893"/>
      <name val="Calibri"/>
      <family val="2"/>
      <scheme val="minor"/>
    </font>
    <font>
      <sz val="10"/>
      <color rgb="FF0062AC"/>
      <name val="Calibri"/>
      <family val="2"/>
      <scheme val="minor"/>
    </font>
    <font>
      <b/>
      <sz val="28"/>
      <color theme="1" tint="0.249977111117893"/>
      <name val="Calibri"/>
      <family val="2"/>
      <scheme val="minor"/>
    </font>
    <font>
      <sz val="10"/>
      <color theme="1" tint="0.499984740745262"/>
      <name val="Calibri"/>
      <family val="2"/>
      <scheme val="minor"/>
    </font>
    <font>
      <sz val="10"/>
      <color rgb="FF000000"/>
      <name val="Calibri"/>
      <family val="2"/>
    </font>
    <font>
      <sz val="16"/>
      <color theme="1" tint="0.249977111117893"/>
      <name val="Calibri"/>
      <family val="2"/>
      <scheme val="minor"/>
    </font>
    <font>
      <b/>
      <sz val="16"/>
      <color theme="1" tint="0.249977111117893"/>
      <name val="Calibri"/>
      <family val="2"/>
      <scheme val="minor"/>
    </font>
    <font>
      <sz val="11"/>
      <color theme="1"/>
      <name val="Calibri"/>
      <family val="2"/>
      <scheme val="minor"/>
    </font>
    <font>
      <sz val="8"/>
      <name val="Calibri"/>
      <family val="2"/>
      <scheme val="minor"/>
    </font>
    <font>
      <sz val="16"/>
      <color theme="1"/>
      <name val="Calibri"/>
      <family val="2"/>
      <scheme val="minor"/>
    </font>
    <font>
      <b/>
      <sz val="16"/>
      <color theme="1"/>
      <name val="Calibri"/>
      <family val="2"/>
      <scheme val="minor"/>
    </font>
    <font>
      <sz val="8"/>
      <color theme="1"/>
      <name val="Inherit"/>
    </font>
    <font>
      <sz val="8"/>
      <color theme="1"/>
      <name val="Calibri"/>
      <family val="2"/>
      <scheme val="minor"/>
    </font>
    <font>
      <b/>
      <sz val="8"/>
      <color theme="1"/>
      <name val="Inherit"/>
    </font>
    <font>
      <b/>
      <sz val="14"/>
      <color theme="1"/>
      <name val="Calibri"/>
      <family val="2"/>
      <scheme val="minor"/>
    </font>
    <font>
      <b/>
      <sz val="20"/>
      <color theme="1"/>
      <name val="Calibri"/>
      <family val="2"/>
      <scheme val="minor"/>
    </font>
    <font>
      <b/>
      <sz val="20"/>
      <color rgb="FFFB5A56"/>
      <name val="Calibri"/>
      <family val="2"/>
      <scheme val="minor"/>
    </font>
    <font>
      <sz val="14"/>
      <color theme="1"/>
      <name val="Calibri"/>
      <family val="2"/>
      <scheme val="minor"/>
    </font>
    <font>
      <sz val="10"/>
      <color rgb="FFFB5A56"/>
      <name val="Calibri"/>
      <family val="2"/>
      <scheme val="minor"/>
    </font>
    <font>
      <b/>
      <sz val="10"/>
      <color theme="0"/>
      <name val="Calibri"/>
      <family val="2"/>
      <scheme val="minor"/>
    </font>
    <font>
      <sz val="10"/>
      <color theme="0"/>
      <name val="Calibri"/>
      <family val="2"/>
      <scheme val="minor"/>
    </font>
    <font>
      <b/>
      <sz val="20"/>
      <color theme="1" tint="0.249977111117893"/>
      <name val="Calibri"/>
      <family val="2"/>
      <scheme val="minor"/>
    </font>
  </fonts>
  <fills count="19">
    <fill>
      <patternFill patternType="none"/>
    </fill>
    <fill>
      <patternFill patternType="gray125"/>
    </fill>
    <fill>
      <patternFill patternType="solid">
        <fgColor theme="3" tint="-0.499984740745262"/>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bgColor indexed="64"/>
      </patternFill>
    </fill>
    <fill>
      <patternFill patternType="solid">
        <fgColor rgb="FF01B8AA"/>
        <bgColor indexed="64"/>
      </patternFill>
    </fill>
    <fill>
      <patternFill patternType="solid">
        <fgColor rgb="FFF2C80F"/>
        <bgColor indexed="64"/>
      </patternFill>
    </fill>
    <fill>
      <patternFill patternType="solid">
        <fgColor rgb="FF2B353E"/>
        <bgColor indexed="64"/>
      </patternFill>
    </fill>
    <fill>
      <patternFill patternType="solid">
        <fgColor rgb="FFFB5A56"/>
        <bgColor indexed="64"/>
      </patternFill>
    </fill>
    <fill>
      <patternFill patternType="solid">
        <fgColor theme="3" tint="-0.249977111117893"/>
        <bgColor indexed="64"/>
      </patternFill>
    </fill>
    <fill>
      <patternFill patternType="solid">
        <fgColor rgb="FF850C35"/>
        <bgColor indexed="64"/>
      </patternFill>
    </fill>
    <fill>
      <patternFill patternType="solid">
        <fgColor rgb="FF4F031C"/>
        <bgColor indexed="64"/>
      </patternFill>
    </fill>
    <fill>
      <patternFill patternType="solid">
        <fgColor rgb="FF333F4F"/>
        <bgColor indexed="64"/>
      </patternFill>
    </fill>
    <fill>
      <patternFill patternType="solid">
        <fgColor rgb="FFFFFFFF"/>
        <bgColor indexed="64"/>
      </patternFill>
    </fill>
    <fill>
      <patternFill patternType="solid">
        <fgColor theme="2"/>
        <bgColor indexed="64"/>
      </patternFill>
    </fill>
    <fill>
      <patternFill patternType="solid">
        <fgColor theme="0" tint="-0.14999847407452621"/>
        <bgColor indexed="64"/>
      </patternFill>
    </fill>
    <fill>
      <patternFill patternType="solid">
        <fgColor theme="0" tint="-0.249977111117893"/>
        <bgColor indexed="64"/>
      </patternFill>
    </fill>
  </fills>
  <borders count="52">
    <border>
      <left/>
      <right/>
      <top/>
      <bottom/>
      <diagonal/>
    </border>
    <border>
      <left/>
      <right/>
      <top/>
      <bottom style="thin">
        <color theme="3"/>
      </bottom>
      <diagonal/>
    </border>
    <border>
      <left/>
      <right/>
      <top/>
      <bottom style="thin">
        <color theme="8" tint="-0.499984740745262"/>
      </bottom>
      <diagonal/>
    </border>
    <border>
      <left/>
      <right/>
      <top style="thin">
        <color theme="8" tint="-0.499984740745262"/>
      </top>
      <bottom/>
      <diagonal/>
    </border>
    <border>
      <left style="thin">
        <color theme="0" tint="-0.499984740745262"/>
      </left>
      <right style="thin">
        <color theme="0" tint="-0.499984740745262"/>
      </right>
      <top style="thin">
        <color theme="0" tint="-0.14999847407452621"/>
      </top>
      <bottom style="thin">
        <color theme="0" tint="-0.14999847407452621"/>
      </bottom>
      <diagonal/>
    </border>
    <border>
      <left/>
      <right/>
      <top style="thin">
        <color theme="3"/>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14999847407452621"/>
      </bottom>
      <diagonal/>
    </border>
    <border>
      <left style="medium">
        <color theme="0" tint="-0.499984740745262"/>
      </left>
      <right style="thin">
        <color theme="0" tint="-0.499984740745262"/>
      </right>
      <top style="thin">
        <color theme="0" tint="-0.14999847407452621"/>
      </top>
      <bottom style="thin">
        <color theme="0" tint="-0.14999847407452621"/>
      </bottom>
      <diagonal/>
    </border>
    <border>
      <left/>
      <right/>
      <top/>
      <bottom style="thin">
        <color indexed="64"/>
      </bottom>
      <diagonal/>
    </border>
    <border>
      <left style="thin">
        <color theme="0" tint="-0.499984740745262"/>
      </left>
      <right style="thin">
        <color theme="0" tint="-0.249977111117893"/>
      </right>
      <top style="medium">
        <color theme="0" tint="-0.499984740745262"/>
      </top>
      <bottom style="thin">
        <color theme="0" tint="-0.499984740745262"/>
      </bottom>
      <diagonal/>
    </border>
    <border>
      <left style="thin">
        <color theme="0" tint="-0.499984740745262"/>
      </left>
      <right style="thin">
        <color theme="0" tint="-0.14999847407452621"/>
      </right>
      <top style="medium">
        <color theme="0" tint="-0.499984740745262"/>
      </top>
      <bottom style="thin">
        <color theme="0" tint="-0.499984740745262"/>
      </bottom>
      <diagonal/>
    </border>
    <border>
      <left style="thin">
        <color theme="0" tint="-0.499984740745262"/>
      </left>
      <right style="thin">
        <color theme="0" tint="-0.249977111117893"/>
      </right>
      <top/>
      <bottom style="thin">
        <color theme="0" tint="-0.14999847407452621"/>
      </bottom>
      <diagonal/>
    </border>
    <border>
      <left style="thin">
        <color theme="0" tint="-0.499984740745262"/>
      </left>
      <right style="thin">
        <color theme="0" tint="-0.14999847407452621"/>
      </right>
      <top/>
      <bottom style="thin">
        <color theme="0" tint="-0.14999847407452621"/>
      </bottom>
      <diagonal/>
    </border>
    <border>
      <left style="thin">
        <color theme="0" tint="-0.499984740745262"/>
      </left>
      <right style="thin">
        <color theme="0" tint="-0.14999847407452621"/>
      </right>
      <top style="thin">
        <color theme="0" tint="-0.14999847407452621"/>
      </top>
      <bottom style="thin">
        <color theme="0" tint="-0.14999847407452621"/>
      </bottom>
      <diagonal/>
    </border>
    <border>
      <left/>
      <right style="medium">
        <color theme="0" tint="-0.499984740745262"/>
      </right>
      <top/>
      <bottom/>
      <diagonal/>
    </border>
    <border>
      <left style="medium">
        <color theme="0" tint="-0.499984740745262"/>
      </left>
      <right style="thin">
        <color theme="0" tint="-0.499984740745262"/>
      </right>
      <top style="medium">
        <color theme="0" tint="-0.499984740745262"/>
      </top>
      <bottom style="thin">
        <color theme="0" tint="-0.14999847407452621"/>
      </bottom>
      <diagonal/>
    </border>
    <border>
      <left/>
      <right/>
      <top/>
      <bottom style="thin">
        <color theme="1"/>
      </bottom>
      <diagonal/>
    </border>
    <border>
      <left style="medium">
        <color theme="0" tint="-0.499984740745262"/>
      </left>
      <right/>
      <top style="medium">
        <color theme="0" tint="-0.499984740745262"/>
      </top>
      <bottom style="thin">
        <color theme="0" tint="-0.499984740745262"/>
      </bottom>
      <diagonal/>
    </border>
    <border>
      <left/>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14999847407452621"/>
      </left>
      <right/>
      <top/>
      <bottom/>
      <diagonal/>
    </border>
    <border>
      <left style="thin">
        <color theme="0" tint="-0.499984740745262"/>
      </left>
      <right/>
      <top style="thin">
        <color theme="0" tint="-0.499984740745262"/>
      </top>
      <bottom style="thin">
        <color theme="0" tint="-0.499984740745262"/>
      </bottom>
      <diagonal/>
    </border>
    <border>
      <left style="medium">
        <color theme="0" tint="-0.499984740745262"/>
      </left>
      <right/>
      <top/>
      <bottom style="thin">
        <color theme="0" tint="-0.14999847407452621"/>
      </bottom>
      <diagonal/>
    </border>
    <border>
      <left style="thin">
        <color theme="0" tint="-0.499984740745262"/>
      </left>
      <right style="thin">
        <color theme="0" tint="-0.499984740745262"/>
      </right>
      <top/>
      <bottom style="thin">
        <color theme="0" tint="-0.14999847407452621"/>
      </bottom>
      <diagonal/>
    </border>
    <border>
      <left style="thin">
        <color theme="0" tint="-0.499984740745262"/>
      </left>
      <right/>
      <top/>
      <bottom style="thin">
        <color theme="0" tint="-0.14999847407452621"/>
      </bottom>
      <diagonal/>
    </border>
    <border>
      <left/>
      <right style="thin">
        <color theme="0" tint="-0.14999847407452621"/>
      </right>
      <top style="medium">
        <color theme="0" tint="-0.499984740745262"/>
      </top>
      <bottom style="thin">
        <color theme="0" tint="-0.499984740745262"/>
      </bottom>
      <diagonal/>
    </border>
    <border>
      <left style="thin">
        <color theme="0" tint="-0.499984740745262"/>
      </left>
      <right style="thin">
        <color theme="0" tint="-0.14999847407452621"/>
      </right>
      <top style="thin">
        <color theme="0" tint="-0.499984740745262"/>
      </top>
      <bottom style="thin">
        <color theme="0"/>
      </bottom>
      <diagonal/>
    </border>
    <border>
      <left style="thin">
        <color theme="0" tint="-0.499984740745262"/>
      </left>
      <right style="thin">
        <color theme="0" tint="-0.14999847407452621"/>
      </right>
      <top style="thin">
        <color theme="0"/>
      </top>
      <bottom style="thin">
        <color theme="0"/>
      </bottom>
      <diagonal/>
    </border>
    <border>
      <left style="thin">
        <color theme="0" tint="-0.499984740745262"/>
      </left>
      <right style="thin">
        <color theme="0" tint="-0.14999847407452621"/>
      </right>
      <top/>
      <bottom/>
      <diagonal/>
    </border>
    <border>
      <left style="thin">
        <color theme="0" tint="-0.499984740745262"/>
      </left>
      <right style="thin">
        <color theme="0" tint="-0.14999847407452621"/>
      </right>
      <top style="thin">
        <color theme="0"/>
      </top>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14999847407452621"/>
      </bottom>
      <diagonal/>
    </border>
    <border>
      <left style="thin">
        <color theme="0" tint="-0.499984740745262"/>
      </left>
      <right style="thin">
        <color theme="0" tint="-0.499984740745262"/>
      </right>
      <top style="thin">
        <color theme="0" tint="-0.499984740745262"/>
      </top>
      <bottom style="thin">
        <color theme="0"/>
      </bottom>
      <diagonal/>
    </border>
    <border>
      <left style="thin">
        <color theme="0" tint="-0.499984740745262"/>
      </left>
      <right style="thin">
        <color theme="0" tint="-0.499984740745262"/>
      </right>
      <top style="thin">
        <color theme="0"/>
      </top>
      <bottom style="thin">
        <color theme="0"/>
      </bottom>
      <diagonal/>
    </border>
    <border>
      <left style="medium">
        <color theme="0" tint="-0.499984740745262"/>
      </left>
      <right style="thin">
        <color theme="0" tint="-0.499984740745262"/>
      </right>
      <top style="thin">
        <color theme="0" tint="-0.14999847407452621"/>
      </top>
      <bottom style="thin">
        <color theme="0"/>
      </bottom>
      <diagonal/>
    </border>
    <border>
      <left style="medium">
        <color theme="0" tint="-0.499984740745262"/>
      </left>
      <right style="thin">
        <color theme="0" tint="-0.499984740745262"/>
      </right>
      <top/>
      <bottom style="thin">
        <color theme="0" tint="-0.14999847407452621"/>
      </bottom>
      <diagonal/>
    </border>
    <border>
      <left style="thin">
        <color theme="0" tint="-0.499984740745262"/>
      </left>
      <right style="thin">
        <color theme="0" tint="-0.14999847407452621"/>
      </right>
      <top style="thin">
        <color theme="0"/>
      </top>
      <bottom style="thin">
        <color theme="0" tint="-0.14999847407452621"/>
      </bottom>
      <diagonal/>
    </border>
    <border>
      <left style="thin">
        <color theme="0" tint="-0.499984740745262"/>
      </left>
      <right style="thin">
        <color theme="0" tint="-0.14999847407452621"/>
      </right>
      <top style="thin">
        <color theme="0" tint="-0.14999847407452621"/>
      </top>
      <bottom/>
      <diagonal/>
    </border>
    <border>
      <left style="thin">
        <color theme="0" tint="-0.499984740745262"/>
      </left>
      <right style="thin">
        <color theme="0" tint="-0.1499984740745262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bottom>
      <diagonal/>
    </border>
    <border>
      <left style="thin">
        <color theme="0" tint="-0.499984740745262"/>
      </left>
      <right/>
      <top style="thin">
        <color theme="0"/>
      </top>
      <bottom style="thin">
        <color theme="0"/>
      </bottom>
      <diagonal/>
    </border>
    <border>
      <left/>
      <right style="thin">
        <color theme="0" tint="-0.14999847407452621"/>
      </right>
      <top style="thin">
        <color theme="0" tint="-0.499984740745262"/>
      </top>
      <bottom style="thin">
        <color theme="0" tint="-0.499984740745262"/>
      </bottom>
      <diagonal/>
    </border>
    <border>
      <left/>
      <right/>
      <top/>
      <bottom style="medium">
        <color theme="0" tint="-0.499984740745262"/>
      </bottom>
      <diagonal/>
    </border>
    <border>
      <left style="medium">
        <color theme="0" tint="-0.499984740745262"/>
      </left>
      <right/>
      <top style="thin">
        <color theme="0" tint="-0.499984740745262"/>
      </top>
      <bottom style="thin">
        <color theme="0" tint="-0.499984740745262"/>
      </bottom>
      <diagonal/>
    </border>
    <border>
      <left style="thin">
        <color theme="0" tint="-0.499984740745262"/>
      </left>
      <right/>
      <top/>
      <bottom/>
      <diagonal/>
    </border>
    <border>
      <left style="thin">
        <color theme="0" tint="-0.14999847407452621"/>
      </left>
      <right/>
      <top style="medium">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14999847407452621"/>
      </bottom>
      <diagonal/>
    </border>
    <border>
      <left style="medium">
        <color theme="0" tint="-0.499984740745262"/>
      </left>
      <right style="thin">
        <color theme="0" tint="-0.499984740745262"/>
      </right>
      <top style="thin">
        <color theme="0"/>
      </top>
      <bottom style="thin">
        <color theme="0"/>
      </bottom>
      <diagonal/>
    </border>
    <border>
      <left style="medium">
        <color theme="0" tint="-0.499984740745262"/>
      </left>
      <right style="thin">
        <color theme="0" tint="-0.499984740745262"/>
      </right>
      <top style="thin">
        <color theme="0" tint="-0.14999847407452621"/>
      </top>
      <bottom/>
      <diagonal/>
    </border>
    <border>
      <left style="thin">
        <color theme="0" tint="-0.499984740745262"/>
      </left>
      <right style="thin">
        <color theme="0" tint="-0.14999847407452621"/>
      </right>
      <top style="thin">
        <color theme="0" tint="-0.14999847407452621"/>
      </top>
      <bottom style="thin">
        <color theme="0"/>
      </bottom>
      <diagonal/>
    </border>
  </borders>
  <cellStyleXfs count="3">
    <xf numFmtId="0" fontId="0" fillId="0" borderId="0"/>
    <xf numFmtId="0" fontId="5" fillId="0" borderId="0" applyNumberFormat="0" applyFill="0" applyBorder="0" applyAlignment="0" applyProtection="0"/>
    <xf numFmtId="9" fontId="18" fillId="0" borderId="0" applyFont="0" applyFill="0" applyBorder="0" applyAlignment="0" applyProtection="0"/>
  </cellStyleXfs>
  <cellXfs count="248">
    <xf numFmtId="0" fontId="0" fillId="0" borderId="0" xfId="0"/>
    <xf numFmtId="0" fontId="1" fillId="2" borderId="0" xfId="0" applyFont="1" applyFill="1" applyAlignment="1">
      <alignment horizontal="center" vertical="center"/>
    </xf>
    <xf numFmtId="0" fontId="1" fillId="4" borderId="0" xfId="0" applyFont="1" applyFill="1" applyAlignment="1">
      <alignment horizontal="center" vertical="center"/>
    </xf>
    <xf numFmtId="0" fontId="1" fillId="3" borderId="1" xfId="0" applyFont="1" applyFill="1" applyBorder="1" applyAlignment="1">
      <alignment horizontal="center" vertical="center"/>
    </xf>
    <xf numFmtId="0" fontId="2" fillId="5" borderId="0" xfId="0" applyFont="1" applyFill="1" applyAlignment="1">
      <alignment horizontal="center" vertical="center"/>
    </xf>
    <xf numFmtId="0" fontId="1" fillId="5" borderId="0" xfId="0" applyFont="1" applyFill="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2" fillId="5" borderId="0" xfId="0" applyFont="1" applyFill="1" applyAlignment="1">
      <alignment vertical="center"/>
    </xf>
    <xf numFmtId="0" fontId="1" fillId="2" borderId="0" xfId="0" applyFont="1" applyFill="1" applyAlignment="1">
      <alignment vertical="center"/>
    </xf>
    <xf numFmtId="0" fontId="1" fillId="5" borderId="0" xfId="0" applyFont="1" applyFill="1" applyAlignment="1">
      <alignment horizontal="center" vertical="center"/>
    </xf>
    <xf numFmtId="0" fontId="1" fillId="0" borderId="0" xfId="0" applyFont="1" applyFill="1" applyAlignment="1">
      <alignment horizontal="center" vertical="center"/>
    </xf>
    <xf numFmtId="0" fontId="6" fillId="0" borderId="0" xfId="0" applyFont="1" applyFill="1" applyAlignment="1">
      <alignment horizontal="left" vertical="center"/>
    </xf>
    <xf numFmtId="0" fontId="7" fillId="0" borderId="0" xfId="0" applyFont="1" applyFill="1" applyAlignment="1">
      <alignment horizontal="center" vertical="center"/>
    </xf>
    <xf numFmtId="0" fontId="7" fillId="0" borderId="0" xfId="0" applyFont="1" applyFill="1" applyAlignment="1">
      <alignment horizontal="left" vertical="center"/>
    </xf>
    <xf numFmtId="0" fontId="8" fillId="0" borderId="0" xfId="0" applyFont="1" applyFill="1" applyAlignment="1">
      <alignment horizontal="right" vertical="center"/>
    </xf>
    <xf numFmtId="0" fontId="1" fillId="0" borderId="0" xfId="0" applyFont="1" applyFill="1" applyAlignment="1">
      <alignment horizontal="left" vertical="center"/>
    </xf>
    <xf numFmtId="0" fontId="9" fillId="0" borderId="0" xfId="1" applyFont="1" applyFill="1"/>
    <xf numFmtId="0" fontId="9" fillId="0" borderId="0" xfId="1" applyFont="1" applyFill="1" applyAlignment="1">
      <alignment horizontal="left" vertical="top"/>
    </xf>
    <xf numFmtId="0" fontId="9" fillId="0" borderId="0" xfId="1" applyFont="1" applyFill="1" applyAlignment="1">
      <alignment vertical="center"/>
    </xf>
    <xf numFmtId="0" fontId="10" fillId="0" borderId="0" xfId="0" applyFont="1" applyFill="1" applyAlignment="1">
      <alignment horizontal="center" vertical="center"/>
    </xf>
    <xf numFmtId="0" fontId="11" fillId="0" borderId="0" xfId="0" applyFont="1" applyFill="1" applyAlignment="1">
      <alignment horizontal="right" vertical="center"/>
    </xf>
    <xf numFmtId="0" fontId="0" fillId="2" borderId="0" xfId="0" applyFill="1"/>
    <xf numFmtId="0" fontId="0" fillId="3" borderId="0" xfId="0" applyFill="1"/>
    <xf numFmtId="0" fontId="12" fillId="0" borderId="0" xfId="0" applyFont="1" applyFill="1" applyAlignment="1">
      <alignment horizontal="left" vertical="center"/>
    </xf>
    <xf numFmtId="0" fontId="9" fillId="0" borderId="0" xfId="1" applyFont="1"/>
    <xf numFmtId="0" fontId="1" fillId="6" borderId="0" xfId="0" applyFont="1" applyFill="1" applyAlignment="1">
      <alignment horizontal="center" vertical="center"/>
    </xf>
    <xf numFmtId="0" fontId="1" fillId="0" borderId="0" xfId="0" applyFont="1" applyFill="1" applyAlignment="1">
      <alignment horizontal="left" vertical="center" wrapText="1"/>
    </xf>
    <xf numFmtId="0" fontId="16" fillId="4" borderId="0" xfId="0" applyFont="1" applyFill="1" applyAlignment="1">
      <alignment horizontal="left" vertical="center" wrapText="1"/>
    </xf>
    <xf numFmtId="0" fontId="17" fillId="4" borderId="9" xfId="0" applyFont="1" applyFill="1" applyBorder="1" applyAlignment="1">
      <alignment horizontal="left" vertical="center" wrapText="1"/>
    </xf>
    <xf numFmtId="0" fontId="16" fillId="4" borderId="9" xfId="0" applyFont="1" applyFill="1" applyBorder="1" applyAlignment="1">
      <alignment horizontal="left" vertical="center" wrapText="1"/>
    </xf>
    <xf numFmtId="0" fontId="0" fillId="6" borderId="0" xfId="0" applyFill="1"/>
    <xf numFmtId="0" fontId="1" fillId="7" borderId="0" xfId="0" applyFont="1" applyFill="1" applyAlignment="1">
      <alignment horizontal="center" vertical="center"/>
    </xf>
    <xf numFmtId="0" fontId="1" fillId="8" borderId="0" xfId="0" applyFont="1" applyFill="1" applyAlignment="1">
      <alignment horizontal="center" vertical="center"/>
    </xf>
    <xf numFmtId="0" fontId="1" fillId="9" borderId="0" xfId="0" applyFont="1" applyFill="1" applyAlignment="1">
      <alignment horizontal="center" vertical="center"/>
    </xf>
    <xf numFmtId="0" fontId="1" fillId="10" borderId="0" xfId="0" applyFont="1" applyFill="1" applyAlignment="1">
      <alignment horizontal="center" vertical="center"/>
    </xf>
    <xf numFmtId="0" fontId="1" fillId="11" borderId="0" xfId="0" applyFont="1" applyFill="1" applyAlignment="1">
      <alignment horizontal="center" vertical="center"/>
    </xf>
    <xf numFmtId="0" fontId="1" fillId="12" borderId="0" xfId="0" applyFont="1" applyFill="1" applyAlignment="1">
      <alignment horizontal="center" vertical="center"/>
    </xf>
    <xf numFmtId="0" fontId="1" fillId="13" borderId="0" xfId="0" applyFont="1" applyFill="1" applyAlignment="1">
      <alignment horizontal="center" vertical="center"/>
    </xf>
    <xf numFmtId="0" fontId="0" fillId="7" borderId="0" xfId="0" applyFill="1"/>
    <xf numFmtId="0" fontId="0" fillId="13" borderId="0" xfId="0" applyFill="1"/>
    <xf numFmtId="0" fontId="0" fillId="12" borderId="0" xfId="0" applyFill="1"/>
    <xf numFmtId="0" fontId="0" fillId="14" borderId="0" xfId="0" applyFill="1"/>
    <xf numFmtId="0" fontId="0" fillId="10" borderId="0" xfId="0" applyFill="1"/>
    <xf numFmtId="0" fontId="0" fillId="9" borderId="0" xfId="0" applyFill="1"/>
    <xf numFmtId="0" fontId="0" fillId="8" borderId="0" xfId="0" applyFill="1"/>
    <xf numFmtId="164" fontId="2" fillId="6" borderId="12" xfId="2" applyNumberFormat="1" applyFont="1" applyFill="1" applyBorder="1" applyAlignment="1" applyProtection="1">
      <alignment horizontal="center" vertical="center"/>
      <protection locked="0"/>
    </xf>
    <xf numFmtId="10" fontId="2" fillId="6" borderId="12" xfId="2" applyNumberFormat="1" applyFont="1" applyFill="1" applyBorder="1" applyAlignment="1" applyProtection="1">
      <alignment horizontal="center" vertical="center"/>
      <protection locked="0"/>
    </xf>
    <xf numFmtId="164" fontId="2" fillId="6" borderId="13" xfId="2" applyNumberFormat="1" applyFont="1" applyFill="1" applyBorder="1" applyAlignment="1" applyProtection="1">
      <alignment horizontal="center" vertical="center"/>
      <protection locked="0"/>
    </xf>
    <xf numFmtId="164" fontId="2" fillId="6" borderId="4" xfId="2" applyNumberFormat="1" applyFont="1" applyFill="1" applyBorder="1" applyAlignment="1" applyProtection="1">
      <alignment horizontal="center" vertical="center"/>
      <protection locked="0"/>
    </xf>
    <xf numFmtId="10" fontId="2" fillId="6" borderId="4" xfId="2" applyNumberFormat="1" applyFont="1" applyFill="1" applyBorder="1" applyAlignment="1" applyProtection="1">
      <alignment horizontal="center" vertical="center"/>
      <protection locked="0"/>
    </xf>
    <xf numFmtId="164" fontId="2" fillId="6" borderId="14" xfId="2" applyNumberFormat="1" applyFont="1" applyFill="1" applyBorder="1" applyAlignment="1" applyProtection="1">
      <alignment horizontal="center" vertical="center"/>
      <protection locked="0"/>
    </xf>
    <xf numFmtId="10" fontId="2" fillId="6" borderId="13" xfId="2" applyNumberFormat="1" applyFont="1" applyFill="1" applyBorder="1" applyAlignment="1" applyProtection="1">
      <alignment horizontal="center" vertical="center"/>
      <protection locked="0"/>
    </xf>
    <xf numFmtId="0" fontId="2" fillId="6" borderId="14" xfId="2"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xf>
    <xf numFmtId="0" fontId="1" fillId="3" borderId="1" xfId="0" applyFont="1" applyFill="1" applyBorder="1" applyAlignment="1" applyProtection="1">
      <alignment horizontal="center" vertical="center"/>
    </xf>
    <xf numFmtId="0" fontId="1" fillId="6" borderId="0" xfId="0" applyFont="1" applyFill="1" applyAlignment="1" applyProtection="1">
      <alignment horizontal="center" vertical="center"/>
    </xf>
    <xf numFmtId="0" fontId="1" fillId="6" borderId="5" xfId="0" applyFont="1" applyFill="1" applyBorder="1" applyAlignment="1" applyProtection="1">
      <alignment horizontal="center" vertical="center"/>
    </xf>
    <xf numFmtId="0" fontId="1" fillId="6" borderId="0" xfId="0" applyFont="1" applyFill="1" applyBorder="1" applyAlignment="1" applyProtection="1">
      <alignment horizontal="center" vertical="center"/>
    </xf>
    <xf numFmtId="0" fontId="3" fillId="4" borderId="6" xfId="0" applyFont="1" applyFill="1" applyBorder="1" applyAlignment="1" applyProtection="1">
      <alignment horizontal="left" vertical="center" wrapText="1"/>
    </xf>
    <xf numFmtId="164" fontId="3" fillId="4" borderId="10" xfId="0" applyNumberFormat="1" applyFont="1" applyFill="1" applyBorder="1" applyAlignment="1" applyProtection="1">
      <alignment horizontal="left" vertical="center"/>
    </xf>
    <xf numFmtId="164" fontId="3" fillId="4" borderId="11" xfId="0" applyNumberFormat="1" applyFont="1" applyFill="1" applyBorder="1" applyAlignment="1" applyProtection="1">
      <alignment horizontal="left" vertical="center"/>
    </xf>
    <xf numFmtId="0" fontId="3" fillId="4" borderId="10" xfId="0" applyFont="1" applyFill="1" applyBorder="1" applyAlignment="1" applyProtection="1">
      <alignment horizontal="left" vertical="center"/>
    </xf>
    <xf numFmtId="0" fontId="3" fillId="4" borderId="11" xfId="0" applyFont="1" applyFill="1" applyBorder="1" applyAlignment="1" applyProtection="1">
      <alignment horizontal="left" vertical="center"/>
    </xf>
    <xf numFmtId="0" fontId="14" fillId="4" borderId="7" xfId="0" applyFont="1" applyFill="1" applyBorder="1" applyAlignment="1" applyProtection="1">
      <alignment horizontal="center" vertical="center" wrapText="1"/>
    </xf>
    <xf numFmtId="0" fontId="14" fillId="4" borderId="8" xfId="0" applyFont="1" applyFill="1" applyBorder="1" applyAlignment="1" applyProtection="1">
      <alignment horizontal="center" vertical="center" wrapText="1"/>
    </xf>
    <xf numFmtId="10" fontId="2" fillId="6" borderId="14" xfId="2" applyNumberFormat="1" applyFont="1" applyFill="1" applyBorder="1" applyAlignment="1" applyProtection="1">
      <alignment horizontal="center" vertical="center"/>
      <protection locked="0"/>
    </xf>
    <xf numFmtId="0" fontId="2" fillId="2" borderId="0" xfId="0" applyFont="1" applyFill="1" applyAlignment="1">
      <alignment horizontal="center" vertical="center"/>
    </xf>
    <xf numFmtId="0" fontId="1" fillId="0" borderId="15" xfId="0" applyFont="1" applyFill="1" applyBorder="1" applyAlignment="1">
      <alignment horizontal="center" vertical="center"/>
    </xf>
    <xf numFmtId="0" fontId="1" fillId="0" borderId="5" xfId="0" applyFont="1" applyFill="1" applyBorder="1" applyAlignment="1">
      <alignment horizontal="center" vertical="center"/>
    </xf>
    <xf numFmtId="0" fontId="1" fillId="0" borderId="13" xfId="0" applyFont="1" applyFill="1" applyBorder="1" applyAlignment="1">
      <alignment horizontal="center" vertical="center"/>
    </xf>
    <xf numFmtId="0" fontId="2" fillId="0" borderId="14" xfId="0" applyFont="1" applyFill="1" applyBorder="1" applyAlignment="1" applyProtection="1">
      <alignment horizontal="left" vertical="center"/>
      <protection locked="0"/>
    </xf>
    <xf numFmtId="0" fontId="3" fillId="4" borderId="16" xfId="0" applyFont="1" applyFill="1" applyBorder="1" applyAlignment="1">
      <alignment horizontal="left" vertical="center" wrapText="1"/>
    </xf>
    <xf numFmtId="0" fontId="3" fillId="4" borderId="8" xfId="0" applyFont="1" applyFill="1" applyBorder="1" applyAlignment="1">
      <alignment horizontal="left" vertical="center" wrapText="1"/>
    </xf>
    <xf numFmtId="164" fontId="3" fillId="6" borderId="0" xfId="0" applyNumberFormat="1" applyFont="1" applyFill="1" applyBorder="1" applyAlignment="1" applyProtection="1">
      <alignment horizontal="left" vertical="center"/>
    </xf>
    <xf numFmtId="0" fontId="3" fillId="6" borderId="0" xfId="0" applyNumberFormat="1" applyFont="1" applyFill="1" applyBorder="1" applyAlignment="1" applyProtection="1">
      <alignment horizontal="left" vertical="center"/>
    </xf>
    <xf numFmtId="0" fontId="7" fillId="6" borderId="0" xfId="0" applyNumberFormat="1" applyFont="1" applyFill="1" applyBorder="1" applyAlignment="1" applyProtection="1">
      <alignment vertical="center"/>
    </xf>
    <xf numFmtId="166" fontId="2" fillId="6" borderId="0" xfId="0" applyNumberFormat="1" applyFont="1" applyFill="1" applyBorder="1" applyAlignment="1" applyProtection="1">
      <alignment horizontal="right" vertical="center"/>
    </xf>
    <xf numFmtId="166" fontId="7" fillId="6" borderId="0" xfId="0" applyNumberFormat="1" applyFont="1" applyFill="1" applyBorder="1" applyAlignment="1" applyProtection="1">
      <alignment horizontal="right" vertical="center"/>
    </xf>
    <xf numFmtId="0" fontId="2" fillId="6" borderId="0" xfId="0" applyNumberFormat="1" applyFont="1" applyFill="1" applyBorder="1" applyAlignment="1" applyProtection="1">
      <alignment vertical="center" wrapText="1"/>
    </xf>
    <xf numFmtId="0" fontId="7" fillId="4" borderId="7" xfId="0" applyFont="1" applyFill="1" applyBorder="1" applyAlignment="1" applyProtection="1">
      <alignment horizontal="left" vertical="center" wrapText="1"/>
    </xf>
    <xf numFmtId="0" fontId="7" fillId="4" borderId="8" xfId="0" applyFont="1" applyFill="1" applyBorder="1" applyAlignment="1" applyProtection="1">
      <alignment horizontal="left" vertical="center" wrapText="1"/>
    </xf>
    <xf numFmtId="4" fontId="2" fillId="6" borderId="14" xfId="2" applyNumberFormat="1" applyFont="1" applyFill="1" applyBorder="1" applyAlignment="1" applyProtection="1">
      <alignment horizontal="center" vertical="center"/>
      <protection locked="0"/>
    </xf>
    <xf numFmtId="4" fontId="1" fillId="6" borderId="0" xfId="0" applyNumberFormat="1" applyFont="1" applyFill="1" applyAlignment="1" applyProtection="1">
      <alignment horizontal="center" vertical="center"/>
    </xf>
    <xf numFmtId="4" fontId="1" fillId="6" borderId="17" xfId="0" applyNumberFormat="1" applyFont="1" applyFill="1" applyBorder="1" applyAlignment="1" applyProtection="1">
      <alignment horizontal="center" vertical="center"/>
    </xf>
    <xf numFmtId="10" fontId="1" fillId="6" borderId="17" xfId="2" applyNumberFormat="1" applyFont="1" applyFill="1" applyBorder="1" applyAlignment="1" applyProtection="1">
      <alignment horizontal="center" vertical="center"/>
    </xf>
    <xf numFmtId="0" fontId="20" fillId="4" borderId="0" xfId="0" applyFont="1" applyFill="1" applyBorder="1" applyAlignment="1">
      <alignment horizontal="center" vertical="center" wrapText="1"/>
    </xf>
    <xf numFmtId="0" fontId="21" fillId="4" borderId="0" xfId="0" applyFont="1" applyFill="1" applyBorder="1" applyAlignment="1">
      <alignment horizontal="center" vertical="center"/>
    </xf>
    <xf numFmtId="0" fontId="3" fillId="8" borderId="0" xfId="0" applyFont="1" applyFill="1" applyBorder="1" applyAlignment="1">
      <alignment horizontal="center" vertical="center" wrapText="1"/>
    </xf>
    <xf numFmtId="0" fontId="2" fillId="8" borderId="0"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22" fillId="15" borderId="0" xfId="0" applyFont="1" applyFill="1" applyBorder="1" applyAlignment="1">
      <alignment horizontal="center" vertical="center" wrapText="1"/>
    </xf>
    <xf numFmtId="0" fontId="22" fillId="16" borderId="0" xfId="0" applyFont="1" applyFill="1" applyBorder="1" applyAlignment="1">
      <alignment horizontal="center" vertical="center" wrapText="1"/>
    </xf>
    <xf numFmtId="10" fontId="22" fillId="15" borderId="0" xfId="0" applyNumberFormat="1" applyFont="1" applyFill="1" applyBorder="1" applyAlignment="1">
      <alignment horizontal="center" vertical="center" wrapText="1"/>
    </xf>
    <xf numFmtId="2" fontId="22" fillId="16" borderId="0" xfId="0" applyNumberFormat="1" applyFont="1" applyFill="1" applyBorder="1" applyAlignment="1">
      <alignment horizontal="center" vertical="center" wrapText="1"/>
    </xf>
    <xf numFmtId="2" fontId="23" fillId="16" borderId="0" xfId="0" applyNumberFormat="1" applyFont="1" applyFill="1" applyBorder="1" applyAlignment="1">
      <alignment horizontal="center" vertical="center"/>
    </xf>
    <xf numFmtId="10" fontId="22" fillId="15" borderId="0" xfId="2" applyNumberFormat="1" applyFont="1" applyFill="1" applyBorder="1" applyAlignment="1">
      <alignment horizontal="center" vertical="center" wrapText="1"/>
    </xf>
    <xf numFmtId="10" fontId="24" fillId="15" borderId="0" xfId="0" applyNumberFormat="1" applyFont="1" applyFill="1" applyBorder="1" applyAlignment="1">
      <alignment horizontal="center" vertical="center" wrapText="1"/>
    </xf>
    <xf numFmtId="165" fontId="24" fillId="4" borderId="0" xfId="0" applyNumberFormat="1" applyFont="1" applyFill="1" applyBorder="1" applyAlignment="1">
      <alignment horizontal="center" vertical="center" wrapText="1"/>
    </xf>
    <xf numFmtId="10" fontId="24" fillId="4" borderId="0" xfId="0" applyNumberFormat="1" applyFont="1" applyFill="1" applyBorder="1" applyAlignment="1">
      <alignment horizontal="center" vertical="center" wrapText="1"/>
    </xf>
    <xf numFmtId="0" fontId="23" fillId="0" borderId="0" xfId="0" applyFont="1" applyBorder="1" applyAlignment="1">
      <alignment horizontal="center" vertical="center"/>
    </xf>
    <xf numFmtId="9" fontId="22" fillId="15" borderId="0" xfId="2" applyFont="1" applyFill="1" applyBorder="1" applyAlignment="1">
      <alignment horizontal="center" vertical="center" wrapText="1"/>
    </xf>
    <xf numFmtId="0" fontId="0" fillId="0" borderId="0" xfId="0" applyFont="1" applyBorder="1" applyAlignment="1">
      <alignment horizontal="center" vertical="center"/>
    </xf>
    <xf numFmtId="0" fontId="1" fillId="6" borderId="0" xfId="0" applyFont="1" applyFill="1" applyAlignment="1" applyProtection="1">
      <alignment horizontal="center" vertical="center"/>
    </xf>
    <xf numFmtId="0" fontId="28" fillId="4" borderId="0" xfId="0" applyFont="1" applyFill="1" applyBorder="1" applyAlignment="1">
      <alignment horizontal="center" vertical="center" wrapText="1"/>
    </xf>
    <xf numFmtId="4" fontId="25" fillId="4" borderId="0" xfId="0" applyNumberFormat="1" applyFont="1" applyFill="1" applyBorder="1" applyAlignment="1">
      <alignment horizontal="center" vertical="center" wrapText="1"/>
    </xf>
    <xf numFmtId="166" fontId="2" fillId="0" borderId="0" xfId="2" applyNumberFormat="1" applyFont="1" applyFill="1" applyBorder="1" applyAlignment="1">
      <alignment horizontal="center" vertical="center" wrapText="1"/>
    </xf>
    <xf numFmtId="0" fontId="1" fillId="6" borderId="0" xfId="0" applyFont="1" applyFill="1" applyAlignment="1" applyProtection="1">
      <alignment horizontal="center" vertical="center"/>
    </xf>
    <xf numFmtId="0" fontId="1" fillId="6" borderId="15" xfId="0" applyFont="1" applyFill="1" applyBorder="1" applyAlignment="1" applyProtection="1">
      <alignment horizontal="center" vertical="center"/>
    </xf>
    <xf numFmtId="0" fontId="1" fillId="6" borderId="22" xfId="0" applyFont="1" applyFill="1" applyBorder="1" applyAlignment="1" applyProtection="1">
      <alignment horizontal="center" vertical="center"/>
    </xf>
    <xf numFmtId="0" fontId="1" fillId="4" borderId="24" xfId="0" applyFont="1" applyFill="1" applyBorder="1" applyAlignment="1" applyProtection="1">
      <alignment horizontal="left" vertical="center"/>
    </xf>
    <xf numFmtId="0" fontId="3" fillId="4" borderId="20" xfId="0" applyFont="1" applyFill="1" applyBorder="1" applyAlignment="1" applyProtection="1">
      <alignment horizontal="left" vertical="center"/>
    </xf>
    <xf numFmtId="0" fontId="3" fillId="4" borderId="21" xfId="0" applyNumberFormat="1" applyFont="1" applyFill="1" applyBorder="1" applyAlignment="1" applyProtection="1">
      <alignment horizontal="left" vertical="center"/>
    </xf>
    <xf numFmtId="166" fontId="3" fillId="4" borderId="21" xfId="0" applyNumberFormat="1" applyFont="1" applyFill="1" applyBorder="1" applyAlignment="1" applyProtection="1">
      <alignment horizontal="left" vertical="center"/>
    </xf>
    <xf numFmtId="0" fontId="3" fillId="4" borderId="21" xfId="0" applyFont="1" applyFill="1" applyBorder="1" applyAlignment="1" applyProtection="1">
      <alignment horizontal="left" vertical="center"/>
    </xf>
    <xf numFmtId="0" fontId="3" fillId="4" borderId="23" xfId="0" applyFont="1" applyFill="1" applyBorder="1" applyAlignment="1" applyProtection="1">
      <alignment horizontal="left" vertical="center"/>
    </xf>
    <xf numFmtId="0" fontId="3" fillId="4" borderId="23" xfId="0" applyFont="1" applyFill="1" applyBorder="1" applyAlignment="1" applyProtection="1">
      <alignment horizontal="center" vertical="center"/>
    </xf>
    <xf numFmtId="10" fontId="1" fillId="4" borderId="25" xfId="2" applyNumberFormat="1" applyFont="1" applyFill="1" applyBorder="1" applyAlignment="1" applyProtection="1">
      <alignment horizontal="center" vertical="center"/>
    </xf>
    <xf numFmtId="0" fontId="3" fillId="4" borderId="32" xfId="0" applyNumberFormat="1" applyFont="1" applyFill="1" applyBorder="1" applyAlignment="1" applyProtection="1">
      <alignment horizontal="left" vertical="center"/>
    </xf>
    <xf numFmtId="10" fontId="1" fillId="4" borderId="33" xfId="2" applyNumberFormat="1" applyFont="1" applyFill="1" applyBorder="1" applyAlignment="1" applyProtection="1">
      <alignment horizontal="center" vertical="center"/>
    </xf>
    <xf numFmtId="10" fontId="1" fillId="4" borderId="8" xfId="2" applyNumberFormat="1" applyFont="1" applyFill="1" applyBorder="1" applyAlignment="1" applyProtection="1">
      <alignment horizontal="center" vertical="center"/>
    </xf>
    <xf numFmtId="4" fontId="2" fillId="17" borderId="25" xfId="2" applyNumberFormat="1" applyFont="1" applyFill="1" applyBorder="1" applyAlignment="1" applyProtection="1">
      <alignment horizontal="center" vertical="center"/>
    </xf>
    <xf numFmtId="4" fontId="2" fillId="17" borderId="26" xfId="2" applyNumberFormat="1" applyFont="1" applyFill="1" applyBorder="1" applyAlignment="1" applyProtection="1">
      <alignment horizontal="center" vertical="center"/>
    </xf>
    <xf numFmtId="166" fontId="3" fillId="4" borderId="23" xfId="0" applyNumberFormat="1" applyFont="1" applyFill="1" applyBorder="1" applyAlignment="1" applyProtection="1">
      <alignment horizontal="left" vertical="center"/>
    </xf>
    <xf numFmtId="0" fontId="3" fillId="6" borderId="22" xfId="0" applyNumberFormat="1" applyFont="1" applyFill="1" applyBorder="1" applyAlignment="1" applyProtection="1">
      <alignment vertical="center"/>
    </xf>
    <xf numFmtId="4" fontId="2" fillId="17" borderId="34" xfId="2" applyNumberFormat="1" applyFont="1" applyFill="1" applyBorder="1" applyAlignment="1" applyProtection="1">
      <alignment horizontal="center" vertical="center"/>
    </xf>
    <xf numFmtId="4" fontId="2" fillId="17" borderId="35" xfId="2" applyNumberFormat="1" applyFont="1" applyFill="1" applyBorder="1" applyAlignment="1" applyProtection="1">
      <alignment horizontal="center" vertical="center"/>
    </xf>
    <xf numFmtId="4" fontId="2" fillId="17" borderId="28" xfId="2" applyNumberFormat="1" applyFont="1" applyFill="1" applyBorder="1" applyAlignment="1" applyProtection="1">
      <alignment horizontal="center" vertical="center"/>
    </xf>
    <xf numFmtId="4" fontId="2" fillId="17" borderId="29" xfId="2" applyNumberFormat="1" applyFont="1" applyFill="1" applyBorder="1" applyAlignment="1" applyProtection="1">
      <alignment horizontal="center" vertical="center"/>
    </xf>
    <xf numFmtId="167" fontId="1" fillId="4" borderId="25" xfId="0" applyNumberFormat="1" applyFont="1" applyFill="1" applyBorder="1" applyAlignment="1" applyProtection="1">
      <alignment horizontal="center" vertical="center"/>
    </xf>
    <xf numFmtId="167" fontId="1" fillId="4" borderId="26" xfId="0" applyNumberFormat="1" applyFont="1" applyFill="1" applyBorder="1" applyAlignment="1" applyProtection="1">
      <alignment horizontal="center" vertical="center"/>
    </xf>
    <xf numFmtId="0" fontId="1" fillId="6" borderId="0" xfId="0" applyFont="1" applyFill="1" applyAlignment="1" applyProtection="1">
      <alignment horizontal="center" vertical="center"/>
    </xf>
    <xf numFmtId="0" fontId="1" fillId="6" borderId="0" xfId="0" applyFont="1" applyFill="1" applyBorder="1" applyAlignment="1" applyProtection="1">
      <alignment horizontal="center" vertical="center"/>
    </xf>
    <xf numFmtId="4" fontId="1" fillId="6" borderId="0" xfId="0" applyNumberFormat="1" applyFont="1" applyFill="1" applyBorder="1" applyAlignment="1" applyProtection="1">
      <alignment horizontal="center" vertical="center"/>
    </xf>
    <xf numFmtId="10" fontId="1" fillId="6" borderId="0" xfId="2" applyNumberFormat="1" applyFont="1" applyFill="1" applyBorder="1" applyAlignment="1" applyProtection="1">
      <alignment horizontal="center" vertical="center"/>
    </xf>
    <xf numFmtId="0" fontId="3" fillId="6" borderId="0" xfId="0" applyNumberFormat="1" applyFont="1" applyFill="1" applyBorder="1" applyAlignment="1" applyProtection="1">
      <alignment vertical="center"/>
    </xf>
    <xf numFmtId="0" fontId="3" fillId="6" borderId="0" xfId="0" applyNumberFormat="1" applyFont="1" applyFill="1" applyBorder="1" applyAlignment="1" applyProtection="1">
      <alignment horizontal="left" vertical="center"/>
    </xf>
    <xf numFmtId="0" fontId="3" fillId="6" borderId="0" xfId="0" applyFont="1" applyFill="1" applyBorder="1" applyAlignment="1" applyProtection="1">
      <alignment horizontal="left" vertical="center"/>
    </xf>
    <xf numFmtId="166" fontId="3" fillId="6" borderId="0" xfId="0" applyNumberFormat="1" applyFont="1" applyFill="1" applyBorder="1" applyAlignment="1" applyProtection="1">
      <alignment horizontal="left" vertical="center"/>
    </xf>
    <xf numFmtId="0" fontId="3" fillId="6" borderId="0" xfId="0" applyFont="1" applyFill="1" applyBorder="1" applyAlignment="1" applyProtection="1">
      <alignment horizontal="center" vertical="center"/>
    </xf>
    <xf numFmtId="0" fontId="1" fillId="6" borderId="0" xfId="0" applyFont="1" applyFill="1" applyBorder="1" applyAlignment="1" applyProtection="1">
      <alignment horizontal="left" vertical="center"/>
    </xf>
    <xf numFmtId="167" fontId="1" fillId="6" borderId="0" xfId="0" applyNumberFormat="1" applyFont="1" applyFill="1" applyBorder="1" applyAlignment="1" applyProtection="1">
      <alignment horizontal="center" vertical="center"/>
    </xf>
    <xf numFmtId="167" fontId="2" fillId="6" borderId="0" xfId="0" applyNumberFormat="1" applyFont="1" applyFill="1" applyBorder="1" applyAlignment="1" applyProtection="1">
      <alignment horizontal="center" vertical="center"/>
    </xf>
    <xf numFmtId="4" fontId="2" fillId="6" borderId="0" xfId="2" applyNumberFormat="1" applyFont="1" applyFill="1" applyBorder="1" applyAlignment="1" applyProtection="1">
      <alignment horizontal="center" vertical="center"/>
    </xf>
    <xf numFmtId="0" fontId="3" fillId="6" borderId="0" xfId="0" applyNumberFormat="1" applyFont="1" applyFill="1" applyBorder="1" applyAlignment="1" applyProtection="1">
      <alignment vertical="center" wrapText="1"/>
    </xf>
    <xf numFmtId="0" fontId="2" fillId="17" borderId="37" xfId="0" applyFont="1" applyFill="1" applyBorder="1" applyAlignment="1" applyProtection="1">
      <alignment horizontal="left" vertical="center" wrapText="1"/>
    </xf>
    <xf numFmtId="0" fontId="2" fillId="17" borderId="36" xfId="0" applyFont="1" applyFill="1" applyBorder="1" applyAlignment="1" applyProtection="1">
      <alignment horizontal="left" vertical="center" wrapText="1"/>
    </xf>
    <xf numFmtId="4" fontId="2" fillId="17" borderId="39" xfId="2" applyNumberFormat="1" applyFont="1" applyFill="1" applyBorder="1" applyAlignment="1" applyProtection="1">
      <alignment horizontal="center" vertical="center"/>
    </xf>
    <xf numFmtId="4" fontId="2" fillId="17" borderId="38" xfId="2" applyNumberFormat="1" applyFont="1" applyFill="1" applyBorder="1" applyAlignment="1" applyProtection="1">
      <alignment horizontal="center" vertical="center"/>
    </xf>
    <xf numFmtId="0" fontId="3" fillId="6" borderId="0" xfId="0" applyFont="1" applyFill="1" applyBorder="1" applyAlignment="1" applyProtection="1">
      <alignment horizontal="left" vertical="center" wrapText="1"/>
    </xf>
    <xf numFmtId="0" fontId="29" fillId="6" borderId="22" xfId="0" applyFont="1" applyFill="1" applyBorder="1" applyAlignment="1" applyProtection="1">
      <alignment horizontal="left" vertical="center"/>
    </xf>
    <xf numFmtId="4" fontId="2" fillId="17" borderId="28" xfId="0" applyNumberFormat="1" applyFont="1" applyFill="1" applyBorder="1" applyAlignment="1" applyProtection="1">
      <alignment horizontal="center" vertical="center"/>
    </xf>
    <xf numFmtId="4" fontId="2" fillId="17" borderId="29" xfId="0" applyNumberFormat="1" applyFont="1" applyFill="1" applyBorder="1" applyAlignment="1" applyProtection="1">
      <alignment horizontal="center" vertical="center"/>
    </xf>
    <xf numFmtId="4" fontId="2" fillId="17" borderId="30" xfId="0" applyNumberFormat="1" applyFont="1" applyFill="1" applyBorder="1" applyAlignment="1" applyProtection="1">
      <alignment horizontal="center" vertical="center"/>
    </xf>
    <xf numFmtId="4" fontId="2" fillId="17" borderId="31" xfId="0" applyNumberFormat="1" applyFont="1" applyFill="1" applyBorder="1" applyAlignment="1" applyProtection="1">
      <alignment horizontal="center" vertical="center"/>
    </xf>
    <xf numFmtId="4" fontId="2" fillId="17" borderId="13" xfId="0" applyNumberFormat="1" applyFont="1" applyFill="1" applyBorder="1" applyAlignment="1" applyProtection="1">
      <alignment horizontal="center" vertical="center"/>
    </xf>
    <xf numFmtId="0" fontId="3" fillId="4" borderId="40" xfId="0" applyFont="1" applyFill="1" applyBorder="1" applyAlignment="1" applyProtection="1">
      <alignment horizontal="center" vertical="center"/>
    </xf>
    <xf numFmtId="4" fontId="2" fillId="17" borderId="38" xfId="0" applyNumberFormat="1" applyFont="1" applyFill="1" applyBorder="1" applyAlignment="1" applyProtection="1">
      <alignment horizontal="center" vertical="center"/>
    </xf>
    <xf numFmtId="168" fontId="2" fillId="8" borderId="0" xfId="2" applyNumberFormat="1" applyFont="1" applyFill="1" applyBorder="1" applyAlignment="1">
      <alignment horizontal="center" vertical="center" wrapText="1"/>
    </xf>
    <xf numFmtId="166" fontId="3" fillId="4" borderId="40" xfId="0" applyNumberFormat="1" applyFont="1" applyFill="1" applyBorder="1" applyAlignment="1" applyProtection="1">
      <alignment horizontal="left" vertical="center"/>
    </xf>
    <xf numFmtId="0" fontId="3" fillId="4" borderId="20" xfId="0" applyNumberFormat="1" applyFont="1" applyFill="1" applyBorder="1" applyAlignment="1" applyProtection="1">
      <alignment horizontal="left" vertical="center"/>
    </xf>
    <xf numFmtId="10" fontId="1" fillId="4" borderId="37" xfId="2" applyNumberFormat="1" applyFont="1" applyFill="1" applyBorder="1" applyAlignment="1" applyProtection="1">
      <alignment horizontal="center" vertical="center"/>
    </xf>
    <xf numFmtId="10" fontId="2" fillId="0" borderId="0" xfId="0" applyNumberFormat="1" applyFont="1" applyFill="1" applyBorder="1" applyAlignment="1">
      <alignment horizontal="center" vertical="center" wrapText="1"/>
    </xf>
    <xf numFmtId="166" fontId="2" fillId="0" borderId="0" xfId="0" applyNumberFormat="1" applyFont="1" applyFill="1" applyBorder="1" applyAlignment="1">
      <alignment horizontal="center" vertical="center" wrapText="1"/>
    </xf>
    <xf numFmtId="169" fontId="2" fillId="0" borderId="0" xfId="0" applyNumberFormat="1" applyFont="1" applyFill="1" applyBorder="1" applyAlignment="1">
      <alignment horizontal="center" vertical="center" wrapText="1"/>
    </xf>
    <xf numFmtId="10" fontId="1" fillId="17" borderId="0" xfId="2" applyNumberFormat="1" applyFont="1" applyFill="1" applyAlignment="1" applyProtection="1">
      <alignment horizontal="center" vertical="center"/>
    </xf>
    <xf numFmtId="166" fontId="1" fillId="4" borderId="25" xfId="2" applyNumberFormat="1" applyFont="1" applyFill="1" applyBorder="1" applyAlignment="1" applyProtection="1">
      <alignment horizontal="center" vertical="center"/>
    </xf>
    <xf numFmtId="10" fontId="1" fillId="6" borderId="0" xfId="0" applyNumberFormat="1" applyFont="1" applyFill="1" applyBorder="1" applyAlignment="1" applyProtection="1">
      <alignment horizontal="center" vertical="center"/>
    </xf>
    <xf numFmtId="166" fontId="1" fillId="6" borderId="0" xfId="2" applyNumberFormat="1" applyFont="1" applyFill="1" applyBorder="1" applyAlignment="1" applyProtection="1">
      <alignment horizontal="center" vertical="center"/>
    </xf>
    <xf numFmtId="166" fontId="1" fillId="6" borderId="0" xfId="0" applyNumberFormat="1" applyFont="1" applyFill="1" applyBorder="1" applyAlignment="1" applyProtection="1">
      <alignment horizontal="center" vertical="center"/>
    </xf>
    <xf numFmtId="166" fontId="30" fillId="6" borderId="0" xfId="0" applyNumberFormat="1" applyFont="1" applyFill="1" applyBorder="1" applyAlignment="1" applyProtection="1">
      <alignment horizontal="center" vertical="center"/>
    </xf>
    <xf numFmtId="0" fontId="31" fillId="6" borderId="0" xfId="0" applyFont="1" applyFill="1" applyBorder="1" applyAlignment="1" applyProtection="1">
      <alignment horizontal="center" vertical="center"/>
    </xf>
    <xf numFmtId="0" fontId="31" fillId="6" borderId="0" xfId="0" applyFont="1" applyFill="1" applyAlignment="1" applyProtection="1">
      <alignment horizontal="center" vertical="center"/>
    </xf>
    <xf numFmtId="0" fontId="31" fillId="6" borderId="0" xfId="0" applyNumberFormat="1" applyFont="1" applyFill="1" applyAlignment="1" applyProtection="1">
      <alignment horizontal="center" vertical="center"/>
    </xf>
    <xf numFmtId="10" fontId="7" fillId="4" borderId="14" xfId="2" applyNumberFormat="1" applyFont="1" applyFill="1" applyBorder="1" applyAlignment="1" applyProtection="1">
      <alignment horizontal="center" vertical="center"/>
    </xf>
    <xf numFmtId="4" fontId="2" fillId="17" borderId="13" xfId="2" applyNumberFormat="1" applyFont="1" applyFill="1" applyBorder="1" applyAlignment="1" applyProtection="1">
      <alignment horizontal="center" vertical="center"/>
    </xf>
    <xf numFmtId="166" fontId="2" fillId="17" borderId="28" xfId="2" applyNumberFormat="1" applyFont="1" applyFill="1" applyBorder="1" applyAlignment="1" applyProtection="1">
      <alignment horizontal="center" vertical="center"/>
    </xf>
    <xf numFmtId="166" fontId="2" fillId="17" borderId="29" xfId="2" applyNumberFormat="1" applyFont="1" applyFill="1" applyBorder="1" applyAlignment="1" applyProtection="1">
      <alignment horizontal="center" vertical="center"/>
    </xf>
    <xf numFmtId="166" fontId="2" fillId="17" borderId="13" xfId="2" applyNumberFormat="1" applyFont="1" applyFill="1" applyBorder="1" applyAlignment="1" applyProtection="1">
      <alignment horizontal="center" vertical="center"/>
    </xf>
    <xf numFmtId="166" fontId="7" fillId="4" borderId="14" xfId="2" applyNumberFormat="1" applyFont="1" applyFill="1" applyBorder="1" applyAlignment="1" applyProtection="1">
      <alignment horizontal="center" vertical="center"/>
    </xf>
    <xf numFmtId="0" fontId="2" fillId="17" borderId="8" xfId="0" applyFont="1" applyFill="1" applyBorder="1" applyAlignment="1" applyProtection="1">
      <alignment horizontal="left" vertical="center" wrapText="1"/>
    </xf>
    <xf numFmtId="10" fontId="2" fillId="17" borderId="14" xfId="2" applyNumberFormat="1" applyFont="1" applyFill="1" applyBorder="1" applyAlignment="1" applyProtection="1">
      <alignment horizontal="center" vertical="center"/>
    </xf>
    <xf numFmtId="0" fontId="1" fillId="6" borderId="22" xfId="0" applyFont="1" applyFill="1" applyBorder="1" applyAlignment="1">
      <alignment horizontal="center" vertical="center"/>
    </xf>
    <xf numFmtId="4" fontId="2" fillId="17" borderId="41" xfId="2" applyNumberFormat="1" applyFont="1" applyFill="1" applyBorder="1" applyAlignment="1" applyProtection="1">
      <alignment horizontal="center" vertical="center"/>
    </xf>
    <xf numFmtId="4" fontId="2" fillId="17" borderId="42" xfId="2" applyNumberFormat="1" applyFont="1" applyFill="1" applyBorder="1" applyAlignment="1" applyProtection="1">
      <alignment horizontal="center" vertical="center"/>
    </xf>
    <xf numFmtId="0" fontId="3" fillId="4" borderId="43" xfId="0" applyNumberFormat="1" applyFont="1" applyFill="1" applyBorder="1" applyAlignment="1" applyProtection="1">
      <alignment horizontal="left" vertical="center"/>
    </xf>
    <xf numFmtId="0" fontId="3" fillId="4" borderId="45" xfId="0" applyNumberFormat="1" applyFont="1" applyFill="1" applyBorder="1" applyAlignment="1" applyProtection="1">
      <alignment horizontal="left" vertical="center"/>
    </xf>
    <xf numFmtId="0" fontId="3" fillId="4" borderId="23" xfId="0" applyNumberFormat="1" applyFont="1" applyFill="1" applyBorder="1" applyAlignment="1" applyProtection="1">
      <alignment horizontal="left" vertical="center"/>
    </xf>
    <xf numFmtId="0" fontId="1" fillId="6" borderId="0" xfId="0" applyFont="1" applyFill="1" applyAlignment="1">
      <alignment horizontal="right" vertical="center"/>
    </xf>
    <xf numFmtId="14" fontId="1" fillId="17" borderId="0" xfId="0" applyNumberFormat="1" applyFont="1" applyFill="1" applyAlignment="1">
      <alignment horizontal="left" vertical="center" wrapText="1"/>
    </xf>
    <xf numFmtId="10" fontId="1" fillId="0" borderId="0" xfId="0" applyNumberFormat="1" applyFont="1" applyFill="1" applyAlignment="1">
      <alignment horizontal="left" vertical="center" wrapText="1"/>
    </xf>
    <xf numFmtId="10" fontId="1" fillId="0" borderId="0" xfId="2" applyNumberFormat="1" applyFont="1" applyFill="1" applyAlignment="1">
      <alignment horizontal="left" vertical="center" wrapText="1"/>
    </xf>
    <xf numFmtId="14" fontId="1" fillId="6" borderId="0" xfId="0" applyNumberFormat="1" applyFont="1" applyFill="1" applyAlignment="1">
      <alignment horizontal="right" vertical="center"/>
    </xf>
    <xf numFmtId="0" fontId="1" fillId="6" borderId="0" xfId="0" applyFont="1" applyFill="1" applyAlignment="1" applyProtection="1">
      <alignment horizontal="center" vertical="center"/>
    </xf>
    <xf numFmtId="0" fontId="1" fillId="6" borderId="0" xfId="0" applyFont="1" applyFill="1" applyAlignment="1" applyProtection="1">
      <alignment horizontal="center" vertical="center"/>
    </xf>
    <xf numFmtId="10" fontId="1" fillId="6" borderId="0" xfId="2" applyNumberFormat="1" applyFont="1" applyFill="1" applyAlignment="1" applyProtection="1">
      <alignment horizontal="center" vertical="center"/>
    </xf>
    <xf numFmtId="166" fontId="1" fillId="6" borderId="0" xfId="0" applyNumberFormat="1" applyFont="1" applyFill="1" applyAlignment="1" applyProtection="1">
      <alignment horizontal="center" vertical="center"/>
    </xf>
    <xf numFmtId="166" fontId="1" fillId="6" borderId="0" xfId="2" applyNumberFormat="1" applyFont="1" applyFill="1" applyAlignment="1" applyProtection="1">
      <alignment horizontal="center" vertical="center"/>
    </xf>
    <xf numFmtId="0" fontId="3" fillId="4" borderId="20" xfId="0" applyFont="1" applyFill="1" applyBorder="1" applyAlignment="1">
      <alignment horizontal="left" vertical="center"/>
    </xf>
    <xf numFmtId="0" fontId="3" fillId="4" borderId="21" xfId="0" applyFont="1" applyFill="1" applyBorder="1" applyAlignment="1">
      <alignment horizontal="left" vertical="center"/>
    </xf>
    <xf numFmtId="0" fontId="1" fillId="4" borderId="24" xfId="0" applyFont="1" applyFill="1" applyBorder="1" applyAlignment="1">
      <alignment horizontal="left" vertical="center"/>
    </xf>
    <xf numFmtId="10" fontId="1" fillId="17" borderId="0" xfId="0" applyNumberFormat="1" applyFont="1" applyFill="1" applyAlignment="1">
      <alignment horizontal="center" vertical="center"/>
    </xf>
    <xf numFmtId="10" fontId="1" fillId="18" borderId="0" xfId="0" applyNumberFormat="1" applyFont="1" applyFill="1" applyAlignment="1">
      <alignment horizontal="center" vertical="center"/>
    </xf>
    <xf numFmtId="4" fontId="1" fillId="6" borderId="0" xfId="0" applyNumberFormat="1" applyFont="1" applyFill="1" applyAlignment="1">
      <alignment horizontal="center" vertical="center"/>
    </xf>
    <xf numFmtId="166" fontId="1" fillId="18" borderId="0" xfId="0" applyNumberFormat="1" applyFont="1" applyFill="1" applyAlignment="1">
      <alignment horizontal="center" vertical="center"/>
    </xf>
    <xf numFmtId="10" fontId="1" fillId="4" borderId="48" xfId="2" applyNumberFormat="1" applyFont="1" applyFill="1" applyBorder="1" applyAlignment="1" applyProtection="1">
      <alignment horizontal="center" vertical="center"/>
    </xf>
    <xf numFmtId="0" fontId="2" fillId="17" borderId="50" xfId="0" applyFont="1" applyFill="1" applyBorder="1" applyAlignment="1" applyProtection="1">
      <alignment horizontal="left" vertical="center" wrapText="1"/>
    </xf>
    <xf numFmtId="0" fontId="2" fillId="17" borderId="49" xfId="0" applyFont="1" applyFill="1" applyBorder="1" applyAlignment="1" applyProtection="1">
      <alignment horizontal="left" vertical="center" wrapText="1"/>
    </xf>
    <xf numFmtId="4" fontId="2" fillId="17" borderId="30" xfId="2" applyNumberFormat="1" applyFont="1" applyFill="1" applyBorder="1" applyAlignment="1" applyProtection="1">
      <alignment horizontal="center" vertical="center"/>
    </xf>
    <xf numFmtId="10" fontId="2" fillId="17" borderId="51" xfId="2" applyNumberFormat="1" applyFont="1" applyFill="1" applyBorder="1" applyAlignment="1" applyProtection="1">
      <alignment horizontal="center" vertical="center"/>
    </xf>
    <xf numFmtId="0" fontId="2" fillId="6" borderId="0" xfId="0" applyFont="1" applyFill="1" applyBorder="1" applyAlignment="1" applyProtection="1">
      <alignment horizontal="center" vertical="center"/>
    </xf>
    <xf numFmtId="0" fontId="2" fillId="6" borderId="0" xfId="0" applyFont="1" applyFill="1" applyBorder="1" applyAlignment="1" applyProtection="1">
      <alignment horizontal="left" vertical="center"/>
      <protection locked="0"/>
    </xf>
    <xf numFmtId="10" fontId="2" fillId="6" borderId="0" xfId="2" applyNumberFormat="1" applyFont="1" applyFill="1" applyBorder="1" applyAlignment="1" applyProtection="1">
      <alignment horizontal="center" vertical="center"/>
      <protection locked="0"/>
    </xf>
    <xf numFmtId="0" fontId="2" fillId="6" borderId="0" xfId="0" applyFont="1" applyFill="1" applyAlignment="1" applyProtection="1">
      <alignment horizontal="center" vertical="center"/>
    </xf>
    <xf numFmtId="4" fontId="2" fillId="6" borderId="0" xfId="0" applyNumberFormat="1" applyFont="1" applyFill="1" applyBorder="1" applyAlignment="1" applyProtection="1">
      <alignment horizontal="left" vertical="center"/>
    </xf>
    <xf numFmtId="10" fontId="2" fillId="6" borderId="0" xfId="2" applyNumberFormat="1" applyFont="1" applyFill="1" applyBorder="1" applyAlignment="1" applyProtection="1">
      <alignment horizontal="center" vertical="center"/>
    </xf>
    <xf numFmtId="4" fontId="2" fillId="6" borderId="0" xfId="0" applyNumberFormat="1" applyFont="1" applyFill="1" applyBorder="1" applyAlignment="1" applyProtection="1">
      <alignment horizontal="center" vertical="center"/>
    </xf>
    <xf numFmtId="165" fontId="2" fillId="6" borderId="0" xfId="2" applyNumberFormat="1" applyFont="1" applyFill="1" applyBorder="1" applyAlignment="1" applyProtection="1">
      <alignment horizontal="center" vertical="center"/>
    </xf>
    <xf numFmtId="165" fontId="2" fillId="6" borderId="0" xfId="0" applyNumberFormat="1" applyFont="1" applyFill="1" applyBorder="1" applyAlignment="1" applyProtection="1">
      <alignment horizontal="center" vertical="center"/>
    </xf>
    <xf numFmtId="167" fontId="3" fillId="6" borderId="0" xfId="0" applyNumberFormat="1" applyFont="1" applyFill="1" applyBorder="1" applyAlignment="1" applyProtection="1">
      <alignment horizontal="left" vertical="center"/>
    </xf>
    <xf numFmtId="0" fontId="31" fillId="2" borderId="0" xfId="0" applyFont="1" applyFill="1" applyAlignment="1">
      <alignment horizontal="center" vertical="center"/>
    </xf>
    <xf numFmtId="0" fontId="31" fillId="3" borderId="1" xfId="0" applyFont="1" applyFill="1" applyBorder="1" applyAlignment="1">
      <alignment horizontal="center" vertical="center"/>
    </xf>
    <xf numFmtId="166" fontId="31" fillId="6" borderId="0" xfId="0" applyNumberFormat="1" applyFont="1" applyFill="1" applyAlignment="1" applyProtection="1">
      <alignment horizontal="center" vertical="center"/>
    </xf>
    <xf numFmtId="166" fontId="31" fillId="6" borderId="0" xfId="2" applyNumberFormat="1" applyFont="1" applyFill="1" applyAlignment="1" applyProtection="1">
      <alignment horizontal="center" vertical="center"/>
    </xf>
    <xf numFmtId="10" fontId="31" fillId="6" borderId="0" xfId="2" applyNumberFormat="1" applyFont="1" applyFill="1" applyAlignment="1" applyProtection="1">
      <alignment horizontal="center" vertical="center"/>
    </xf>
    <xf numFmtId="0" fontId="22" fillId="15" borderId="0" xfId="0" applyFont="1" applyFill="1" applyBorder="1" applyAlignment="1">
      <alignment horizontal="center" vertical="center" wrapText="1"/>
    </xf>
    <xf numFmtId="0" fontId="3" fillId="5" borderId="0" xfId="0" applyFont="1" applyFill="1" applyAlignment="1">
      <alignment horizontal="left" vertical="center"/>
    </xf>
    <xf numFmtId="0" fontId="1" fillId="6" borderId="0" xfId="0" applyFont="1" applyFill="1" applyBorder="1" applyAlignment="1" applyProtection="1">
      <alignment horizontal="center" vertical="center"/>
    </xf>
    <xf numFmtId="10" fontId="26" fillId="6" borderId="0" xfId="2" applyNumberFormat="1" applyFont="1" applyFill="1" applyBorder="1" applyAlignment="1" applyProtection="1">
      <alignment horizontal="center" vertical="center"/>
    </xf>
    <xf numFmtId="166" fontId="27" fillId="6" borderId="0" xfId="0" applyNumberFormat="1" applyFont="1" applyFill="1" applyBorder="1" applyAlignment="1" applyProtection="1">
      <alignment horizontal="center" vertical="center"/>
    </xf>
    <xf numFmtId="0" fontId="31" fillId="4" borderId="0" xfId="0" applyFont="1" applyFill="1" applyAlignment="1" applyProtection="1">
      <alignment horizontal="center" vertical="center"/>
    </xf>
    <xf numFmtId="0" fontId="3" fillId="4" borderId="18" xfId="0" applyNumberFormat="1" applyFont="1" applyFill="1" applyBorder="1" applyAlignment="1" applyProtection="1">
      <alignment horizontal="left" vertical="center"/>
    </xf>
    <xf numFmtId="0" fontId="3" fillId="4" borderId="19" xfId="0" applyNumberFormat="1" applyFont="1" applyFill="1" applyBorder="1" applyAlignment="1" applyProtection="1">
      <alignment horizontal="left" vertical="center"/>
    </xf>
    <xf numFmtId="10" fontId="26" fillId="6" borderId="0" xfId="2" applyNumberFormat="1" applyFont="1" applyFill="1" applyAlignment="1" applyProtection="1">
      <alignment horizontal="center" vertical="center"/>
    </xf>
    <xf numFmtId="0" fontId="1" fillId="6" borderId="0" xfId="0" applyFont="1" applyFill="1" applyAlignment="1" applyProtection="1">
      <alignment horizontal="center" vertical="center"/>
    </xf>
    <xf numFmtId="166" fontId="27" fillId="6" borderId="0" xfId="0" applyNumberFormat="1" applyFont="1" applyFill="1" applyAlignment="1" applyProtection="1">
      <alignment horizontal="center" vertical="center"/>
    </xf>
    <xf numFmtId="0" fontId="3" fillId="4" borderId="27" xfId="0" applyNumberFormat="1" applyFont="1" applyFill="1" applyBorder="1" applyAlignment="1" applyProtection="1">
      <alignment horizontal="left" vertical="center"/>
    </xf>
    <xf numFmtId="0" fontId="21" fillId="6" borderId="0" xfId="0" applyNumberFormat="1" applyFont="1" applyFill="1" applyBorder="1" applyAlignment="1" applyProtection="1">
      <alignment horizontal="center" vertical="center"/>
    </xf>
    <xf numFmtId="0" fontId="1" fillId="4" borderId="46" xfId="0" applyFont="1" applyFill="1" applyBorder="1" applyAlignment="1" applyProtection="1">
      <alignment horizontal="center" vertical="center"/>
    </xf>
    <xf numFmtId="0" fontId="3" fillId="4" borderId="47" xfId="0" applyNumberFormat="1" applyFont="1" applyFill="1" applyBorder="1" applyAlignment="1" applyProtection="1">
      <alignment horizontal="left" vertical="center"/>
    </xf>
    <xf numFmtId="0" fontId="1" fillId="4" borderId="0" xfId="0" applyFont="1" applyFill="1" applyAlignment="1" applyProtection="1">
      <alignment horizontal="center" vertical="center"/>
    </xf>
    <xf numFmtId="0" fontId="32" fillId="6" borderId="44" xfId="0" applyFont="1" applyFill="1" applyBorder="1" applyAlignment="1">
      <alignment horizontal="left" vertical="center"/>
    </xf>
    <xf numFmtId="0" fontId="13" fillId="4" borderId="0" xfId="0" applyFont="1" applyFill="1" applyAlignment="1">
      <alignment horizontal="center" vertical="center"/>
    </xf>
    <xf numFmtId="0" fontId="3" fillId="6" borderId="0" xfId="0" applyFont="1" applyFill="1" applyAlignment="1">
      <alignment horizontal="left" vertical="center"/>
    </xf>
    <xf numFmtId="14" fontId="2" fillId="6" borderId="0" xfId="0" applyNumberFormat="1" applyFont="1" applyFill="1" applyAlignment="1">
      <alignment horizontal="left" vertical="center"/>
    </xf>
    <xf numFmtId="0" fontId="2" fillId="6" borderId="0" xfId="0" applyFont="1" applyFill="1" applyAlignment="1">
      <alignment horizontal="left" vertical="center"/>
    </xf>
    <xf numFmtId="0" fontId="3" fillId="6" borderId="0" xfId="0" applyFont="1" applyFill="1" applyAlignment="1">
      <alignment horizontal="center" vertical="center"/>
    </xf>
    <xf numFmtId="0" fontId="2" fillId="6" borderId="0" xfId="0" applyFont="1" applyFill="1" applyAlignment="1">
      <alignment horizontal="left" vertical="center" wrapText="1"/>
    </xf>
  </cellXfs>
  <cellStyles count="3">
    <cellStyle name="Hiperlink" xfId="1" builtinId="8"/>
    <cellStyle name="Normal" xfId="0" builtinId="0"/>
    <cellStyle name="Porcentagem" xfId="2" builtinId="5"/>
  </cellStyles>
  <dxfs count="7">
    <dxf>
      <fill>
        <patternFill patternType="solid">
          <fgColor theme="6" tint="0.79995117038483843"/>
          <bgColor theme="0" tint="-4.9989318521683403E-2"/>
        </patternFill>
      </fill>
    </dxf>
    <dxf>
      <fill>
        <patternFill patternType="solid">
          <fgColor theme="6" tint="0.79998168889431442"/>
          <bgColor theme="6" tint="0.79998168889431442"/>
        </patternFill>
      </fill>
    </dxf>
    <dxf>
      <font>
        <b/>
        <color theme="6" tint="-0.249977111117893"/>
      </font>
    </dxf>
    <dxf>
      <font>
        <b/>
        <color theme="6" tint="-0.249977111117893"/>
      </font>
    </dxf>
    <dxf>
      <font>
        <b/>
        <color theme="6" tint="-0.249977111117893"/>
      </font>
      <border>
        <top style="thin">
          <color theme="6"/>
        </top>
      </border>
    </dxf>
    <dxf>
      <font>
        <b/>
        <color theme="6" tint="-0.249977111117893"/>
      </font>
      <border>
        <bottom style="thin">
          <color theme="6"/>
        </bottom>
      </border>
    </dxf>
    <dxf>
      <font>
        <color theme="6" tint="-0.249977111117893"/>
      </font>
      <border>
        <top style="thin">
          <color theme="6"/>
        </top>
        <bottom style="thin">
          <color theme="6"/>
        </bottom>
      </border>
    </dxf>
  </dxfs>
  <tableStyles count="1" defaultTableStyle="TableStyleMedium2" defaultPivotStyle="PivotStyleLight16">
    <tableStyle name="TableStyleLight4 2" pivot="0" count="7">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colors>
    <mruColors>
      <color rgb="FFFB5A56"/>
      <color rgb="FF333F4F"/>
      <color rgb="FF3599B8"/>
      <color rgb="FFF2C80F"/>
      <color rgb="FF01B8AA"/>
      <color rgb="FF2B353E"/>
      <color rgb="FF850C35"/>
      <color rgb="FF4F031C"/>
      <color rgb="FF800080"/>
      <color rgb="FFA5002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r>
              <a:rPr lang="pt-BR">
                <a:solidFill>
                  <a:schemeClr val="tx1">
                    <a:lumMod val="75000"/>
                    <a:lumOff val="25000"/>
                  </a:schemeClr>
                </a:solidFill>
              </a:rPr>
              <a:t>Alíquota Efetiva</a:t>
            </a:r>
          </a:p>
        </c:rich>
      </c:tx>
      <c:layout>
        <c:manualLayout>
          <c:xMode val="edge"/>
          <c:yMode val="edge"/>
          <c:x val="0.28344941956882258"/>
          <c:y val="7.1301247771836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14742951907131011"/>
          <c:y val="0.22857158897918509"/>
          <c:w val="0.70514096185737962"/>
          <c:h val="0.47743764649739634"/>
        </c:manualLayout>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8AB8-48EB-A11D-9882FCF3EEC0}"/>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8AB8-48EB-A11D-9882FCF3EEC0}"/>
              </c:ext>
            </c:extLst>
          </c:dPt>
          <c:val>
            <c:numRef>
              <c:f>'BH (1)'!$F$6:$G$6</c:f>
              <c:numCache>
                <c:formatCode>0.00%</c:formatCode>
                <c:ptCount val="2"/>
                <c:pt idx="0">
                  <c:v>0.04</c:v>
                </c:pt>
                <c:pt idx="1">
                  <c:v>0.96</c:v>
                </c:pt>
              </c:numCache>
            </c:numRef>
          </c:val>
          <c:extLst>
            <c:ext xmlns:c16="http://schemas.microsoft.com/office/drawing/2014/chart" uri="{C3380CC4-5D6E-409C-BE32-E72D297353CC}">
              <c16:uniqueId val="{00000004-8AB8-48EB-A11D-9882FCF3EEC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sz="1000">
          <a:solidFill>
            <a:schemeClr val="tx1">
              <a:lumMod val="65000"/>
              <a:lumOff val="35000"/>
            </a:schemeClr>
          </a:solidFill>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r>
              <a:rPr lang="pt-BR">
                <a:solidFill>
                  <a:schemeClr val="tx1">
                    <a:lumMod val="75000"/>
                    <a:lumOff val="25000"/>
                  </a:schemeClr>
                </a:solidFill>
              </a:rPr>
              <a:t>Alíquota Efetiva</a:t>
            </a:r>
          </a:p>
        </c:rich>
      </c:tx>
      <c:layout>
        <c:manualLayout>
          <c:xMode val="edge"/>
          <c:yMode val="edge"/>
          <c:x val="0.28344941956882258"/>
          <c:y val="7.1301247771836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14742951907131011"/>
          <c:y val="0.22857158897918509"/>
          <c:w val="0.70514096185737962"/>
          <c:h val="0.47743764649739634"/>
        </c:manualLayout>
      </c:layout>
      <c:doughnutChart>
        <c:varyColors val="1"/>
        <c:ser>
          <c:idx val="0"/>
          <c:order val="0"/>
          <c:spPr>
            <a:ln>
              <a:noFill/>
            </a:ln>
          </c:spPr>
          <c:dPt>
            <c:idx val="0"/>
            <c:bubble3D val="0"/>
            <c:spPr>
              <a:solidFill>
                <a:srgbClr val="F2C80F"/>
              </a:solidFill>
              <a:ln w="19050">
                <a:noFill/>
              </a:ln>
              <a:effectLst/>
            </c:spPr>
            <c:extLst>
              <c:ext xmlns:c16="http://schemas.microsoft.com/office/drawing/2014/chart" uri="{C3380CC4-5D6E-409C-BE32-E72D297353CC}">
                <c16:uniqueId val="{00000001-13C4-4706-8DCD-91508A37249B}"/>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13C4-4706-8DCD-91508A37249B}"/>
              </c:ext>
            </c:extLst>
          </c:dPt>
          <c:val>
            <c:numRef>
              <c:f>'BH (1)'!$F$7:$G$7</c:f>
              <c:numCache>
                <c:formatCode>0.00%</c:formatCode>
                <c:ptCount val="2"/>
                <c:pt idx="0">
                  <c:v>4.5000000000000005E-2</c:v>
                </c:pt>
                <c:pt idx="1">
                  <c:v>0.95499999999999996</c:v>
                </c:pt>
              </c:numCache>
            </c:numRef>
          </c:val>
          <c:extLst>
            <c:ext xmlns:c16="http://schemas.microsoft.com/office/drawing/2014/chart" uri="{C3380CC4-5D6E-409C-BE32-E72D297353CC}">
              <c16:uniqueId val="{00000004-13C4-4706-8DCD-91508A37249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sz="1000">
          <a:solidFill>
            <a:schemeClr val="tx1">
              <a:lumMod val="65000"/>
              <a:lumOff val="35000"/>
            </a:schemeClr>
          </a:solidFill>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r>
              <a:rPr lang="pt-BR">
                <a:solidFill>
                  <a:schemeClr val="tx1">
                    <a:lumMod val="75000"/>
                    <a:lumOff val="25000"/>
                  </a:schemeClr>
                </a:solidFill>
              </a:rPr>
              <a:t>Alíquota Efetiva</a:t>
            </a:r>
          </a:p>
        </c:rich>
      </c:tx>
      <c:layout>
        <c:manualLayout>
          <c:xMode val="edge"/>
          <c:yMode val="edge"/>
          <c:x val="0.28344941956882258"/>
          <c:y val="7.1301247771836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14742951907131011"/>
          <c:y val="0.22857158897918509"/>
          <c:w val="0.70514096185737962"/>
          <c:h val="0.47743764649739634"/>
        </c:manualLayout>
      </c:layout>
      <c:doughnutChart>
        <c:varyColors val="1"/>
        <c:ser>
          <c:idx val="0"/>
          <c:order val="0"/>
          <c:spPr>
            <a:ln>
              <a:noFill/>
            </a:ln>
          </c:spPr>
          <c:dPt>
            <c:idx val="0"/>
            <c:bubble3D val="0"/>
            <c:spPr>
              <a:solidFill>
                <a:srgbClr val="3599B8"/>
              </a:solidFill>
              <a:ln w="19050">
                <a:noFill/>
              </a:ln>
              <a:effectLst/>
            </c:spPr>
            <c:extLst>
              <c:ext xmlns:c16="http://schemas.microsoft.com/office/drawing/2014/chart" uri="{C3380CC4-5D6E-409C-BE32-E72D297353CC}">
                <c16:uniqueId val="{00000001-1C73-4570-90B1-432801FAB234}"/>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1C73-4570-90B1-432801FAB234}"/>
              </c:ext>
            </c:extLst>
          </c:dPt>
          <c:val>
            <c:numRef>
              <c:f>'BH (1)'!$F$8:$G$8</c:f>
              <c:numCache>
                <c:formatCode>0.00%</c:formatCode>
                <c:ptCount val="2"/>
                <c:pt idx="0">
                  <c:v>0.06</c:v>
                </c:pt>
                <c:pt idx="1">
                  <c:v>0.94</c:v>
                </c:pt>
              </c:numCache>
            </c:numRef>
          </c:val>
          <c:extLst>
            <c:ext xmlns:c16="http://schemas.microsoft.com/office/drawing/2014/chart" uri="{C3380CC4-5D6E-409C-BE32-E72D297353CC}">
              <c16:uniqueId val="{00000004-1C73-4570-90B1-432801FAB23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sz="1000">
          <a:solidFill>
            <a:schemeClr val="tx1">
              <a:lumMod val="65000"/>
              <a:lumOff val="35000"/>
            </a:schemeClr>
          </a:solidFill>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r>
              <a:rPr lang="pt-BR">
                <a:solidFill>
                  <a:schemeClr val="tx1">
                    <a:lumMod val="75000"/>
                    <a:lumOff val="25000"/>
                  </a:schemeClr>
                </a:solidFill>
              </a:rPr>
              <a:t>Alíquota Efetiva</a:t>
            </a:r>
          </a:p>
        </c:rich>
      </c:tx>
      <c:layout>
        <c:manualLayout>
          <c:xMode val="edge"/>
          <c:yMode val="edge"/>
          <c:x val="0.28344941956882258"/>
          <c:y val="7.1301247771836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14742951907131011"/>
          <c:y val="0.22857158897918509"/>
          <c:w val="0.70514096185737962"/>
          <c:h val="0.47743764649739634"/>
        </c:manualLayout>
      </c:layout>
      <c:doughnutChart>
        <c:varyColors val="1"/>
        <c:ser>
          <c:idx val="0"/>
          <c:order val="0"/>
          <c:spPr>
            <a:ln>
              <a:noFill/>
            </a:ln>
          </c:spPr>
          <c:dPt>
            <c:idx val="0"/>
            <c:bubble3D val="0"/>
            <c:spPr>
              <a:solidFill>
                <a:srgbClr val="333F4F"/>
              </a:solidFill>
              <a:ln w="19050">
                <a:noFill/>
              </a:ln>
              <a:effectLst/>
            </c:spPr>
            <c:extLst>
              <c:ext xmlns:c16="http://schemas.microsoft.com/office/drawing/2014/chart" uri="{C3380CC4-5D6E-409C-BE32-E72D297353CC}">
                <c16:uniqueId val="{00000001-6108-40EA-A5AC-FCA34FD9302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6108-40EA-A5AC-FCA34FD9302C}"/>
              </c:ext>
            </c:extLst>
          </c:dPt>
          <c:val>
            <c:numRef>
              <c:f>'BH (1)'!$F$9:$G$9</c:f>
              <c:numCache>
                <c:formatCode>0.00%</c:formatCode>
                <c:ptCount val="2"/>
                <c:pt idx="0">
                  <c:v>4.5000000000000005E-2</c:v>
                </c:pt>
                <c:pt idx="1">
                  <c:v>0.95499999999999996</c:v>
                </c:pt>
              </c:numCache>
            </c:numRef>
          </c:val>
          <c:extLst>
            <c:ext xmlns:c16="http://schemas.microsoft.com/office/drawing/2014/chart" uri="{C3380CC4-5D6E-409C-BE32-E72D297353CC}">
              <c16:uniqueId val="{00000004-6108-40EA-A5AC-FCA34FD9302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sz="1000">
          <a:solidFill>
            <a:schemeClr val="tx1">
              <a:lumMod val="65000"/>
              <a:lumOff val="35000"/>
            </a:schemeClr>
          </a:solidFill>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r>
              <a:rPr lang="pt-BR">
                <a:solidFill>
                  <a:schemeClr val="tx1">
                    <a:lumMod val="75000"/>
                    <a:lumOff val="25000"/>
                  </a:schemeClr>
                </a:solidFill>
              </a:rPr>
              <a:t>Alíquota Efetiva</a:t>
            </a:r>
          </a:p>
        </c:rich>
      </c:tx>
      <c:layout>
        <c:manualLayout>
          <c:xMode val="edge"/>
          <c:yMode val="edge"/>
          <c:x val="0.28344941956882258"/>
          <c:y val="7.1301247771836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14742951907131011"/>
          <c:y val="0.22857158897918509"/>
          <c:w val="0.70514096185737962"/>
          <c:h val="0.47743764649739634"/>
        </c:manualLayout>
      </c:layout>
      <c:doughnutChart>
        <c:varyColors val="1"/>
        <c:ser>
          <c:idx val="0"/>
          <c:order val="0"/>
          <c:spPr>
            <a:ln>
              <a:noFill/>
            </a:ln>
          </c:spPr>
          <c:dPt>
            <c:idx val="0"/>
            <c:bubble3D val="0"/>
            <c:spPr>
              <a:solidFill>
                <a:srgbClr val="FB5A56"/>
              </a:solidFill>
              <a:ln w="19050">
                <a:noFill/>
              </a:ln>
              <a:effectLst/>
            </c:spPr>
            <c:extLst>
              <c:ext xmlns:c16="http://schemas.microsoft.com/office/drawing/2014/chart" uri="{C3380CC4-5D6E-409C-BE32-E72D297353CC}">
                <c16:uniqueId val="{00000001-A677-4EB6-8717-4E2636825538}"/>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A677-4EB6-8717-4E2636825538}"/>
              </c:ext>
            </c:extLst>
          </c:dPt>
          <c:val>
            <c:numRef>
              <c:f>'BH (1)'!$F$10:$G$10</c:f>
              <c:numCache>
                <c:formatCode>0.00%</c:formatCode>
                <c:ptCount val="2"/>
                <c:pt idx="0">
                  <c:v>0.155</c:v>
                </c:pt>
                <c:pt idx="1">
                  <c:v>0.84499999999999997</c:v>
                </c:pt>
              </c:numCache>
            </c:numRef>
          </c:val>
          <c:extLst>
            <c:ext xmlns:c16="http://schemas.microsoft.com/office/drawing/2014/chart" uri="{C3380CC4-5D6E-409C-BE32-E72D297353CC}">
              <c16:uniqueId val="{00000004-A677-4EB6-8717-4E263682553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sz="1000">
          <a:solidFill>
            <a:schemeClr val="tx1">
              <a:lumMod val="65000"/>
              <a:lumOff val="35000"/>
            </a:schemeClr>
          </a:solidFill>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r>
              <a:rPr lang="pt-BR">
                <a:solidFill>
                  <a:schemeClr val="tx1">
                    <a:lumMod val="75000"/>
                    <a:lumOff val="25000"/>
                  </a:schemeClr>
                </a:solidFill>
              </a:rPr>
              <a:t>Alíquota Efetiva</a:t>
            </a:r>
          </a:p>
        </c:rich>
      </c:tx>
      <c:layout>
        <c:manualLayout>
          <c:xMode val="edge"/>
          <c:yMode val="edge"/>
          <c:x val="0.28344941956882258"/>
          <c:y val="7.1301247771836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14742951907131011"/>
          <c:y val="0.22857158897918509"/>
          <c:w val="0.70514096185737962"/>
          <c:h val="0.47743764649739634"/>
        </c:manualLayout>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04A8-48D1-BBC1-CFA0E34C0E26}"/>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04A8-48D1-BBC1-CFA0E34C0E26}"/>
              </c:ext>
            </c:extLst>
          </c:dPt>
          <c:val>
            <c:numRef>
              <c:f>'BH (1)'!$F$6:$G$6</c:f>
              <c:numCache>
                <c:formatCode>0.00%</c:formatCode>
                <c:ptCount val="2"/>
                <c:pt idx="0">
                  <c:v>0.04</c:v>
                </c:pt>
                <c:pt idx="1">
                  <c:v>0.96</c:v>
                </c:pt>
              </c:numCache>
            </c:numRef>
          </c:val>
          <c:extLst>
            <c:ext xmlns:c16="http://schemas.microsoft.com/office/drawing/2014/chart" uri="{C3380CC4-5D6E-409C-BE32-E72D297353CC}">
              <c16:uniqueId val="{00000004-04A8-48D1-BBC1-CFA0E34C0E2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sz="1000">
          <a:solidFill>
            <a:schemeClr val="tx1">
              <a:lumMod val="65000"/>
              <a:lumOff val="35000"/>
            </a:schemeClr>
          </a:solidFill>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r>
              <a:rPr lang="pt-BR">
                <a:solidFill>
                  <a:schemeClr val="tx1">
                    <a:lumMod val="75000"/>
                    <a:lumOff val="25000"/>
                  </a:schemeClr>
                </a:solidFill>
              </a:rPr>
              <a:t>Alíquota Efetiva</a:t>
            </a:r>
          </a:p>
        </c:rich>
      </c:tx>
      <c:layout>
        <c:manualLayout>
          <c:xMode val="edge"/>
          <c:yMode val="edge"/>
          <c:x val="0.28344941956882258"/>
          <c:y val="7.1301247771836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14742951907131011"/>
          <c:y val="0.22857158897918509"/>
          <c:w val="0.70514096185737962"/>
          <c:h val="0.47743764649739634"/>
        </c:manualLayout>
      </c:layout>
      <c:doughnutChart>
        <c:varyColors val="1"/>
        <c:ser>
          <c:idx val="0"/>
          <c:order val="0"/>
          <c:spPr>
            <a:ln>
              <a:noFill/>
            </a:ln>
          </c:spPr>
          <c:dPt>
            <c:idx val="0"/>
            <c:bubble3D val="0"/>
            <c:spPr>
              <a:solidFill>
                <a:srgbClr val="F2C80F"/>
              </a:solidFill>
              <a:ln w="19050">
                <a:noFill/>
              </a:ln>
              <a:effectLst/>
            </c:spPr>
            <c:extLst>
              <c:ext xmlns:c16="http://schemas.microsoft.com/office/drawing/2014/chart" uri="{C3380CC4-5D6E-409C-BE32-E72D297353CC}">
                <c16:uniqueId val="{00000001-6B95-4BCA-83F2-82A9BDA185C5}"/>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6B95-4BCA-83F2-82A9BDA185C5}"/>
              </c:ext>
            </c:extLst>
          </c:dPt>
          <c:val>
            <c:numRef>
              <c:f>'BH (1)'!$F$7:$G$7</c:f>
              <c:numCache>
                <c:formatCode>0.00%</c:formatCode>
                <c:ptCount val="2"/>
                <c:pt idx="0">
                  <c:v>4.5000000000000005E-2</c:v>
                </c:pt>
                <c:pt idx="1">
                  <c:v>0.95499999999999996</c:v>
                </c:pt>
              </c:numCache>
            </c:numRef>
          </c:val>
          <c:extLst>
            <c:ext xmlns:c16="http://schemas.microsoft.com/office/drawing/2014/chart" uri="{C3380CC4-5D6E-409C-BE32-E72D297353CC}">
              <c16:uniqueId val="{00000004-6B95-4BCA-83F2-82A9BDA185C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sz="1000">
          <a:solidFill>
            <a:schemeClr val="tx1">
              <a:lumMod val="65000"/>
              <a:lumOff val="35000"/>
            </a:schemeClr>
          </a:solidFill>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r>
              <a:rPr lang="pt-BR">
                <a:solidFill>
                  <a:schemeClr val="tx1">
                    <a:lumMod val="75000"/>
                    <a:lumOff val="25000"/>
                  </a:schemeClr>
                </a:solidFill>
              </a:rPr>
              <a:t>Alíquota Efetiva</a:t>
            </a:r>
          </a:p>
        </c:rich>
      </c:tx>
      <c:layout>
        <c:manualLayout>
          <c:xMode val="edge"/>
          <c:yMode val="edge"/>
          <c:x val="0.28344941956882258"/>
          <c:y val="7.1301247771836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14742951907131011"/>
          <c:y val="0.22857158897918509"/>
          <c:w val="0.70514096185737962"/>
          <c:h val="0.47743764649739634"/>
        </c:manualLayout>
      </c:layout>
      <c:doughnutChart>
        <c:varyColors val="1"/>
        <c:ser>
          <c:idx val="0"/>
          <c:order val="0"/>
          <c:spPr>
            <a:ln>
              <a:noFill/>
            </a:ln>
          </c:spPr>
          <c:dPt>
            <c:idx val="0"/>
            <c:bubble3D val="0"/>
            <c:spPr>
              <a:solidFill>
                <a:srgbClr val="3599B8"/>
              </a:solidFill>
              <a:ln w="19050">
                <a:noFill/>
              </a:ln>
              <a:effectLst/>
            </c:spPr>
            <c:extLst>
              <c:ext xmlns:c16="http://schemas.microsoft.com/office/drawing/2014/chart" uri="{C3380CC4-5D6E-409C-BE32-E72D297353CC}">
                <c16:uniqueId val="{00000001-22C3-4562-A4AE-67039B2F1E83}"/>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22C3-4562-A4AE-67039B2F1E83}"/>
              </c:ext>
            </c:extLst>
          </c:dPt>
          <c:val>
            <c:numRef>
              <c:f>'BH (1)'!$F$8:$G$8</c:f>
              <c:numCache>
                <c:formatCode>0.00%</c:formatCode>
                <c:ptCount val="2"/>
                <c:pt idx="0">
                  <c:v>0.06</c:v>
                </c:pt>
                <c:pt idx="1">
                  <c:v>0.94</c:v>
                </c:pt>
              </c:numCache>
            </c:numRef>
          </c:val>
          <c:extLst>
            <c:ext xmlns:c16="http://schemas.microsoft.com/office/drawing/2014/chart" uri="{C3380CC4-5D6E-409C-BE32-E72D297353CC}">
              <c16:uniqueId val="{00000004-22C3-4562-A4AE-67039B2F1E8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sz="1000">
          <a:solidFill>
            <a:schemeClr val="tx1">
              <a:lumMod val="65000"/>
              <a:lumOff val="35000"/>
            </a:schemeClr>
          </a:solidFill>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r>
              <a:rPr lang="pt-BR">
                <a:solidFill>
                  <a:schemeClr val="tx1">
                    <a:lumMod val="75000"/>
                    <a:lumOff val="25000"/>
                  </a:schemeClr>
                </a:solidFill>
              </a:rPr>
              <a:t>Alíquota Efetiva</a:t>
            </a:r>
          </a:p>
        </c:rich>
      </c:tx>
      <c:layout>
        <c:manualLayout>
          <c:xMode val="edge"/>
          <c:yMode val="edge"/>
          <c:x val="0.28344941956882258"/>
          <c:y val="7.1301247771836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14742951907131011"/>
          <c:y val="0.22857158897918509"/>
          <c:w val="0.70514096185737962"/>
          <c:h val="0.47743764649739634"/>
        </c:manualLayout>
      </c:layout>
      <c:doughnutChart>
        <c:varyColors val="1"/>
        <c:ser>
          <c:idx val="0"/>
          <c:order val="0"/>
          <c:spPr>
            <a:ln>
              <a:noFill/>
            </a:ln>
          </c:spPr>
          <c:dPt>
            <c:idx val="0"/>
            <c:bubble3D val="0"/>
            <c:spPr>
              <a:solidFill>
                <a:srgbClr val="333F4F"/>
              </a:solidFill>
              <a:ln w="19050">
                <a:noFill/>
              </a:ln>
              <a:effectLst/>
            </c:spPr>
            <c:extLst>
              <c:ext xmlns:c16="http://schemas.microsoft.com/office/drawing/2014/chart" uri="{C3380CC4-5D6E-409C-BE32-E72D297353CC}">
                <c16:uniqueId val="{00000001-9262-41A5-81C1-279007F96C62}"/>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9262-41A5-81C1-279007F96C62}"/>
              </c:ext>
            </c:extLst>
          </c:dPt>
          <c:val>
            <c:numRef>
              <c:f>'BH (1)'!$F$9:$G$9</c:f>
              <c:numCache>
                <c:formatCode>0.00%</c:formatCode>
                <c:ptCount val="2"/>
                <c:pt idx="0">
                  <c:v>4.5000000000000005E-2</c:v>
                </c:pt>
                <c:pt idx="1">
                  <c:v>0.95499999999999996</c:v>
                </c:pt>
              </c:numCache>
            </c:numRef>
          </c:val>
          <c:extLst>
            <c:ext xmlns:c16="http://schemas.microsoft.com/office/drawing/2014/chart" uri="{C3380CC4-5D6E-409C-BE32-E72D297353CC}">
              <c16:uniqueId val="{00000004-9262-41A5-81C1-279007F96C6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sz="1000">
          <a:solidFill>
            <a:schemeClr val="tx1">
              <a:lumMod val="65000"/>
              <a:lumOff val="35000"/>
            </a:schemeClr>
          </a:solidFill>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r>
              <a:rPr lang="pt-BR">
                <a:solidFill>
                  <a:schemeClr val="tx1">
                    <a:lumMod val="75000"/>
                    <a:lumOff val="25000"/>
                  </a:schemeClr>
                </a:solidFill>
              </a:rPr>
              <a:t>Alíquota Efetiva</a:t>
            </a:r>
          </a:p>
        </c:rich>
      </c:tx>
      <c:layout>
        <c:manualLayout>
          <c:xMode val="edge"/>
          <c:yMode val="edge"/>
          <c:x val="0.28344941956882258"/>
          <c:y val="7.1301247771836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75000"/>
                  <a:lumOff val="25000"/>
                </a:schemeClr>
              </a:solidFill>
              <a:latin typeface="+mn-lt"/>
              <a:ea typeface="+mn-ea"/>
              <a:cs typeface="+mn-cs"/>
            </a:defRPr>
          </a:pPr>
          <a:endParaRPr lang="pt-BR"/>
        </a:p>
      </c:txPr>
    </c:title>
    <c:autoTitleDeleted val="0"/>
    <c:plotArea>
      <c:layout>
        <c:manualLayout>
          <c:layoutTarget val="inner"/>
          <c:xMode val="edge"/>
          <c:yMode val="edge"/>
          <c:x val="0.14742951907131011"/>
          <c:y val="0.22857158897918509"/>
          <c:w val="0.70514096185737962"/>
          <c:h val="0.47743764649739634"/>
        </c:manualLayout>
      </c:layout>
      <c:doughnutChart>
        <c:varyColors val="1"/>
        <c:ser>
          <c:idx val="0"/>
          <c:order val="0"/>
          <c:spPr>
            <a:ln>
              <a:noFill/>
            </a:ln>
          </c:spPr>
          <c:dPt>
            <c:idx val="0"/>
            <c:bubble3D val="0"/>
            <c:spPr>
              <a:solidFill>
                <a:srgbClr val="FB5A56"/>
              </a:solidFill>
              <a:ln w="19050">
                <a:noFill/>
              </a:ln>
              <a:effectLst/>
            </c:spPr>
            <c:extLst>
              <c:ext xmlns:c16="http://schemas.microsoft.com/office/drawing/2014/chart" uri="{C3380CC4-5D6E-409C-BE32-E72D297353CC}">
                <c16:uniqueId val="{00000001-E295-4610-9D1A-ED46212E403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E295-4610-9D1A-ED46212E4039}"/>
              </c:ext>
            </c:extLst>
          </c:dPt>
          <c:val>
            <c:numRef>
              <c:f>'BH (1)'!$F$10:$G$10</c:f>
              <c:numCache>
                <c:formatCode>0.00%</c:formatCode>
                <c:ptCount val="2"/>
                <c:pt idx="0">
                  <c:v>0.155</c:v>
                </c:pt>
                <c:pt idx="1">
                  <c:v>0.84499999999999997</c:v>
                </c:pt>
              </c:numCache>
            </c:numRef>
          </c:val>
          <c:extLst>
            <c:ext xmlns:c16="http://schemas.microsoft.com/office/drawing/2014/chart" uri="{C3380CC4-5D6E-409C-BE32-E72D297353CC}">
              <c16:uniqueId val="{00000004-E295-4610-9D1A-ED46212E403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sz="1000">
          <a:solidFill>
            <a:schemeClr val="tx1">
              <a:lumMod val="65000"/>
              <a:lumOff val="35000"/>
            </a:schemeClr>
          </a:solidFill>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31" dropStyle="combo" dx="22" fmlaLink="'BH (1)'!$B$3" fmlaRange="Dia" sel="15" val="0"/>
</file>

<file path=xl/ctrlProps/ctrlProp5.xml><?xml version="1.0" encoding="utf-8"?>
<formControlPr xmlns="http://schemas.microsoft.com/office/spreadsheetml/2009/9/main" objectType="Drop" dropLines="12" dropStyle="combo" dx="22" fmlaLink="'BH (1)'!$C$3" fmlaRange="MÊs" sel="2" val="0"/>
</file>

<file path=xl/ctrlProps/ctrlProp6.xml><?xml version="1.0" encoding="utf-8"?>
<formControlPr xmlns="http://schemas.microsoft.com/office/spreadsheetml/2009/9/main" objectType="Drop" dropLines="11" dropStyle="combo" dx="22" fmlaLink="'BH (1)'!$D$3" fmlaRange="Ano" sel="3" val="0"/>
</file>

<file path=xl/ctrlProps/ctrlProp7.xml><?xml version="1.0" encoding="utf-8"?>
<formControlPr xmlns="http://schemas.microsoft.com/office/spreadsheetml/2009/9/main" objectType="Drop" dropLines="5" dropStyle="combo" dx="22" fmlaLink="'BH (1)'!$H$8" fmlaRange="Anexo" sel="1" val="0"/>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GBox"/>
</file>

<file path=xl/ctrlProps/ctrlProp12.xml><?xml version="1.0" encoding="utf-8"?>
<formControlPr xmlns="http://schemas.microsoft.com/office/spreadsheetml/2009/9/main" objectType="GBox"/>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GBox"/>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GBox"/>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GBox"/>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GBox"/>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jpg"/><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4.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svg"/><Relationship Id="rId7" Type="http://schemas.openxmlformats.org/officeDocument/2006/relationships/image" Target="../media/image7.svg"/><Relationship Id="rId2" Type="http://schemas.openxmlformats.org/officeDocument/2006/relationships/image" Target="../media/image2.png"/><Relationship Id="rId1" Type="http://schemas.openxmlformats.org/officeDocument/2006/relationships/hyperlink" Target="#In&#237;cio!A1"/><Relationship Id="rId6" Type="http://schemas.openxmlformats.org/officeDocument/2006/relationships/image" Target="../media/image4.png"/><Relationship Id="rId5" Type="http://schemas.openxmlformats.org/officeDocument/2006/relationships/image" Target="../media/image5.svg"/><Relationship Id="rId4" Type="http://schemas.openxmlformats.org/officeDocument/2006/relationships/image" Target="../media/image3.png"/><Relationship Id="rId9" Type="http://schemas.openxmlformats.org/officeDocument/2006/relationships/image" Target="../media/image9.svg"/></Relationships>
</file>

<file path=xl/drawings/_rels/drawing5.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5.svg"/><Relationship Id="rId18" Type="http://schemas.openxmlformats.org/officeDocument/2006/relationships/hyperlink" Target="#Aprendizado!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8.png"/><Relationship Id="rId17" Type="http://schemas.openxmlformats.org/officeDocument/2006/relationships/hyperlink" Target="#GO!A1"/><Relationship Id="rId2" Type="http://schemas.openxmlformats.org/officeDocument/2006/relationships/hyperlink" Target="#Cadastros!A1"/><Relationship Id="rId16" Type="http://schemas.openxmlformats.org/officeDocument/2006/relationships/image" Target="../media/image17.svg"/><Relationship Id="rId20" Type="http://schemas.openxmlformats.org/officeDocument/2006/relationships/image" Target="../media/image19.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13.svg"/><Relationship Id="rId5" Type="http://schemas.openxmlformats.org/officeDocument/2006/relationships/hyperlink" Target="#Dashboard!A1"/><Relationship Id="rId15" Type="http://schemas.openxmlformats.org/officeDocument/2006/relationships/image" Target="../media/image9.png"/><Relationship Id="rId10" Type="http://schemas.openxmlformats.org/officeDocument/2006/relationships/image" Target="../media/image7.png"/><Relationship Id="rId19" Type="http://schemas.openxmlformats.org/officeDocument/2006/relationships/image" Target="../media/image10.png"/><Relationship Id="rId4" Type="http://schemas.openxmlformats.org/officeDocument/2006/relationships/hyperlink" Target="#Relat&#243;rios!A1"/><Relationship Id="rId9" Type="http://schemas.openxmlformats.org/officeDocument/2006/relationships/image" Target="../media/image11.svg"/><Relationship Id="rId14" Type="http://schemas.openxmlformats.org/officeDocument/2006/relationships/hyperlink" Target="#Capa!A1"/></Relationships>
</file>

<file path=xl/drawings/_rels/drawing6.xml.rels><?xml version="1.0" encoding="UTF-8" standalone="yes"?>
<Relationships xmlns="http://schemas.openxmlformats.org/package/2006/relationships"><Relationship Id="rId8" Type="http://schemas.openxmlformats.org/officeDocument/2006/relationships/hyperlink" Target="#Aprendizado!A1"/><Relationship Id="rId13" Type="http://schemas.openxmlformats.org/officeDocument/2006/relationships/image" Target="../media/image12.jpg"/><Relationship Id="rId18" Type="http://schemas.openxmlformats.org/officeDocument/2006/relationships/hyperlink" Target="https://go.hotmart.com/E53336286M" TargetMode="External"/><Relationship Id="rId26" Type="http://schemas.openxmlformats.org/officeDocument/2006/relationships/image" Target="../media/image34.svg"/><Relationship Id="rId39" Type="http://schemas.openxmlformats.org/officeDocument/2006/relationships/image" Target="../media/image44.svg"/><Relationship Id="rId3" Type="http://schemas.openxmlformats.org/officeDocument/2006/relationships/hyperlink" Target="#Lan&#231;amentos!A1"/><Relationship Id="rId21" Type="http://schemas.openxmlformats.org/officeDocument/2006/relationships/image" Target="../media/image16.png"/><Relationship Id="rId34" Type="http://schemas.openxmlformats.org/officeDocument/2006/relationships/image" Target="../media/image40.svg"/><Relationship Id="rId42" Type="http://schemas.openxmlformats.org/officeDocument/2006/relationships/hyperlink" Target="https://go.hotmart.com/K19413188T" TargetMode="External"/><Relationship Id="rId47" Type="http://schemas.openxmlformats.org/officeDocument/2006/relationships/image" Target="../media/image27.png"/><Relationship Id="rId7" Type="http://schemas.openxmlformats.org/officeDocument/2006/relationships/hyperlink" Target="#Controles!A1"/><Relationship Id="rId12" Type="http://schemas.openxmlformats.org/officeDocument/2006/relationships/hyperlink" Target="https://go.hotmart.com/B18165672O" TargetMode="External"/><Relationship Id="rId17" Type="http://schemas.openxmlformats.org/officeDocument/2006/relationships/image" Target="../media/image26.svg"/><Relationship Id="rId25" Type="http://schemas.openxmlformats.org/officeDocument/2006/relationships/image" Target="../media/image18.png"/><Relationship Id="rId33" Type="http://schemas.openxmlformats.org/officeDocument/2006/relationships/image" Target="../media/image21.png"/><Relationship Id="rId38" Type="http://schemas.openxmlformats.org/officeDocument/2006/relationships/image" Target="../media/image23.png"/><Relationship Id="rId46" Type="http://schemas.openxmlformats.org/officeDocument/2006/relationships/image" Target="../media/image50.svg"/><Relationship Id="rId2" Type="http://schemas.openxmlformats.org/officeDocument/2006/relationships/hyperlink" Target="#Cadastros!A1"/><Relationship Id="rId16" Type="http://schemas.openxmlformats.org/officeDocument/2006/relationships/image" Target="../media/image14.png"/><Relationship Id="rId20" Type="http://schemas.openxmlformats.org/officeDocument/2006/relationships/image" Target="../media/image28.svg"/><Relationship Id="rId29" Type="http://schemas.openxmlformats.org/officeDocument/2006/relationships/image" Target="../media/image36.svg"/><Relationship Id="rId41" Type="http://schemas.openxmlformats.org/officeDocument/2006/relationships/image" Target="../media/image46.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https://go.hotmart.com/T52965463X" TargetMode="External"/><Relationship Id="rId24" Type="http://schemas.openxmlformats.org/officeDocument/2006/relationships/image" Target="../media/image32.svg"/><Relationship Id="rId32" Type="http://schemas.openxmlformats.org/officeDocument/2006/relationships/hyperlink" Target="https://go.hotmart.com/Q52965136L" TargetMode="External"/><Relationship Id="rId37" Type="http://schemas.openxmlformats.org/officeDocument/2006/relationships/hyperlink" Target="https://go.hotmart.com/A19220727R" TargetMode="External"/><Relationship Id="rId40" Type="http://schemas.openxmlformats.org/officeDocument/2006/relationships/image" Target="../media/image24.png"/><Relationship Id="rId45" Type="http://schemas.openxmlformats.org/officeDocument/2006/relationships/image" Target="../media/image26.png"/><Relationship Id="rId5" Type="http://schemas.openxmlformats.org/officeDocument/2006/relationships/hyperlink" Target="#Dashboard!A1"/><Relationship Id="rId15" Type="http://schemas.openxmlformats.org/officeDocument/2006/relationships/image" Target="../media/image24.svg"/><Relationship Id="rId23" Type="http://schemas.openxmlformats.org/officeDocument/2006/relationships/image" Target="../media/image17.png"/><Relationship Id="rId28" Type="http://schemas.openxmlformats.org/officeDocument/2006/relationships/image" Target="../media/image19.png"/><Relationship Id="rId36" Type="http://schemas.openxmlformats.org/officeDocument/2006/relationships/image" Target="../media/image42.svg"/><Relationship Id="rId10" Type="http://schemas.openxmlformats.org/officeDocument/2006/relationships/image" Target="../media/image21.svg"/><Relationship Id="rId19" Type="http://schemas.openxmlformats.org/officeDocument/2006/relationships/image" Target="../media/image15.png"/><Relationship Id="rId31" Type="http://schemas.openxmlformats.org/officeDocument/2006/relationships/image" Target="../media/image38.svg"/><Relationship Id="rId44" Type="http://schemas.openxmlformats.org/officeDocument/2006/relationships/image" Target="../media/image48.svg"/><Relationship Id="rId4" Type="http://schemas.openxmlformats.org/officeDocument/2006/relationships/hyperlink" Target="#Relat&#243;rios!A1"/><Relationship Id="rId9" Type="http://schemas.openxmlformats.org/officeDocument/2006/relationships/image" Target="../media/image11.png"/><Relationship Id="rId14" Type="http://schemas.openxmlformats.org/officeDocument/2006/relationships/image" Target="../media/image13.png"/><Relationship Id="rId22" Type="http://schemas.openxmlformats.org/officeDocument/2006/relationships/image" Target="../media/image30.svg"/><Relationship Id="rId27" Type="http://schemas.openxmlformats.org/officeDocument/2006/relationships/hyperlink" Target="https://go.hotmart.com/I19749361D" TargetMode="External"/><Relationship Id="rId30" Type="http://schemas.openxmlformats.org/officeDocument/2006/relationships/image" Target="../media/image20.png"/><Relationship Id="rId35" Type="http://schemas.openxmlformats.org/officeDocument/2006/relationships/image" Target="../media/image22.png"/><Relationship Id="rId43" Type="http://schemas.openxmlformats.org/officeDocument/2006/relationships/image" Target="../media/image25.png"/><Relationship Id="rId48" Type="http://schemas.openxmlformats.org/officeDocument/2006/relationships/image" Target="../media/image52.svg"/></Relationships>
</file>

<file path=xl/drawings/_rels/drawing7.xml.rels><?xml version="1.0" encoding="UTF-8" standalone="yes"?>
<Relationships xmlns="http://schemas.openxmlformats.org/package/2006/relationships"><Relationship Id="rId8" Type="http://schemas.openxmlformats.org/officeDocument/2006/relationships/hyperlink" Target="#Empresa!A1"/><Relationship Id="rId13" Type="http://schemas.openxmlformats.org/officeDocument/2006/relationships/hyperlink" Target="#Tabela01!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6.svg"/><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29.png"/><Relationship Id="rId5" Type="http://schemas.openxmlformats.org/officeDocument/2006/relationships/hyperlink" Target="#Dashboard!A1"/><Relationship Id="rId10" Type="http://schemas.openxmlformats.org/officeDocument/2006/relationships/image" Target="../media/image54.svg"/><Relationship Id="rId4" Type="http://schemas.openxmlformats.org/officeDocument/2006/relationships/hyperlink" Target="#Relat&#243;rios!A1"/><Relationship Id="rId9" Type="http://schemas.openxmlformats.org/officeDocument/2006/relationships/image" Target="../media/image28.png"/><Relationship Id="rId14" Type="http://schemas.openxmlformats.org/officeDocument/2006/relationships/hyperlink" Target="#Consulta!A1"/></Relationships>
</file>

<file path=xl/drawings/_rels/drawing8.xml.rels><?xml version="1.0" encoding="UTF-8" standalone="yes"?>
<Relationships xmlns="http://schemas.openxmlformats.org/package/2006/relationships"><Relationship Id="rId8" Type="http://schemas.openxmlformats.org/officeDocument/2006/relationships/hyperlink" Target="#Empresa!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Consulta!A1"/><Relationship Id="rId4" Type="http://schemas.openxmlformats.org/officeDocument/2006/relationships/hyperlink" Target="#Relat&#243;rios!A1"/><Relationship Id="rId9" Type="http://schemas.openxmlformats.org/officeDocument/2006/relationships/hyperlink" Target="#Tabela01!A1"/></Relationships>
</file>

<file path=xl/drawings/_rels/drawing9.xml.rels><?xml version="1.0" encoding="UTF-8" standalone="yes"?>
<Relationships xmlns="http://schemas.openxmlformats.org/package/2006/relationships"><Relationship Id="rId8" Type="http://schemas.openxmlformats.org/officeDocument/2006/relationships/hyperlink" Target="#Empresa!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Consulta!A1"/><Relationship Id="rId4" Type="http://schemas.openxmlformats.org/officeDocument/2006/relationships/hyperlink" Target="#Relat&#243;rios!A1"/><Relationship Id="rId9" Type="http://schemas.openxmlformats.org/officeDocument/2006/relationships/hyperlink" Target="#Tabela01!A1"/></Relationships>
</file>

<file path=xl/drawings/_rels/drawing10.xml.rels><?xml version="1.0" encoding="UTF-8" standalone="yes"?>
<Relationships xmlns="http://schemas.openxmlformats.org/package/2006/relationships"><Relationship Id="rId8" Type="http://schemas.openxmlformats.org/officeDocument/2006/relationships/hyperlink" Target="#Empresa!A1"/><Relationship Id="rId13" Type="http://schemas.openxmlformats.org/officeDocument/2006/relationships/hyperlink" Target="#Tabela04!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Tabela03!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Tabela02!A1"/><Relationship Id="rId5" Type="http://schemas.openxmlformats.org/officeDocument/2006/relationships/hyperlink" Target="#Dashboard!A1"/><Relationship Id="rId10" Type="http://schemas.openxmlformats.org/officeDocument/2006/relationships/hyperlink" Target="#Consulta!A1"/><Relationship Id="rId4" Type="http://schemas.openxmlformats.org/officeDocument/2006/relationships/hyperlink" Target="#Relat&#243;rios!A1"/><Relationship Id="rId9" Type="http://schemas.openxmlformats.org/officeDocument/2006/relationships/hyperlink" Target="#Tabela01!A1"/><Relationship Id="rId14" Type="http://schemas.openxmlformats.org/officeDocument/2006/relationships/hyperlink" Target="#Tabela05!A1"/></Relationships>
</file>

<file path=xl/drawings/_rels/drawing11.xml.rels><?xml version="1.0" encoding="UTF-8" standalone="yes"?>
<Relationships xmlns="http://schemas.openxmlformats.org/package/2006/relationships"><Relationship Id="rId8" Type="http://schemas.openxmlformats.org/officeDocument/2006/relationships/hyperlink" Target="#Empresa!A1"/><Relationship Id="rId13" Type="http://schemas.openxmlformats.org/officeDocument/2006/relationships/hyperlink" Target="#Tabela04!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Tabela03!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Tabela02!A1"/><Relationship Id="rId5" Type="http://schemas.openxmlformats.org/officeDocument/2006/relationships/hyperlink" Target="#Dashboard!A1"/><Relationship Id="rId10" Type="http://schemas.openxmlformats.org/officeDocument/2006/relationships/hyperlink" Target="#Consulta!A1"/><Relationship Id="rId4" Type="http://schemas.openxmlformats.org/officeDocument/2006/relationships/hyperlink" Target="#Relat&#243;rios!A1"/><Relationship Id="rId9" Type="http://schemas.openxmlformats.org/officeDocument/2006/relationships/hyperlink" Target="#Tabela01!A1"/><Relationship Id="rId14" Type="http://schemas.openxmlformats.org/officeDocument/2006/relationships/hyperlink" Target="#Tabela05!A1"/></Relationships>
</file>

<file path=xl/drawings/_rels/drawing12.xml.rels><?xml version="1.0" encoding="UTF-8" standalone="yes"?>
<Relationships xmlns="http://schemas.openxmlformats.org/package/2006/relationships"><Relationship Id="rId8" Type="http://schemas.openxmlformats.org/officeDocument/2006/relationships/hyperlink" Target="#Empresa!A1"/><Relationship Id="rId13" Type="http://schemas.openxmlformats.org/officeDocument/2006/relationships/hyperlink" Target="#Tabela04!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Tabela03!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Tabela02!A1"/><Relationship Id="rId5" Type="http://schemas.openxmlformats.org/officeDocument/2006/relationships/hyperlink" Target="#Dashboard!A1"/><Relationship Id="rId10" Type="http://schemas.openxmlformats.org/officeDocument/2006/relationships/hyperlink" Target="#Consulta!A1"/><Relationship Id="rId4" Type="http://schemas.openxmlformats.org/officeDocument/2006/relationships/hyperlink" Target="#Relat&#243;rios!A1"/><Relationship Id="rId9" Type="http://schemas.openxmlformats.org/officeDocument/2006/relationships/hyperlink" Target="#Tabela01!A1"/><Relationship Id="rId14" Type="http://schemas.openxmlformats.org/officeDocument/2006/relationships/hyperlink" Target="#Tabela05!A1"/></Relationships>
</file>

<file path=xl/drawings/_rels/drawing13.xml.rels><?xml version="1.0" encoding="UTF-8" standalone="yes"?>
<Relationships xmlns="http://schemas.openxmlformats.org/package/2006/relationships"><Relationship Id="rId8" Type="http://schemas.openxmlformats.org/officeDocument/2006/relationships/hyperlink" Target="#Empresa!A1"/><Relationship Id="rId13" Type="http://schemas.openxmlformats.org/officeDocument/2006/relationships/hyperlink" Target="#Tabela04!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Tabela03!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Tabela02!A1"/><Relationship Id="rId5" Type="http://schemas.openxmlformats.org/officeDocument/2006/relationships/hyperlink" Target="#Dashboard!A1"/><Relationship Id="rId10" Type="http://schemas.openxmlformats.org/officeDocument/2006/relationships/hyperlink" Target="#Consulta!A1"/><Relationship Id="rId4" Type="http://schemas.openxmlformats.org/officeDocument/2006/relationships/hyperlink" Target="#Relat&#243;rios!A1"/><Relationship Id="rId9" Type="http://schemas.openxmlformats.org/officeDocument/2006/relationships/hyperlink" Target="#Tabela01!A1"/><Relationship Id="rId14" Type="http://schemas.openxmlformats.org/officeDocument/2006/relationships/hyperlink" Target="#Tabela05!A1"/></Relationships>
</file>

<file path=xl/drawings/_rels/drawing14.xml.rels><?xml version="1.0" encoding="UTF-8" standalone="yes"?>
<Relationships xmlns="http://schemas.openxmlformats.org/package/2006/relationships"><Relationship Id="rId8" Type="http://schemas.openxmlformats.org/officeDocument/2006/relationships/hyperlink" Target="#Empresa!A1"/><Relationship Id="rId13" Type="http://schemas.openxmlformats.org/officeDocument/2006/relationships/hyperlink" Target="#Tabela04!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Tabela03!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Tabela02!A1"/><Relationship Id="rId5" Type="http://schemas.openxmlformats.org/officeDocument/2006/relationships/hyperlink" Target="#Dashboard!A1"/><Relationship Id="rId10" Type="http://schemas.openxmlformats.org/officeDocument/2006/relationships/hyperlink" Target="#Consulta!A1"/><Relationship Id="rId4" Type="http://schemas.openxmlformats.org/officeDocument/2006/relationships/hyperlink" Target="#Relat&#243;rios!A1"/><Relationship Id="rId9" Type="http://schemas.openxmlformats.org/officeDocument/2006/relationships/hyperlink" Target="#Tabela01!A1"/><Relationship Id="rId14" Type="http://schemas.openxmlformats.org/officeDocument/2006/relationships/hyperlink" Target="#Tabela05!A1"/></Relationships>
</file>

<file path=xl/drawings/_rels/drawing15.xml.rels><?xml version="1.0" encoding="UTF-8" standalone="yes"?>
<Relationships xmlns="http://schemas.openxmlformats.org/package/2006/relationships"><Relationship Id="rId8" Type="http://schemas.openxmlformats.org/officeDocument/2006/relationships/hyperlink" Target="#Anexos!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16.xml.rels><?xml version="1.0" encoding="UTF-8" standalone="yes"?>
<Relationships xmlns="http://schemas.openxmlformats.org/package/2006/relationships"><Relationship Id="rId8" Type="http://schemas.openxmlformats.org/officeDocument/2006/relationships/hyperlink" Target="#Anexo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Anexo V'!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nexo IV'!A1"/><Relationship Id="rId5" Type="http://schemas.openxmlformats.org/officeDocument/2006/relationships/hyperlink" Target="#Dashboard!A1"/><Relationship Id="rId10" Type="http://schemas.openxmlformats.org/officeDocument/2006/relationships/hyperlink" Target="#'Anexo III'!A1"/><Relationship Id="rId4" Type="http://schemas.openxmlformats.org/officeDocument/2006/relationships/hyperlink" Target="#Relat&#243;rios!A1"/><Relationship Id="rId9" Type="http://schemas.openxmlformats.org/officeDocument/2006/relationships/hyperlink" Target="#Ind&#250;stria!A1"/></Relationships>
</file>

<file path=xl/drawings/_rels/drawing17.xml.rels><?xml version="1.0" encoding="UTF-8" standalone="yes"?>
<Relationships xmlns="http://schemas.openxmlformats.org/package/2006/relationships"><Relationship Id="rId8" Type="http://schemas.openxmlformats.org/officeDocument/2006/relationships/hyperlink" Target="#Anexo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Anexo V'!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nexo IV'!A1"/><Relationship Id="rId5" Type="http://schemas.openxmlformats.org/officeDocument/2006/relationships/hyperlink" Target="#Dashboard!A1"/><Relationship Id="rId10" Type="http://schemas.openxmlformats.org/officeDocument/2006/relationships/hyperlink" Target="#'Anexo III'!A1"/><Relationship Id="rId4" Type="http://schemas.openxmlformats.org/officeDocument/2006/relationships/hyperlink" Target="#Relat&#243;rios!A1"/><Relationship Id="rId9" Type="http://schemas.openxmlformats.org/officeDocument/2006/relationships/hyperlink" Target="#Ind&#250;stria!A1"/></Relationships>
</file>

<file path=xl/drawings/_rels/drawing18.xml.rels><?xml version="1.0" encoding="UTF-8" standalone="yes"?>
<Relationships xmlns="http://schemas.openxmlformats.org/package/2006/relationships"><Relationship Id="rId8" Type="http://schemas.openxmlformats.org/officeDocument/2006/relationships/hyperlink" Target="#Anexo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Anexo V'!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nexo IV'!A1"/><Relationship Id="rId5" Type="http://schemas.openxmlformats.org/officeDocument/2006/relationships/hyperlink" Target="#Dashboard!A1"/><Relationship Id="rId10" Type="http://schemas.openxmlformats.org/officeDocument/2006/relationships/hyperlink" Target="#'Anexo III'!A1"/><Relationship Id="rId4" Type="http://schemas.openxmlformats.org/officeDocument/2006/relationships/hyperlink" Target="#Relat&#243;rios!A1"/><Relationship Id="rId9" Type="http://schemas.openxmlformats.org/officeDocument/2006/relationships/hyperlink" Target="#Ind&#250;stria!A1"/></Relationships>
</file>

<file path=xl/drawings/_rels/drawing19.xml.rels><?xml version="1.0" encoding="UTF-8" standalone="yes"?>
<Relationships xmlns="http://schemas.openxmlformats.org/package/2006/relationships"><Relationship Id="rId8" Type="http://schemas.openxmlformats.org/officeDocument/2006/relationships/hyperlink" Target="#Anexo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Anexo V'!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nexo IV'!A1"/><Relationship Id="rId5" Type="http://schemas.openxmlformats.org/officeDocument/2006/relationships/hyperlink" Target="#Dashboard!A1"/><Relationship Id="rId10" Type="http://schemas.openxmlformats.org/officeDocument/2006/relationships/hyperlink" Target="#'Anexo III'!A1"/><Relationship Id="rId4" Type="http://schemas.openxmlformats.org/officeDocument/2006/relationships/hyperlink" Target="#Relat&#243;rios!A1"/><Relationship Id="rId9" Type="http://schemas.openxmlformats.org/officeDocument/2006/relationships/hyperlink" Target="#Ind&#250;stria!A1"/></Relationships>
</file>

<file path=xl/drawings/_rels/drawing20.xml.rels><?xml version="1.0" encoding="UTF-8" standalone="yes"?>
<Relationships xmlns="http://schemas.openxmlformats.org/package/2006/relationships"><Relationship Id="rId8" Type="http://schemas.openxmlformats.org/officeDocument/2006/relationships/hyperlink" Target="#Anexo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Anexo V'!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nexo IV'!A1"/><Relationship Id="rId5" Type="http://schemas.openxmlformats.org/officeDocument/2006/relationships/hyperlink" Target="#Dashboard!A1"/><Relationship Id="rId10" Type="http://schemas.openxmlformats.org/officeDocument/2006/relationships/hyperlink" Target="#'Anexo III'!A1"/><Relationship Id="rId4" Type="http://schemas.openxmlformats.org/officeDocument/2006/relationships/hyperlink" Target="#Relat&#243;rios!A1"/><Relationship Id="rId9" Type="http://schemas.openxmlformats.org/officeDocument/2006/relationships/hyperlink" Target="#Ind&#250;stria!A1"/></Relationships>
</file>

<file path=xl/drawings/_rels/drawing21.xml.rels><?xml version="1.0" encoding="UTF-8" standalone="yes"?>
<Relationships xmlns="http://schemas.openxmlformats.org/package/2006/relationships"><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22.xml.rels><?xml version="1.0" encoding="UTF-8" standalone="yes"?>
<Relationships xmlns="http://schemas.openxmlformats.org/package/2006/relationships"><Relationship Id="rId8" Type="http://schemas.openxmlformats.org/officeDocument/2006/relationships/hyperlink" Target="#Impress&#227;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23.xml.rels><?xml version="1.0" encoding="UTF-8" standalone="yes"?>
<Relationships xmlns="http://schemas.openxmlformats.org/package/2006/relationships"><Relationship Id="rId8" Type="http://schemas.openxmlformats.org/officeDocument/2006/relationships/hyperlink" Target="#Impress&#227;o!A1"/><Relationship Id="rId13" Type="http://schemas.openxmlformats.org/officeDocument/2006/relationships/chart" Target="../charts/chart3.xml"/><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chart" Target="../charts/chart2.xml"/><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1.xml"/><Relationship Id="rId5" Type="http://schemas.openxmlformats.org/officeDocument/2006/relationships/hyperlink" Target="#Dashboard!A1"/><Relationship Id="rId15" Type="http://schemas.openxmlformats.org/officeDocument/2006/relationships/chart" Target="../charts/chart5.xml"/><Relationship Id="rId10" Type="http://schemas.openxmlformats.org/officeDocument/2006/relationships/image" Target="../media/image58.svg"/><Relationship Id="rId4" Type="http://schemas.openxmlformats.org/officeDocument/2006/relationships/hyperlink" Target="#Relat&#243;rios!A1"/><Relationship Id="rId9" Type="http://schemas.openxmlformats.org/officeDocument/2006/relationships/image" Target="../media/image30.png"/><Relationship Id="rId14" Type="http://schemas.openxmlformats.org/officeDocument/2006/relationships/chart" Target="../charts/chart4.xml"/></Relationships>
</file>

<file path=xl/drawings/_rels/drawing24.xml.rels><?xml version="1.0" encoding="UTF-8" standalone="yes"?>
<Relationships xmlns="http://schemas.openxmlformats.org/package/2006/relationships"><Relationship Id="rId8" Type="http://schemas.openxmlformats.org/officeDocument/2006/relationships/image" Target="../media/image30.png"/><Relationship Id="rId13" Type="http://schemas.openxmlformats.org/officeDocument/2006/relationships/chart" Target="../charts/chart9.xml"/><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chart" Target="../charts/chart8.xml"/><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7.xml"/><Relationship Id="rId5" Type="http://schemas.openxmlformats.org/officeDocument/2006/relationships/hyperlink" Target="#Dashboard!A1"/><Relationship Id="rId10" Type="http://schemas.openxmlformats.org/officeDocument/2006/relationships/chart" Target="../charts/chart6.xml"/><Relationship Id="rId4" Type="http://schemas.openxmlformats.org/officeDocument/2006/relationships/hyperlink" Target="#Relat&#243;rios!A1"/><Relationship Id="rId9" Type="http://schemas.openxmlformats.org/officeDocument/2006/relationships/image" Target="../media/image58.svg"/><Relationship Id="rId1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absolute">
    <xdr:from>
      <xdr:col>3</xdr:col>
      <xdr:colOff>542925</xdr:colOff>
      <xdr:row>0</xdr:row>
      <xdr:rowOff>85725</xdr:rowOff>
    </xdr:from>
    <xdr:to>
      <xdr:col>6</xdr:col>
      <xdr:colOff>222750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247650</xdr:colOff>
      <xdr:row>0</xdr:row>
      <xdr:rowOff>85725</xdr:rowOff>
    </xdr:from>
    <xdr:to>
      <xdr:col>8</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133350</xdr:colOff>
      <xdr:row>0</xdr:row>
      <xdr:rowOff>85725</xdr:rowOff>
    </xdr:from>
    <xdr:to>
      <xdr:col>9</xdr:col>
      <xdr:colOff>603750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514350</xdr:colOff>
      <xdr:row>0</xdr:row>
      <xdr:rowOff>85725</xdr:rowOff>
    </xdr:from>
    <xdr:to>
      <xdr:col>13</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400050</xdr:colOff>
      <xdr:row>0</xdr:row>
      <xdr:rowOff>85725</xdr:rowOff>
    </xdr:from>
    <xdr:to>
      <xdr:col>15</xdr:col>
      <xdr:colOff>260850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285750</xdr:colOff>
      <xdr:row>0</xdr:row>
      <xdr:rowOff>85725</xdr:rowOff>
    </xdr:from>
    <xdr:to>
      <xdr:col>17</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15</xdr:col>
      <xdr:colOff>476250</xdr:colOff>
      <xdr:row>0</xdr:row>
      <xdr:rowOff>371475</xdr:rowOff>
    </xdr:from>
    <xdr:to>
      <xdr:col>16</xdr:col>
      <xdr:colOff>586650</xdr:colOff>
      <xdr:row>0</xdr:row>
      <xdr:rowOff>388425</xdr:rowOff>
    </xdr:to>
    <xdr:sp macro="" textlink="">
      <xdr:nvSpPr>
        <xdr:cNvPr id="8" name="Retângulo 7">
          <a:extLst>
            <a:ext uri="{FF2B5EF4-FFF2-40B4-BE49-F238E27FC236}">
              <a16:creationId xmlns:a16="http://schemas.microsoft.com/office/drawing/2014/main" id="{00000000-0008-0000-0300-000008000000}"/>
            </a:ext>
          </a:extLst>
        </xdr:cNvPr>
        <xdr:cNvSpPr/>
      </xdr:nvSpPr>
      <xdr:spPr>
        <a:xfrm>
          <a:off x="8305800" y="371475"/>
          <a:ext cx="720000" cy="16950"/>
        </a:xfrm>
        <a:prstGeom prst="rect">
          <a:avLst/>
        </a:prstGeom>
        <a:solidFill>
          <a:srgbClr val="00C5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19050</xdr:colOff>
      <xdr:row>0</xdr:row>
      <xdr:rowOff>85725</xdr:rowOff>
    </xdr:from>
    <xdr:to>
      <xdr:col>11</xdr:col>
      <xdr:colOff>489450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28575</xdr:colOff>
      <xdr:row>1</xdr:row>
      <xdr:rowOff>142875</xdr:rowOff>
    </xdr:from>
    <xdr:to>
      <xdr:col>5</xdr:col>
      <xdr:colOff>318000</xdr:colOff>
      <xdr:row>2</xdr:row>
      <xdr:rowOff>13875</xdr:rowOff>
    </xdr:to>
    <xdr:sp macro="" textlink="">
      <xdr:nvSpPr>
        <xdr:cNvPr id="10" name="Retângulo 9">
          <a:hlinkClick xmlns:r="http://schemas.openxmlformats.org/officeDocument/2006/relationships" r:id="rId6"/>
          <a:extLst>
            <a:ext uri="{FF2B5EF4-FFF2-40B4-BE49-F238E27FC236}">
              <a16:creationId xmlns:a16="http://schemas.microsoft.com/office/drawing/2014/main" id="{00000000-0008-0000-03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Suporte</a:t>
          </a:r>
        </a:p>
      </xdr:txBody>
    </xdr:sp>
    <xdr:clientData/>
  </xdr:twoCellAnchor>
  <xdr:twoCellAnchor editAs="absolute">
    <xdr:from>
      <xdr:col>0</xdr:col>
      <xdr:colOff>113929</xdr:colOff>
      <xdr:row>0</xdr:row>
      <xdr:rowOff>0</xdr:rowOff>
    </xdr:from>
    <xdr:to>
      <xdr:col>3</xdr:col>
      <xdr:colOff>73984</xdr:colOff>
      <xdr:row>0</xdr:row>
      <xdr:rowOff>428625</xdr:rowOff>
    </xdr:to>
    <xdr:grpSp>
      <xdr:nvGrpSpPr>
        <xdr:cNvPr id="11" name="Agrupar 10">
          <a:extLst>
            <a:ext uri="{FF2B5EF4-FFF2-40B4-BE49-F238E27FC236}">
              <a16:creationId xmlns:a16="http://schemas.microsoft.com/office/drawing/2014/main" id="{00000000-0008-0000-0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180975</xdr:colOff>
          <xdr:row>18</xdr:row>
          <xdr:rowOff>57150</xdr:rowOff>
        </xdr:from>
        <xdr:to>
          <xdr:col>22</xdr:col>
          <xdr:colOff>438150</xdr:colOff>
          <xdr:row>30</xdr:row>
          <xdr:rowOff>66675</xdr:rowOff>
        </xdr:to>
        <xdr:sp macro="" textlink="">
          <xdr:nvSpPr>
            <xdr:cNvPr id="1027" name="Group Box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Informações Importantes</a:t>
              </a:r>
            </a:p>
          </xdr:txBody>
        </xdr:sp>
        <xdr:clientData/>
      </xdr:twoCellAnchor>
    </mc:Choice>
    <mc:Fallback/>
  </mc:AlternateContent>
  <xdr:twoCellAnchor>
    <xdr:from>
      <xdr:col>2</xdr:col>
      <xdr:colOff>152400</xdr:colOff>
      <xdr:row>20</xdr:row>
      <xdr:rowOff>47625</xdr:rowOff>
    </xdr:from>
    <xdr:to>
      <xdr:col>2</xdr:col>
      <xdr:colOff>247650</xdr:colOff>
      <xdr:row>20</xdr:row>
      <xdr:rowOff>152400</xdr:rowOff>
    </xdr:to>
    <xdr:sp macro="" textlink="">
      <xdr:nvSpPr>
        <xdr:cNvPr id="55" name="Seta: Divisa 54">
          <a:extLst>
            <a:ext uri="{FF2B5EF4-FFF2-40B4-BE49-F238E27FC236}">
              <a16:creationId xmlns:a16="http://schemas.microsoft.com/office/drawing/2014/main" id="{00000000-0008-0000-0300-000037000000}"/>
            </a:ext>
          </a:extLst>
        </xdr:cNvPr>
        <xdr:cNvSpPr/>
      </xdr:nvSpPr>
      <xdr:spPr>
        <a:xfrm>
          <a:off x="714375" y="4295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22</xdr:row>
      <xdr:rowOff>47625</xdr:rowOff>
    </xdr:from>
    <xdr:to>
      <xdr:col>2</xdr:col>
      <xdr:colOff>247650</xdr:colOff>
      <xdr:row>22</xdr:row>
      <xdr:rowOff>152400</xdr:rowOff>
    </xdr:to>
    <xdr:sp macro="" textlink="">
      <xdr:nvSpPr>
        <xdr:cNvPr id="56" name="Seta: Divisa 55">
          <a:extLst>
            <a:ext uri="{FF2B5EF4-FFF2-40B4-BE49-F238E27FC236}">
              <a16:creationId xmlns:a16="http://schemas.microsoft.com/office/drawing/2014/main" id="{00000000-0008-0000-0300-000038000000}"/>
            </a:ext>
          </a:extLst>
        </xdr:cNvPr>
        <xdr:cNvSpPr/>
      </xdr:nvSpPr>
      <xdr:spPr>
        <a:xfrm>
          <a:off x="714375" y="4676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24</xdr:row>
      <xdr:rowOff>47625</xdr:rowOff>
    </xdr:from>
    <xdr:to>
      <xdr:col>2</xdr:col>
      <xdr:colOff>247650</xdr:colOff>
      <xdr:row>24</xdr:row>
      <xdr:rowOff>152400</xdr:rowOff>
    </xdr:to>
    <xdr:sp macro="" textlink="">
      <xdr:nvSpPr>
        <xdr:cNvPr id="57" name="Seta: Divisa 56">
          <a:extLst>
            <a:ext uri="{FF2B5EF4-FFF2-40B4-BE49-F238E27FC236}">
              <a16:creationId xmlns:a16="http://schemas.microsoft.com/office/drawing/2014/main" id="{00000000-0008-0000-0300-000039000000}"/>
            </a:ext>
          </a:extLst>
        </xdr:cNvPr>
        <xdr:cNvSpPr/>
      </xdr:nvSpPr>
      <xdr:spPr>
        <a:xfrm>
          <a:off x="714375" y="5057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26</xdr:row>
      <xdr:rowOff>47625</xdr:rowOff>
    </xdr:from>
    <xdr:to>
      <xdr:col>2</xdr:col>
      <xdr:colOff>247650</xdr:colOff>
      <xdr:row>26</xdr:row>
      <xdr:rowOff>152400</xdr:rowOff>
    </xdr:to>
    <xdr:sp macro="" textlink="">
      <xdr:nvSpPr>
        <xdr:cNvPr id="58" name="Seta: Divisa 57">
          <a:extLst>
            <a:ext uri="{FF2B5EF4-FFF2-40B4-BE49-F238E27FC236}">
              <a16:creationId xmlns:a16="http://schemas.microsoft.com/office/drawing/2014/main" id="{00000000-0008-0000-0300-00003A000000}"/>
            </a:ext>
          </a:extLst>
        </xdr:cNvPr>
        <xdr:cNvSpPr/>
      </xdr:nvSpPr>
      <xdr:spPr>
        <a:xfrm>
          <a:off x="714375" y="5438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142875</xdr:colOff>
      <xdr:row>9</xdr:row>
      <xdr:rowOff>76200</xdr:rowOff>
    </xdr:from>
    <xdr:to>
      <xdr:col>2</xdr:col>
      <xdr:colOff>214875</xdr:colOff>
      <xdr:row>9</xdr:row>
      <xdr:rowOff>148200</xdr:rowOff>
    </xdr:to>
    <xdr:sp macro="" textlink="">
      <xdr:nvSpPr>
        <xdr:cNvPr id="60" name="Fluxograma: Conector 59">
          <a:extLst>
            <a:ext uri="{FF2B5EF4-FFF2-40B4-BE49-F238E27FC236}">
              <a16:creationId xmlns:a16="http://schemas.microsoft.com/office/drawing/2014/main" id="{00000000-0008-0000-0300-00003C000000}"/>
            </a:ext>
          </a:extLst>
        </xdr:cNvPr>
        <xdr:cNvSpPr/>
      </xdr:nvSpPr>
      <xdr:spPr>
        <a:xfrm>
          <a:off x="704850" y="2228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11</xdr:row>
      <xdr:rowOff>76200</xdr:rowOff>
    </xdr:from>
    <xdr:to>
      <xdr:col>2</xdr:col>
      <xdr:colOff>214875</xdr:colOff>
      <xdr:row>11</xdr:row>
      <xdr:rowOff>148200</xdr:rowOff>
    </xdr:to>
    <xdr:sp macro="" textlink="">
      <xdr:nvSpPr>
        <xdr:cNvPr id="61" name="Fluxograma: Conector 60">
          <a:extLst>
            <a:ext uri="{FF2B5EF4-FFF2-40B4-BE49-F238E27FC236}">
              <a16:creationId xmlns:a16="http://schemas.microsoft.com/office/drawing/2014/main" id="{00000000-0008-0000-0300-00003D000000}"/>
            </a:ext>
          </a:extLst>
        </xdr:cNvPr>
        <xdr:cNvSpPr/>
      </xdr:nvSpPr>
      <xdr:spPr>
        <a:xfrm>
          <a:off x="704850" y="2609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13</xdr:row>
      <xdr:rowOff>76200</xdr:rowOff>
    </xdr:from>
    <xdr:to>
      <xdr:col>2</xdr:col>
      <xdr:colOff>214875</xdr:colOff>
      <xdr:row>13</xdr:row>
      <xdr:rowOff>148200</xdr:rowOff>
    </xdr:to>
    <xdr:sp macro="" textlink="">
      <xdr:nvSpPr>
        <xdr:cNvPr id="62" name="Fluxograma: Conector 61">
          <a:extLst>
            <a:ext uri="{FF2B5EF4-FFF2-40B4-BE49-F238E27FC236}">
              <a16:creationId xmlns:a16="http://schemas.microsoft.com/office/drawing/2014/main" id="{00000000-0008-0000-0300-00003E000000}"/>
            </a:ext>
          </a:extLst>
        </xdr:cNvPr>
        <xdr:cNvSpPr/>
      </xdr:nvSpPr>
      <xdr:spPr>
        <a:xfrm>
          <a:off x="704850" y="2990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oneCellAnchor>
    <xdr:from>
      <xdr:col>16</xdr:col>
      <xdr:colOff>228600</xdr:colOff>
      <xdr:row>3</xdr:row>
      <xdr:rowOff>66675</xdr:rowOff>
    </xdr:from>
    <xdr:ext cx="1946110" cy="311496"/>
    <xdr:sp macro="" textlink="">
      <xdr:nvSpPr>
        <xdr:cNvPr id="64" name="CaixaDeTexto 63">
          <a:extLst>
            <a:ext uri="{FF2B5EF4-FFF2-40B4-BE49-F238E27FC236}">
              <a16:creationId xmlns:a16="http://schemas.microsoft.com/office/drawing/2014/main" id="{00000000-0008-0000-0300-000040000000}"/>
            </a:ext>
          </a:extLst>
        </xdr:cNvPr>
        <xdr:cNvSpPr txBox="1"/>
      </xdr:nvSpPr>
      <xdr:spPr>
        <a:xfrm>
          <a:off x="8896350" y="1076325"/>
          <a:ext cx="194611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400" b="1">
              <a:solidFill>
                <a:srgbClr val="00B050"/>
              </a:solidFill>
            </a:rPr>
            <a:t>Recomendamos</a:t>
          </a:r>
          <a:r>
            <a:rPr lang="pt-BR" sz="1400" b="1" baseline="0">
              <a:solidFill>
                <a:srgbClr val="00B050"/>
              </a:solidFill>
            </a:rPr>
            <a:t> a você:</a:t>
          </a:r>
          <a:endParaRPr lang="pt-BR" sz="1400" b="1">
            <a:solidFill>
              <a:srgbClr val="00B050"/>
            </a:solidFill>
          </a:endParaRPr>
        </a:p>
      </xdr:txBody>
    </xdr:sp>
    <xdr:clientData/>
  </xdr:oneCellAnchor>
  <xdr:twoCellAnchor editAs="oneCell">
    <xdr:from>
      <xdr:col>15</xdr:col>
      <xdr:colOff>428625</xdr:colOff>
      <xdr:row>3</xdr:row>
      <xdr:rowOff>0</xdr:rowOff>
    </xdr:from>
    <xdr:to>
      <xdr:col>16</xdr:col>
      <xdr:colOff>295275</xdr:colOff>
      <xdr:row>5</xdr:row>
      <xdr:rowOff>95250</xdr:rowOff>
    </xdr:to>
    <xdr:pic>
      <xdr:nvPicPr>
        <xdr:cNvPr id="65" name="Imagem 64">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258175" y="1009650"/>
          <a:ext cx="476250" cy="476250"/>
        </a:xfrm>
        <a:prstGeom prst="rect">
          <a:avLst/>
        </a:prstGeom>
        <a:solidFill>
          <a:srgbClr val="00BCB8"/>
        </a:solidFill>
      </xdr:spPr>
    </xdr:pic>
    <xdr:clientData/>
  </xdr:twoCellAnchor>
  <xdr:twoCellAnchor>
    <xdr:from>
      <xdr:col>2</xdr:col>
      <xdr:colOff>142875</xdr:colOff>
      <xdr:row>13</xdr:row>
      <xdr:rowOff>76200</xdr:rowOff>
    </xdr:from>
    <xdr:to>
      <xdr:col>2</xdr:col>
      <xdr:colOff>214875</xdr:colOff>
      <xdr:row>13</xdr:row>
      <xdr:rowOff>148200</xdr:rowOff>
    </xdr:to>
    <xdr:sp macro="" textlink="">
      <xdr:nvSpPr>
        <xdr:cNvPr id="30" name="Fluxograma: Conector 29">
          <a:extLst>
            <a:ext uri="{FF2B5EF4-FFF2-40B4-BE49-F238E27FC236}">
              <a16:creationId xmlns:a16="http://schemas.microsoft.com/office/drawing/2014/main" id="{00000000-0008-0000-0300-00001E000000}"/>
            </a:ext>
          </a:extLst>
        </xdr:cNvPr>
        <xdr:cNvSpPr/>
      </xdr:nvSpPr>
      <xdr:spPr>
        <a:xfrm>
          <a:off x="704850" y="3371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352425</xdr:colOff>
      <xdr:row>0</xdr:row>
      <xdr:rowOff>95250</xdr:rowOff>
    </xdr:from>
    <xdr:to>
      <xdr:col>6</xdr:col>
      <xdr:colOff>0</xdr:colOff>
      <xdr:row>10</xdr:row>
      <xdr:rowOff>19050</xdr:rowOff>
    </xdr:to>
    <xdr:sp macro="" textlink="">
      <xdr:nvSpPr>
        <xdr:cNvPr id="2" name="Retângulo 1">
          <a:extLst>
            <a:ext uri="{FF2B5EF4-FFF2-40B4-BE49-F238E27FC236}">
              <a16:creationId xmlns:a16="http://schemas.microsoft.com/office/drawing/2014/main" id="{00000000-0008-0000-0400-000002000000}"/>
            </a:ext>
          </a:extLst>
        </xdr:cNvPr>
        <xdr:cNvSpPr/>
      </xdr:nvSpPr>
      <xdr:spPr>
        <a:xfrm>
          <a:off x="352425" y="95250"/>
          <a:ext cx="3305175" cy="1828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47625</xdr:colOff>
      <xdr:row>11</xdr:row>
      <xdr:rowOff>9525</xdr:rowOff>
    </xdr:from>
    <xdr:ext cx="11365034" cy="718466"/>
    <xdr:sp macro="" textlink="">
      <xdr:nvSpPr>
        <xdr:cNvPr id="2" name="CaixaDeTexto 1">
          <a:extLst>
            <a:ext uri="{FF2B5EF4-FFF2-40B4-BE49-F238E27FC236}">
              <a16:creationId xmlns:a16="http://schemas.microsoft.com/office/drawing/2014/main" id="{00000000-0008-0000-0500-000002000000}"/>
            </a:ext>
          </a:extLst>
        </xdr:cNvPr>
        <xdr:cNvSpPr txBox="1"/>
      </xdr:nvSpPr>
      <xdr:spPr>
        <a:xfrm>
          <a:off x="657225" y="2105025"/>
          <a:ext cx="11365034" cy="718466"/>
        </a:xfrm>
        <a:prstGeom prst="rect">
          <a:avLst/>
        </a:prstGeom>
        <a:solidFill>
          <a:srgbClr val="00CDC8"/>
        </a:solidFill>
        <a:ln>
          <a:solidFill>
            <a:srgbClr val="009999"/>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4000" b="1">
              <a:solidFill>
                <a:schemeClr val="tx1"/>
              </a:solidFill>
            </a:rPr>
            <a:t>1° Passo: </a:t>
          </a:r>
          <a:r>
            <a:rPr lang="pt-BR" sz="4000" b="1">
              <a:solidFill>
                <a:schemeClr val="bg1"/>
              </a:solidFill>
            </a:rPr>
            <a:t>Habilitar</a:t>
          </a:r>
          <a:r>
            <a:rPr lang="pt-BR" sz="4000" b="1" baseline="0">
              <a:solidFill>
                <a:schemeClr val="bg1"/>
              </a:solidFill>
            </a:rPr>
            <a:t> Conteúdo </a:t>
          </a:r>
          <a:r>
            <a:rPr lang="pt-BR" sz="4000" b="0" baseline="0">
              <a:solidFill>
                <a:schemeClr val="bg1"/>
              </a:solidFill>
            </a:rPr>
            <a:t>para Iniciar na Planilha</a:t>
          </a:r>
          <a:endParaRPr lang="pt-BR" sz="4000" b="0">
            <a:solidFill>
              <a:schemeClr val="bg1"/>
            </a:solidFill>
          </a:endParaRPr>
        </a:p>
      </xdr:txBody>
    </xdr:sp>
    <xdr:clientData/>
  </xdr:oneCellAnchor>
  <xdr:twoCellAnchor>
    <xdr:from>
      <xdr:col>4</xdr:col>
      <xdr:colOff>190500</xdr:colOff>
      <xdr:row>0</xdr:row>
      <xdr:rowOff>161925</xdr:rowOff>
    </xdr:from>
    <xdr:to>
      <xdr:col>7</xdr:col>
      <xdr:colOff>19050</xdr:colOff>
      <xdr:row>11</xdr:row>
      <xdr:rowOff>66675</xdr:rowOff>
    </xdr:to>
    <xdr:sp macro="" textlink="">
      <xdr:nvSpPr>
        <xdr:cNvPr id="3" name="Seta: Dobrada para Cima 2">
          <a:extLst>
            <a:ext uri="{FF2B5EF4-FFF2-40B4-BE49-F238E27FC236}">
              <a16:creationId xmlns:a16="http://schemas.microsoft.com/office/drawing/2014/main" id="{00000000-0008-0000-0500-000003000000}"/>
            </a:ext>
          </a:extLst>
        </xdr:cNvPr>
        <xdr:cNvSpPr/>
      </xdr:nvSpPr>
      <xdr:spPr>
        <a:xfrm>
          <a:off x="2628900" y="161925"/>
          <a:ext cx="1657350" cy="2000250"/>
        </a:xfrm>
        <a:prstGeom prst="bentUpArrow">
          <a:avLst>
            <a:gd name="adj1" fmla="val 3255"/>
            <a:gd name="adj2" fmla="val 10651"/>
            <a:gd name="adj3" fmla="val 18045"/>
          </a:avLst>
        </a:prstGeom>
        <a:solidFill>
          <a:srgbClr val="00CDC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371475</xdr:colOff>
      <xdr:row>17</xdr:row>
      <xdr:rowOff>161925</xdr:rowOff>
    </xdr:from>
    <xdr:to>
      <xdr:col>12</xdr:col>
      <xdr:colOff>368782</xdr:colOff>
      <xdr:row>24</xdr:row>
      <xdr:rowOff>180976</xdr:rowOff>
    </xdr:to>
    <xdr:grpSp>
      <xdr:nvGrpSpPr>
        <xdr:cNvPr id="4" name="Agrupar 3">
          <a:extLst>
            <a:ext uri="{FF2B5EF4-FFF2-40B4-BE49-F238E27FC236}">
              <a16:creationId xmlns:a16="http://schemas.microsoft.com/office/drawing/2014/main" id="{00000000-0008-0000-0500-000004000000}"/>
            </a:ext>
          </a:extLst>
        </xdr:cNvPr>
        <xdr:cNvGrpSpPr/>
      </xdr:nvGrpSpPr>
      <xdr:grpSpPr>
        <a:xfrm>
          <a:off x="4638675" y="3400425"/>
          <a:ext cx="3045307" cy="1352551"/>
          <a:chOff x="1355243" y="438149"/>
          <a:chExt cx="3045307" cy="1352551"/>
        </a:xfrm>
      </xdr:grpSpPr>
      <xdr:sp macro="" textlink="">
        <xdr:nvSpPr>
          <xdr:cNvPr id="5" name="CaixaDeTexto 4">
            <a:extLst>
              <a:ext uri="{FF2B5EF4-FFF2-40B4-BE49-F238E27FC236}">
                <a16:creationId xmlns:a16="http://schemas.microsoft.com/office/drawing/2014/main" id="{00000000-0008-0000-0500-00000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6" name="Meio-quadro 5">
            <a:extLst>
              <a:ext uri="{FF2B5EF4-FFF2-40B4-BE49-F238E27FC236}">
                <a16:creationId xmlns:a16="http://schemas.microsoft.com/office/drawing/2014/main" id="{00000000-0008-0000-0500-00000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7" name="Meio-quadro 6">
            <a:extLst>
              <a:ext uri="{FF2B5EF4-FFF2-40B4-BE49-F238E27FC236}">
                <a16:creationId xmlns:a16="http://schemas.microsoft.com/office/drawing/2014/main" id="{00000000-0008-0000-0500-00000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85726</xdr:colOff>
      <xdr:row>24</xdr:row>
      <xdr:rowOff>123825</xdr:rowOff>
    </xdr:from>
    <xdr:to>
      <xdr:col>10</xdr:col>
      <xdr:colOff>266700</xdr:colOff>
      <xdr:row>26</xdr:row>
      <xdr:rowOff>152400</xdr:rowOff>
    </xdr:to>
    <xdr:sp macro="" textlink="">
      <xdr:nvSpPr>
        <xdr:cNvPr id="18" name="Retângulo 17">
          <a:extLst>
            <a:ext uri="{FF2B5EF4-FFF2-40B4-BE49-F238E27FC236}">
              <a16:creationId xmlns:a16="http://schemas.microsoft.com/office/drawing/2014/main" id="{00000000-0008-0000-0600-000012000000}"/>
            </a:ext>
          </a:extLst>
        </xdr:cNvPr>
        <xdr:cNvSpPr/>
      </xdr:nvSpPr>
      <xdr:spPr>
        <a:xfrm>
          <a:off x="695326" y="4695825"/>
          <a:ext cx="5667374" cy="409575"/>
        </a:xfrm>
        <a:prstGeom prst="rect">
          <a:avLst/>
        </a:prstGeom>
        <a:solidFill>
          <a:srgbClr val="FF25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12</xdr:col>
      <xdr:colOff>200025</xdr:colOff>
      <xdr:row>19</xdr:row>
      <xdr:rowOff>76200</xdr:rowOff>
    </xdr:from>
    <xdr:to>
      <xdr:col>18</xdr:col>
      <xdr:colOff>352425</xdr:colOff>
      <xdr:row>26</xdr:row>
      <xdr:rowOff>180975</xdr:rowOff>
    </xdr:to>
    <xdr:sp macro="" textlink="">
      <xdr:nvSpPr>
        <xdr:cNvPr id="19" name="Retângulo: Cantos Arredondados 18">
          <a:hlinkClick xmlns:r="http://schemas.openxmlformats.org/officeDocument/2006/relationships" r:id="rId1"/>
          <a:extLst>
            <a:ext uri="{FF2B5EF4-FFF2-40B4-BE49-F238E27FC236}">
              <a16:creationId xmlns:a16="http://schemas.microsoft.com/office/drawing/2014/main" id="{00000000-0008-0000-0600-000013000000}"/>
            </a:ext>
          </a:extLst>
        </xdr:cNvPr>
        <xdr:cNvSpPr/>
      </xdr:nvSpPr>
      <xdr:spPr>
        <a:xfrm>
          <a:off x="7515225" y="3695700"/>
          <a:ext cx="3810000" cy="1438275"/>
        </a:xfrm>
        <a:prstGeom prst="roundRect">
          <a:avLst/>
        </a:prstGeom>
        <a:solidFill>
          <a:srgbClr val="00B2B0"/>
        </a:solidFill>
        <a:ln>
          <a:no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800" b="1"/>
            <a:t>Iniciar</a:t>
          </a:r>
        </a:p>
      </xdr:txBody>
    </xdr:sp>
    <xdr:clientData/>
  </xdr:twoCellAnchor>
  <xdr:twoCellAnchor>
    <xdr:from>
      <xdr:col>0</xdr:col>
      <xdr:colOff>116993</xdr:colOff>
      <xdr:row>2</xdr:row>
      <xdr:rowOff>85724</xdr:rowOff>
    </xdr:from>
    <xdr:to>
      <xdr:col>5</xdr:col>
      <xdr:colOff>114300</xdr:colOff>
      <xdr:row>9</xdr:row>
      <xdr:rowOff>104775</xdr:rowOff>
    </xdr:to>
    <xdr:grpSp>
      <xdr:nvGrpSpPr>
        <xdr:cNvPr id="20" name="Agrupar 19">
          <a:extLst>
            <a:ext uri="{FF2B5EF4-FFF2-40B4-BE49-F238E27FC236}">
              <a16:creationId xmlns:a16="http://schemas.microsoft.com/office/drawing/2014/main" id="{00000000-0008-0000-0600-000014000000}"/>
            </a:ext>
          </a:extLst>
        </xdr:cNvPr>
        <xdr:cNvGrpSpPr/>
      </xdr:nvGrpSpPr>
      <xdr:grpSpPr>
        <a:xfrm>
          <a:off x="116993" y="466724"/>
          <a:ext cx="3045307" cy="1352551"/>
          <a:chOff x="1355243" y="438149"/>
          <a:chExt cx="3045307" cy="1352551"/>
        </a:xfrm>
      </xdr:grpSpPr>
      <xdr:sp macro="" textlink="">
        <xdr:nvSpPr>
          <xdr:cNvPr id="21" name="CaixaDeTexto 20">
            <a:extLst>
              <a:ext uri="{FF2B5EF4-FFF2-40B4-BE49-F238E27FC236}">
                <a16:creationId xmlns:a16="http://schemas.microsoft.com/office/drawing/2014/main" id="{00000000-0008-0000-0600-00001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2" name="Meio-quadro 21">
            <a:extLst>
              <a:ext uri="{FF2B5EF4-FFF2-40B4-BE49-F238E27FC236}">
                <a16:creationId xmlns:a16="http://schemas.microsoft.com/office/drawing/2014/main" id="{00000000-0008-0000-0600-00001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3" name="Meio-quadro 22">
            <a:extLst>
              <a:ext uri="{FF2B5EF4-FFF2-40B4-BE49-F238E27FC236}">
                <a16:creationId xmlns:a16="http://schemas.microsoft.com/office/drawing/2014/main" id="{00000000-0008-0000-0600-00001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381000</xdr:colOff>
      <xdr:row>11</xdr:row>
      <xdr:rowOff>28575</xdr:rowOff>
    </xdr:from>
    <xdr:ext cx="5558381" cy="1297919"/>
    <xdr:sp macro="" textlink="">
      <xdr:nvSpPr>
        <xdr:cNvPr id="24" name="CaixaDeTexto 23">
          <a:extLst>
            <a:ext uri="{FF2B5EF4-FFF2-40B4-BE49-F238E27FC236}">
              <a16:creationId xmlns:a16="http://schemas.microsoft.com/office/drawing/2014/main" id="{00000000-0008-0000-0600-000018000000}"/>
            </a:ext>
          </a:extLst>
        </xdr:cNvPr>
        <xdr:cNvSpPr txBox="1"/>
      </xdr:nvSpPr>
      <xdr:spPr>
        <a:xfrm>
          <a:off x="381000" y="2124075"/>
          <a:ext cx="5558381"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solidFill>
                <a:schemeClr val="bg1"/>
              </a:solidFill>
            </a:rPr>
            <a:t>Caro</a:t>
          </a:r>
          <a:r>
            <a:rPr lang="pt-BR" sz="1100" baseline="0">
              <a:solidFill>
                <a:schemeClr val="bg1"/>
              </a:solidFill>
            </a:rPr>
            <a:t>(a) Cliente,</a:t>
          </a:r>
          <a:endParaRPr lang="pt-BR" sz="1100">
            <a:solidFill>
              <a:schemeClr val="bg1"/>
            </a:solidFill>
          </a:endParaRPr>
        </a:p>
        <a:p>
          <a:endParaRPr lang="pt-BR" sz="1100">
            <a:solidFill>
              <a:schemeClr val="bg1"/>
            </a:solidFill>
          </a:endParaRPr>
        </a:p>
        <a:p>
          <a:r>
            <a:rPr lang="pt-BR" sz="1100">
              <a:solidFill>
                <a:schemeClr val="bg1"/>
              </a:solidFill>
            </a:rPr>
            <a:t>Seja</a:t>
          </a:r>
          <a:r>
            <a:rPr lang="pt-BR" sz="1100" baseline="0">
              <a:solidFill>
                <a:schemeClr val="bg1"/>
              </a:solidFill>
            </a:rPr>
            <a:t> muito bem vindo a </a:t>
          </a:r>
          <a:r>
            <a:rPr lang="pt-BR" sz="1100" b="1" baseline="0">
              <a:solidFill>
                <a:schemeClr val="bg1"/>
              </a:solidFill>
            </a:rPr>
            <a:t>Onside Corporation ®</a:t>
          </a:r>
          <a:r>
            <a:rPr lang="pt-BR" sz="1100" baseline="0">
              <a:solidFill>
                <a:schemeClr val="bg1"/>
              </a:solidFill>
            </a:rPr>
            <a:t> - Soluções em Planilhas Inteligentes</a:t>
          </a:r>
        </a:p>
        <a:p>
          <a:r>
            <a:rPr lang="pt-BR" sz="1100" baseline="0">
              <a:solidFill>
                <a:schemeClr val="bg1"/>
              </a:solidFill>
            </a:rPr>
            <a:t>Ficamos muito felizes pela confiança em nosso produto e pela preferência em nosso trabalho.</a:t>
          </a:r>
        </a:p>
        <a:p>
          <a:endParaRPr lang="pt-BR" sz="1100">
            <a:solidFill>
              <a:schemeClr val="bg1"/>
            </a:solidFill>
          </a:endParaRPr>
        </a:p>
        <a:p>
          <a:endParaRPr lang="pt-BR" sz="1100">
            <a:solidFill>
              <a:schemeClr val="bg1"/>
            </a:solidFill>
          </a:endParaRPr>
        </a:p>
        <a:p>
          <a:endParaRPr lang="pt-BR" sz="1100">
            <a:solidFill>
              <a:schemeClr val="bg1"/>
            </a:solidFill>
          </a:endParaRPr>
        </a:p>
      </xdr:txBody>
    </xdr:sp>
    <xdr:clientData/>
  </xdr:oneCellAnchor>
  <xdr:twoCellAnchor editAs="oneCell">
    <xdr:from>
      <xdr:col>0</xdr:col>
      <xdr:colOff>371475</xdr:colOff>
      <xdr:row>18</xdr:row>
      <xdr:rowOff>133350</xdr:rowOff>
    </xdr:from>
    <xdr:to>
      <xdr:col>1</xdr:col>
      <xdr:colOff>66675</xdr:colOff>
      <xdr:row>20</xdr:row>
      <xdr:rowOff>57150</xdr:rowOff>
    </xdr:to>
    <xdr:pic>
      <xdr:nvPicPr>
        <xdr:cNvPr id="25" name="Gráfico 24" descr="Marcador">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371475" y="3562350"/>
          <a:ext cx="304800" cy="304800"/>
        </a:xfrm>
        <a:prstGeom prst="rect">
          <a:avLst/>
        </a:prstGeom>
      </xdr:spPr>
    </xdr:pic>
    <xdr:clientData/>
  </xdr:twoCellAnchor>
  <xdr:oneCellAnchor>
    <xdr:from>
      <xdr:col>1</xdr:col>
      <xdr:colOff>38100</xdr:colOff>
      <xdr:row>18</xdr:row>
      <xdr:rowOff>123825</xdr:rowOff>
    </xdr:from>
    <xdr:ext cx="5557483" cy="609013"/>
    <xdr:sp macro="" textlink="">
      <xdr:nvSpPr>
        <xdr:cNvPr id="26" name="CaixaDeTexto 25">
          <a:extLst>
            <a:ext uri="{FF2B5EF4-FFF2-40B4-BE49-F238E27FC236}">
              <a16:creationId xmlns:a16="http://schemas.microsoft.com/office/drawing/2014/main" id="{00000000-0008-0000-0600-00001A000000}"/>
            </a:ext>
          </a:extLst>
        </xdr:cNvPr>
        <xdr:cNvSpPr txBox="1"/>
      </xdr:nvSpPr>
      <xdr:spPr>
        <a:xfrm>
          <a:off x="647700" y="3552825"/>
          <a:ext cx="5557483"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solidFill>
                <a:srgbClr val="FFC000"/>
              </a:solidFill>
            </a:rPr>
            <a:t>Parabéns!</a:t>
          </a:r>
          <a:r>
            <a:rPr lang="pt-BR" sz="1100">
              <a:solidFill>
                <a:srgbClr val="FFC000"/>
              </a:solidFill>
            </a:rPr>
            <a:t> Você acaba de adquirir</a:t>
          </a:r>
          <a:r>
            <a:rPr lang="pt-BR" sz="1100" baseline="0">
              <a:solidFill>
                <a:srgbClr val="FFC000"/>
              </a:solidFill>
            </a:rPr>
            <a:t> uma cópia da planilha </a:t>
          </a:r>
          <a:r>
            <a:rPr lang="pt-BR" sz="1100" b="1" baseline="0">
              <a:solidFill>
                <a:srgbClr val="FFC000"/>
              </a:solidFill>
            </a:rPr>
            <a:t>Cálculo Simples Nacional versão 5.0 </a:t>
          </a:r>
        </a:p>
        <a:p>
          <a:r>
            <a:rPr lang="pt-BR" sz="1100" b="0" baseline="0">
              <a:solidFill>
                <a:srgbClr val="FFC000"/>
              </a:solidFill>
            </a:rPr>
            <a:t>O serial (Licença) dessa planilha é gerada automaticamente após a compra, conforme</a:t>
          </a:r>
        </a:p>
        <a:p>
          <a:r>
            <a:rPr lang="pt-BR" sz="1100" b="0" baseline="0">
              <a:solidFill>
                <a:srgbClr val="FFC000"/>
              </a:solidFill>
            </a:rPr>
            <a:t>controle da Onside Corporation ®</a:t>
          </a:r>
          <a:endParaRPr lang="pt-BR" sz="1100" b="0">
            <a:solidFill>
              <a:srgbClr val="FFC000"/>
            </a:solidFill>
          </a:endParaRPr>
        </a:p>
      </xdr:txBody>
    </xdr:sp>
    <xdr:clientData/>
  </xdr:oneCellAnchor>
  <xdr:oneCellAnchor>
    <xdr:from>
      <xdr:col>1</xdr:col>
      <xdr:colOff>38099</xdr:colOff>
      <xdr:row>21</xdr:row>
      <xdr:rowOff>171450</xdr:rowOff>
    </xdr:from>
    <xdr:ext cx="5895975" cy="962025"/>
    <xdr:sp macro="" textlink="">
      <xdr:nvSpPr>
        <xdr:cNvPr id="27" name="CaixaDeTexto 26">
          <a:extLst>
            <a:ext uri="{FF2B5EF4-FFF2-40B4-BE49-F238E27FC236}">
              <a16:creationId xmlns:a16="http://schemas.microsoft.com/office/drawing/2014/main" id="{00000000-0008-0000-0600-00001B000000}"/>
            </a:ext>
          </a:extLst>
        </xdr:cNvPr>
        <xdr:cNvSpPr txBox="1"/>
      </xdr:nvSpPr>
      <xdr:spPr>
        <a:xfrm>
          <a:off x="647699" y="4171950"/>
          <a:ext cx="5895975" cy="9620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0">
              <a:solidFill>
                <a:srgbClr val="FFC000"/>
              </a:solidFill>
            </a:rPr>
            <a:t>Essa licença é</a:t>
          </a:r>
          <a:r>
            <a:rPr lang="pt-BR" sz="1100" b="0" baseline="0">
              <a:solidFill>
                <a:srgbClr val="FFC000"/>
              </a:solidFill>
            </a:rPr>
            <a:t> única e exclusiva de sua propriedade, onde você poderá multiplicar a </a:t>
          </a:r>
        </a:p>
        <a:p>
          <a:r>
            <a:rPr lang="pt-BR" sz="1100" b="0" baseline="0">
              <a:solidFill>
                <a:srgbClr val="FFC000"/>
              </a:solidFill>
            </a:rPr>
            <a:t>planilha em SEU computador de acordo com sua necessidade. </a:t>
          </a:r>
        </a:p>
        <a:p>
          <a:endParaRPr lang="pt-BR" sz="1100" b="0" baseline="0">
            <a:solidFill>
              <a:srgbClr val="FF2525"/>
            </a:solidFill>
          </a:endParaRPr>
        </a:p>
        <a:p>
          <a:r>
            <a:rPr lang="pt-BR" sz="1100" b="1" baseline="0">
              <a:solidFill>
                <a:schemeClr val="bg1"/>
              </a:solidFill>
            </a:rPr>
            <a:t>AVISO IMPORTANTE: </a:t>
          </a:r>
          <a:r>
            <a:rPr lang="pt-BR" sz="1100" b="0" baseline="0">
              <a:solidFill>
                <a:schemeClr val="bg1"/>
              </a:solidFill>
            </a:rPr>
            <a:t>A planilha possui um ID vinculado ao serial, onde qualquer tentativa</a:t>
          </a:r>
        </a:p>
        <a:p>
          <a:r>
            <a:rPr lang="pt-BR" sz="1100" b="0" baseline="0">
              <a:solidFill>
                <a:schemeClr val="bg1"/>
              </a:solidFill>
            </a:rPr>
            <a:t>de repassar a planilha a terceiros, resulta em </a:t>
          </a:r>
          <a:r>
            <a:rPr lang="pt-BR" sz="1100" b="1" baseline="0">
              <a:solidFill>
                <a:schemeClr val="bg1"/>
              </a:solidFill>
            </a:rPr>
            <a:t>BLOQUEIO</a:t>
          </a:r>
          <a:r>
            <a:rPr lang="pt-BR" sz="1100" b="0" baseline="0">
              <a:solidFill>
                <a:schemeClr val="bg1"/>
              </a:solidFill>
            </a:rPr>
            <a:t> IMEDIATO e AUTOMÁTICO da planilha.</a:t>
          </a:r>
          <a:endParaRPr lang="pt-BR" sz="1100" b="0">
            <a:solidFill>
              <a:schemeClr val="bg1"/>
            </a:solidFill>
          </a:endParaRPr>
        </a:p>
      </xdr:txBody>
    </xdr:sp>
    <xdr:clientData/>
  </xdr:oneCellAnchor>
  <xdr:twoCellAnchor editAs="oneCell">
    <xdr:from>
      <xdr:col>0</xdr:col>
      <xdr:colOff>371475</xdr:colOff>
      <xdr:row>24</xdr:row>
      <xdr:rowOff>142875</xdr:rowOff>
    </xdr:from>
    <xdr:to>
      <xdr:col>1</xdr:col>
      <xdr:colOff>66675</xdr:colOff>
      <xdr:row>26</xdr:row>
      <xdr:rowOff>66675</xdr:rowOff>
    </xdr:to>
    <xdr:pic>
      <xdr:nvPicPr>
        <xdr:cNvPr id="28" name="Gráfico 27" descr="Sirene">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xmlns="" r:embed="rId5"/>
            </a:ext>
          </a:extLst>
        </a:blip>
        <a:srcRect/>
        <a:stretch/>
      </xdr:blipFill>
      <xdr:spPr>
        <a:xfrm>
          <a:off x="371475" y="4714875"/>
          <a:ext cx="304800" cy="304800"/>
        </a:xfrm>
        <a:prstGeom prst="rect">
          <a:avLst/>
        </a:prstGeom>
      </xdr:spPr>
    </xdr:pic>
    <xdr:clientData/>
  </xdr:twoCellAnchor>
  <xdr:twoCellAnchor editAs="oneCell">
    <xdr:from>
      <xdr:col>16</xdr:col>
      <xdr:colOff>600075</xdr:colOff>
      <xdr:row>15</xdr:row>
      <xdr:rowOff>171450</xdr:rowOff>
    </xdr:from>
    <xdr:to>
      <xdr:col>18</xdr:col>
      <xdr:colOff>295275</xdr:colOff>
      <xdr:row>20</xdr:row>
      <xdr:rowOff>133350</xdr:rowOff>
    </xdr:to>
    <xdr:pic>
      <xdr:nvPicPr>
        <xdr:cNvPr id="29" name="Gráfico 28" descr="Dança">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xmlns="" r:embed="rId7"/>
            </a:ext>
          </a:extLst>
        </a:blip>
        <a:stretch>
          <a:fillRect/>
        </a:stretch>
      </xdr:blipFill>
      <xdr:spPr>
        <a:xfrm>
          <a:off x="10353675" y="3028950"/>
          <a:ext cx="914400" cy="914400"/>
        </a:xfrm>
        <a:prstGeom prst="rect">
          <a:avLst/>
        </a:prstGeom>
      </xdr:spPr>
    </xdr:pic>
    <xdr:clientData/>
  </xdr:twoCellAnchor>
  <xdr:twoCellAnchor editAs="oneCell">
    <xdr:from>
      <xdr:col>0</xdr:col>
      <xdr:colOff>381000</xdr:colOff>
      <xdr:row>22</xdr:row>
      <xdr:rowOff>19050</xdr:rowOff>
    </xdr:from>
    <xdr:to>
      <xdr:col>1</xdr:col>
      <xdr:colOff>59400</xdr:colOff>
      <xdr:row>23</xdr:row>
      <xdr:rowOff>116550</xdr:rowOff>
    </xdr:to>
    <xdr:pic>
      <xdr:nvPicPr>
        <xdr:cNvPr id="30" name="Gráfico 29" descr="Impressão digital">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xmlns="" r:embed="rId9"/>
            </a:ext>
          </a:extLst>
        </a:blip>
        <a:stretch>
          <a:fillRect/>
        </a:stretch>
      </xdr:blipFill>
      <xdr:spPr>
        <a:xfrm>
          <a:off x="381000" y="4210050"/>
          <a:ext cx="288000" cy="288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466725</xdr:colOff>
      <xdr:row>0</xdr:row>
      <xdr:rowOff>85725</xdr:rowOff>
    </xdr:from>
    <xdr:to>
      <xdr:col>6</xdr:col>
      <xdr:colOff>327525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352425</xdr:colOff>
      <xdr:row>0</xdr:row>
      <xdr:rowOff>85725</xdr:rowOff>
    </xdr:from>
    <xdr:to>
      <xdr:col>8</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238125</xdr:colOff>
      <xdr:row>0</xdr:row>
      <xdr:rowOff>85725</xdr:rowOff>
    </xdr:from>
    <xdr:to>
      <xdr:col>10</xdr:col>
      <xdr:colOff>98925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12</xdr:col>
      <xdr:colOff>9525</xdr:colOff>
      <xdr:row>0</xdr:row>
      <xdr:rowOff>85725</xdr:rowOff>
    </xdr:from>
    <xdr:to>
      <xdr:col>13</xdr:col>
      <xdr:colOff>479925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504825</xdr:colOff>
      <xdr:row>0</xdr:row>
      <xdr:rowOff>85725</xdr:rowOff>
    </xdr:from>
    <xdr:to>
      <xdr:col>15</xdr:col>
      <xdr:colOff>365625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390525</xdr:colOff>
      <xdr:row>0</xdr:row>
      <xdr:rowOff>85725</xdr:rowOff>
    </xdr:from>
    <xdr:to>
      <xdr:col>17</xdr:col>
      <xdr:colOff>251325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47625</xdr:colOff>
      <xdr:row>0</xdr:row>
      <xdr:rowOff>371475</xdr:rowOff>
    </xdr:from>
    <xdr:to>
      <xdr:col>6</xdr:col>
      <xdr:colOff>158025</xdr:colOff>
      <xdr:row>0</xdr:row>
      <xdr:rowOff>388425</xdr:rowOff>
    </xdr:to>
    <xdr:sp macro="" textlink="">
      <xdr:nvSpPr>
        <xdr:cNvPr id="8" name="Retângulo 7">
          <a:extLst>
            <a:ext uri="{FF2B5EF4-FFF2-40B4-BE49-F238E27FC236}">
              <a16:creationId xmlns:a16="http://schemas.microsoft.com/office/drawing/2014/main" id="{00000000-0008-0000-0700-000008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123825</xdr:colOff>
      <xdr:row>0</xdr:row>
      <xdr:rowOff>85725</xdr:rowOff>
    </xdr:from>
    <xdr:to>
      <xdr:col>11</xdr:col>
      <xdr:colOff>594225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7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561975</xdr:colOff>
      <xdr:row>1</xdr:row>
      <xdr:rowOff>142875</xdr:rowOff>
    </xdr:from>
    <xdr:to>
      <xdr:col>5</xdr:col>
      <xdr:colOff>422775</xdr:colOff>
      <xdr:row>2</xdr:row>
      <xdr:rowOff>13875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00000000-0008-0000-07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Onside</a:t>
          </a:r>
        </a:p>
      </xdr:txBody>
    </xdr:sp>
    <xdr:clientData/>
  </xdr:twoCellAnchor>
  <xdr:twoCellAnchor editAs="oneCell">
    <xdr:from>
      <xdr:col>0</xdr:col>
      <xdr:colOff>113929</xdr:colOff>
      <xdr:row>0</xdr:row>
      <xdr:rowOff>0</xdr:rowOff>
    </xdr:from>
    <xdr:to>
      <xdr:col>3</xdr:col>
      <xdr:colOff>607384</xdr:colOff>
      <xdr:row>0</xdr:row>
      <xdr:rowOff>428625</xdr:rowOff>
    </xdr:to>
    <xdr:grpSp>
      <xdr:nvGrpSpPr>
        <xdr:cNvPr id="11" name="Agrupar 10">
          <a:extLst>
            <a:ext uri="{FF2B5EF4-FFF2-40B4-BE49-F238E27FC236}">
              <a16:creationId xmlns:a16="http://schemas.microsoft.com/office/drawing/2014/main" id="{00000000-0008-0000-07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7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7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7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95250</xdr:colOff>
      <xdr:row>30</xdr:row>
      <xdr:rowOff>133350</xdr:rowOff>
    </xdr:from>
    <xdr:ext cx="1845313" cy="342786"/>
    <xdr:sp macro="" textlink="">
      <xdr:nvSpPr>
        <xdr:cNvPr id="15" name="CaixaDeTexto 14">
          <a:extLst>
            <a:ext uri="{FF2B5EF4-FFF2-40B4-BE49-F238E27FC236}">
              <a16:creationId xmlns:a16="http://schemas.microsoft.com/office/drawing/2014/main" id="{00000000-0008-0000-0700-00000F000000}"/>
            </a:ext>
          </a:extLst>
        </xdr:cNvPr>
        <xdr:cNvSpPr txBox="1"/>
      </xdr:nvSpPr>
      <xdr:spPr>
        <a:xfrm>
          <a:off x="95250" y="6286500"/>
          <a:ext cx="184531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bg1"/>
              </a:solidFill>
            </a:rPr>
            <a:t>Copyright © 2020 Onside Corporation ®</a:t>
          </a:r>
        </a:p>
        <a:p>
          <a:r>
            <a:rPr lang="pt-BR" sz="800">
              <a:solidFill>
                <a:schemeClr val="bg1"/>
              </a:solidFill>
            </a:rPr>
            <a:t>Todos os direitos reservados.</a:t>
          </a:r>
        </a:p>
      </xdr:txBody>
    </xdr:sp>
    <xdr:clientData/>
  </xdr:oneCellAnchor>
  <xdr:twoCellAnchor editAs="oneCell">
    <xdr:from>
      <xdr:col>2</xdr:col>
      <xdr:colOff>85725</xdr:colOff>
      <xdr:row>20</xdr:row>
      <xdr:rowOff>9525</xdr:rowOff>
    </xdr:from>
    <xdr:to>
      <xdr:col>3</xdr:col>
      <xdr:colOff>264750</xdr:colOff>
      <xdr:row>21</xdr:row>
      <xdr:rowOff>179025</xdr:rowOff>
    </xdr:to>
    <xdr:pic>
      <xdr:nvPicPr>
        <xdr:cNvPr id="16" name="Gráfico 15" descr="Troféu">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xmlns="" r:embed="rId9"/>
            </a:ext>
          </a:extLst>
        </a:blip>
        <a:stretch>
          <a:fillRect/>
        </a:stretch>
      </xdr:blipFill>
      <xdr:spPr>
        <a:xfrm>
          <a:off x="447675" y="4257675"/>
          <a:ext cx="360000" cy="360000"/>
        </a:xfrm>
        <a:prstGeom prst="rect">
          <a:avLst/>
        </a:prstGeom>
      </xdr:spPr>
    </xdr:pic>
    <xdr:clientData/>
  </xdr:twoCellAnchor>
  <xdr:twoCellAnchor editAs="oneCell">
    <xdr:from>
      <xdr:col>2</xdr:col>
      <xdr:colOff>83325</xdr:colOff>
      <xdr:row>23</xdr:row>
      <xdr:rowOff>7125</xdr:rowOff>
    </xdr:from>
    <xdr:to>
      <xdr:col>3</xdr:col>
      <xdr:colOff>262350</xdr:colOff>
      <xdr:row>24</xdr:row>
      <xdr:rowOff>176625</xdr:rowOff>
    </xdr:to>
    <xdr:pic>
      <xdr:nvPicPr>
        <xdr:cNvPr id="17" name="Gráfico 16" descr="Olho">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xmlns="" r:embed="rId11"/>
            </a:ext>
          </a:extLst>
        </a:blip>
        <a:stretch>
          <a:fillRect/>
        </a:stretch>
      </xdr:blipFill>
      <xdr:spPr>
        <a:xfrm>
          <a:off x="445275" y="4826775"/>
          <a:ext cx="360000" cy="360000"/>
        </a:xfrm>
        <a:prstGeom prst="rect">
          <a:avLst/>
        </a:prstGeom>
      </xdr:spPr>
    </xdr:pic>
    <xdr:clientData/>
  </xdr:twoCellAnchor>
  <xdr:twoCellAnchor editAs="oneCell">
    <xdr:from>
      <xdr:col>2</xdr:col>
      <xdr:colOff>90450</xdr:colOff>
      <xdr:row>26</xdr:row>
      <xdr:rowOff>23775</xdr:rowOff>
    </xdr:from>
    <xdr:to>
      <xdr:col>3</xdr:col>
      <xdr:colOff>269475</xdr:colOff>
      <xdr:row>28</xdr:row>
      <xdr:rowOff>2775</xdr:rowOff>
    </xdr:to>
    <xdr:pic>
      <xdr:nvPicPr>
        <xdr:cNvPr id="18" name="Gráfico 17" descr="Aperto de mãos">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xmlns="" r:embed="rId13"/>
            </a:ext>
          </a:extLst>
        </a:blip>
        <a:stretch>
          <a:fillRect/>
        </a:stretch>
      </xdr:blipFill>
      <xdr:spPr>
        <a:xfrm>
          <a:off x="452400" y="5414925"/>
          <a:ext cx="360000" cy="360000"/>
        </a:xfrm>
        <a:prstGeom prst="rect">
          <a:avLst/>
        </a:prstGeom>
      </xdr:spPr>
    </xdr:pic>
    <xdr:clientData/>
  </xdr:twoCellAnchor>
  <xdr:twoCellAnchor editAs="oneCell">
    <xdr:from>
      <xdr:col>2</xdr:col>
      <xdr:colOff>0</xdr:colOff>
      <xdr:row>14</xdr:row>
      <xdr:rowOff>0</xdr:rowOff>
    </xdr:from>
    <xdr:to>
      <xdr:col>4</xdr:col>
      <xdr:colOff>123825</xdr:colOff>
      <xdr:row>18</xdr:row>
      <xdr:rowOff>152400</xdr:rowOff>
    </xdr:to>
    <xdr:pic>
      <xdr:nvPicPr>
        <xdr:cNvPr id="19" name="Gráfico 18" descr="Professor">
          <a:hlinkClick xmlns:r="http://schemas.openxmlformats.org/officeDocument/2006/relationships" r:id="rId14"/>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xmlns="" r:embed="rId16"/>
            </a:ext>
          </a:extLst>
        </a:blip>
        <a:stretch>
          <a:fillRect/>
        </a:stretch>
      </xdr:blipFill>
      <xdr:spPr>
        <a:xfrm>
          <a:off x="228600" y="3105150"/>
          <a:ext cx="914400" cy="914400"/>
        </a:xfrm>
        <a:prstGeom prst="rect">
          <a:avLst/>
        </a:prstGeom>
      </xdr:spPr>
    </xdr:pic>
    <xdr:clientData/>
  </xdr:twoCellAnchor>
  <xdr:oneCellAnchor>
    <xdr:from>
      <xdr:col>2</xdr:col>
      <xdr:colOff>200025</xdr:colOff>
      <xdr:row>15</xdr:row>
      <xdr:rowOff>9525</xdr:rowOff>
    </xdr:from>
    <xdr:ext cx="671402" cy="233205"/>
    <xdr:sp macro="" textlink="">
      <xdr:nvSpPr>
        <xdr:cNvPr id="20" name="CaixaDeTexto 19">
          <a:extLst>
            <a:ext uri="{FF2B5EF4-FFF2-40B4-BE49-F238E27FC236}">
              <a16:creationId xmlns:a16="http://schemas.microsoft.com/office/drawing/2014/main" id="{00000000-0008-0000-0700-000014000000}"/>
            </a:ext>
          </a:extLst>
        </xdr:cNvPr>
        <xdr:cNvSpPr txBox="1"/>
      </xdr:nvSpPr>
      <xdr:spPr>
        <a:xfrm>
          <a:off x="409575" y="3305175"/>
          <a:ext cx="6714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baseline="0">
              <a:solidFill>
                <a:srgbClr val="FF0000"/>
              </a:solidFill>
            </a:rPr>
            <a:t>Instruções</a:t>
          </a:r>
          <a:endParaRPr lang="pt-BR" sz="900">
            <a:solidFill>
              <a:srgbClr val="FF0000"/>
            </a:solidFill>
          </a:endParaRPr>
        </a:p>
      </xdr:txBody>
    </xdr:sp>
    <xdr:clientData/>
  </xdr:oneCellAnchor>
  <xdr:oneCellAnchor>
    <xdr:from>
      <xdr:col>2</xdr:col>
      <xdr:colOff>0</xdr:colOff>
      <xdr:row>14</xdr:row>
      <xdr:rowOff>0</xdr:rowOff>
    </xdr:from>
    <xdr:ext cx="914400" cy="914400"/>
    <xdr:pic>
      <xdr:nvPicPr>
        <xdr:cNvPr id="21" name="Gráfico 20" descr="Professor">
          <a:hlinkClick xmlns:r="http://schemas.openxmlformats.org/officeDocument/2006/relationships" r:id="rId17"/>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xmlns="" r:embed="rId16"/>
            </a:ext>
          </a:extLst>
        </a:blip>
        <a:stretch>
          <a:fillRect/>
        </a:stretch>
      </xdr:blipFill>
      <xdr:spPr>
        <a:xfrm>
          <a:off x="228600" y="3105150"/>
          <a:ext cx="914400" cy="914400"/>
        </a:xfrm>
        <a:prstGeom prst="rect">
          <a:avLst/>
        </a:prstGeom>
      </xdr:spPr>
    </xdr:pic>
    <xdr:clientData/>
  </xdr:oneCellAnchor>
  <xdr:oneCellAnchor>
    <xdr:from>
      <xdr:col>2</xdr:col>
      <xdr:colOff>200025</xdr:colOff>
      <xdr:row>15</xdr:row>
      <xdr:rowOff>9525</xdr:rowOff>
    </xdr:from>
    <xdr:ext cx="671402" cy="233205"/>
    <xdr:sp macro="" textlink="">
      <xdr:nvSpPr>
        <xdr:cNvPr id="22" name="CaixaDeTexto 21">
          <a:extLst>
            <a:ext uri="{FF2B5EF4-FFF2-40B4-BE49-F238E27FC236}">
              <a16:creationId xmlns:a16="http://schemas.microsoft.com/office/drawing/2014/main" id="{00000000-0008-0000-0700-000016000000}"/>
            </a:ext>
          </a:extLst>
        </xdr:cNvPr>
        <xdr:cNvSpPr txBox="1"/>
      </xdr:nvSpPr>
      <xdr:spPr>
        <a:xfrm>
          <a:off x="409575" y="3305175"/>
          <a:ext cx="6714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baseline="0">
              <a:solidFill>
                <a:srgbClr val="FF0000"/>
              </a:solidFill>
            </a:rPr>
            <a:t>Instruções</a:t>
          </a:r>
          <a:endParaRPr lang="pt-BR" sz="900">
            <a:solidFill>
              <a:srgbClr val="FF0000"/>
            </a:solidFill>
          </a:endParaRPr>
        </a:p>
      </xdr:txBody>
    </xdr:sp>
    <xdr:clientData/>
  </xdr:oneCellAnchor>
  <xdr:twoCellAnchor>
    <xdr:from>
      <xdr:col>1</xdr:col>
      <xdr:colOff>38100</xdr:colOff>
      <xdr:row>5</xdr:row>
      <xdr:rowOff>133350</xdr:rowOff>
    </xdr:from>
    <xdr:to>
      <xdr:col>9</xdr:col>
      <xdr:colOff>457200</xdr:colOff>
      <xdr:row>11</xdr:row>
      <xdr:rowOff>57150</xdr:rowOff>
    </xdr:to>
    <xdr:sp macro="" textlink="">
      <xdr:nvSpPr>
        <xdr:cNvPr id="23" name="Retângulo: Cantos Arredondados 22">
          <a:hlinkClick xmlns:r="http://schemas.openxmlformats.org/officeDocument/2006/relationships" r:id="rId18"/>
          <a:extLst>
            <a:ext uri="{FF2B5EF4-FFF2-40B4-BE49-F238E27FC236}">
              <a16:creationId xmlns:a16="http://schemas.microsoft.com/office/drawing/2014/main" id="{00000000-0008-0000-0700-000017000000}"/>
            </a:ext>
          </a:extLst>
        </xdr:cNvPr>
        <xdr:cNvSpPr/>
      </xdr:nvSpPr>
      <xdr:spPr>
        <a:xfrm>
          <a:off x="219075" y="1524000"/>
          <a:ext cx="4867275" cy="1066800"/>
        </a:xfrm>
        <a:prstGeom prst="roundRect">
          <a:avLst/>
        </a:prstGeom>
        <a:solidFill>
          <a:srgbClr val="FFC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rPr>
            <a:t>          Área de Aprendizado</a:t>
          </a:r>
        </a:p>
      </xdr:txBody>
    </xdr:sp>
    <xdr:clientData/>
  </xdr:twoCellAnchor>
  <xdr:twoCellAnchor editAs="oneCell">
    <xdr:from>
      <xdr:col>1</xdr:col>
      <xdr:colOff>171450</xdr:colOff>
      <xdr:row>6</xdr:row>
      <xdr:rowOff>0</xdr:rowOff>
    </xdr:from>
    <xdr:to>
      <xdr:col>4</xdr:col>
      <xdr:colOff>123825</xdr:colOff>
      <xdr:row>10</xdr:row>
      <xdr:rowOff>152400</xdr:rowOff>
    </xdr:to>
    <xdr:pic>
      <xdr:nvPicPr>
        <xdr:cNvPr id="24" name="Gráfico 23" descr="Sala de aula">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xmlns="" r:embed="rId20"/>
            </a:ext>
          </a:extLst>
        </a:blip>
        <a:stretch>
          <a:fillRect/>
        </a:stretch>
      </xdr:blipFill>
      <xdr:spPr>
        <a:xfrm>
          <a:off x="352425" y="1581150"/>
          <a:ext cx="914400" cy="914400"/>
        </a:xfrm>
        <a:prstGeom prst="rect">
          <a:avLst/>
        </a:prstGeom>
      </xdr:spPr>
    </xdr:pic>
    <xdr:clientData/>
  </xdr:twoCellAnchor>
  <xdr:oneCellAnchor>
    <xdr:from>
      <xdr:col>4</xdr:col>
      <xdr:colOff>257175</xdr:colOff>
      <xdr:row>8</xdr:row>
      <xdr:rowOff>171450</xdr:rowOff>
    </xdr:from>
    <xdr:ext cx="2261901" cy="248851"/>
    <xdr:sp macro="" textlink="">
      <xdr:nvSpPr>
        <xdr:cNvPr id="25" name="CaixaDeTexto 24">
          <a:extLst>
            <a:ext uri="{FF2B5EF4-FFF2-40B4-BE49-F238E27FC236}">
              <a16:creationId xmlns:a16="http://schemas.microsoft.com/office/drawing/2014/main" id="{00000000-0008-0000-0700-000019000000}"/>
            </a:ext>
          </a:extLst>
        </xdr:cNvPr>
        <xdr:cNvSpPr txBox="1"/>
      </xdr:nvSpPr>
      <xdr:spPr>
        <a:xfrm>
          <a:off x="1276350" y="2133600"/>
          <a:ext cx="226190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t>Porque conhecimento muda o mundo...</a:t>
          </a:r>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3</xdr:col>
      <xdr:colOff>85725</xdr:colOff>
      <xdr:row>0</xdr:row>
      <xdr:rowOff>85725</xdr:rowOff>
    </xdr:from>
    <xdr:to>
      <xdr:col>4</xdr:col>
      <xdr:colOff>556125</xdr:colOff>
      <xdr:row>0</xdr:row>
      <xdr:rowOff>373725</xdr:rowOff>
    </xdr:to>
    <xdr:sp macro="" textlink="">
      <xdr:nvSpPr>
        <xdr:cNvPr id="18" name="Retângulo 17">
          <a:hlinkClick xmlns:r="http://schemas.openxmlformats.org/officeDocument/2006/relationships" r:id="rId1"/>
          <a:extLst>
            <a:ext uri="{FF2B5EF4-FFF2-40B4-BE49-F238E27FC236}">
              <a16:creationId xmlns:a16="http://schemas.microsoft.com/office/drawing/2014/main" id="{00000000-0008-0000-0800-00001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581025</xdr:colOff>
      <xdr:row>0</xdr:row>
      <xdr:rowOff>85725</xdr:rowOff>
    </xdr:from>
    <xdr:to>
      <xdr:col>6</xdr:col>
      <xdr:colOff>441825</xdr:colOff>
      <xdr:row>0</xdr:row>
      <xdr:rowOff>373725</xdr:rowOff>
    </xdr:to>
    <xdr:sp macro="" textlink="">
      <xdr:nvSpPr>
        <xdr:cNvPr id="19" name="Retângulo 18">
          <a:hlinkClick xmlns:r="http://schemas.openxmlformats.org/officeDocument/2006/relationships" r:id="rId2"/>
          <a:extLst>
            <a:ext uri="{FF2B5EF4-FFF2-40B4-BE49-F238E27FC236}">
              <a16:creationId xmlns:a16="http://schemas.microsoft.com/office/drawing/2014/main" id="{00000000-0008-0000-0800-00001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466725</xdr:colOff>
      <xdr:row>0</xdr:row>
      <xdr:rowOff>85725</xdr:rowOff>
    </xdr:from>
    <xdr:to>
      <xdr:col>8</xdr:col>
      <xdr:colOff>327525</xdr:colOff>
      <xdr:row>0</xdr:row>
      <xdr:rowOff>373725</xdr:rowOff>
    </xdr:to>
    <xdr:sp macro="" textlink="">
      <xdr:nvSpPr>
        <xdr:cNvPr id="20" name="Retângulo 19">
          <a:hlinkClick xmlns:r="http://schemas.openxmlformats.org/officeDocument/2006/relationships" r:id="rId3"/>
          <a:extLst>
            <a:ext uri="{FF2B5EF4-FFF2-40B4-BE49-F238E27FC236}">
              <a16:creationId xmlns:a16="http://schemas.microsoft.com/office/drawing/2014/main" id="{00000000-0008-0000-0800-00001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238125</xdr:colOff>
      <xdr:row>0</xdr:row>
      <xdr:rowOff>85725</xdr:rowOff>
    </xdr:from>
    <xdr:to>
      <xdr:col>12</xdr:col>
      <xdr:colOff>98925</xdr:colOff>
      <xdr:row>0</xdr:row>
      <xdr:rowOff>373725</xdr:rowOff>
    </xdr:to>
    <xdr:sp macro="" textlink="">
      <xdr:nvSpPr>
        <xdr:cNvPr id="21" name="Retângulo 20">
          <a:hlinkClick xmlns:r="http://schemas.openxmlformats.org/officeDocument/2006/relationships" r:id="rId4"/>
          <a:extLst>
            <a:ext uri="{FF2B5EF4-FFF2-40B4-BE49-F238E27FC236}">
              <a16:creationId xmlns:a16="http://schemas.microsoft.com/office/drawing/2014/main" id="{00000000-0008-0000-0800-00001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12</xdr:col>
      <xdr:colOff>123825</xdr:colOff>
      <xdr:row>0</xdr:row>
      <xdr:rowOff>85725</xdr:rowOff>
    </xdr:from>
    <xdr:to>
      <xdr:col>13</xdr:col>
      <xdr:colOff>594225</xdr:colOff>
      <xdr:row>0</xdr:row>
      <xdr:rowOff>373725</xdr:rowOff>
    </xdr:to>
    <xdr:sp macro="" textlink="">
      <xdr:nvSpPr>
        <xdr:cNvPr id="22" name="Retângulo 21">
          <a:hlinkClick xmlns:r="http://schemas.openxmlformats.org/officeDocument/2006/relationships" r:id="rId5"/>
          <a:extLst>
            <a:ext uri="{FF2B5EF4-FFF2-40B4-BE49-F238E27FC236}">
              <a16:creationId xmlns:a16="http://schemas.microsoft.com/office/drawing/2014/main" id="{00000000-0008-0000-0800-00001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9525</xdr:colOff>
      <xdr:row>0</xdr:row>
      <xdr:rowOff>85725</xdr:rowOff>
    </xdr:from>
    <xdr:to>
      <xdr:col>15</xdr:col>
      <xdr:colOff>479925</xdr:colOff>
      <xdr:row>0</xdr:row>
      <xdr:rowOff>373725</xdr:rowOff>
    </xdr:to>
    <xdr:sp macro="" textlink="">
      <xdr:nvSpPr>
        <xdr:cNvPr id="23" name="Retângulo 22">
          <a:hlinkClick xmlns:r="http://schemas.openxmlformats.org/officeDocument/2006/relationships" r:id="rId6"/>
          <a:extLst>
            <a:ext uri="{FF2B5EF4-FFF2-40B4-BE49-F238E27FC236}">
              <a16:creationId xmlns:a16="http://schemas.microsoft.com/office/drawing/2014/main" id="{00000000-0008-0000-0800-00001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352425</xdr:colOff>
      <xdr:row>0</xdr:row>
      <xdr:rowOff>85725</xdr:rowOff>
    </xdr:from>
    <xdr:to>
      <xdr:col>10</xdr:col>
      <xdr:colOff>213225</xdr:colOff>
      <xdr:row>0</xdr:row>
      <xdr:rowOff>373725</xdr:rowOff>
    </xdr:to>
    <xdr:sp macro="" textlink="">
      <xdr:nvSpPr>
        <xdr:cNvPr id="24" name="Retângulo 23">
          <a:hlinkClick xmlns:r="http://schemas.openxmlformats.org/officeDocument/2006/relationships" r:id="rId7"/>
          <a:extLst>
            <a:ext uri="{FF2B5EF4-FFF2-40B4-BE49-F238E27FC236}">
              <a16:creationId xmlns:a16="http://schemas.microsoft.com/office/drawing/2014/main" id="{00000000-0008-0000-0800-000018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180975</xdr:colOff>
      <xdr:row>1</xdr:row>
      <xdr:rowOff>142875</xdr:rowOff>
    </xdr:from>
    <xdr:to>
      <xdr:col>4</xdr:col>
      <xdr:colOff>41775</xdr:colOff>
      <xdr:row>2</xdr:row>
      <xdr:rowOff>13875</xdr:rowOff>
    </xdr:to>
    <xdr:sp macro="" textlink="">
      <xdr:nvSpPr>
        <xdr:cNvPr id="25" name="Retângulo 24">
          <a:hlinkClick xmlns:r="http://schemas.openxmlformats.org/officeDocument/2006/relationships" r:id="rId8"/>
          <a:extLst>
            <a:ext uri="{FF2B5EF4-FFF2-40B4-BE49-F238E27FC236}">
              <a16:creationId xmlns:a16="http://schemas.microsoft.com/office/drawing/2014/main" id="{00000000-0008-0000-0800-000019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Aprendizado</a:t>
          </a:r>
        </a:p>
      </xdr:txBody>
    </xdr:sp>
    <xdr:clientData/>
  </xdr:twoCellAnchor>
  <xdr:twoCellAnchor editAs="oneCell">
    <xdr:from>
      <xdr:col>0</xdr:col>
      <xdr:colOff>113929</xdr:colOff>
      <xdr:row>0</xdr:row>
      <xdr:rowOff>0</xdr:rowOff>
    </xdr:from>
    <xdr:to>
      <xdr:col>2</xdr:col>
      <xdr:colOff>226384</xdr:colOff>
      <xdr:row>0</xdr:row>
      <xdr:rowOff>428625</xdr:rowOff>
    </xdr:to>
    <xdr:grpSp>
      <xdr:nvGrpSpPr>
        <xdr:cNvPr id="26" name="Agrupar 25">
          <a:extLst>
            <a:ext uri="{FF2B5EF4-FFF2-40B4-BE49-F238E27FC236}">
              <a16:creationId xmlns:a16="http://schemas.microsoft.com/office/drawing/2014/main" id="{00000000-0008-0000-0800-00001A000000}"/>
            </a:ext>
          </a:extLst>
        </xdr:cNvPr>
        <xdr:cNvGrpSpPr/>
      </xdr:nvGrpSpPr>
      <xdr:grpSpPr>
        <a:xfrm>
          <a:off x="113929" y="0"/>
          <a:ext cx="903030" cy="428625"/>
          <a:chOff x="142504" y="66675"/>
          <a:chExt cx="903030" cy="534208"/>
        </a:xfrm>
      </xdr:grpSpPr>
      <xdr:sp macro="" textlink="">
        <xdr:nvSpPr>
          <xdr:cNvPr id="27" name="CaixaDeTexto 26">
            <a:extLst>
              <a:ext uri="{FF2B5EF4-FFF2-40B4-BE49-F238E27FC236}">
                <a16:creationId xmlns:a16="http://schemas.microsoft.com/office/drawing/2014/main" id="{00000000-0008-0000-0800-00001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8" name="Meio-quadro 27">
            <a:extLst>
              <a:ext uri="{FF2B5EF4-FFF2-40B4-BE49-F238E27FC236}">
                <a16:creationId xmlns:a16="http://schemas.microsoft.com/office/drawing/2014/main" id="{00000000-0008-0000-0800-00001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9" name="Meio-quadro 28">
            <a:extLst>
              <a:ext uri="{FF2B5EF4-FFF2-40B4-BE49-F238E27FC236}">
                <a16:creationId xmlns:a16="http://schemas.microsoft.com/office/drawing/2014/main" id="{00000000-0008-0000-0800-00001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276225</xdr:colOff>
      <xdr:row>0</xdr:row>
      <xdr:rowOff>371475</xdr:rowOff>
    </xdr:from>
    <xdr:to>
      <xdr:col>4</xdr:col>
      <xdr:colOff>386625</xdr:colOff>
      <xdr:row>0</xdr:row>
      <xdr:rowOff>388425</xdr:rowOff>
    </xdr:to>
    <xdr:sp macro="" textlink="">
      <xdr:nvSpPr>
        <xdr:cNvPr id="31" name="Retângulo 30">
          <a:extLst>
            <a:ext uri="{FF2B5EF4-FFF2-40B4-BE49-F238E27FC236}">
              <a16:creationId xmlns:a16="http://schemas.microsoft.com/office/drawing/2014/main" id="{00000000-0008-0000-0800-00001F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8</xdr:row>
      <xdr:rowOff>9525</xdr:rowOff>
    </xdr:from>
    <xdr:to>
      <xdr:col>8</xdr:col>
      <xdr:colOff>247650</xdr:colOff>
      <xdr:row>22</xdr:row>
      <xdr:rowOff>152400</xdr:rowOff>
    </xdr:to>
    <xdr:sp macro="" textlink="">
      <xdr:nvSpPr>
        <xdr:cNvPr id="30" name="Retângulo 29">
          <a:extLst>
            <a:ext uri="{FF2B5EF4-FFF2-40B4-BE49-F238E27FC236}">
              <a16:creationId xmlns:a16="http://schemas.microsoft.com/office/drawing/2014/main" id="{00000000-0008-0000-0800-00001E000000}"/>
            </a:ext>
          </a:extLst>
        </xdr:cNvPr>
        <xdr:cNvSpPr/>
      </xdr:nvSpPr>
      <xdr:spPr>
        <a:xfrm>
          <a:off x="180975" y="1971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xdr:col>
      <xdr:colOff>0</xdr:colOff>
      <xdr:row>4</xdr:row>
      <xdr:rowOff>0</xdr:rowOff>
    </xdr:from>
    <xdr:ext cx="8317662" cy="405432"/>
    <xdr:sp macro="" textlink="">
      <xdr:nvSpPr>
        <xdr:cNvPr id="32" name="CaixaDeTexto 31">
          <a:extLst>
            <a:ext uri="{FF2B5EF4-FFF2-40B4-BE49-F238E27FC236}">
              <a16:creationId xmlns:a16="http://schemas.microsoft.com/office/drawing/2014/main" id="{00000000-0008-0000-0800-000020000000}"/>
            </a:ext>
          </a:extLst>
        </xdr:cNvPr>
        <xdr:cNvSpPr txBox="1"/>
      </xdr:nvSpPr>
      <xdr:spPr>
        <a:xfrm>
          <a:off x="180975" y="1200150"/>
          <a:ext cx="831766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1">
              <a:solidFill>
                <a:schemeClr val="tx1">
                  <a:lumMod val="75000"/>
                  <a:lumOff val="25000"/>
                </a:schemeClr>
              </a:solidFill>
            </a:rPr>
            <a:t>Bora aprender?</a:t>
          </a:r>
          <a:r>
            <a:rPr lang="pt-BR" sz="2000" b="1" baseline="0">
              <a:solidFill>
                <a:schemeClr val="tx1">
                  <a:lumMod val="75000"/>
                  <a:lumOff val="25000"/>
                </a:schemeClr>
              </a:solidFill>
            </a:rPr>
            <a:t> </a:t>
          </a:r>
          <a:r>
            <a:rPr lang="pt-BR" sz="2000" b="0" baseline="0">
              <a:solidFill>
                <a:schemeClr val="tx1">
                  <a:lumMod val="50000"/>
                  <a:lumOff val="50000"/>
                </a:schemeClr>
              </a:solidFill>
            </a:rPr>
            <a:t>Conheça alguns cursos de parceiros da Onside Corporation ®</a:t>
          </a:r>
          <a:endParaRPr lang="pt-BR" sz="2000" b="0">
            <a:solidFill>
              <a:schemeClr val="tx1">
                <a:lumMod val="50000"/>
                <a:lumOff val="50000"/>
              </a:schemeClr>
            </a:solidFill>
          </a:endParaRPr>
        </a:p>
      </xdr:txBody>
    </xdr:sp>
    <xdr:clientData/>
  </xdr:oneCellAnchor>
  <xdr:oneCellAnchor>
    <xdr:from>
      <xdr:col>8</xdr:col>
      <xdr:colOff>447675</xdr:colOff>
      <xdr:row>10</xdr:row>
      <xdr:rowOff>104775</xdr:rowOff>
    </xdr:from>
    <xdr:ext cx="4438650" cy="1297919"/>
    <xdr:sp macro="" textlink="">
      <xdr:nvSpPr>
        <xdr:cNvPr id="6" name="CaixaDeTexto 5">
          <a:extLst>
            <a:ext uri="{FF2B5EF4-FFF2-40B4-BE49-F238E27FC236}">
              <a16:creationId xmlns:a16="http://schemas.microsoft.com/office/drawing/2014/main" id="{00000000-0008-0000-0800-000006000000}"/>
            </a:ext>
          </a:extLst>
        </xdr:cNvPr>
        <xdr:cNvSpPr txBox="1"/>
      </xdr:nvSpPr>
      <xdr:spPr>
        <a:xfrm>
          <a:off x="4895850" y="24479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p>
      </xdr:txBody>
    </xdr:sp>
    <xdr:clientData/>
  </xdr:oneCellAnchor>
  <xdr:twoCellAnchor editAs="oneCell">
    <xdr:from>
      <xdr:col>8</xdr:col>
      <xdr:colOff>400050</xdr:colOff>
      <xdr:row>17</xdr:row>
      <xdr:rowOff>133350</xdr:rowOff>
    </xdr:from>
    <xdr:to>
      <xdr:col>10</xdr:col>
      <xdr:colOff>95250</xdr:colOff>
      <xdr:row>22</xdr:row>
      <xdr:rowOff>95250</xdr:rowOff>
    </xdr:to>
    <xdr:pic>
      <xdr:nvPicPr>
        <xdr:cNvPr id="8" name="Gráfico 7" descr="Fita">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4848225" y="3810000"/>
          <a:ext cx="914400" cy="914400"/>
        </a:xfrm>
        <a:prstGeom prst="rect">
          <a:avLst/>
        </a:prstGeom>
      </xdr:spPr>
    </xdr:pic>
    <xdr:clientData/>
  </xdr:twoCellAnchor>
  <xdr:oneCellAnchor>
    <xdr:from>
      <xdr:col>8</xdr:col>
      <xdr:colOff>485775</xdr:colOff>
      <xdr:row>8</xdr:row>
      <xdr:rowOff>19050</xdr:rowOff>
    </xdr:from>
    <xdr:ext cx="4476750" cy="374141"/>
    <xdr:sp macro="" textlink="">
      <xdr:nvSpPr>
        <xdr:cNvPr id="9" name="CaixaDeTexto 8">
          <a:extLst>
            <a:ext uri="{FF2B5EF4-FFF2-40B4-BE49-F238E27FC236}">
              <a16:creationId xmlns:a16="http://schemas.microsoft.com/office/drawing/2014/main" id="{00000000-0008-0000-0800-000009000000}"/>
            </a:ext>
          </a:extLst>
        </xdr:cNvPr>
        <xdr:cNvSpPr txBox="1"/>
      </xdr:nvSpPr>
      <xdr:spPr>
        <a:xfrm>
          <a:off x="4933950" y="1981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Analista Fiscal</a:t>
          </a:r>
        </a:p>
      </xdr:txBody>
    </xdr:sp>
    <xdr:clientData/>
  </xdr:oneCellAnchor>
  <xdr:twoCellAnchor>
    <xdr:from>
      <xdr:col>10</xdr:col>
      <xdr:colOff>352425</xdr:colOff>
      <xdr:row>18</xdr:row>
      <xdr:rowOff>85725</xdr:rowOff>
    </xdr:from>
    <xdr:to>
      <xdr:col>15</xdr:col>
      <xdr:colOff>47625</xdr:colOff>
      <xdr:row>21</xdr:row>
      <xdr:rowOff>28575</xdr:rowOff>
    </xdr:to>
    <xdr:sp macro="" textlink="">
      <xdr:nvSpPr>
        <xdr:cNvPr id="10" name="Retângulo: Cantos Arredondados 9">
          <a:hlinkClick xmlns:r="http://schemas.openxmlformats.org/officeDocument/2006/relationships" r:id="rId11"/>
          <a:extLst>
            <a:ext uri="{FF2B5EF4-FFF2-40B4-BE49-F238E27FC236}">
              <a16:creationId xmlns:a16="http://schemas.microsoft.com/office/drawing/2014/main" id="{00000000-0008-0000-0800-00000A000000}"/>
            </a:ext>
          </a:extLst>
        </xdr:cNvPr>
        <xdr:cNvSpPr/>
      </xdr:nvSpPr>
      <xdr:spPr>
        <a:xfrm>
          <a:off x="6019800" y="3952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24</xdr:row>
      <xdr:rowOff>85725</xdr:rowOff>
    </xdr:from>
    <xdr:to>
      <xdr:col>8</xdr:col>
      <xdr:colOff>247650</xdr:colOff>
      <xdr:row>39</xdr:row>
      <xdr:rowOff>38100</xdr:rowOff>
    </xdr:to>
    <xdr:sp macro="" textlink="">
      <xdr:nvSpPr>
        <xdr:cNvPr id="33" name="Retângulo 32">
          <a:extLst>
            <a:ext uri="{FF2B5EF4-FFF2-40B4-BE49-F238E27FC236}">
              <a16:creationId xmlns:a16="http://schemas.microsoft.com/office/drawing/2014/main" id="{00000000-0008-0000-0800-000021000000}"/>
            </a:ext>
          </a:extLst>
        </xdr:cNvPr>
        <xdr:cNvSpPr/>
      </xdr:nvSpPr>
      <xdr:spPr>
        <a:xfrm>
          <a:off x="180975" y="50958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238125</xdr:colOff>
      <xdr:row>25</xdr:row>
      <xdr:rowOff>95250</xdr:rowOff>
    </xdr:from>
    <xdr:to>
      <xdr:col>8</xdr:col>
      <xdr:colOff>28125</xdr:colOff>
      <xdr:row>38</xdr:row>
      <xdr:rowOff>50889</xdr:rowOff>
    </xdr:to>
    <xdr:pic>
      <xdr:nvPicPr>
        <xdr:cNvPr id="12" name="Imagem 11">
          <a:hlinkClick xmlns:r="http://schemas.openxmlformats.org/officeDocument/2006/relationships" r:id="rId12"/>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19100" y="5295900"/>
          <a:ext cx="4057200" cy="2432139"/>
        </a:xfrm>
        <a:prstGeom prst="rect">
          <a:avLst/>
        </a:prstGeom>
      </xdr:spPr>
    </xdr:pic>
    <xdr:clientData/>
  </xdr:twoCellAnchor>
  <xdr:oneCellAnchor>
    <xdr:from>
      <xdr:col>8</xdr:col>
      <xdr:colOff>447675</xdr:colOff>
      <xdr:row>27</xdr:row>
      <xdr:rowOff>0</xdr:rowOff>
    </xdr:from>
    <xdr:ext cx="4438650" cy="1297919"/>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4895850" y="5581650"/>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Pronto(a) para esse desafio?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Você gostaria de saber exatamente o que comer para queimar gordura e ficar saudável sem desistir de seus alimentos favoritos ou morrer de fome?</a:t>
          </a:r>
        </a:p>
        <a:p>
          <a:r>
            <a:rPr lang="pt-BR" sz="1100" b="0" i="0">
              <a:solidFill>
                <a:schemeClr val="tx1"/>
              </a:solidFill>
              <a:effectLst/>
              <a:latin typeface="+mn-lt"/>
              <a:ea typeface="+mn-ea"/>
              <a:cs typeface="+mn-cs"/>
            </a:rPr>
            <a:t>Se a resposta for sim e você realmente estiver determinado a queimar gordura corporal de forma definitiva e ter uma transformação completa da saúde enquanto come seus alimentos favoritos em todas as refeições!</a:t>
          </a:r>
        </a:p>
      </xdr:txBody>
    </xdr:sp>
    <xdr:clientData/>
  </xdr:oneCellAnchor>
  <xdr:twoCellAnchor editAs="oneCell">
    <xdr:from>
      <xdr:col>8</xdr:col>
      <xdr:colOff>400050</xdr:colOff>
      <xdr:row>34</xdr:row>
      <xdr:rowOff>28575</xdr:rowOff>
    </xdr:from>
    <xdr:to>
      <xdr:col>10</xdr:col>
      <xdr:colOff>95250</xdr:colOff>
      <xdr:row>38</xdr:row>
      <xdr:rowOff>180975</xdr:rowOff>
    </xdr:to>
    <xdr:pic>
      <xdr:nvPicPr>
        <xdr:cNvPr id="35" name="Gráfico 34" descr="Garfo e faca">
          <a:extLst>
            <a:ext uri="{FF2B5EF4-FFF2-40B4-BE49-F238E27FC236}">
              <a16:creationId xmlns:a16="http://schemas.microsoft.com/office/drawing/2014/main" id="{00000000-0008-0000-0800-000023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xmlns="" r:embed="rId15"/>
            </a:ext>
          </a:extLst>
        </a:blip>
        <a:srcRect/>
        <a:stretch/>
      </xdr:blipFill>
      <xdr:spPr>
        <a:xfrm>
          <a:off x="4848225" y="6943725"/>
          <a:ext cx="914400" cy="914400"/>
        </a:xfrm>
        <a:prstGeom prst="rect">
          <a:avLst/>
        </a:prstGeom>
      </xdr:spPr>
    </xdr:pic>
    <xdr:clientData/>
  </xdr:twoCellAnchor>
  <xdr:oneCellAnchor>
    <xdr:from>
      <xdr:col>8</xdr:col>
      <xdr:colOff>485775</xdr:colOff>
      <xdr:row>24</xdr:row>
      <xdr:rowOff>104775</xdr:rowOff>
    </xdr:from>
    <xdr:ext cx="4476750" cy="374141"/>
    <xdr:sp macro="" textlink="">
      <xdr:nvSpPr>
        <xdr:cNvPr id="36" name="CaixaDeTexto 35">
          <a:extLst>
            <a:ext uri="{FF2B5EF4-FFF2-40B4-BE49-F238E27FC236}">
              <a16:creationId xmlns:a16="http://schemas.microsoft.com/office/drawing/2014/main" id="{00000000-0008-0000-0800-000024000000}"/>
            </a:ext>
          </a:extLst>
        </xdr:cNvPr>
        <xdr:cNvSpPr txBox="1"/>
      </xdr:nvSpPr>
      <xdr:spPr>
        <a:xfrm>
          <a:off x="4933950" y="5114925"/>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Dieta de 21 dias</a:t>
          </a:r>
        </a:p>
      </xdr:txBody>
    </xdr:sp>
    <xdr:clientData/>
  </xdr:oneCellAnchor>
  <xdr:twoCellAnchor>
    <xdr:from>
      <xdr:col>10</xdr:col>
      <xdr:colOff>352425</xdr:colOff>
      <xdr:row>34</xdr:row>
      <xdr:rowOff>171450</xdr:rowOff>
    </xdr:from>
    <xdr:to>
      <xdr:col>15</xdr:col>
      <xdr:colOff>47625</xdr:colOff>
      <xdr:row>37</xdr:row>
      <xdr:rowOff>114300</xdr:rowOff>
    </xdr:to>
    <xdr:sp macro="" textlink="">
      <xdr:nvSpPr>
        <xdr:cNvPr id="37" name="Retângulo: Cantos Arredondados 36">
          <a:hlinkClick xmlns:r="http://schemas.openxmlformats.org/officeDocument/2006/relationships" r:id="rId12"/>
          <a:extLst>
            <a:ext uri="{FF2B5EF4-FFF2-40B4-BE49-F238E27FC236}">
              <a16:creationId xmlns:a16="http://schemas.microsoft.com/office/drawing/2014/main" id="{00000000-0008-0000-0800-000025000000}"/>
            </a:ext>
          </a:extLst>
        </xdr:cNvPr>
        <xdr:cNvSpPr/>
      </xdr:nvSpPr>
      <xdr:spPr>
        <a:xfrm>
          <a:off x="6019800" y="7086600"/>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40</xdr:row>
      <xdr:rowOff>161925</xdr:rowOff>
    </xdr:from>
    <xdr:to>
      <xdr:col>8</xdr:col>
      <xdr:colOff>247650</xdr:colOff>
      <xdr:row>55</xdr:row>
      <xdr:rowOff>114300</xdr:rowOff>
    </xdr:to>
    <xdr:sp macro="" textlink="">
      <xdr:nvSpPr>
        <xdr:cNvPr id="38" name="Retângulo 37">
          <a:extLst>
            <a:ext uri="{FF2B5EF4-FFF2-40B4-BE49-F238E27FC236}">
              <a16:creationId xmlns:a16="http://schemas.microsoft.com/office/drawing/2014/main" id="{00000000-0008-0000-0800-000026000000}"/>
            </a:ext>
          </a:extLst>
        </xdr:cNvPr>
        <xdr:cNvSpPr/>
      </xdr:nvSpPr>
      <xdr:spPr>
        <a:xfrm>
          <a:off x="180975" y="82200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43</xdr:row>
      <xdr:rowOff>66675</xdr:rowOff>
    </xdr:from>
    <xdr:ext cx="4438650" cy="1297919"/>
    <xdr:sp macro="" textlink="">
      <xdr:nvSpPr>
        <xdr:cNvPr id="47" name="CaixaDeTexto 46">
          <a:extLst>
            <a:ext uri="{FF2B5EF4-FFF2-40B4-BE49-F238E27FC236}">
              <a16:creationId xmlns:a16="http://schemas.microsoft.com/office/drawing/2014/main" id="{00000000-0008-0000-0800-00002F000000}"/>
            </a:ext>
          </a:extLst>
        </xdr:cNvPr>
        <xdr:cNvSpPr txBox="1"/>
      </xdr:nvSpPr>
      <xdr:spPr>
        <a:xfrm>
          <a:off x="4895850" y="86963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Recursos Humanos possui certificado de conclusão reconhecido, de acordo com a lei nº 9394/96. O curso possui 08 horas de carga horária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50</xdr:row>
      <xdr:rowOff>95250</xdr:rowOff>
    </xdr:from>
    <xdr:to>
      <xdr:col>10</xdr:col>
      <xdr:colOff>95250</xdr:colOff>
      <xdr:row>55</xdr:row>
      <xdr:rowOff>57150</xdr:rowOff>
    </xdr:to>
    <xdr:pic>
      <xdr:nvPicPr>
        <xdr:cNvPr id="48" name="Gráfico 47" descr="Grupo de homens">
          <a:extLst>
            <a:ext uri="{FF2B5EF4-FFF2-40B4-BE49-F238E27FC236}">
              <a16:creationId xmlns:a16="http://schemas.microsoft.com/office/drawing/2014/main" id="{00000000-0008-0000-0800-000030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xmlns="" r:embed="rId17"/>
            </a:ext>
          </a:extLst>
        </a:blip>
        <a:srcRect/>
        <a:stretch/>
      </xdr:blipFill>
      <xdr:spPr>
        <a:xfrm>
          <a:off x="4848225" y="10058400"/>
          <a:ext cx="914400" cy="914400"/>
        </a:xfrm>
        <a:prstGeom prst="rect">
          <a:avLst/>
        </a:prstGeom>
      </xdr:spPr>
    </xdr:pic>
    <xdr:clientData/>
  </xdr:twoCellAnchor>
  <xdr:oneCellAnchor>
    <xdr:from>
      <xdr:col>8</xdr:col>
      <xdr:colOff>485775</xdr:colOff>
      <xdr:row>40</xdr:row>
      <xdr:rowOff>171450</xdr:rowOff>
    </xdr:from>
    <xdr:ext cx="4476750" cy="374141"/>
    <xdr:sp macro="" textlink="">
      <xdr:nvSpPr>
        <xdr:cNvPr id="49" name="CaixaDeTexto 48">
          <a:extLst>
            <a:ext uri="{FF2B5EF4-FFF2-40B4-BE49-F238E27FC236}">
              <a16:creationId xmlns:a16="http://schemas.microsoft.com/office/drawing/2014/main" id="{00000000-0008-0000-0800-000031000000}"/>
            </a:ext>
          </a:extLst>
        </xdr:cNvPr>
        <xdr:cNvSpPr txBox="1"/>
      </xdr:nvSpPr>
      <xdr:spPr>
        <a:xfrm>
          <a:off x="4933950" y="82296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Recursos Humanos</a:t>
          </a:r>
        </a:p>
      </xdr:txBody>
    </xdr:sp>
    <xdr:clientData/>
  </xdr:oneCellAnchor>
  <xdr:twoCellAnchor>
    <xdr:from>
      <xdr:col>10</xdr:col>
      <xdr:colOff>352425</xdr:colOff>
      <xdr:row>51</xdr:row>
      <xdr:rowOff>47625</xdr:rowOff>
    </xdr:from>
    <xdr:to>
      <xdr:col>15</xdr:col>
      <xdr:colOff>47625</xdr:colOff>
      <xdr:row>53</xdr:row>
      <xdr:rowOff>180975</xdr:rowOff>
    </xdr:to>
    <xdr:sp macro="" textlink="">
      <xdr:nvSpPr>
        <xdr:cNvPr id="50" name="Retângulo: Cantos Arredondados 49">
          <a:hlinkClick xmlns:r="http://schemas.openxmlformats.org/officeDocument/2006/relationships" r:id="rId18"/>
          <a:extLst>
            <a:ext uri="{FF2B5EF4-FFF2-40B4-BE49-F238E27FC236}">
              <a16:creationId xmlns:a16="http://schemas.microsoft.com/office/drawing/2014/main" id="{00000000-0008-0000-0800-000032000000}"/>
            </a:ext>
          </a:extLst>
        </xdr:cNvPr>
        <xdr:cNvSpPr/>
      </xdr:nvSpPr>
      <xdr:spPr>
        <a:xfrm>
          <a:off x="6019800" y="102012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xdr:row>
      <xdr:rowOff>38100</xdr:rowOff>
    </xdr:from>
    <xdr:to>
      <xdr:col>8</xdr:col>
      <xdr:colOff>28125</xdr:colOff>
      <xdr:row>21</xdr:row>
      <xdr:rowOff>153300</xdr:rowOff>
    </xdr:to>
    <xdr:grpSp>
      <xdr:nvGrpSpPr>
        <xdr:cNvPr id="16" name="Agrupar 15">
          <a:hlinkClick xmlns:r="http://schemas.openxmlformats.org/officeDocument/2006/relationships" r:id="rId11"/>
          <a:extLst>
            <a:ext uri="{FF2B5EF4-FFF2-40B4-BE49-F238E27FC236}">
              <a16:creationId xmlns:a16="http://schemas.microsoft.com/office/drawing/2014/main" id="{00000000-0008-0000-0800-000010000000}"/>
            </a:ext>
          </a:extLst>
        </xdr:cNvPr>
        <xdr:cNvGrpSpPr/>
      </xdr:nvGrpSpPr>
      <xdr:grpSpPr>
        <a:xfrm>
          <a:off x="419100" y="2190750"/>
          <a:ext cx="4057200" cy="2401200"/>
          <a:chOff x="11229975" y="2505075"/>
          <a:chExt cx="4057200" cy="2401200"/>
        </a:xfrm>
      </xdr:grpSpPr>
      <xdr:sp macro="" textlink="">
        <xdr:nvSpPr>
          <xdr:cNvPr id="2" name="Retângulo 1">
            <a:extLst>
              <a:ext uri="{FF2B5EF4-FFF2-40B4-BE49-F238E27FC236}">
                <a16:creationId xmlns:a16="http://schemas.microsoft.com/office/drawing/2014/main" id="{00000000-0008-0000-0800-000002000000}"/>
              </a:ext>
            </a:extLst>
          </xdr:cNvPr>
          <xdr:cNvSpPr/>
        </xdr:nvSpPr>
        <xdr:spPr>
          <a:xfrm>
            <a:off x="11229975" y="2505075"/>
            <a:ext cx="4057200" cy="24012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 name="CaixaDeTexto 3">
            <a:extLst>
              <a:ext uri="{FF2B5EF4-FFF2-40B4-BE49-F238E27FC236}">
                <a16:creationId xmlns:a16="http://schemas.microsoft.com/office/drawing/2014/main" id="{00000000-0008-0000-0800-000004000000}"/>
              </a:ext>
            </a:extLst>
          </xdr:cNvPr>
          <xdr:cNvSpPr txBox="1"/>
        </xdr:nvSpPr>
        <xdr:spPr>
          <a:xfrm>
            <a:off x="12230100" y="3248025"/>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800" b="1">
                <a:solidFill>
                  <a:schemeClr val="bg1"/>
                </a:solidFill>
                <a:latin typeface="Arial Black" panose="020B0A04020102020204" pitchFamily="34" charset="0"/>
              </a:rPr>
              <a:t>CURSO ONLINE DE</a:t>
            </a:r>
          </a:p>
        </xdr:txBody>
      </xdr:sp>
      <xdr:sp macro="" textlink="">
        <xdr:nvSpPr>
          <xdr:cNvPr id="5" name="Retângulo 4">
            <a:extLst>
              <a:ext uri="{FF2B5EF4-FFF2-40B4-BE49-F238E27FC236}">
                <a16:creationId xmlns:a16="http://schemas.microsoft.com/office/drawing/2014/main" id="{00000000-0008-0000-0800-000005000000}"/>
              </a:ext>
            </a:extLst>
          </xdr:cNvPr>
          <xdr:cNvSpPr/>
        </xdr:nvSpPr>
        <xdr:spPr>
          <a:xfrm>
            <a:off x="12230100" y="3619500"/>
            <a:ext cx="2705100" cy="523875"/>
          </a:xfrm>
          <a:prstGeom prst="rect">
            <a:avLst/>
          </a:prstGeom>
          <a:solidFill>
            <a:srgbClr val="FF2F2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Arial Black" panose="020B0A04020102020204" pitchFamily="34" charset="0"/>
              </a:rPr>
              <a:t>ANALISTA FISCAL</a:t>
            </a:r>
          </a:p>
        </xdr:txBody>
      </xdr:sp>
      <xdr:pic>
        <xdr:nvPicPr>
          <xdr:cNvPr id="39" name="Gráfico 38" descr="Calculadora">
            <a:extLst>
              <a:ext uri="{FF2B5EF4-FFF2-40B4-BE49-F238E27FC236}">
                <a16:creationId xmlns:a16="http://schemas.microsoft.com/office/drawing/2014/main" id="{00000000-0008-0000-0800-000027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xmlns="" r:embed="rId20"/>
              </a:ext>
            </a:extLst>
          </a:blip>
          <a:stretch>
            <a:fillRect/>
          </a:stretch>
        </xdr:blipFill>
        <xdr:spPr>
          <a:xfrm>
            <a:off x="11325225" y="3314700"/>
            <a:ext cx="914400" cy="914400"/>
          </a:xfrm>
          <a:prstGeom prst="rect">
            <a:avLst/>
          </a:prstGeom>
        </xdr:spPr>
      </xdr:pic>
      <xdr:pic>
        <xdr:nvPicPr>
          <xdr:cNvPr id="11" name="Gráfico 10" descr="Calculadora">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xmlns="" r:embed="rId22"/>
              </a:ext>
            </a:extLst>
          </a:blip>
          <a:stretch>
            <a:fillRect/>
          </a:stretch>
        </xdr:blipFill>
        <xdr:spPr>
          <a:xfrm>
            <a:off x="11477625" y="3133725"/>
            <a:ext cx="914400" cy="914400"/>
          </a:xfrm>
          <a:prstGeom prst="rect">
            <a:avLst/>
          </a:prstGeom>
        </xdr:spPr>
      </xdr:pic>
    </xdr:grpSp>
    <xdr:clientData/>
  </xdr:twoCellAnchor>
  <xdr:twoCellAnchor>
    <xdr:from>
      <xdr:col>1</xdr:col>
      <xdr:colOff>238125</xdr:colOff>
      <xdr:row>41</xdr:row>
      <xdr:rowOff>180975</xdr:rowOff>
    </xdr:from>
    <xdr:to>
      <xdr:col>8</xdr:col>
      <xdr:colOff>28125</xdr:colOff>
      <xdr:row>54</xdr:row>
      <xdr:rowOff>105675</xdr:rowOff>
    </xdr:to>
    <xdr:grpSp>
      <xdr:nvGrpSpPr>
        <xdr:cNvPr id="43" name="Agrupar 42">
          <a:hlinkClick xmlns:r="http://schemas.openxmlformats.org/officeDocument/2006/relationships" r:id="rId18"/>
          <a:extLst>
            <a:ext uri="{FF2B5EF4-FFF2-40B4-BE49-F238E27FC236}">
              <a16:creationId xmlns:a16="http://schemas.microsoft.com/office/drawing/2014/main" id="{00000000-0008-0000-0800-00002B000000}"/>
            </a:ext>
          </a:extLst>
        </xdr:cNvPr>
        <xdr:cNvGrpSpPr/>
      </xdr:nvGrpSpPr>
      <xdr:grpSpPr>
        <a:xfrm>
          <a:off x="419100" y="8429625"/>
          <a:ext cx="4057200" cy="2401200"/>
          <a:chOff x="419100" y="8429625"/>
          <a:chExt cx="4057200" cy="2401200"/>
        </a:xfrm>
      </xdr:grpSpPr>
      <xdr:sp macro="" textlink="">
        <xdr:nvSpPr>
          <xdr:cNvPr id="17" name="Retângulo 16">
            <a:extLst>
              <a:ext uri="{FF2B5EF4-FFF2-40B4-BE49-F238E27FC236}">
                <a16:creationId xmlns:a16="http://schemas.microsoft.com/office/drawing/2014/main" id="{00000000-0008-0000-0800-000011000000}"/>
              </a:ext>
            </a:extLst>
          </xdr:cNvPr>
          <xdr:cNvSpPr/>
        </xdr:nvSpPr>
        <xdr:spPr>
          <a:xfrm>
            <a:off x="419100" y="8429625"/>
            <a:ext cx="4057200" cy="24012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41" name="Gráfico 40" descr="Debate de ideias do grupo">
            <a:extLst>
              <a:ext uri="{FF2B5EF4-FFF2-40B4-BE49-F238E27FC236}">
                <a16:creationId xmlns:a16="http://schemas.microsoft.com/office/drawing/2014/main" id="{00000000-0008-0000-0800-000029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4"/>
              </a:ext>
            </a:extLst>
          </a:blip>
          <a:stretch>
            <a:fillRect/>
          </a:stretch>
        </xdr:blipFill>
        <xdr:spPr>
          <a:xfrm>
            <a:off x="581025" y="9153525"/>
            <a:ext cx="914400" cy="914400"/>
          </a:xfrm>
          <a:prstGeom prst="rect">
            <a:avLst/>
          </a:prstGeom>
        </xdr:spPr>
      </xdr:pic>
      <xdr:sp macro="" textlink="">
        <xdr:nvSpPr>
          <xdr:cNvPr id="46" name="CaixaDeTexto 45">
            <a:extLst>
              <a:ext uri="{FF2B5EF4-FFF2-40B4-BE49-F238E27FC236}">
                <a16:creationId xmlns:a16="http://schemas.microsoft.com/office/drawing/2014/main" id="{00000000-0008-0000-0800-00002E000000}"/>
              </a:ext>
            </a:extLst>
          </xdr:cNvPr>
          <xdr:cNvSpPr txBox="1"/>
        </xdr:nvSpPr>
        <xdr:spPr>
          <a:xfrm>
            <a:off x="1419225" y="91630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1419225" y="9534525"/>
            <a:ext cx="2705100" cy="523875"/>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RECURSOS</a:t>
            </a:r>
            <a:r>
              <a:rPr lang="pt-BR" sz="1600" baseline="0">
                <a:latin typeface="Arial Black" panose="020B0A04020102020204" pitchFamily="34" charset="0"/>
              </a:rPr>
              <a:t> HUMANOS</a:t>
            </a:r>
            <a:endParaRPr lang="pt-BR" sz="1600">
              <a:latin typeface="Arial Black" panose="020B0A04020102020204" pitchFamily="34" charset="0"/>
            </a:endParaRPr>
          </a:p>
        </xdr:txBody>
      </xdr:sp>
    </xdr:grpSp>
    <xdr:clientData/>
  </xdr:twoCellAnchor>
  <xdr:twoCellAnchor>
    <xdr:from>
      <xdr:col>1</xdr:col>
      <xdr:colOff>0</xdr:colOff>
      <xdr:row>57</xdr:row>
      <xdr:rowOff>47625</xdr:rowOff>
    </xdr:from>
    <xdr:to>
      <xdr:col>8</xdr:col>
      <xdr:colOff>247650</xdr:colOff>
      <xdr:row>72</xdr:row>
      <xdr:rowOff>0</xdr:rowOff>
    </xdr:to>
    <xdr:sp macro="" textlink="">
      <xdr:nvSpPr>
        <xdr:cNvPr id="52" name="Retângulo 51">
          <a:extLst>
            <a:ext uri="{FF2B5EF4-FFF2-40B4-BE49-F238E27FC236}">
              <a16:creationId xmlns:a16="http://schemas.microsoft.com/office/drawing/2014/main" id="{00000000-0008-0000-0800-000034000000}"/>
            </a:ext>
          </a:extLst>
        </xdr:cNvPr>
        <xdr:cNvSpPr/>
      </xdr:nvSpPr>
      <xdr:spPr>
        <a:xfrm>
          <a:off x="180975" y="113442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59</xdr:row>
      <xdr:rowOff>142875</xdr:rowOff>
    </xdr:from>
    <xdr:ext cx="4438650" cy="1297919"/>
    <xdr:sp macro="" textlink="">
      <xdr:nvSpPr>
        <xdr:cNvPr id="53" name="CaixaDeTexto 52">
          <a:extLst>
            <a:ext uri="{FF2B5EF4-FFF2-40B4-BE49-F238E27FC236}">
              <a16:creationId xmlns:a16="http://schemas.microsoft.com/office/drawing/2014/main" id="{00000000-0008-0000-0800-000035000000}"/>
            </a:ext>
          </a:extLst>
        </xdr:cNvPr>
        <xdr:cNvSpPr txBox="1"/>
      </xdr:nvSpPr>
      <xdr:spPr>
        <a:xfrm>
          <a:off x="4895850" y="118205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Inglês conta com certificado de conclusão de </a:t>
          </a:r>
          <a:r>
            <a:rPr lang="pt-BR" sz="1100" b="1" i="0" u="sng">
              <a:solidFill>
                <a:schemeClr val="tx1"/>
              </a:solidFill>
              <a:effectLst/>
              <a:latin typeface="+mn-lt"/>
              <a:ea typeface="+mn-ea"/>
              <a:cs typeface="+mn-cs"/>
            </a:rPr>
            <a:t>70 horas</a:t>
          </a:r>
          <a:r>
            <a:rPr lang="pt-BR" sz="1100" b="0" i="0">
              <a:solidFill>
                <a:schemeClr val="tx1"/>
              </a:solidFill>
              <a:effectLst/>
              <a:latin typeface="+mn-lt"/>
              <a:ea typeface="+mn-ea"/>
              <a:cs typeface="+mn-cs"/>
            </a:rPr>
            <a:t> para que você possa utilizar em seu currículo para conseguir chegar mais longe na sua carreira! De acordo com pesquisa da Catho, quem fala inglês recebe em média um salário 61% maior do que quem não sabe se comunicar no idioma.</a:t>
          </a:r>
          <a:endParaRPr lang="pt-BR">
            <a:effectLst/>
          </a:endParaRPr>
        </a:p>
      </xdr:txBody>
    </xdr:sp>
    <xdr:clientData/>
  </xdr:oneCellAnchor>
  <xdr:twoCellAnchor editAs="oneCell">
    <xdr:from>
      <xdr:col>8</xdr:col>
      <xdr:colOff>400050</xdr:colOff>
      <xdr:row>66</xdr:row>
      <xdr:rowOff>171450</xdr:rowOff>
    </xdr:from>
    <xdr:to>
      <xdr:col>10</xdr:col>
      <xdr:colOff>95250</xdr:colOff>
      <xdr:row>71</xdr:row>
      <xdr:rowOff>133350</xdr:rowOff>
    </xdr:to>
    <xdr:pic>
      <xdr:nvPicPr>
        <xdr:cNvPr id="54" name="Gráfico 53" descr="África e Europa no globo terrestre">
          <a:extLst>
            <a:ext uri="{FF2B5EF4-FFF2-40B4-BE49-F238E27FC236}">
              <a16:creationId xmlns:a16="http://schemas.microsoft.com/office/drawing/2014/main" id="{00000000-0008-0000-0800-000036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rcRect/>
        <a:stretch/>
      </xdr:blipFill>
      <xdr:spPr>
        <a:xfrm>
          <a:off x="4848225" y="13182600"/>
          <a:ext cx="914400" cy="914400"/>
        </a:xfrm>
        <a:prstGeom prst="rect">
          <a:avLst/>
        </a:prstGeom>
      </xdr:spPr>
    </xdr:pic>
    <xdr:clientData/>
  </xdr:twoCellAnchor>
  <xdr:oneCellAnchor>
    <xdr:from>
      <xdr:col>8</xdr:col>
      <xdr:colOff>485775</xdr:colOff>
      <xdr:row>57</xdr:row>
      <xdr:rowOff>57150</xdr:rowOff>
    </xdr:from>
    <xdr:ext cx="4476750" cy="374141"/>
    <xdr:sp macro="" textlink="">
      <xdr:nvSpPr>
        <xdr:cNvPr id="55" name="CaixaDeTexto 54">
          <a:extLst>
            <a:ext uri="{FF2B5EF4-FFF2-40B4-BE49-F238E27FC236}">
              <a16:creationId xmlns:a16="http://schemas.microsoft.com/office/drawing/2014/main" id="{00000000-0008-0000-0800-000037000000}"/>
            </a:ext>
          </a:extLst>
        </xdr:cNvPr>
        <xdr:cNvSpPr txBox="1"/>
      </xdr:nvSpPr>
      <xdr:spPr>
        <a:xfrm>
          <a:off x="4933950" y="113538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Inglês</a:t>
          </a:r>
        </a:p>
      </xdr:txBody>
    </xdr:sp>
    <xdr:clientData/>
  </xdr:oneCellAnchor>
  <xdr:twoCellAnchor>
    <xdr:from>
      <xdr:col>10</xdr:col>
      <xdr:colOff>352425</xdr:colOff>
      <xdr:row>67</xdr:row>
      <xdr:rowOff>123825</xdr:rowOff>
    </xdr:from>
    <xdr:to>
      <xdr:col>15</xdr:col>
      <xdr:colOff>47625</xdr:colOff>
      <xdr:row>70</xdr:row>
      <xdr:rowOff>66675</xdr:rowOff>
    </xdr:to>
    <xdr:sp macro="" textlink="">
      <xdr:nvSpPr>
        <xdr:cNvPr id="56" name="Retângulo: Cantos Arredondados 55">
          <a:hlinkClick xmlns:r="http://schemas.openxmlformats.org/officeDocument/2006/relationships" r:id="rId27"/>
          <a:extLst>
            <a:ext uri="{FF2B5EF4-FFF2-40B4-BE49-F238E27FC236}">
              <a16:creationId xmlns:a16="http://schemas.microsoft.com/office/drawing/2014/main" id="{00000000-0008-0000-0800-000038000000}"/>
            </a:ext>
          </a:extLst>
        </xdr:cNvPr>
        <xdr:cNvSpPr/>
      </xdr:nvSpPr>
      <xdr:spPr>
        <a:xfrm>
          <a:off x="6019800" y="133254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58</xdr:row>
      <xdr:rowOff>66675</xdr:rowOff>
    </xdr:from>
    <xdr:to>
      <xdr:col>8</xdr:col>
      <xdr:colOff>28125</xdr:colOff>
      <xdr:row>70</xdr:row>
      <xdr:rowOff>181875</xdr:rowOff>
    </xdr:to>
    <xdr:grpSp>
      <xdr:nvGrpSpPr>
        <xdr:cNvPr id="44" name="Agrupar 43">
          <a:hlinkClick xmlns:r="http://schemas.openxmlformats.org/officeDocument/2006/relationships" r:id="rId27"/>
          <a:extLst>
            <a:ext uri="{FF2B5EF4-FFF2-40B4-BE49-F238E27FC236}">
              <a16:creationId xmlns:a16="http://schemas.microsoft.com/office/drawing/2014/main" id="{00000000-0008-0000-0800-00002C000000}"/>
            </a:ext>
          </a:extLst>
        </xdr:cNvPr>
        <xdr:cNvGrpSpPr/>
      </xdr:nvGrpSpPr>
      <xdr:grpSpPr>
        <a:xfrm>
          <a:off x="419100" y="11553825"/>
          <a:ext cx="4057200" cy="2401200"/>
          <a:chOff x="419100" y="11553825"/>
          <a:chExt cx="4057200" cy="2401200"/>
        </a:xfrm>
      </xdr:grpSpPr>
      <xdr:sp macro="" textlink="">
        <xdr:nvSpPr>
          <xdr:cNvPr id="61" name="Retângulo 60">
            <a:extLst>
              <a:ext uri="{FF2B5EF4-FFF2-40B4-BE49-F238E27FC236}">
                <a16:creationId xmlns:a16="http://schemas.microsoft.com/office/drawing/2014/main" id="{00000000-0008-0000-0800-00003D000000}"/>
              </a:ext>
            </a:extLst>
          </xdr:cNvPr>
          <xdr:cNvSpPr/>
        </xdr:nvSpPr>
        <xdr:spPr>
          <a:xfrm>
            <a:off x="419100" y="11553825"/>
            <a:ext cx="4057200" cy="2401200"/>
          </a:xfrm>
          <a:prstGeom prst="rect">
            <a:avLst/>
          </a:prstGeom>
          <a:solidFill>
            <a:srgbClr val="99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62" name="Gráfico 61" descr="Bússola de mapa">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xmlns="" r:embed="rId29"/>
              </a:ext>
            </a:extLst>
          </a:blip>
          <a:srcRect/>
          <a:stretch/>
        </xdr:blipFill>
        <xdr:spPr>
          <a:xfrm>
            <a:off x="581025" y="12277725"/>
            <a:ext cx="914400" cy="914400"/>
          </a:xfrm>
          <a:prstGeom prst="rect">
            <a:avLst/>
          </a:prstGeom>
        </xdr:spPr>
      </xdr:pic>
      <xdr:sp macro="" textlink="">
        <xdr:nvSpPr>
          <xdr:cNvPr id="63" name="CaixaDeTexto 62">
            <a:extLst>
              <a:ext uri="{FF2B5EF4-FFF2-40B4-BE49-F238E27FC236}">
                <a16:creationId xmlns:a16="http://schemas.microsoft.com/office/drawing/2014/main" id="{00000000-0008-0000-0800-00003F000000}"/>
              </a:ext>
            </a:extLst>
          </xdr:cNvPr>
          <xdr:cNvSpPr txBox="1"/>
        </xdr:nvSpPr>
        <xdr:spPr>
          <a:xfrm>
            <a:off x="1419225" y="122872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64" name="Retângulo 63">
            <a:extLst>
              <a:ext uri="{FF2B5EF4-FFF2-40B4-BE49-F238E27FC236}">
                <a16:creationId xmlns:a16="http://schemas.microsoft.com/office/drawing/2014/main" id="{00000000-0008-0000-0800-000040000000}"/>
              </a:ext>
            </a:extLst>
          </xdr:cNvPr>
          <xdr:cNvSpPr/>
        </xdr:nvSpPr>
        <xdr:spPr>
          <a:xfrm>
            <a:off x="1419225" y="12658725"/>
            <a:ext cx="2705100" cy="523875"/>
          </a:xfrm>
          <a:prstGeom prst="rect">
            <a:avLst/>
          </a:prstGeom>
          <a:solidFill>
            <a:srgbClr val="FF00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INGLÊS</a:t>
            </a:r>
          </a:p>
        </xdr:txBody>
      </xdr:sp>
    </xdr:grpSp>
    <xdr:clientData/>
  </xdr:twoCellAnchor>
  <xdr:twoCellAnchor>
    <xdr:from>
      <xdr:col>1</xdr:col>
      <xdr:colOff>0</xdr:colOff>
      <xdr:row>73</xdr:row>
      <xdr:rowOff>123825</xdr:rowOff>
    </xdr:from>
    <xdr:to>
      <xdr:col>8</xdr:col>
      <xdr:colOff>247650</xdr:colOff>
      <xdr:row>88</xdr:row>
      <xdr:rowOff>76200</xdr:rowOff>
    </xdr:to>
    <xdr:sp macro="" textlink="">
      <xdr:nvSpPr>
        <xdr:cNvPr id="65" name="Retângulo 64">
          <a:extLst>
            <a:ext uri="{FF2B5EF4-FFF2-40B4-BE49-F238E27FC236}">
              <a16:creationId xmlns:a16="http://schemas.microsoft.com/office/drawing/2014/main" id="{00000000-0008-0000-0800-000041000000}"/>
            </a:ext>
          </a:extLst>
        </xdr:cNvPr>
        <xdr:cNvSpPr/>
      </xdr:nvSpPr>
      <xdr:spPr>
        <a:xfrm>
          <a:off x="180975" y="144684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76</xdr:row>
      <xdr:rowOff>28575</xdr:rowOff>
    </xdr:from>
    <xdr:ext cx="4438650" cy="1297919"/>
    <xdr:sp macro="" textlink="">
      <xdr:nvSpPr>
        <xdr:cNvPr id="66" name="CaixaDeTexto 65">
          <a:extLst>
            <a:ext uri="{FF2B5EF4-FFF2-40B4-BE49-F238E27FC236}">
              <a16:creationId xmlns:a16="http://schemas.microsoft.com/office/drawing/2014/main" id="{00000000-0008-0000-0800-000042000000}"/>
            </a:ext>
          </a:extLst>
        </xdr:cNvPr>
        <xdr:cNvSpPr txBox="1"/>
      </xdr:nvSpPr>
      <xdr:spPr>
        <a:xfrm>
          <a:off x="4895850" y="149447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a:t>
          </a:r>
          <a:r>
            <a:rPr lang="pt-BR" sz="1100" b="1" i="0">
              <a:solidFill>
                <a:schemeClr val="tx1"/>
              </a:solidFill>
              <a:effectLst/>
              <a:latin typeface="+mn-lt"/>
              <a:ea typeface="+mn-ea"/>
              <a:cs typeface="+mn-cs"/>
            </a:rPr>
            <a:t>totalmente atualizado</a:t>
          </a:r>
          <a:r>
            <a:rPr lang="pt-BR" sz="1100" b="0" i="0">
              <a:solidFill>
                <a:schemeClr val="tx1"/>
              </a:solidFill>
              <a:effectLst/>
              <a:latin typeface="+mn-lt"/>
              <a:ea typeface="+mn-ea"/>
              <a:cs typeface="+mn-cs"/>
            </a:rPr>
            <a:t>, com conteúdo simplificado para você acabar de vez com as dificuldades utilizando o EFD-Reinf (Escrituração Fiscal Digital de Retenções e Outras Informações Fiscais). O curso foi desenvolvido para quem já trabalha com o EFD-Reinf, com eSocial e para quem nunca utilizou nenhum destes sistemas. </a:t>
          </a:r>
          <a:endParaRPr lang="pt-BR">
            <a:effectLst/>
          </a:endParaRPr>
        </a:p>
      </xdr:txBody>
    </xdr:sp>
    <xdr:clientData/>
  </xdr:oneCellAnchor>
  <xdr:twoCellAnchor editAs="oneCell">
    <xdr:from>
      <xdr:col>8</xdr:col>
      <xdr:colOff>400050</xdr:colOff>
      <xdr:row>83</xdr:row>
      <xdr:rowOff>57150</xdr:rowOff>
    </xdr:from>
    <xdr:to>
      <xdr:col>10</xdr:col>
      <xdr:colOff>95250</xdr:colOff>
      <xdr:row>88</xdr:row>
      <xdr:rowOff>19050</xdr:rowOff>
    </xdr:to>
    <xdr:pic>
      <xdr:nvPicPr>
        <xdr:cNvPr id="67" name="Gráfico 66" descr="Lâmpada e engrenagem">
          <a:extLst>
            <a:ext uri="{FF2B5EF4-FFF2-40B4-BE49-F238E27FC236}">
              <a16:creationId xmlns:a16="http://schemas.microsoft.com/office/drawing/2014/main" id="{00000000-0008-0000-0800-000043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xmlns="" r:embed="rId31"/>
            </a:ext>
          </a:extLst>
        </a:blip>
        <a:srcRect/>
        <a:stretch/>
      </xdr:blipFill>
      <xdr:spPr>
        <a:xfrm>
          <a:off x="4848225" y="16306800"/>
          <a:ext cx="914400" cy="914400"/>
        </a:xfrm>
        <a:prstGeom prst="rect">
          <a:avLst/>
        </a:prstGeom>
      </xdr:spPr>
    </xdr:pic>
    <xdr:clientData/>
  </xdr:twoCellAnchor>
  <xdr:oneCellAnchor>
    <xdr:from>
      <xdr:col>8</xdr:col>
      <xdr:colOff>485775</xdr:colOff>
      <xdr:row>73</xdr:row>
      <xdr:rowOff>133350</xdr:rowOff>
    </xdr:from>
    <xdr:ext cx="4476750" cy="374141"/>
    <xdr:sp macro="" textlink="">
      <xdr:nvSpPr>
        <xdr:cNvPr id="68" name="CaixaDeTexto 67">
          <a:extLst>
            <a:ext uri="{FF2B5EF4-FFF2-40B4-BE49-F238E27FC236}">
              <a16:creationId xmlns:a16="http://schemas.microsoft.com/office/drawing/2014/main" id="{00000000-0008-0000-0800-000044000000}"/>
            </a:ext>
          </a:extLst>
        </xdr:cNvPr>
        <xdr:cNvSpPr txBox="1"/>
      </xdr:nvSpPr>
      <xdr:spPr>
        <a:xfrm>
          <a:off x="4933950" y="144780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EFD-REINF</a:t>
          </a:r>
        </a:p>
      </xdr:txBody>
    </xdr:sp>
    <xdr:clientData/>
  </xdr:oneCellAnchor>
  <xdr:twoCellAnchor>
    <xdr:from>
      <xdr:col>10</xdr:col>
      <xdr:colOff>352425</xdr:colOff>
      <xdr:row>84</xdr:row>
      <xdr:rowOff>9525</xdr:rowOff>
    </xdr:from>
    <xdr:to>
      <xdr:col>15</xdr:col>
      <xdr:colOff>47625</xdr:colOff>
      <xdr:row>86</xdr:row>
      <xdr:rowOff>142875</xdr:rowOff>
    </xdr:to>
    <xdr:sp macro="" textlink="">
      <xdr:nvSpPr>
        <xdr:cNvPr id="69" name="Retângulo: Cantos Arredondados 68">
          <a:hlinkClick xmlns:r="http://schemas.openxmlformats.org/officeDocument/2006/relationships" r:id="rId32"/>
          <a:extLst>
            <a:ext uri="{FF2B5EF4-FFF2-40B4-BE49-F238E27FC236}">
              <a16:creationId xmlns:a16="http://schemas.microsoft.com/office/drawing/2014/main" id="{00000000-0008-0000-0800-000045000000}"/>
            </a:ext>
          </a:extLst>
        </xdr:cNvPr>
        <xdr:cNvSpPr/>
      </xdr:nvSpPr>
      <xdr:spPr>
        <a:xfrm>
          <a:off x="6019800" y="164496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74</xdr:row>
      <xdr:rowOff>142875</xdr:rowOff>
    </xdr:from>
    <xdr:to>
      <xdr:col>8</xdr:col>
      <xdr:colOff>28125</xdr:colOff>
      <xdr:row>87</xdr:row>
      <xdr:rowOff>67575</xdr:rowOff>
    </xdr:to>
    <xdr:grpSp>
      <xdr:nvGrpSpPr>
        <xdr:cNvPr id="87" name="Agrupar 86">
          <a:hlinkClick xmlns:r="http://schemas.openxmlformats.org/officeDocument/2006/relationships" r:id="rId32"/>
          <a:extLst>
            <a:ext uri="{FF2B5EF4-FFF2-40B4-BE49-F238E27FC236}">
              <a16:creationId xmlns:a16="http://schemas.microsoft.com/office/drawing/2014/main" id="{00000000-0008-0000-0800-000057000000}"/>
            </a:ext>
          </a:extLst>
        </xdr:cNvPr>
        <xdr:cNvGrpSpPr/>
      </xdr:nvGrpSpPr>
      <xdr:grpSpPr>
        <a:xfrm>
          <a:off x="419100" y="14678025"/>
          <a:ext cx="4057200" cy="2401200"/>
          <a:chOff x="419100" y="14678025"/>
          <a:chExt cx="4057200" cy="2401200"/>
        </a:xfrm>
      </xdr:grpSpPr>
      <xdr:sp macro="" textlink="">
        <xdr:nvSpPr>
          <xdr:cNvPr id="71" name="Retângulo 70">
            <a:extLst>
              <a:ext uri="{FF2B5EF4-FFF2-40B4-BE49-F238E27FC236}">
                <a16:creationId xmlns:a16="http://schemas.microsoft.com/office/drawing/2014/main" id="{00000000-0008-0000-0800-000047000000}"/>
              </a:ext>
            </a:extLst>
          </xdr:cNvPr>
          <xdr:cNvSpPr/>
        </xdr:nvSpPr>
        <xdr:spPr>
          <a:xfrm>
            <a:off x="419100" y="14678025"/>
            <a:ext cx="4057200" cy="2401200"/>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72" name="Gráfico 71" descr="Alvo">
            <a:extLst>
              <a:ext uri="{FF2B5EF4-FFF2-40B4-BE49-F238E27FC236}">
                <a16:creationId xmlns:a16="http://schemas.microsoft.com/office/drawing/2014/main" id="{00000000-0008-0000-0800-000048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xmlns="" r:embed="rId34"/>
              </a:ext>
            </a:extLst>
          </a:blip>
          <a:srcRect/>
          <a:stretch/>
        </xdr:blipFill>
        <xdr:spPr>
          <a:xfrm>
            <a:off x="581025" y="15401925"/>
            <a:ext cx="914400" cy="914400"/>
          </a:xfrm>
          <a:prstGeom prst="rect">
            <a:avLst/>
          </a:prstGeom>
        </xdr:spPr>
      </xdr:pic>
      <xdr:sp macro="" textlink="">
        <xdr:nvSpPr>
          <xdr:cNvPr id="73" name="CaixaDeTexto 72">
            <a:extLst>
              <a:ext uri="{FF2B5EF4-FFF2-40B4-BE49-F238E27FC236}">
                <a16:creationId xmlns:a16="http://schemas.microsoft.com/office/drawing/2014/main" id="{00000000-0008-0000-0800-000049000000}"/>
              </a:ext>
            </a:extLst>
          </xdr:cNvPr>
          <xdr:cNvSpPr txBox="1"/>
        </xdr:nvSpPr>
        <xdr:spPr>
          <a:xfrm>
            <a:off x="1419225" y="154114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74" name="Retângulo 73">
            <a:extLst>
              <a:ext uri="{FF2B5EF4-FFF2-40B4-BE49-F238E27FC236}">
                <a16:creationId xmlns:a16="http://schemas.microsoft.com/office/drawing/2014/main" id="{00000000-0008-0000-0800-00004A000000}"/>
              </a:ext>
            </a:extLst>
          </xdr:cNvPr>
          <xdr:cNvSpPr/>
        </xdr:nvSpPr>
        <xdr:spPr>
          <a:xfrm>
            <a:off x="1419225" y="1578292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EFD-REINF</a:t>
            </a:r>
          </a:p>
        </xdr:txBody>
      </xdr:sp>
    </xdr:grpSp>
    <xdr:clientData/>
  </xdr:twoCellAnchor>
  <xdr:twoCellAnchor>
    <xdr:from>
      <xdr:col>1</xdr:col>
      <xdr:colOff>0</xdr:colOff>
      <xdr:row>90</xdr:row>
      <xdr:rowOff>9525</xdr:rowOff>
    </xdr:from>
    <xdr:to>
      <xdr:col>8</xdr:col>
      <xdr:colOff>247650</xdr:colOff>
      <xdr:row>104</xdr:row>
      <xdr:rowOff>152400</xdr:rowOff>
    </xdr:to>
    <xdr:sp macro="" textlink="">
      <xdr:nvSpPr>
        <xdr:cNvPr id="75" name="Retângulo 74">
          <a:extLst>
            <a:ext uri="{FF2B5EF4-FFF2-40B4-BE49-F238E27FC236}">
              <a16:creationId xmlns:a16="http://schemas.microsoft.com/office/drawing/2014/main" id="{00000000-0008-0000-0800-00004B000000}"/>
            </a:ext>
          </a:extLst>
        </xdr:cNvPr>
        <xdr:cNvSpPr/>
      </xdr:nvSpPr>
      <xdr:spPr>
        <a:xfrm>
          <a:off x="180975" y="17592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92</xdr:row>
      <xdr:rowOff>104775</xdr:rowOff>
    </xdr:from>
    <xdr:ext cx="4438650" cy="1125693"/>
    <xdr:sp macro="" textlink="">
      <xdr:nvSpPr>
        <xdr:cNvPr id="76" name="CaixaDeTexto 75">
          <a:extLst>
            <a:ext uri="{FF2B5EF4-FFF2-40B4-BE49-F238E27FC236}">
              <a16:creationId xmlns:a16="http://schemas.microsoft.com/office/drawing/2014/main" id="{00000000-0008-0000-0800-00004C000000}"/>
            </a:ext>
          </a:extLst>
        </xdr:cNvPr>
        <xdr:cNvSpPr txBox="1"/>
      </xdr:nvSpPr>
      <xdr:spPr>
        <a:xfrm>
          <a:off x="4895850" y="18068925"/>
          <a:ext cx="443865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totalmente atualizado, com conteúdo simplificado para você acabar de vez com as dificuldades utilizando o eSocial. O curso foi desenvolvido para quem já trabalha com o eSocial e para quem nunca utilizou o sistema. O melhor custo-benefício do mercado!</a:t>
          </a:r>
          <a:endParaRPr lang="pt-BR">
            <a:effectLst/>
          </a:endParaRPr>
        </a:p>
      </xdr:txBody>
    </xdr:sp>
    <xdr:clientData/>
  </xdr:oneCellAnchor>
  <xdr:twoCellAnchor editAs="oneCell">
    <xdr:from>
      <xdr:col>8</xdr:col>
      <xdr:colOff>400050</xdr:colOff>
      <xdr:row>99</xdr:row>
      <xdr:rowOff>133350</xdr:rowOff>
    </xdr:from>
    <xdr:to>
      <xdr:col>10</xdr:col>
      <xdr:colOff>95250</xdr:colOff>
      <xdr:row>104</xdr:row>
      <xdr:rowOff>95250</xdr:rowOff>
    </xdr:to>
    <xdr:pic>
      <xdr:nvPicPr>
        <xdr:cNvPr id="77" name="Gráfico 76" descr="Cabeça com engrenagens">
          <a:extLst>
            <a:ext uri="{FF2B5EF4-FFF2-40B4-BE49-F238E27FC236}">
              <a16:creationId xmlns:a16="http://schemas.microsoft.com/office/drawing/2014/main" id="{00000000-0008-0000-0800-00004D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xmlns="" r:embed="rId36"/>
            </a:ext>
          </a:extLst>
        </a:blip>
        <a:srcRect/>
        <a:stretch/>
      </xdr:blipFill>
      <xdr:spPr>
        <a:xfrm>
          <a:off x="4848225" y="19431000"/>
          <a:ext cx="914400" cy="914400"/>
        </a:xfrm>
        <a:prstGeom prst="rect">
          <a:avLst/>
        </a:prstGeom>
      </xdr:spPr>
    </xdr:pic>
    <xdr:clientData/>
  </xdr:twoCellAnchor>
  <xdr:oneCellAnchor>
    <xdr:from>
      <xdr:col>8</xdr:col>
      <xdr:colOff>485775</xdr:colOff>
      <xdr:row>90</xdr:row>
      <xdr:rowOff>19050</xdr:rowOff>
    </xdr:from>
    <xdr:ext cx="4476750" cy="374141"/>
    <xdr:sp macro="" textlink="">
      <xdr:nvSpPr>
        <xdr:cNvPr id="78" name="CaixaDeTexto 77">
          <a:extLst>
            <a:ext uri="{FF2B5EF4-FFF2-40B4-BE49-F238E27FC236}">
              <a16:creationId xmlns:a16="http://schemas.microsoft.com/office/drawing/2014/main" id="{00000000-0008-0000-0800-00004E000000}"/>
            </a:ext>
          </a:extLst>
        </xdr:cNvPr>
        <xdr:cNvSpPr txBox="1"/>
      </xdr:nvSpPr>
      <xdr:spPr>
        <a:xfrm>
          <a:off x="4933950" y="17602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eSocial</a:t>
          </a:r>
        </a:p>
      </xdr:txBody>
    </xdr:sp>
    <xdr:clientData/>
  </xdr:oneCellAnchor>
  <xdr:twoCellAnchor>
    <xdr:from>
      <xdr:col>10</xdr:col>
      <xdr:colOff>352425</xdr:colOff>
      <xdr:row>100</xdr:row>
      <xdr:rowOff>85725</xdr:rowOff>
    </xdr:from>
    <xdr:to>
      <xdr:col>15</xdr:col>
      <xdr:colOff>47625</xdr:colOff>
      <xdr:row>103</xdr:row>
      <xdr:rowOff>28575</xdr:rowOff>
    </xdr:to>
    <xdr:sp macro="" textlink="">
      <xdr:nvSpPr>
        <xdr:cNvPr id="79" name="Retângulo: Cantos Arredondados 78">
          <a:hlinkClick xmlns:r="http://schemas.openxmlformats.org/officeDocument/2006/relationships" r:id="rId37"/>
          <a:extLst>
            <a:ext uri="{FF2B5EF4-FFF2-40B4-BE49-F238E27FC236}">
              <a16:creationId xmlns:a16="http://schemas.microsoft.com/office/drawing/2014/main" id="{00000000-0008-0000-0800-00004F000000}"/>
            </a:ext>
          </a:extLst>
        </xdr:cNvPr>
        <xdr:cNvSpPr/>
      </xdr:nvSpPr>
      <xdr:spPr>
        <a:xfrm>
          <a:off x="6019800" y="19573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91</xdr:row>
      <xdr:rowOff>28575</xdr:rowOff>
    </xdr:from>
    <xdr:to>
      <xdr:col>8</xdr:col>
      <xdr:colOff>28125</xdr:colOff>
      <xdr:row>103</xdr:row>
      <xdr:rowOff>143775</xdr:rowOff>
    </xdr:to>
    <xdr:grpSp>
      <xdr:nvGrpSpPr>
        <xdr:cNvPr id="3" name="Agrupar 2">
          <a:hlinkClick xmlns:r="http://schemas.openxmlformats.org/officeDocument/2006/relationships" r:id="rId37"/>
          <a:extLst>
            <a:ext uri="{FF2B5EF4-FFF2-40B4-BE49-F238E27FC236}">
              <a16:creationId xmlns:a16="http://schemas.microsoft.com/office/drawing/2014/main" id="{00000000-0008-0000-0800-000003000000}"/>
            </a:ext>
          </a:extLst>
        </xdr:cNvPr>
        <xdr:cNvGrpSpPr/>
      </xdr:nvGrpSpPr>
      <xdr:grpSpPr>
        <a:xfrm>
          <a:off x="419100" y="17802225"/>
          <a:ext cx="4057200" cy="2401200"/>
          <a:chOff x="419100" y="17802225"/>
          <a:chExt cx="4057200" cy="2401200"/>
        </a:xfrm>
      </xdr:grpSpPr>
      <xdr:sp macro="" textlink="">
        <xdr:nvSpPr>
          <xdr:cNvPr id="81" name="Retângulo 80">
            <a:extLst>
              <a:ext uri="{FF2B5EF4-FFF2-40B4-BE49-F238E27FC236}">
                <a16:creationId xmlns:a16="http://schemas.microsoft.com/office/drawing/2014/main" id="{00000000-0008-0000-0800-000051000000}"/>
              </a:ext>
            </a:extLst>
          </xdr:cNvPr>
          <xdr:cNvSpPr/>
        </xdr:nvSpPr>
        <xdr:spPr>
          <a:xfrm>
            <a:off x="419100" y="17802225"/>
            <a:ext cx="4057200" cy="2401200"/>
          </a:xfrm>
          <a:prstGeom prst="rect">
            <a:avLst/>
          </a:prstGeom>
          <a:solidFill>
            <a:srgbClr val="A500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82" name="Gráfico 81" descr="Livros">
            <a:extLst>
              <a:ext uri="{FF2B5EF4-FFF2-40B4-BE49-F238E27FC236}">
                <a16:creationId xmlns:a16="http://schemas.microsoft.com/office/drawing/2014/main" id="{00000000-0008-0000-0800-000052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xmlns="" r:embed="rId39"/>
              </a:ext>
            </a:extLst>
          </a:blip>
          <a:srcRect/>
          <a:stretch/>
        </xdr:blipFill>
        <xdr:spPr>
          <a:xfrm>
            <a:off x="581025" y="18526125"/>
            <a:ext cx="914400" cy="914400"/>
          </a:xfrm>
          <a:prstGeom prst="rect">
            <a:avLst/>
          </a:prstGeom>
        </xdr:spPr>
      </xdr:pic>
      <xdr:sp macro="" textlink="">
        <xdr:nvSpPr>
          <xdr:cNvPr id="83" name="CaixaDeTexto 82">
            <a:extLst>
              <a:ext uri="{FF2B5EF4-FFF2-40B4-BE49-F238E27FC236}">
                <a16:creationId xmlns:a16="http://schemas.microsoft.com/office/drawing/2014/main" id="{00000000-0008-0000-0800-000053000000}"/>
              </a:ext>
            </a:extLst>
          </xdr:cNvPr>
          <xdr:cNvSpPr txBox="1"/>
        </xdr:nvSpPr>
        <xdr:spPr>
          <a:xfrm>
            <a:off x="1419225" y="185356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84" name="Retângulo 83">
            <a:extLst>
              <a:ext uri="{FF2B5EF4-FFF2-40B4-BE49-F238E27FC236}">
                <a16:creationId xmlns:a16="http://schemas.microsoft.com/office/drawing/2014/main" id="{00000000-0008-0000-0800-000054000000}"/>
              </a:ext>
            </a:extLst>
          </xdr:cNvPr>
          <xdr:cNvSpPr/>
        </xdr:nvSpPr>
        <xdr:spPr>
          <a:xfrm>
            <a:off x="1419225" y="18907125"/>
            <a:ext cx="2705100" cy="523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A50021"/>
                </a:solidFill>
                <a:latin typeface="Arial Black" panose="020B0A04020102020204" pitchFamily="34" charset="0"/>
              </a:rPr>
              <a:t>ESOCIAL</a:t>
            </a:r>
          </a:p>
        </xdr:txBody>
      </xdr:sp>
    </xdr:grpSp>
    <xdr:clientData/>
  </xdr:twoCellAnchor>
  <xdr:twoCellAnchor>
    <xdr:from>
      <xdr:col>1</xdr:col>
      <xdr:colOff>0</xdr:colOff>
      <xdr:row>106</xdr:row>
      <xdr:rowOff>66675</xdr:rowOff>
    </xdr:from>
    <xdr:to>
      <xdr:col>8</xdr:col>
      <xdr:colOff>247650</xdr:colOff>
      <xdr:row>121</xdr:row>
      <xdr:rowOff>19050</xdr:rowOff>
    </xdr:to>
    <xdr:sp macro="" textlink="">
      <xdr:nvSpPr>
        <xdr:cNvPr id="88" name="Retângulo 87">
          <a:extLst>
            <a:ext uri="{FF2B5EF4-FFF2-40B4-BE49-F238E27FC236}">
              <a16:creationId xmlns:a16="http://schemas.microsoft.com/office/drawing/2014/main" id="{00000000-0008-0000-0800-000058000000}"/>
            </a:ext>
          </a:extLst>
        </xdr:cNvPr>
        <xdr:cNvSpPr/>
      </xdr:nvSpPr>
      <xdr:spPr>
        <a:xfrm>
          <a:off x="180975" y="206978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108</xdr:row>
      <xdr:rowOff>161925</xdr:rowOff>
    </xdr:from>
    <xdr:ext cx="4438650" cy="1297919"/>
    <xdr:sp macro="" textlink="">
      <xdr:nvSpPr>
        <xdr:cNvPr id="89" name="CaixaDeTexto 88">
          <a:extLst>
            <a:ext uri="{FF2B5EF4-FFF2-40B4-BE49-F238E27FC236}">
              <a16:creationId xmlns:a16="http://schemas.microsoft.com/office/drawing/2014/main" id="{00000000-0008-0000-0800-000059000000}"/>
            </a:ext>
          </a:extLst>
        </xdr:cNvPr>
        <xdr:cNvSpPr txBox="1"/>
      </xdr:nvSpPr>
      <xdr:spPr>
        <a:xfrm>
          <a:off x="4895850" y="211740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Departamento Pessoal conta com certificado de conclusão reconhecido de 10 horas para que você possa utilizar em seu currículo para conseguir chegar mais longe na sua carreira! O certificado é reconhecido por milhares de empresas e instituições e também serve como comprovante de qualificação profissional.</a:t>
          </a:r>
          <a:endParaRPr lang="pt-BR">
            <a:effectLst/>
          </a:endParaRPr>
        </a:p>
      </xdr:txBody>
    </xdr:sp>
    <xdr:clientData/>
  </xdr:oneCellAnchor>
  <xdr:twoCellAnchor editAs="oneCell">
    <xdr:from>
      <xdr:col>8</xdr:col>
      <xdr:colOff>400050</xdr:colOff>
      <xdr:row>116</xdr:row>
      <xdr:rowOff>0</xdr:rowOff>
    </xdr:from>
    <xdr:to>
      <xdr:col>10</xdr:col>
      <xdr:colOff>95250</xdr:colOff>
      <xdr:row>120</xdr:row>
      <xdr:rowOff>152400</xdr:rowOff>
    </xdr:to>
    <xdr:pic>
      <xdr:nvPicPr>
        <xdr:cNvPr id="90" name="Gráfico 89" descr="Manual">
          <a:extLst>
            <a:ext uri="{FF2B5EF4-FFF2-40B4-BE49-F238E27FC236}">
              <a16:creationId xmlns:a16="http://schemas.microsoft.com/office/drawing/2014/main" id="{00000000-0008-0000-0800-00005A000000}"/>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 uri="{96DAC541-7B7A-43D3-8B79-37D633B846F1}">
              <asvg:svgBlip xmlns:asvg="http://schemas.microsoft.com/office/drawing/2016/SVG/main" xmlns="" r:embed="rId41"/>
            </a:ext>
          </a:extLst>
        </a:blip>
        <a:srcRect/>
        <a:stretch/>
      </xdr:blipFill>
      <xdr:spPr>
        <a:xfrm>
          <a:off x="4848225" y="22536150"/>
          <a:ext cx="914400" cy="914400"/>
        </a:xfrm>
        <a:prstGeom prst="rect">
          <a:avLst/>
        </a:prstGeom>
      </xdr:spPr>
    </xdr:pic>
    <xdr:clientData/>
  </xdr:twoCellAnchor>
  <xdr:oneCellAnchor>
    <xdr:from>
      <xdr:col>8</xdr:col>
      <xdr:colOff>485775</xdr:colOff>
      <xdr:row>106</xdr:row>
      <xdr:rowOff>76200</xdr:rowOff>
    </xdr:from>
    <xdr:ext cx="4476750" cy="374141"/>
    <xdr:sp macro="" textlink="">
      <xdr:nvSpPr>
        <xdr:cNvPr id="91" name="CaixaDeTexto 90">
          <a:extLst>
            <a:ext uri="{FF2B5EF4-FFF2-40B4-BE49-F238E27FC236}">
              <a16:creationId xmlns:a16="http://schemas.microsoft.com/office/drawing/2014/main" id="{00000000-0008-0000-0800-00005B000000}"/>
            </a:ext>
          </a:extLst>
        </xdr:cNvPr>
        <xdr:cNvSpPr txBox="1"/>
      </xdr:nvSpPr>
      <xdr:spPr>
        <a:xfrm>
          <a:off x="4933950" y="207073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Departamento Pessoal</a:t>
          </a:r>
          <a:endParaRPr lang="pt-BR" sz="1800" b="1">
            <a:solidFill>
              <a:schemeClr val="bg1"/>
            </a:solidFill>
          </a:endParaRPr>
        </a:p>
      </xdr:txBody>
    </xdr:sp>
    <xdr:clientData/>
  </xdr:oneCellAnchor>
  <xdr:twoCellAnchor>
    <xdr:from>
      <xdr:col>10</xdr:col>
      <xdr:colOff>352425</xdr:colOff>
      <xdr:row>116</xdr:row>
      <xdr:rowOff>142875</xdr:rowOff>
    </xdr:from>
    <xdr:to>
      <xdr:col>15</xdr:col>
      <xdr:colOff>47625</xdr:colOff>
      <xdr:row>119</xdr:row>
      <xdr:rowOff>85725</xdr:rowOff>
    </xdr:to>
    <xdr:sp macro="" textlink="">
      <xdr:nvSpPr>
        <xdr:cNvPr id="92" name="Retângulo: Cantos Arredondados 91">
          <a:hlinkClick xmlns:r="http://schemas.openxmlformats.org/officeDocument/2006/relationships" r:id="rId42"/>
          <a:extLst>
            <a:ext uri="{FF2B5EF4-FFF2-40B4-BE49-F238E27FC236}">
              <a16:creationId xmlns:a16="http://schemas.microsoft.com/office/drawing/2014/main" id="{00000000-0008-0000-0800-00005C000000}"/>
            </a:ext>
          </a:extLst>
        </xdr:cNvPr>
        <xdr:cNvSpPr/>
      </xdr:nvSpPr>
      <xdr:spPr>
        <a:xfrm>
          <a:off x="6019800" y="226790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107</xdr:row>
      <xdr:rowOff>85725</xdr:rowOff>
    </xdr:from>
    <xdr:to>
      <xdr:col>8</xdr:col>
      <xdr:colOff>28125</xdr:colOff>
      <xdr:row>120</xdr:row>
      <xdr:rowOff>10425</xdr:rowOff>
    </xdr:to>
    <xdr:grpSp>
      <xdr:nvGrpSpPr>
        <xdr:cNvPr id="7" name="Agrupar 6">
          <a:hlinkClick xmlns:r="http://schemas.openxmlformats.org/officeDocument/2006/relationships" r:id="rId42"/>
          <a:extLst>
            <a:ext uri="{FF2B5EF4-FFF2-40B4-BE49-F238E27FC236}">
              <a16:creationId xmlns:a16="http://schemas.microsoft.com/office/drawing/2014/main" id="{00000000-0008-0000-0800-000007000000}"/>
            </a:ext>
          </a:extLst>
        </xdr:cNvPr>
        <xdr:cNvGrpSpPr/>
      </xdr:nvGrpSpPr>
      <xdr:grpSpPr>
        <a:xfrm>
          <a:off x="419100" y="20907375"/>
          <a:ext cx="4057200" cy="2401200"/>
          <a:chOff x="419100" y="20907375"/>
          <a:chExt cx="4057200" cy="2401200"/>
        </a:xfrm>
      </xdr:grpSpPr>
      <xdr:sp macro="" textlink="">
        <xdr:nvSpPr>
          <xdr:cNvPr id="94" name="Retângulo 93">
            <a:extLst>
              <a:ext uri="{FF2B5EF4-FFF2-40B4-BE49-F238E27FC236}">
                <a16:creationId xmlns:a16="http://schemas.microsoft.com/office/drawing/2014/main" id="{00000000-0008-0000-0800-00005E000000}"/>
              </a:ext>
            </a:extLst>
          </xdr:cNvPr>
          <xdr:cNvSpPr/>
        </xdr:nvSpPr>
        <xdr:spPr>
          <a:xfrm>
            <a:off x="419100" y="20907375"/>
            <a:ext cx="4057200" cy="2401200"/>
          </a:xfrm>
          <a:prstGeom prst="rect">
            <a:avLst/>
          </a:prstGeom>
          <a:solidFill>
            <a:srgbClr val="800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95" name="Gráfico 94" descr="Matemática">
            <a:extLst>
              <a:ext uri="{FF2B5EF4-FFF2-40B4-BE49-F238E27FC236}">
                <a16:creationId xmlns:a16="http://schemas.microsoft.com/office/drawing/2014/main" id="{00000000-0008-0000-0800-00005F000000}"/>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xmlns="" r:embed="rId44"/>
              </a:ext>
            </a:extLst>
          </a:blip>
          <a:srcRect/>
          <a:stretch/>
        </xdr:blipFill>
        <xdr:spPr>
          <a:xfrm>
            <a:off x="581025" y="21631275"/>
            <a:ext cx="914400" cy="914400"/>
          </a:xfrm>
          <a:prstGeom prst="rect">
            <a:avLst/>
          </a:prstGeom>
        </xdr:spPr>
      </xdr:pic>
      <xdr:sp macro="" textlink="">
        <xdr:nvSpPr>
          <xdr:cNvPr id="96" name="CaixaDeTexto 95">
            <a:extLst>
              <a:ext uri="{FF2B5EF4-FFF2-40B4-BE49-F238E27FC236}">
                <a16:creationId xmlns:a16="http://schemas.microsoft.com/office/drawing/2014/main" id="{00000000-0008-0000-0800-000060000000}"/>
              </a:ext>
            </a:extLst>
          </xdr:cNvPr>
          <xdr:cNvSpPr txBox="1"/>
        </xdr:nvSpPr>
        <xdr:spPr>
          <a:xfrm>
            <a:off x="1419225" y="216408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97" name="Retângulo 96">
            <a:extLst>
              <a:ext uri="{FF2B5EF4-FFF2-40B4-BE49-F238E27FC236}">
                <a16:creationId xmlns:a16="http://schemas.microsoft.com/office/drawing/2014/main" id="{00000000-0008-0000-0800-000061000000}"/>
              </a:ext>
            </a:extLst>
          </xdr:cNvPr>
          <xdr:cNvSpPr/>
        </xdr:nvSpPr>
        <xdr:spPr>
          <a:xfrm>
            <a:off x="1419225" y="22012275"/>
            <a:ext cx="2705100" cy="6953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800080"/>
                </a:solidFill>
                <a:latin typeface="Arial Black" panose="020B0A04020102020204" pitchFamily="34" charset="0"/>
              </a:rPr>
              <a:t>DEPARTAMENTO PESSOAL</a:t>
            </a:r>
          </a:p>
        </xdr:txBody>
      </xdr:sp>
    </xdr:grpSp>
    <xdr:clientData/>
  </xdr:twoCellAnchor>
  <xdr:twoCellAnchor>
    <xdr:from>
      <xdr:col>1</xdr:col>
      <xdr:colOff>0</xdr:colOff>
      <xdr:row>122</xdr:row>
      <xdr:rowOff>142875</xdr:rowOff>
    </xdr:from>
    <xdr:to>
      <xdr:col>8</xdr:col>
      <xdr:colOff>247650</xdr:colOff>
      <xdr:row>137</xdr:row>
      <xdr:rowOff>95250</xdr:rowOff>
    </xdr:to>
    <xdr:sp macro="" textlink="">
      <xdr:nvSpPr>
        <xdr:cNvPr id="98" name="Retângulo 97">
          <a:extLst>
            <a:ext uri="{FF2B5EF4-FFF2-40B4-BE49-F238E27FC236}">
              <a16:creationId xmlns:a16="http://schemas.microsoft.com/office/drawing/2014/main" id="{00000000-0008-0000-0800-000062000000}"/>
            </a:ext>
          </a:extLst>
        </xdr:cNvPr>
        <xdr:cNvSpPr/>
      </xdr:nvSpPr>
      <xdr:spPr>
        <a:xfrm>
          <a:off x="180975" y="238220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125</xdr:row>
      <xdr:rowOff>47625</xdr:rowOff>
    </xdr:from>
    <xdr:ext cx="4438650" cy="1297919"/>
    <xdr:sp macro="" textlink="">
      <xdr:nvSpPr>
        <xdr:cNvPr id="99" name="CaixaDeTexto 98">
          <a:extLst>
            <a:ext uri="{FF2B5EF4-FFF2-40B4-BE49-F238E27FC236}">
              <a16:creationId xmlns:a16="http://schemas.microsoft.com/office/drawing/2014/main" id="{00000000-0008-0000-0800-000063000000}"/>
            </a:ext>
          </a:extLst>
        </xdr:cNvPr>
        <xdr:cNvSpPr txBox="1"/>
      </xdr:nvSpPr>
      <xdr:spPr>
        <a:xfrm>
          <a:off x="4895850" y="242982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132</xdr:row>
      <xdr:rowOff>76200</xdr:rowOff>
    </xdr:from>
    <xdr:to>
      <xdr:col>10</xdr:col>
      <xdr:colOff>95250</xdr:colOff>
      <xdr:row>137</xdr:row>
      <xdr:rowOff>38100</xdr:rowOff>
    </xdr:to>
    <xdr:pic>
      <xdr:nvPicPr>
        <xdr:cNvPr id="100" name="Gráfico 99" descr="Dinheiro">
          <a:extLst>
            <a:ext uri="{FF2B5EF4-FFF2-40B4-BE49-F238E27FC236}">
              <a16:creationId xmlns:a16="http://schemas.microsoft.com/office/drawing/2014/main" id="{00000000-0008-0000-0800-000064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xmlns="" r:embed="rId46"/>
            </a:ext>
          </a:extLst>
        </a:blip>
        <a:srcRect/>
        <a:stretch/>
      </xdr:blipFill>
      <xdr:spPr>
        <a:xfrm>
          <a:off x="4848225" y="25660350"/>
          <a:ext cx="914400" cy="914400"/>
        </a:xfrm>
        <a:prstGeom prst="rect">
          <a:avLst/>
        </a:prstGeom>
      </xdr:spPr>
    </xdr:pic>
    <xdr:clientData/>
  </xdr:twoCellAnchor>
  <xdr:oneCellAnchor>
    <xdr:from>
      <xdr:col>8</xdr:col>
      <xdr:colOff>485775</xdr:colOff>
      <xdr:row>122</xdr:row>
      <xdr:rowOff>152400</xdr:rowOff>
    </xdr:from>
    <xdr:ext cx="4476750" cy="374141"/>
    <xdr:sp macro="" textlink="">
      <xdr:nvSpPr>
        <xdr:cNvPr id="101" name="CaixaDeTexto 100">
          <a:extLst>
            <a:ext uri="{FF2B5EF4-FFF2-40B4-BE49-F238E27FC236}">
              <a16:creationId xmlns:a16="http://schemas.microsoft.com/office/drawing/2014/main" id="{00000000-0008-0000-0800-000065000000}"/>
            </a:ext>
          </a:extLst>
        </xdr:cNvPr>
        <xdr:cNvSpPr txBox="1"/>
      </xdr:nvSpPr>
      <xdr:spPr>
        <a:xfrm>
          <a:off x="4933950" y="238315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 Analista Fiscal</a:t>
          </a:r>
          <a:endParaRPr lang="pt-BR" sz="1800" b="1">
            <a:solidFill>
              <a:schemeClr val="bg1"/>
            </a:solidFill>
          </a:endParaRPr>
        </a:p>
      </xdr:txBody>
    </xdr:sp>
    <xdr:clientData/>
  </xdr:oneCellAnchor>
  <xdr:twoCellAnchor>
    <xdr:from>
      <xdr:col>10</xdr:col>
      <xdr:colOff>352425</xdr:colOff>
      <xdr:row>133</xdr:row>
      <xdr:rowOff>28575</xdr:rowOff>
    </xdr:from>
    <xdr:to>
      <xdr:col>15</xdr:col>
      <xdr:colOff>47625</xdr:colOff>
      <xdr:row>135</xdr:row>
      <xdr:rowOff>161925</xdr:rowOff>
    </xdr:to>
    <xdr:sp macro="" textlink="">
      <xdr:nvSpPr>
        <xdr:cNvPr id="102" name="Retângulo: Cantos Arredondados 101">
          <a:hlinkClick xmlns:r="http://schemas.openxmlformats.org/officeDocument/2006/relationships" r:id="rId11"/>
          <a:extLst>
            <a:ext uri="{FF2B5EF4-FFF2-40B4-BE49-F238E27FC236}">
              <a16:creationId xmlns:a16="http://schemas.microsoft.com/office/drawing/2014/main" id="{00000000-0008-0000-0800-000066000000}"/>
            </a:ext>
          </a:extLst>
        </xdr:cNvPr>
        <xdr:cNvSpPr/>
      </xdr:nvSpPr>
      <xdr:spPr>
        <a:xfrm>
          <a:off x="6019800" y="258032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123</xdr:row>
      <xdr:rowOff>161925</xdr:rowOff>
    </xdr:from>
    <xdr:to>
      <xdr:col>8</xdr:col>
      <xdr:colOff>28125</xdr:colOff>
      <xdr:row>136</xdr:row>
      <xdr:rowOff>86625</xdr:rowOff>
    </xdr:to>
    <xdr:grpSp>
      <xdr:nvGrpSpPr>
        <xdr:cNvPr id="13" name="Agrupar 12">
          <a:hlinkClick xmlns:r="http://schemas.openxmlformats.org/officeDocument/2006/relationships" r:id="rId11"/>
          <a:extLst>
            <a:ext uri="{FF2B5EF4-FFF2-40B4-BE49-F238E27FC236}">
              <a16:creationId xmlns:a16="http://schemas.microsoft.com/office/drawing/2014/main" id="{00000000-0008-0000-0800-00000D000000}"/>
            </a:ext>
          </a:extLst>
        </xdr:cNvPr>
        <xdr:cNvGrpSpPr/>
      </xdr:nvGrpSpPr>
      <xdr:grpSpPr>
        <a:xfrm>
          <a:off x="419100" y="24031575"/>
          <a:ext cx="4057200" cy="2401200"/>
          <a:chOff x="419100" y="24031575"/>
          <a:chExt cx="4057200" cy="2401200"/>
        </a:xfrm>
      </xdr:grpSpPr>
      <xdr:sp macro="" textlink="">
        <xdr:nvSpPr>
          <xdr:cNvPr id="104" name="Retângulo 103">
            <a:extLst>
              <a:ext uri="{FF2B5EF4-FFF2-40B4-BE49-F238E27FC236}">
                <a16:creationId xmlns:a16="http://schemas.microsoft.com/office/drawing/2014/main" id="{00000000-0008-0000-0800-000068000000}"/>
              </a:ext>
            </a:extLst>
          </xdr:cNvPr>
          <xdr:cNvSpPr/>
        </xdr:nvSpPr>
        <xdr:spPr>
          <a:xfrm>
            <a:off x="419100" y="24031575"/>
            <a:ext cx="4057200" cy="240120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105" name="Gráfico 104" descr="Apresentação com gráfico de pizza">
            <a:extLst>
              <a:ext uri="{FF2B5EF4-FFF2-40B4-BE49-F238E27FC236}">
                <a16:creationId xmlns:a16="http://schemas.microsoft.com/office/drawing/2014/main" id="{00000000-0008-0000-0800-000069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xmlns="" r:embed="rId48"/>
              </a:ext>
            </a:extLst>
          </a:blip>
          <a:srcRect/>
          <a:stretch/>
        </xdr:blipFill>
        <xdr:spPr>
          <a:xfrm>
            <a:off x="581025" y="24755475"/>
            <a:ext cx="914400" cy="914400"/>
          </a:xfrm>
          <a:prstGeom prst="rect">
            <a:avLst/>
          </a:prstGeom>
        </xdr:spPr>
      </xdr:pic>
      <xdr:sp macro="" textlink="">
        <xdr:nvSpPr>
          <xdr:cNvPr id="106" name="CaixaDeTexto 105">
            <a:extLst>
              <a:ext uri="{FF2B5EF4-FFF2-40B4-BE49-F238E27FC236}">
                <a16:creationId xmlns:a16="http://schemas.microsoft.com/office/drawing/2014/main" id="{00000000-0008-0000-0800-00006A000000}"/>
              </a:ext>
            </a:extLst>
          </xdr:cNvPr>
          <xdr:cNvSpPr txBox="1"/>
        </xdr:nvSpPr>
        <xdr:spPr>
          <a:xfrm>
            <a:off x="1419225" y="247650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107" name="Retângulo 106">
            <a:extLst>
              <a:ext uri="{FF2B5EF4-FFF2-40B4-BE49-F238E27FC236}">
                <a16:creationId xmlns:a16="http://schemas.microsoft.com/office/drawing/2014/main" id="{00000000-0008-0000-0800-00006B000000}"/>
              </a:ext>
            </a:extLst>
          </xdr:cNvPr>
          <xdr:cNvSpPr/>
        </xdr:nvSpPr>
        <xdr:spPr>
          <a:xfrm>
            <a:off x="1419225" y="2513647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ANALISTA FISCAL</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3</xdr:col>
      <xdr:colOff>1489575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1514475</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9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238125</xdr:colOff>
      <xdr:row>0</xdr:row>
      <xdr:rowOff>85725</xdr:rowOff>
    </xdr:from>
    <xdr:to>
      <xdr:col>5</xdr:col>
      <xdr:colOff>270375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9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1400175</xdr:colOff>
      <xdr:row>0</xdr:row>
      <xdr:rowOff>85725</xdr:rowOff>
    </xdr:from>
    <xdr:to>
      <xdr:col>7</xdr:col>
      <xdr:colOff>156075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9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180975</xdr:colOff>
      <xdr:row>0</xdr:row>
      <xdr:rowOff>85725</xdr:rowOff>
    </xdr:from>
    <xdr:to>
      <xdr:col>9</xdr:col>
      <xdr:colOff>41775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9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66675</xdr:colOff>
      <xdr:row>0</xdr:row>
      <xdr:rowOff>85725</xdr:rowOff>
    </xdr:from>
    <xdr:to>
      <xdr:col>10</xdr:col>
      <xdr:colOff>537075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9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1695450</xdr:colOff>
      <xdr:row>0</xdr:row>
      <xdr:rowOff>371475</xdr:rowOff>
    </xdr:from>
    <xdr:to>
      <xdr:col>4</xdr:col>
      <xdr:colOff>34200</xdr:colOff>
      <xdr:row>0</xdr:row>
      <xdr:rowOff>388425</xdr:rowOff>
    </xdr:to>
    <xdr:sp macro="" textlink="">
      <xdr:nvSpPr>
        <xdr:cNvPr id="8" name="Retângulo 7">
          <a:extLst>
            <a:ext uri="{FF2B5EF4-FFF2-40B4-BE49-F238E27FC236}">
              <a16:creationId xmlns:a16="http://schemas.microsoft.com/office/drawing/2014/main" id="{00000000-0008-0000-09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295275</xdr:colOff>
      <xdr:row>0</xdr:row>
      <xdr:rowOff>85725</xdr:rowOff>
    </xdr:from>
    <xdr:to>
      <xdr:col>5</xdr:col>
      <xdr:colOff>1375275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9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975225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9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Informações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9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9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9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9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990600</xdr:colOff>
      <xdr:row>1</xdr:row>
      <xdr:rowOff>142875</xdr:rowOff>
    </xdr:from>
    <xdr:to>
      <xdr:col>3</xdr:col>
      <xdr:colOff>2070600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9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a:t>
          </a:r>
        </a:p>
      </xdr:txBody>
    </xdr:sp>
    <xdr:clientData/>
  </xdr:twoCellAnchor>
  <mc:AlternateContent xmlns:mc="http://schemas.openxmlformats.org/markup-compatibility/2006">
    <mc:Choice xmlns:a14="http://schemas.microsoft.com/office/drawing/2010/main" Requires="a14">
      <xdr:twoCellAnchor editAs="absolute">
        <xdr:from>
          <xdr:col>2</xdr:col>
          <xdr:colOff>104775</xdr:colOff>
          <xdr:row>2</xdr:row>
          <xdr:rowOff>219075</xdr:rowOff>
        </xdr:from>
        <xdr:to>
          <xdr:col>3</xdr:col>
          <xdr:colOff>1781175</xdr:colOff>
          <xdr:row>3</xdr:row>
          <xdr:rowOff>142875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Colocar no Modo Sistema Novamente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1857375</xdr:colOff>
          <xdr:row>2</xdr:row>
          <xdr:rowOff>219075</xdr:rowOff>
        </xdr:from>
        <xdr:to>
          <xdr:col>5</xdr:col>
          <xdr:colOff>952500</xdr:colOff>
          <xdr:row>3</xdr:row>
          <xdr:rowOff>142875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Retirar do Modo Sistema</a:t>
              </a:r>
            </a:p>
          </xdr:txBody>
        </xdr:sp>
        <xdr:clientData fPrintsWithSheet="0"/>
      </xdr:twoCellAnchor>
    </mc:Choice>
    <mc:Fallback/>
  </mc:AlternateContent>
  <xdr:oneCellAnchor>
    <xdr:from>
      <xdr:col>2</xdr:col>
      <xdr:colOff>0</xdr:colOff>
      <xdr:row>4</xdr:row>
      <xdr:rowOff>9525</xdr:rowOff>
    </xdr:from>
    <xdr:ext cx="12268200" cy="3692229"/>
    <xdr:sp macro="" textlink="">
      <xdr:nvSpPr>
        <xdr:cNvPr id="20" name="CaixaDeTexto 19">
          <a:extLst>
            <a:ext uri="{FF2B5EF4-FFF2-40B4-BE49-F238E27FC236}">
              <a16:creationId xmlns:a16="http://schemas.microsoft.com/office/drawing/2014/main" id="{00000000-0008-0000-0900-000014000000}"/>
            </a:ext>
          </a:extLst>
        </xdr:cNvPr>
        <xdr:cNvSpPr txBox="1"/>
      </xdr:nvSpPr>
      <xdr:spPr>
        <a:xfrm>
          <a:off x="228600" y="1485900"/>
          <a:ext cx="12268200" cy="369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fontAlgn="base"/>
          <a:r>
            <a:rPr lang="pt-BR" sz="1000" b="0" i="0">
              <a:solidFill>
                <a:schemeClr val="tx1">
                  <a:lumMod val="75000"/>
                  <a:lumOff val="25000"/>
                </a:schemeClr>
              </a:solidFill>
              <a:effectLst/>
              <a:latin typeface="+mn-lt"/>
              <a:ea typeface="+mn-ea"/>
              <a:cs typeface="+mn-cs"/>
            </a:rPr>
            <a:t>O Simples Nacional é um regime compartilhado de arrecadação, cobrança e fiscalização de tributos aplicável às Microempresas e Empresas de Pequeno Porte, previsto na Lei Complementar nº 123, de 14 de dezembro de 2006.</a:t>
          </a:r>
        </a:p>
        <a:p>
          <a:pPr fontAlgn="base"/>
          <a:endParaRPr lang="pt-BR" sz="1000" b="0" i="0">
            <a:solidFill>
              <a:schemeClr val="tx1">
                <a:lumMod val="75000"/>
                <a:lumOff val="25000"/>
              </a:schemeClr>
            </a:solidFill>
            <a:effectLst/>
            <a:latin typeface="+mn-lt"/>
            <a:ea typeface="+mn-ea"/>
            <a:cs typeface="+mn-cs"/>
          </a:endParaRPr>
        </a:p>
        <a:p>
          <a:pPr fontAlgn="base"/>
          <a:r>
            <a:rPr lang="pt-BR" sz="1000" b="0" i="0">
              <a:solidFill>
                <a:schemeClr val="tx1">
                  <a:lumMod val="75000"/>
                  <a:lumOff val="25000"/>
                </a:schemeClr>
              </a:solidFill>
              <a:effectLst/>
              <a:latin typeface="+mn-lt"/>
              <a:ea typeface="+mn-ea"/>
              <a:cs typeface="+mn-cs"/>
            </a:rPr>
            <a:t>Abrange a participação de todos os entes federados (União, Estados, Distrito Federal e Municípios).</a:t>
          </a:r>
        </a:p>
        <a:p>
          <a:pPr fontAlgn="base"/>
          <a:r>
            <a:rPr lang="pt-BR" sz="1000" b="0" i="0">
              <a:solidFill>
                <a:schemeClr val="tx1">
                  <a:lumMod val="75000"/>
                  <a:lumOff val="25000"/>
                </a:schemeClr>
              </a:solidFill>
              <a:effectLst/>
              <a:latin typeface="+mn-lt"/>
              <a:ea typeface="+mn-ea"/>
              <a:cs typeface="+mn-cs"/>
            </a:rPr>
            <a:t>É administrado por um Comitê Gestor composto por oito integrantes: quatro da Secretaria da Receita Federal do Brasil (RFB), dois dos Estados e do Distrito Federal e dois dos Municípios.</a:t>
          </a:r>
        </a:p>
        <a:p>
          <a:pPr fontAlgn="base"/>
          <a:endParaRPr lang="pt-BR" sz="1000" b="0" i="0">
            <a:solidFill>
              <a:schemeClr val="tx1">
                <a:lumMod val="75000"/>
                <a:lumOff val="25000"/>
              </a:schemeClr>
            </a:solidFill>
            <a:effectLst/>
            <a:latin typeface="+mn-lt"/>
            <a:ea typeface="+mn-ea"/>
            <a:cs typeface="+mn-cs"/>
          </a:endParaRPr>
        </a:p>
        <a:p>
          <a:pPr fontAlgn="base"/>
          <a:r>
            <a:rPr lang="pt-BR" sz="1000" b="1" i="0">
              <a:solidFill>
                <a:schemeClr val="tx1">
                  <a:lumMod val="75000"/>
                  <a:lumOff val="25000"/>
                </a:schemeClr>
              </a:solidFill>
              <a:effectLst/>
              <a:latin typeface="+mn-lt"/>
              <a:ea typeface="+mn-ea"/>
              <a:cs typeface="+mn-cs"/>
            </a:rPr>
            <a:t>Para o ingresso no Simples Nacional é necessário o cumprimento das seguintes condições:</a:t>
          </a:r>
        </a:p>
        <a:p>
          <a:pPr fontAlgn="base"/>
          <a:endParaRPr lang="pt-BR" sz="1000" b="0" i="0">
            <a:solidFill>
              <a:schemeClr val="tx1">
                <a:lumMod val="75000"/>
                <a:lumOff val="25000"/>
              </a:schemeClr>
            </a:solidFill>
            <a:effectLst/>
            <a:latin typeface="+mn-lt"/>
            <a:ea typeface="+mn-ea"/>
            <a:cs typeface="+mn-cs"/>
          </a:endParaRPr>
        </a:p>
        <a:p>
          <a:pPr fontAlgn="base"/>
          <a:r>
            <a:rPr lang="pt-BR" sz="1000" b="0" i="0">
              <a:solidFill>
                <a:schemeClr val="tx1">
                  <a:lumMod val="75000"/>
                  <a:lumOff val="25000"/>
                </a:schemeClr>
              </a:solidFill>
              <a:effectLst/>
              <a:latin typeface="+mn-lt"/>
              <a:ea typeface="+mn-ea"/>
              <a:cs typeface="+mn-cs"/>
            </a:rPr>
            <a:t>• enquadrar-se na definição de microempresa ou de empresa de pequeno porte;</a:t>
          </a:r>
        </a:p>
        <a:p>
          <a:pPr fontAlgn="base"/>
          <a:r>
            <a:rPr lang="pt-BR" sz="1000" b="0" i="0">
              <a:solidFill>
                <a:schemeClr val="tx1">
                  <a:lumMod val="75000"/>
                  <a:lumOff val="25000"/>
                </a:schemeClr>
              </a:solidFill>
              <a:effectLst/>
              <a:latin typeface="+mn-lt"/>
              <a:ea typeface="+mn-ea"/>
              <a:cs typeface="+mn-cs"/>
            </a:rPr>
            <a:t>• cumprir os requisitos previstos na legislação; e</a:t>
          </a:r>
        </a:p>
        <a:p>
          <a:pPr fontAlgn="base"/>
          <a:r>
            <a:rPr lang="pt-BR" sz="1000" b="0" i="0">
              <a:solidFill>
                <a:schemeClr val="tx1">
                  <a:lumMod val="75000"/>
                  <a:lumOff val="25000"/>
                </a:schemeClr>
              </a:solidFill>
              <a:effectLst/>
              <a:latin typeface="+mn-lt"/>
              <a:ea typeface="+mn-ea"/>
              <a:cs typeface="+mn-cs"/>
            </a:rPr>
            <a:t>• formalizar a opção pelo Simples Nacional.</a:t>
          </a:r>
        </a:p>
        <a:p>
          <a:pPr fontAlgn="base"/>
          <a:endParaRPr lang="pt-BR" sz="1000" b="1" i="0">
            <a:solidFill>
              <a:schemeClr val="tx1">
                <a:lumMod val="75000"/>
                <a:lumOff val="25000"/>
              </a:schemeClr>
            </a:solidFill>
            <a:effectLst/>
            <a:latin typeface="+mn-lt"/>
            <a:ea typeface="+mn-ea"/>
            <a:cs typeface="+mn-cs"/>
          </a:endParaRPr>
        </a:p>
        <a:p>
          <a:pPr fontAlgn="base"/>
          <a:r>
            <a:rPr lang="pt-BR" sz="1000" b="1" i="0">
              <a:solidFill>
                <a:schemeClr val="tx1">
                  <a:lumMod val="75000"/>
                  <a:lumOff val="25000"/>
                </a:schemeClr>
              </a:solidFill>
              <a:effectLst/>
              <a:latin typeface="+mn-lt"/>
              <a:ea typeface="+mn-ea"/>
              <a:cs typeface="+mn-cs"/>
            </a:rPr>
            <a:t>Características principais do Regime do Simples Nacional:</a:t>
          </a:r>
        </a:p>
        <a:p>
          <a:pPr fontAlgn="base"/>
          <a:endParaRPr lang="pt-BR" sz="1000" b="0" i="0">
            <a:solidFill>
              <a:schemeClr val="tx1">
                <a:lumMod val="75000"/>
                <a:lumOff val="25000"/>
              </a:schemeClr>
            </a:solidFill>
            <a:effectLst/>
            <a:latin typeface="+mn-lt"/>
            <a:ea typeface="+mn-ea"/>
            <a:cs typeface="+mn-cs"/>
          </a:endParaRPr>
        </a:p>
        <a:p>
          <a:pPr fontAlgn="base"/>
          <a:r>
            <a:rPr lang="pt-BR" sz="1000" b="0" i="0">
              <a:solidFill>
                <a:schemeClr val="tx1">
                  <a:lumMod val="75000"/>
                  <a:lumOff val="25000"/>
                </a:schemeClr>
              </a:solidFill>
              <a:effectLst/>
              <a:latin typeface="+mn-lt"/>
              <a:ea typeface="+mn-ea"/>
              <a:cs typeface="+mn-cs"/>
            </a:rPr>
            <a:t>• ser facultativo;</a:t>
          </a:r>
        </a:p>
        <a:p>
          <a:pPr fontAlgn="base"/>
          <a:r>
            <a:rPr lang="pt-BR" sz="1000" b="0" i="0">
              <a:solidFill>
                <a:schemeClr val="tx1">
                  <a:lumMod val="75000"/>
                  <a:lumOff val="25000"/>
                </a:schemeClr>
              </a:solidFill>
              <a:effectLst/>
              <a:latin typeface="+mn-lt"/>
              <a:ea typeface="+mn-ea"/>
              <a:cs typeface="+mn-cs"/>
            </a:rPr>
            <a:t>• ser irretratável para todo o ano-calendário;</a:t>
          </a:r>
        </a:p>
        <a:p>
          <a:pPr fontAlgn="base"/>
          <a:r>
            <a:rPr lang="pt-BR" sz="1000" b="0" i="0">
              <a:solidFill>
                <a:schemeClr val="tx1">
                  <a:lumMod val="75000"/>
                  <a:lumOff val="25000"/>
                </a:schemeClr>
              </a:solidFill>
              <a:effectLst/>
              <a:latin typeface="+mn-lt"/>
              <a:ea typeface="+mn-ea"/>
              <a:cs typeface="+mn-cs"/>
            </a:rPr>
            <a:t>• abrange os seguintes tributos: IRPJ, CSLL, PIS/Pasep, Cofins, IPI, ICMS, ISS e a Contribuição para a Seguridade Social destinada à Previdência Social a cargo da pessoa jurídica (CPP);</a:t>
          </a:r>
        </a:p>
        <a:p>
          <a:pPr fontAlgn="base"/>
          <a:r>
            <a:rPr lang="pt-BR" sz="1000" b="0" i="0">
              <a:solidFill>
                <a:schemeClr val="tx1">
                  <a:lumMod val="75000"/>
                  <a:lumOff val="25000"/>
                </a:schemeClr>
              </a:solidFill>
              <a:effectLst/>
              <a:latin typeface="+mn-lt"/>
              <a:ea typeface="+mn-ea"/>
              <a:cs typeface="+mn-cs"/>
            </a:rPr>
            <a:t>• recolhimento dos tributos abrangidos mediante documento único de arrecadação - DAS;</a:t>
          </a:r>
        </a:p>
        <a:p>
          <a:pPr fontAlgn="base"/>
          <a:r>
            <a:rPr lang="pt-BR" sz="1000" b="0" i="0">
              <a:solidFill>
                <a:schemeClr val="tx1">
                  <a:lumMod val="75000"/>
                  <a:lumOff val="25000"/>
                </a:schemeClr>
              </a:solidFill>
              <a:effectLst/>
              <a:latin typeface="+mn-lt"/>
              <a:ea typeface="+mn-ea"/>
              <a:cs typeface="+mn-cs"/>
            </a:rPr>
            <a:t>• disponibilização às ME/EPP de sistema eletrônico para a realização do cálculo do valor mensal devido, geração do DAS e, a partir de janeiro de 2012, para constituição do crédito tributário;</a:t>
          </a:r>
        </a:p>
        <a:p>
          <a:pPr fontAlgn="base"/>
          <a:r>
            <a:rPr lang="pt-BR" sz="1000" b="0" i="0">
              <a:solidFill>
                <a:schemeClr val="tx1">
                  <a:lumMod val="75000"/>
                  <a:lumOff val="25000"/>
                </a:schemeClr>
              </a:solidFill>
              <a:effectLst/>
              <a:latin typeface="+mn-lt"/>
              <a:ea typeface="+mn-ea"/>
              <a:cs typeface="+mn-cs"/>
            </a:rPr>
            <a:t>• apresentação de declaração única e simplificada de informações socioeconômicas e fiscais;</a:t>
          </a:r>
        </a:p>
        <a:p>
          <a:pPr fontAlgn="base"/>
          <a:r>
            <a:rPr lang="pt-BR" sz="1000" b="0" i="0">
              <a:solidFill>
                <a:schemeClr val="tx1">
                  <a:lumMod val="75000"/>
                  <a:lumOff val="25000"/>
                </a:schemeClr>
              </a:solidFill>
              <a:effectLst/>
              <a:latin typeface="+mn-lt"/>
              <a:ea typeface="+mn-ea"/>
              <a:cs typeface="+mn-cs"/>
            </a:rPr>
            <a:t>• prazo para recolhimento do DAS até o dia 20 do mês subsequente àquele em que houver sido auferida a receita bruta;</a:t>
          </a:r>
        </a:p>
        <a:p>
          <a:pPr fontAlgn="base"/>
          <a:r>
            <a:rPr lang="pt-BR" sz="1000" b="0" i="0">
              <a:solidFill>
                <a:schemeClr val="tx1">
                  <a:lumMod val="75000"/>
                  <a:lumOff val="25000"/>
                </a:schemeClr>
              </a:solidFill>
              <a:effectLst/>
              <a:latin typeface="+mn-lt"/>
              <a:ea typeface="+mn-ea"/>
              <a:cs typeface="+mn-cs"/>
            </a:rPr>
            <a:t>• possibilidade de os Estados adotarem sublimites para EPP em função da respectiva participação no PIB. Os estabelecimentos localizados nesses Estados cuja receita bruta total extrapolar o respectivo sublimite deverão recolher o ICMS e o ISS diretamente ao Estado ou ao Município.</a:t>
          </a:r>
        </a:p>
        <a:p>
          <a:endParaRPr lang="pt-BR" sz="1000">
            <a:solidFill>
              <a:schemeClr val="tx1">
                <a:lumMod val="75000"/>
                <a:lumOff val="25000"/>
              </a:schemeClr>
            </a:solidFill>
          </a:endParaRPr>
        </a:p>
      </xdr:txBody>
    </xdr:sp>
    <xdr:clientData/>
  </xdr:oneCellAnchor>
  <xdr:twoCellAnchor editAs="oneCell">
    <xdr:from>
      <xdr:col>1</xdr:col>
      <xdr:colOff>104775</xdr:colOff>
      <xdr:row>12</xdr:row>
      <xdr:rowOff>28575</xdr:rowOff>
    </xdr:from>
    <xdr:to>
      <xdr:col>3</xdr:col>
      <xdr:colOff>402750</xdr:colOff>
      <xdr:row>14</xdr:row>
      <xdr:rowOff>412275</xdr:rowOff>
    </xdr:to>
    <xdr:pic>
      <xdr:nvPicPr>
        <xdr:cNvPr id="19" name="Gráfico 18" descr="Cidade">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219075" y="5010150"/>
          <a:ext cx="1260000" cy="1260000"/>
        </a:xfrm>
        <a:prstGeom prst="rect">
          <a:avLst/>
        </a:prstGeom>
      </xdr:spPr>
    </xdr:pic>
    <xdr:clientData/>
  </xdr:twoCellAnchor>
  <xdr:twoCellAnchor editAs="oneCell">
    <xdr:from>
      <xdr:col>3</xdr:col>
      <xdr:colOff>350025</xdr:colOff>
      <xdr:row>12</xdr:row>
      <xdr:rowOff>216675</xdr:rowOff>
    </xdr:from>
    <xdr:to>
      <xdr:col>3</xdr:col>
      <xdr:colOff>890025</xdr:colOff>
      <xdr:row>13</xdr:row>
      <xdr:rowOff>318525</xdr:rowOff>
    </xdr:to>
    <xdr:pic>
      <xdr:nvPicPr>
        <xdr:cNvPr id="22" name="Gráfico 21" descr="Moedas">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xmlns="" r:embed="rId12"/>
            </a:ext>
          </a:extLst>
        </a:blip>
        <a:stretch>
          <a:fillRect/>
        </a:stretch>
      </xdr:blipFill>
      <xdr:spPr>
        <a:xfrm>
          <a:off x="1426350" y="5198250"/>
          <a:ext cx="540000" cy="540000"/>
        </a:xfrm>
        <a:prstGeom prst="rect">
          <a:avLst/>
        </a:prstGeom>
      </xdr:spPr>
    </xdr:pic>
    <xdr:clientData/>
  </xdr:twoCellAnchor>
  <xdr:twoCellAnchor editAs="absolute">
    <xdr:from>
      <xdr:col>3</xdr:col>
      <xdr:colOff>2085975</xdr:colOff>
      <xdr:row>1</xdr:row>
      <xdr:rowOff>142875</xdr:rowOff>
    </xdr:from>
    <xdr:to>
      <xdr:col>4</xdr:col>
      <xdr:colOff>784725</xdr:colOff>
      <xdr:row>2</xdr:row>
      <xdr:rowOff>13875</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0900-000015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Tabelas</a:t>
          </a:r>
        </a:p>
      </xdr:txBody>
    </xdr:sp>
    <xdr:clientData/>
  </xdr:twoCellAnchor>
  <xdr:twoCellAnchor editAs="absolute">
    <xdr:from>
      <xdr:col>4</xdr:col>
      <xdr:colOff>800100</xdr:colOff>
      <xdr:row>1</xdr:row>
      <xdr:rowOff>142875</xdr:rowOff>
    </xdr:from>
    <xdr:to>
      <xdr:col>5</xdr:col>
      <xdr:colOff>832350</xdr:colOff>
      <xdr:row>2</xdr:row>
      <xdr:rowOff>13875</xdr:rowOff>
    </xdr:to>
    <xdr:sp macro="" textlink="">
      <xdr:nvSpPr>
        <xdr:cNvPr id="23" name="Retângulo 22">
          <a:hlinkClick xmlns:r="http://schemas.openxmlformats.org/officeDocument/2006/relationships" r:id="rId14"/>
          <a:extLst>
            <a:ext uri="{FF2B5EF4-FFF2-40B4-BE49-F238E27FC236}">
              <a16:creationId xmlns:a16="http://schemas.microsoft.com/office/drawing/2014/main" id="{00000000-0008-0000-0900-000017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Consulta</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622800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647700</xdr:colOff>
      <xdr:row>0</xdr:row>
      <xdr:rowOff>85725</xdr:rowOff>
    </xdr:from>
    <xdr:to>
      <xdr:col>3</xdr:col>
      <xdr:colOff>1727700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A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3</xdr:col>
      <xdr:colOff>1752600</xdr:colOff>
      <xdr:row>0</xdr:row>
      <xdr:rowOff>85725</xdr:rowOff>
    </xdr:from>
    <xdr:to>
      <xdr:col>3</xdr:col>
      <xdr:colOff>2832600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A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4</xdr:col>
      <xdr:colOff>581025</xdr:colOff>
      <xdr:row>0</xdr:row>
      <xdr:rowOff>85725</xdr:rowOff>
    </xdr:from>
    <xdr:to>
      <xdr:col>6</xdr:col>
      <xdr:colOff>441825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A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466725</xdr:colOff>
      <xdr:row>0</xdr:row>
      <xdr:rowOff>85725</xdr:rowOff>
    </xdr:from>
    <xdr:to>
      <xdr:col>8</xdr:col>
      <xdr:colOff>327525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A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8</xdr:col>
      <xdr:colOff>352425</xdr:colOff>
      <xdr:row>0</xdr:row>
      <xdr:rowOff>85725</xdr:rowOff>
    </xdr:from>
    <xdr:to>
      <xdr:col>10</xdr:col>
      <xdr:colOff>213225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A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828675</xdr:colOff>
      <xdr:row>0</xdr:row>
      <xdr:rowOff>371475</xdr:rowOff>
    </xdr:from>
    <xdr:to>
      <xdr:col>3</xdr:col>
      <xdr:colOff>1548675</xdr:colOff>
      <xdr:row>0</xdr:row>
      <xdr:rowOff>388425</xdr:rowOff>
    </xdr:to>
    <xdr:sp macro="" textlink="">
      <xdr:nvSpPr>
        <xdr:cNvPr id="8" name="Retângulo 7">
          <a:extLst>
            <a:ext uri="{FF2B5EF4-FFF2-40B4-BE49-F238E27FC236}">
              <a16:creationId xmlns:a16="http://schemas.microsoft.com/office/drawing/2014/main" id="{00000000-0008-0000-0A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3</xdr:col>
      <xdr:colOff>2857500</xdr:colOff>
      <xdr:row>0</xdr:row>
      <xdr:rowOff>85725</xdr:rowOff>
    </xdr:from>
    <xdr:to>
      <xdr:col>4</xdr:col>
      <xdr:colOff>556125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A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108450</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A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A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123825</xdr:colOff>
      <xdr:row>1</xdr:row>
      <xdr:rowOff>142875</xdr:rowOff>
    </xdr:from>
    <xdr:to>
      <xdr:col>3</xdr:col>
      <xdr:colOff>1203825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A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Empresa</a:t>
          </a:r>
        </a:p>
      </xdr:txBody>
    </xdr:sp>
    <xdr:clientData/>
  </xdr:twoCellAnchor>
  <xdr:twoCellAnchor editAs="absolute">
    <xdr:from>
      <xdr:col>3</xdr:col>
      <xdr:colOff>1219200</xdr:colOff>
      <xdr:row>1</xdr:row>
      <xdr:rowOff>142875</xdr:rowOff>
    </xdr:from>
    <xdr:to>
      <xdr:col>3</xdr:col>
      <xdr:colOff>2299200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A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Tabelas</a:t>
          </a:r>
        </a:p>
      </xdr:txBody>
    </xdr:sp>
    <xdr:clientData/>
  </xdr:twoCellAnchor>
  <xdr:twoCellAnchor editAs="absolute">
    <xdr:from>
      <xdr:col>3</xdr:col>
      <xdr:colOff>2314575</xdr:colOff>
      <xdr:row>1</xdr:row>
      <xdr:rowOff>142875</xdr:rowOff>
    </xdr:from>
    <xdr:to>
      <xdr:col>4</xdr:col>
      <xdr:colOff>13200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A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Consulta</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xdr:row>
          <xdr:rowOff>371475</xdr:rowOff>
        </xdr:from>
        <xdr:to>
          <xdr:col>3</xdr:col>
          <xdr:colOff>1019175</xdr:colOff>
          <xdr:row>3</xdr:row>
          <xdr:rowOff>561975</xdr:rowOff>
        </xdr:to>
        <xdr:sp macro="" textlink="">
          <xdr:nvSpPr>
            <xdr:cNvPr id="13313" name="Drop Down 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1019175</xdr:colOff>
          <xdr:row>3</xdr:row>
          <xdr:rowOff>0</xdr:rowOff>
        </xdr:from>
        <xdr:to>
          <xdr:col>3</xdr:col>
          <xdr:colOff>2238375</xdr:colOff>
          <xdr:row>4</xdr:row>
          <xdr:rowOff>0</xdr:rowOff>
        </xdr:to>
        <xdr:sp macro="" textlink="">
          <xdr:nvSpPr>
            <xdr:cNvPr id="13314" name="Drop Down 2"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2238375</xdr:colOff>
          <xdr:row>2</xdr:row>
          <xdr:rowOff>371475</xdr:rowOff>
        </xdr:from>
        <xdr:to>
          <xdr:col>4</xdr:col>
          <xdr:colOff>19050</xdr:colOff>
          <xdr:row>3</xdr:row>
          <xdr:rowOff>561975</xdr:rowOff>
        </xdr:to>
        <xdr:sp macro="" textlink="">
          <xdr:nvSpPr>
            <xdr:cNvPr id="13315" name="Drop Down 3"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1714500</xdr:colOff>
          <xdr:row>6</xdr:row>
          <xdr:rowOff>0</xdr:rowOff>
        </xdr:from>
        <xdr:to>
          <xdr:col>4</xdr:col>
          <xdr:colOff>19050</xdr:colOff>
          <xdr:row>7</xdr:row>
          <xdr:rowOff>0</xdr:rowOff>
        </xdr:to>
        <xdr:sp macro="" textlink="">
          <xdr:nvSpPr>
            <xdr:cNvPr id="13316" name="Drop Down 4" hidden="1">
              <a:extLst>
                <a:ext uri="{63B3BB69-23CF-44E3-9099-C40C66FF867C}">
                  <a14:compatExt spid="_x0000_s13316"/>
                </a:ext>
                <a:ext uri="{FF2B5EF4-FFF2-40B4-BE49-F238E27FC236}">
                  <a16:creationId xmlns:a16="http://schemas.microsoft.com/office/drawing/2014/main" id="{00000000-0008-0000-0A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B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B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B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B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B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104775</xdr:colOff>
      <xdr:row>0</xdr:row>
      <xdr:rowOff>371475</xdr:rowOff>
    </xdr:from>
    <xdr:to>
      <xdr:col>7</xdr:col>
      <xdr:colOff>215175</xdr:colOff>
      <xdr:row>0</xdr:row>
      <xdr:rowOff>388425</xdr:rowOff>
    </xdr:to>
    <xdr:sp macro="" textlink="">
      <xdr:nvSpPr>
        <xdr:cNvPr id="8" name="Retângulo 7">
          <a:extLst>
            <a:ext uri="{FF2B5EF4-FFF2-40B4-BE49-F238E27FC236}">
              <a16:creationId xmlns:a16="http://schemas.microsoft.com/office/drawing/2014/main" id="{00000000-0008-0000-0B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B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B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0B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B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B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B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B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B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Tabelas</a:t>
          </a:r>
        </a:p>
      </xdr:txBody>
    </xdr:sp>
    <xdr:clientData/>
  </xdr:twoCellAnchor>
  <xdr:twoCellAnchor editAs="absolute">
    <xdr:from>
      <xdr:col>8</xdr:col>
      <xdr:colOff>371475</xdr:colOff>
      <xdr:row>1</xdr:row>
      <xdr:rowOff>142875</xdr:rowOff>
    </xdr:from>
    <xdr:to>
      <xdr:col>10</xdr:col>
      <xdr:colOff>232275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B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Consulta</a:t>
          </a:r>
        </a:p>
      </xdr:txBody>
    </xdr:sp>
    <xdr:clientData/>
  </xdr:twoCellAnchor>
  <xdr:twoCellAnchor>
    <xdr:from>
      <xdr:col>2</xdr:col>
      <xdr:colOff>0</xdr:colOff>
      <xdr:row>6</xdr:row>
      <xdr:rowOff>130603</xdr:rowOff>
    </xdr:from>
    <xdr:to>
      <xdr:col>19</xdr:col>
      <xdr:colOff>314325</xdr:colOff>
      <xdr:row>13</xdr:row>
      <xdr:rowOff>311577</xdr:rowOff>
    </xdr:to>
    <xdr:sp macro="" textlink="">
      <xdr:nvSpPr>
        <xdr:cNvPr id="19" name="CaixaDeTexto 18">
          <a:extLst>
            <a:ext uri="{FF2B5EF4-FFF2-40B4-BE49-F238E27FC236}">
              <a16:creationId xmlns:a16="http://schemas.microsoft.com/office/drawing/2014/main" id="{00000000-0008-0000-0B00-000013000000}"/>
            </a:ext>
          </a:extLst>
        </xdr:cNvPr>
        <xdr:cNvSpPr txBox="1"/>
      </xdr:nvSpPr>
      <xdr:spPr>
        <a:xfrm>
          <a:off x="228600" y="2483278"/>
          <a:ext cx="10677525" cy="3248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pt-BR" sz="1000" b="1" i="0">
              <a:solidFill>
                <a:schemeClr val="tx1">
                  <a:lumMod val="75000"/>
                  <a:lumOff val="25000"/>
                </a:schemeClr>
              </a:solidFill>
              <a:effectLst/>
              <a:latin typeface="+mn-lt"/>
              <a:ea typeface="+mn-ea"/>
              <a:cs typeface="+mn-cs"/>
            </a:rPr>
            <a:t>Atividades Anexo III - Serviços</a:t>
          </a:r>
        </a:p>
        <a:p>
          <a:pPr algn="l"/>
          <a:endParaRPr lang="pt-BR" sz="1000" b="1" i="0">
            <a:solidFill>
              <a:schemeClr val="tx1">
                <a:lumMod val="50000"/>
                <a:lumOff val="50000"/>
              </a:schemeClr>
            </a:solidFill>
            <a:effectLst/>
            <a:latin typeface="+mn-lt"/>
            <a:ea typeface="+mn-ea"/>
            <a:cs typeface="+mn-cs"/>
          </a:endParaRPr>
        </a:p>
        <a:p>
          <a:pPr algn="l"/>
          <a:r>
            <a:rPr lang="pt-BR" sz="1000" b="0" i="0">
              <a:solidFill>
                <a:schemeClr val="tx1">
                  <a:lumMod val="50000"/>
                  <a:lumOff val="50000"/>
                </a:schemeClr>
              </a:solidFill>
              <a:effectLst/>
              <a:latin typeface="+mn-lt"/>
              <a:ea typeface="+mn-ea"/>
              <a:cs typeface="+mn-cs"/>
            </a:rPr>
            <a:t>► Creche, pré-escola e estabelecimento de ensino fundamental, escolas técnicas, profissionais e de ensino médio, de línguas estrangeiras, de artes, cursos técnicos de pilotagem, preparatórios para concursos, gerenciais e escolas livres</a:t>
          </a:r>
        </a:p>
        <a:p>
          <a:pPr algn="l"/>
          <a:r>
            <a:rPr lang="pt-BR" sz="1000" b="0" i="0">
              <a:solidFill>
                <a:schemeClr val="tx1">
                  <a:lumMod val="50000"/>
                  <a:lumOff val="50000"/>
                </a:schemeClr>
              </a:solidFill>
              <a:effectLst/>
              <a:latin typeface="+mn-lt"/>
              <a:ea typeface="+mn-ea"/>
              <a:cs typeface="+mn-cs"/>
            </a:rPr>
            <a:t>► Agência terceirizada de correios;</a:t>
          </a:r>
        </a:p>
        <a:p>
          <a:pPr algn="l"/>
          <a:r>
            <a:rPr lang="pt-BR" sz="1000" b="0" i="0">
              <a:solidFill>
                <a:schemeClr val="tx1">
                  <a:lumMod val="50000"/>
                  <a:lumOff val="50000"/>
                </a:schemeClr>
              </a:solidFill>
              <a:effectLst/>
              <a:latin typeface="+mn-lt"/>
              <a:ea typeface="+mn-ea"/>
              <a:cs typeface="+mn-cs"/>
            </a:rPr>
            <a:t>► Agência de viagem e turismo;</a:t>
          </a:r>
        </a:p>
        <a:p>
          <a:pPr algn="l"/>
          <a:r>
            <a:rPr lang="pt-BR" sz="1000" b="0" i="0">
              <a:solidFill>
                <a:schemeClr val="tx1">
                  <a:lumMod val="50000"/>
                  <a:lumOff val="50000"/>
                </a:schemeClr>
              </a:solidFill>
              <a:effectLst/>
              <a:latin typeface="+mn-lt"/>
              <a:ea typeface="+mn-ea"/>
              <a:cs typeface="+mn-cs"/>
            </a:rPr>
            <a:t>► Transporte municipal de passageiros e de cargas em qualquer modalidade;</a:t>
          </a:r>
        </a:p>
        <a:p>
          <a:pPr algn="l"/>
          <a:r>
            <a:rPr lang="pt-BR" sz="1000" b="0" i="0">
              <a:solidFill>
                <a:schemeClr val="tx1">
                  <a:lumMod val="50000"/>
                  <a:lumOff val="50000"/>
                </a:schemeClr>
              </a:solidFill>
              <a:effectLst/>
              <a:latin typeface="+mn-lt"/>
              <a:ea typeface="+mn-ea"/>
              <a:cs typeface="+mn-cs"/>
            </a:rPr>
            <a:t>► Centro de formação de condutores de veículos automotores de transporte terrestre de passageiros e de carga;</a:t>
          </a:r>
        </a:p>
        <a:p>
          <a:pPr algn="l"/>
          <a:r>
            <a:rPr lang="pt-BR" sz="1000" b="0" i="0">
              <a:solidFill>
                <a:schemeClr val="tx1">
                  <a:lumMod val="50000"/>
                  <a:lumOff val="50000"/>
                </a:schemeClr>
              </a:solidFill>
              <a:effectLst/>
              <a:latin typeface="+mn-lt"/>
              <a:ea typeface="+mn-ea"/>
              <a:cs typeface="+mn-cs"/>
            </a:rPr>
            <a:t>► Agência lotérica</a:t>
          </a:r>
        </a:p>
        <a:p>
          <a:pPr algn="l"/>
          <a:r>
            <a:rPr lang="pt-BR" sz="1000" b="0" i="0">
              <a:solidFill>
                <a:schemeClr val="tx1">
                  <a:lumMod val="50000"/>
                  <a:lumOff val="50000"/>
                </a:schemeClr>
              </a:solidFill>
              <a:effectLst/>
              <a:latin typeface="+mn-lt"/>
              <a:ea typeface="+mn-ea"/>
              <a:cs typeface="+mn-cs"/>
            </a:rPr>
            <a:t>► Serviços de instalação, de reparos e de manutenção em geral, bem como de usinagem, solda, tratamento e revestimento em metais;</a:t>
          </a:r>
        </a:p>
        <a:p>
          <a:pPr algn="l"/>
          <a:r>
            <a:rPr lang="pt-BR" sz="1000" b="0" i="0">
              <a:solidFill>
                <a:schemeClr val="tx1">
                  <a:lumMod val="50000"/>
                  <a:lumOff val="50000"/>
                </a:schemeClr>
              </a:solidFill>
              <a:effectLst/>
              <a:latin typeface="+mn-lt"/>
              <a:ea typeface="+mn-ea"/>
              <a:cs typeface="+mn-cs"/>
            </a:rPr>
            <a:t>► Produções cinematográficas, audiovisuais, artísticas e culturais, sua exibição ou apresentação, inclusive no caso de música, literatura, artes cênicas, artes visuais, cinematográficas e audiovisuais;</a:t>
          </a:r>
        </a:p>
        <a:p>
          <a:pPr algn="l"/>
          <a:r>
            <a:rPr lang="pt-BR" sz="1000" b="0" i="0">
              <a:solidFill>
                <a:schemeClr val="tx1">
                  <a:lumMod val="50000"/>
                  <a:lumOff val="50000"/>
                </a:schemeClr>
              </a:solidFill>
              <a:effectLst/>
              <a:latin typeface="+mn-lt"/>
              <a:ea typeface="+mn-ea"/>
              <a:cs typeface="+mn-cs"/>
            </a:rPr>
            <a:t>► Corretagem de seguros;</a:t>
          </a:r>
        </a:p>
        <a:p>
          <a:pPr algn="l"/>
          <a:r>
            <a:rPr lang="pt-BR" sz="1000" b="0" i="0">
              <a:solidFill>
                <a:schemeClr val="tx1">
                  <a:lumMod val="50000"/>
                  <a:lumOff val="50000"/>
                </a:schemeClr>
              </a:solidFill>
              <a:effectLst/>
              <a:latin typeface="+mn-lt"/>
              <a:ea typeface="+mn-ea"/>
              <a:cs typeface="+mn-cs"/>
            </a:rPr>
            <a:t>► Corretagem de imóveis de terceiros, assim entendida a intermediação na compra, venda, permuta e locação de imóveis;</a:t>
          </a:r>
        </a:p>
        <a:p>
          <a:pPr algn="l"/>
          <a:r>
            <a:rPr lang="pt-BR" sz="1000" b="0" i="0">
              <a:solidFill>
                <a:schemeClr val="tx1">
                  <a:lumMod val="50000"/>
                  <a:lumOff val="50000"/>
                </a:schemeClr>
              </a:solidFill>
              <a:effectLst/>
              <a:latin typeface="+mn-lt"/>
              <a:ea typeface="+mn-ea"/>
              <a:cs typeface="+mn-cs"/>
            </a:rPr>
            <a:t>► Serviços vinculados à locação de bens imóveis, assim entendidos o assessoramento locatício e a avaliação de imóveis para fins de locação;</a:t>
          </a:r>
        </a:p>
        <a:p>
          <a:pPr algn="l"/>
          <a:r>
            <a:rPr lang="pt-BR" sz="1000" b="0" i="0">
              <a:solidFill>
                <a:schemeClr val="tx1">
                  <a:lumMod val="50000"/>
                  <a:lumOff val="50000"/>
                </a:schemeClr>
              </a:solidFill>
              <a:effectLst/>
              <a:latin typeface="+mn-lt"/>
              <a:ea typeface="+mn-ea"/>
              <a:cs typeface="+mn-cs"/>
            </a:rPr>
            <a:t>► Locação, cessão de uso e congêneres, de bens imóveis próprios com a finalidade de exploração de salões de festas, centro de convenções, escritórios virtuais, stands, quadras esportivas, estádios, ginásios, auditórios, casas de espetáculos, parques de diversões, canchas e congêneres, para realização de eventos ou negócios de qualquer natureza;</a:t>
          </a:r>
        </a:p>
        <a:p>
          <a:pPr algn="l"/>
          <a:r>
            <a:rPr lang="pt-BR" sz="1000" b="0" i="0">
              <a:solidFill>
                <a:schemeClr val="tx1">
                  <a:lumMod val="50000"/>
                  <a:lumOff val="50000"/>
                </a:schemeClr>
              </a:solidFill>
              <a:effectLst/>
              <a:latin typeface="+mn-lt"/>
              <a:ea typeface="+mn-ea"/>
              <a:cs typeface="+mn-cs"/>
            </a:rPr>
            <a:t>►</a:t>
          </a:r>
          <a:r>
            <a:rPr lang="pt-BR" sz="1000" b="0" i="0" baseline="0">
              <a:solidFill>
                <a:schemeClr val="tx1">
                  <a:lumMod val="50000"/>
                  <a:lumOff val="50000"/>
                </a:schemeClr>
              </a:solidFill>
              <a:effectLst/>
              <a:latin typeface="+mn-lt"/>
              <a:ea typeface="+mn-ea"/>
              <a:cs typeface="+mn-cs"/>
            </a:rPr>
            <a:t> </a:t>
          </a:r>
          <a:r>
            <a:rPr lang="pt-BR" sz="1000" b="0" i="0">
              <a:solidFill>
                <a:schemeClr val="tx1">
                  <a:lumMod val="50000"/>
                  <a:lumOff val="50000"/>
                </a:schemeClr>
              </a:solidFill>
              <a:effectLst/>
              <a:latin typeface="+mn-lt"/>
              <a:ea typeface="+mn-ea"/>
              <a:cs typeface="+mn-cs"/>
            </a:rPr>
            <a:t>Comercialização de medicamentos e produtos magistrais produzidos por manipulação de fórmulas: </a:t>
          </a:r>
          <a:r>
            <a:rPr lang="pt-BR" sz="1000" b="1" i="0">
              <a:solidFill>
                <a:schemeClr val="tx1">
                  <a:lumMod val="50000"/>
                  <a:lumOff val="50000"/>
                </a:schemeClr>
              </a:solidFill>
              <a:effectLst/>
              <a:latin typeface="+mn-lt"/>
              <a:ea typeface="+mn-ea"/>
              <a:cs typeface="+mn-cs"/>
            </a:rPr>
            <a:t>QUANDO</a:t>
          </a:r>
          <a:r>
            <a:rPr lang="pt-BR" sz="1000" b="0" i="0">
              <a:solidFill>
                <a:schemeClr val="tx1">
                  <a:lumMod val="50000"/>
                  <a:lumOff val="50000"/>
                </a:schemeClr>
              </a:solidFill>
              <a:effectLst/>
              <a:latin typeface="+mn-lt"/>
              <a:ea typeface="+mn-ea"/>
              <a:cs typeface="+mn-cs"/>
            </a:rPr>
            <a:t> sob encomenda para entrega posterior ao adquirente, em caráter pessoal, mediante prescrições de profissionais habilitados ou indicação pelo farmacêutico, produzidos no próprio estabelecimento após o atendimento inicial.</a:t>
          </a:r>
        </a:p>
        <a:p>
          <a:pPr algn="l"/>
          <a:r>
            <a:rPr lang="pt-BR" sz="1000" b="0" i="0">
              <a:solidFill>
                <a:schemeClr val="tx1">
                  <a:lumMod val="50000"/>
                  <a:lumOff val="50000"/>
                </a:schemeClr>
              </a:solidFill>
              <a:effectLst/>
              <a:latin typeface="+mn-lt"/>
              <a:ea typeface="+mn-ea"/>
              <a:cs typeface="+mn-cs"/>
            </a:rPr>
            <a:t>► Outros serviços que cumulativamente </a:t>
          </a:r>
          <a:r>
            <a:rPr lang="pt-BR" sz="1000" b="1" i="0">
              <a:solidFill>
                <a:schemeClr val="tx1">
                  <a:lumMod val="50000"/>
                  <a:lumOff val="50000"/>
                </a:schemeClr>
              </a:solidFill>
              <a:effectLst/>
              <a:latin typeface="+mn-lt"/>
              <a:ea typeface="+mn-ea"/>
              <a:cs typeface="+mn-cs"/>
            </a:rPr>
            <a:t>NÃO</a:t>
          </a:r>
          <a:r>
            <a:rPr lang="pt-BR" sz="1000" b="0" i="0">
              <a:solidFill>
                <a:schemeClr val="tx1">
                  <a:lumMod val="50000"/>
                  <a:lumOff val="50000"/>
                </a:schemeClr>
              </a:solidFill>
              <a:effectLst/>
              <a:latin typeface="+mn-lt"/>
              <a:ea typeface="+mn-ea"/>
              <a:cs typeface="+mn-cs"/>
            </a:rPr>
            <a:t> tenham por finalidade a prestação de serviços decorrentes do exercício de atividade intelectual, de natureza técnica, científica, desportiva, artística ou cultural, que constitua profissão regulamentada ou não; e não estejam relacionados nos demais anexos.</a:t>
          </a:r>
        </a:p>
      </xdr:txBody>
    </xdr:sp>
    <xdr:clientData/>
  </xdr:twoCellAnchor>
  <xdr:twoCellAnchor>
    <xdr:from>
      <xdr:col>2</xdr:col>
      <xdr:colOff>0</xdr:colOff>
      <xdr:row>3</xdr:row>
      <xdr:rowOff>0</xdr:rowOff>
    </xdr:from>
    <xdr:to>
      <xdr:col>19</xdr:col>
      <xdr:colOff>314325</xdr:colOff>
      <xdr:row>4</xdr:row>
      <xdr:rowOff>378252</xdr:rowOff>
    </xdr:to>
    <xdr:sp macro="" textlink="">
      <xdr:nvSpPr>
        <xdr:cNvPr id="20" name="CaixaDeTexto 19">
          <a:extLst>
            <a:ext uri="{FF2B5EF4-FFF2-40B4-BE49-F238E27FC236}">
              <a16:creationId xmlns:a16="http://schemas.microsoft.com/office/drawing/2014/main" id="{00000000-0008-0000-0B00-000014000000}"/>
            </a:ext>
          </a:extLst>
        </xdr:cNvPr>
        <xdr:cNvSpPr txBox="1"/>
      </xdr:nvSpPr>
      <xdr:spPr>
        <a:xfrm>
          <a:off x="228600" y="1200150"/>
          <a:ext cx="10677525" cy="654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pt-BR" sz="1000" b="1" i="0">
              <a:solidFill>
                <a:schemeClr val="tx1">
                  <a:lumMod val="75000"/>
                  <a:lumOff val="25000"/>
                </a:schemeClr>
              </a:solidFill>
              <a:effectLst/>
              <a:latin typeface="+mn-lt"/>
              <a:ea typeface="+mn-ea"/>
              <a:cs typeface="+mn-cs"/>
            </a:rPr>
            <a:t>Atividades Anexo I - Comércio</a:t>
          </a:r>
        </a:p>
        <a:p>
          <a:pPr algn="l"/>
          <a:endParaRPr lang="pt-BR" sz="1000" b="1" i="0">
            <a:solidFill>
              <a:schemeClr val="tx1">
                <a:lumMod val="50000"/>
                <a:lumOff val="50000"/>
              </a:schemeClr>
            </a:solidFill>
            <a:effectLst/>
            <a:latin typeface="+mn-lt"/>
            <a:ea typeface="+mn-ea"/>
            <a:cs typeface="+mn-cs"/>
          </a:endParaRPr>
        </a:p>
        <a:p>
          <a:pPr algn="l"/>
          <a:r>
            <a:rPr lang="pt-BR" sz="1000" b="0" i="0">
              <a:solidFill>
                <a:schemeClr val="tx1">
                  <a:lumMod val="50000"/>
                  <a:lumOff val="50000"/>
                </a:schemeClr>
              </a:solidFill>
              <a:effectLst/>
              <a:latin typeface="+mn-lt"/>
              <a:ea typeface="+mn-ea"/>
              <a:cs typeface="+mn-cs"/>
            </a:rPr>
            <a:t>► Atividades de revenda de mercadorias.</a:t>
          </a:r>
        </a:p>
      </xdr:txBody>
    </xdr:sp>
    <xdr:clientData/>
  </xdr:twoCellAnchor>
  <xdr:twoCellAnchor>
    <xdr:from>
      <xdr:col>2</xdr:col>
      <xdr:colOff>19050</xdr:colOff>
      <xdr:row>4</xdr:row>
      <xdr:rowOff>352426</xdr:rowOff>
    </xdr:from>
    <xdr:to>
      <xdr:col>19</xdr:col>
      <xdr:colOff>333375</xdr:colOff>
      <xdr:row>6</xdr:row>
      <xdr:rowOff>92503</xdr:rowOff>
    </xdr:to>
    <xdr:sp macro="" textlink="">
      <xdr:nvSpPr>
        <xdr:cNvPr id="21" name="CaixaDeTexto 20">
          <a:extLst>
            <a:ext uri="{FF2B5EF4-FFF2-40B4-BE49-F238E27FC236}">
              <a16:creationId xmlns:a16="http://schemas.microsoft.com/office/drawing/2014/main" id="{00000000-0008-0000-0B00-000015000000}"/>
            </a:ext>
          </a:extLst>
        </xdr:cNvPr>
        <xdr:cNvSpPr txBox="1"/>
      </xdr:nvSpPr>
      <xdr:spPr>
        <a:xfrm>
          <a:off x="247650" y="1828801"/>
          <a:ext cx="10677525" cy="6163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pt-BR" sz="1000" b="1" i="0">
              <a:solidFill>
                <a:schemeClr val="tx1">
                  <a:lumMod val="75000"/>
                  <a:lumOff val="25000"/>
                </a:schemeClr>
              </a:solidFill>
              <a:effectLst/>
              <a:latin typeface="+mn-lt"/>
              <a:ea typeface="+mn-ea"/>
              <a:cs typeface="+mn-cs"/>
            </a:rPr>
            <a:t>Atividades Anexo II - Indústria</a:t>
          </a:r>
        </a:p>
        <a:p>
          <a:pPr algn="l"/>
          <a:endParaRPr lang="pt-BR" sz="1000" b="1" i="0">
            <a:solidFill>
              <a:schemeClr val="tx1">
                <a:lumMod val="50000"/>
                <a:lumOff val="50000"/>
              </a:schemeClr>
            </a:solidFill>
            <a:effectLst/>
            <a:latin typeface="+mn-lt"/>
            <a:ea typeface="+mn-ea"/>
            <a:cs typeface="+mn-cs"/>
          </a:endParaRPr>
        </a:p>
        <a:p>
          <a:pPr algn="l"/>
          <a:r>
            <a:rPr lang="pt-BR" sz="1000" b="0" i="0">
              <a:solidFill>
                <a:schemeClr val="tx1">
                  <a:lumMod val="50000"/>
                  <a:lumOff val="50000"/>
                </a:schemeClr>
              </a:solidFill>
              <a:effectLst/>
              <a:latin typeface="+mn-lt"/>
              <a:ea typeface="+mn-ea"/>
              <a:cs typeface="+mn-cs"/>
            </a:rPr>
            <a:t>► Atividades de mercadorias industrializadas pela contribuinte.</a:t>
          </a:r>
        </a:p>
      </xdr:txBody>
    </xdr:sp>
    <xdr:clientData/>
  </xdr:twoCellAnchor>
  <xdr:twoCellAnchor>
    <xdr:from>
      <xdr:col>2</xdr:col>
      <xdr:colOff>0</xdr:colOff>
      <xdr:row>13</xdr:row>
      <xdr:rowOff>387778</xdr:rowOff>
    </xdr:from>
    <xdr:to>
      <xdr:col>19</xdr:col>
      <xdr:colOff>314325</xdr:colOff>
      <xdr:row>17</xdr:row>
      <xdr:rowOff>149653</xdr:rowOff>
    </xdr:to>
    <xdr:sp macro="" textlink="">
      <xdr:nvSpPr>
        <xdr:cNvPr id="22" name="CaixaDeTexto 21">
          <a:extLst>
            <a:ext uri="{FF2B5EF4-FFF2-40B4-BE49-F238E27FC236}">
              <a16:creationId xmlns:a16="http://schemas.microsoft.com/office/drawing/2014/main" id="{00000000-0008-0000-0B00-000016000000}"/>
            </a:ext>
          </a:extLst>
        </xdr:cNvPr>
        <xdr:cNvSpPr txBox="1"/>
      </xdr:nvSpPr>
      <xdr:spPr>
        <a:xfrm>
          <a:off x="228600" y="5807503"/>
          <a:ext cx="10677525" cy="1514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pt-BR" sz="1000" b="1" i="0">
              <a:solidFill>
                <a:schemeClr val="tx1">
                  <a:lumMod val="75000"/>
                  <a:lumOff val="25000"/>
                </a:schemeClr>
              </a:solidFill>
              <a:effectLst/>
              <a:latin typeface="+mn-lt"/>
              <a:ea typeface="+mn-ea"/>
              <a:cs typeface="+mn-cs"/>
            </a:rPr>
            <a:t>Atividades Anexo IV - Serviços</a:t>
          </a:r>
        </a:p>
        <a:p>
          <a:pPr algn="l"/>
          <a:endParaRPr lang="pt-BR" sz="1000" b="1"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 Construção de imóveis e obras de engenharia em geral, inclusive sob a forma de subempreitada;</a:t>
          </a:r>
        </a:p>
        <a:p>
          <a:r>
            <a:rPr lang="pt-BR" sz="1000" b="0" i="0">
              <a:solidFill>
                <a:schemeClr val="tx1">
                  <a:lumMod val="50000"/>
                  <a:lumOff val="50000"/>
                </a:schemeClr>
              </a:solidFill>
              <a:effectLst/>
              <a:latin typeface="+mn-lt"/>
              <a:ea typeface="+mn-ea"/>
              <a:cs typeface="+mn-cs"/>
            </a:rPr>
            <a:t>►</a:t>
          </a:r>
          <a:r>
            <a:rPr lang="pt-BR" sz="1000" b="0" i="0" baseline="0">
              <a:solidFill>
                <a:schemeClr val="tx1">
                  <a:lumMod val="50000"/>
                  <a:lumOff val="50000"/>
                </a:schemeClr>
              </a:solidFill>
              <a:effectLst/>
              <a:latin typeface="+mn-lt"/>
              <a:ea typeface="+mn-ea"/>
              <a:cs typeface="+mn-cs"/>
            </a:rPr>
            <a:t> </a:t>
          </a:r>
          <a:r>
            <a:rPr lang="pt-BR" sz="1000" b="0" i="0">
              <a:solidFill>
                <a:schemeClr val="tx1">
                  <a:lumMod val="50000"/>
                  <a:lumOff val="50000"/>
                </a:schemeClr>
              </a:solidFill>
              <a:effectLst/>
              <a:latin typeface="+mn-lt"/>
              <a:ea typeface="+mn-ea"/>
              <a:cs typeface="+mn-cs"/>
            </a:rPr>
            <a:t>Execução de projetos;</a:t>
          </a:r>
        </a:p>
        <a:p>
          <a:r>
            <a:rPr lang="pt-BR" sz="1000" b="0" i="0">
              <a:solidFill>
                <a:schemeClr val="tx1">
                  <a:lumMod val="50000"/>
                  <a:lumOff val="50000"/>
                </a:schemeClr>
              </a:solidFill>
              <a:effectLst/>
              <a:latin typeface="+mn-lt"/>
              <a:ea typeface="+mn-ea"/>
              <a:cs typeface="+mn-cs"/>
            </a:rPr>
            <a:t>► serviços de paisagismo;</a:t>
          </a:r>
        </a:p>
        <a:p>
          <a:r>
            <a:rPr lang="pt-BR" sz="1000" b="0" i="0">
              <a:solidFill>
                <a:schemeClr val="tx1">
                  <a:lumMod val="50000"/>
                  <a:lumOff val="50000"/>
                </a:schemeClr>
              </a:solidFill>
              <a:effectLst/>
              <a:latin typeface="+mn-lt"/>
              <a:ea typeface="+mn-ea"/>
              <a:cs typeface="+mn-cs"/>
            </a:rPr>
            <a:t>► Decoração de interiores;</a:t>
          </a:r>
        </a:p>
        <a:p>
          <a:r>
            <a:rPr lang="pt-BR" sz="1000" b="0" i="0">
              <a:solidFill>
                <a:schemeClr val="tx1">
                  <a:lumMod val="50000"/>
                  <a:lumOff val="50000"/>
                </a:schemeClr>
              </a:solidFill>
              <a:effectLst/>
              <a:latin typeface="+mn-lt"/>
              <a:ea typeface="+mn-ea"/>
              <a:cs typeface="+mn-cs"/>
            </a:rPr>
            <a:t>► Serviço de vigilância;</a:t>
          </a:r>
        </a:p>
        <a:p>
          <a:r>
            <a:rPr lang="pt-BR" sz="1000" b="0" i="0">
              <a:solidFill>
                <a:schemeClr val="tx1">
                  <a:lumMod val="50000"/>
                  <a:lumOff val="50000"/>
                </a:schemeClr>
              </a:solidFill>
              <a:effectLst/>
              <a:latin typeface="+mn-lt"/>
              <a:ea typeface="+mn-ea"/>
              <a:cs typeface="+mn-cs"/>
            </a:rPr>
            <a:t>► limpeza ou conservação;</a:t>
          </a:r>
        </a:p>
        <a:p>
          <a:r>
            <a:rPr lang="pt-BR" sz="1000" b="0" i="0">
              <a:solidFill>
                <a:schemeClr val="tx1">
                  <a:lumMod val="50000"/>
                  <a:lumOff val="50000"/>
                </a:schemeClr>
              </a:solidFill>
              <a:effectLst/>
              <a:latin typeface="+mn-lt"/>
              <a:ea typeface="+mn-ea"/>
              <a:cs typeface="+mn-cs"/>
            </a:rPr>
            <a:t>► Serviços advocatícios;</a:t>
          </a:r>
        </a:p>
      </xdr:txBody>
    </xdr:sp>
    <xdr:clientData/>
  </xdr:twoCellAnchor>
  <xdr:twoCellAnchor>
    <xdr:from>
      <xdr:col>2</xdr:col>
      <xdr:colOff>0</xdr:colOff>
      <xdr:row>17</xdr:row>
      <xdr:rowOff>197277</xdr:rowOff>
    </xdr:from>
    <xdr:to>
      <xdr:col>19</xdr:col>
      <xdr:colOff>314325</xdr:colOff>
      <xdr:row>27</xdr:row>
      <xdr:rowOff>130602</xdr:rowOff>
    </xdr:to>
    <xdr:sp macro="" textlink="">
      <xdr:nvSpPr>
        <xdr:cNvPr id="23" name="CaixaDeTexto 22">
          <a:extLst>
            <a:ext uri="{FF2B5EF4-FFF2-40B4-BE49-F238E27FC236}">
              <a16:creationId xmlns:a16="http://schemas.microsoft.com/office/drawing/2014/main" id="{00000000-0008-0000-0B00-000017000000}"/>
            </a:ext>
          </a:extLst>
        </xdr:cNvPr>
        <xdr:cNvSpPr txBox="1"/>
      </xdr:nvSpPr>
      <xdr:spPr>
        <a:xfrm>
          <a:off x="228600" y="7369602"/>
          <a:ext cx="10677525" cy="43148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pt-BR" sz="1000" b="1" i="0">
              <a:solidFill>
                <a:schemeClr val="tx1">
                  <a:lumMod val="75000"/>
                  <a:lumOff val="25000"/>
                </a:schemeClr>
              </a:solidFill>
              <a:effectLst/>
              <a:latin typeface="+mn-lt"/>
              <a:ea typeface="+mn-ea"/>
              <a:cs typeface="+mn-cs"/>
            </a:rPr>
            <a:t>Atividades Anexo V - Serviços</a:t>
          </a:r>
        </a:p>
        <a:p>
          <a:pPr algn="l"/>
          <a:endParaRPr lang="pt-BR" sz="1000" b="1"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 Administração e locação de imóveis de terceiros, assim entendidas a gestão e administração de imóveis de terceiros para qualquer finalidade, incluída a cobrança de aluguéis de imóveis de terceiros;</a:t>
          </a:r>
        </a:p>
        <a:p>
          <a:r>
            <a:rPr lang="pt-BR" sz="1000" b="0" i="0">
              <a:solidFill>
                <a:schemeClr val="tx1">
                  <a:lumMod val="50000"/>
                  <a:lumOff val="50000"/>
                </a:schemeClr>
              </a:solidFill>
              <a:effectLst/>
              <a:latin typeface="+mn-lt"/>
              <a:ea typeface="+mn-ea"/>
              <a:cs typeface="+mn-cs"/>
            </a:rPr>
            <a:t>► Academias de dança, de capoeira, de ioga e de artes marciais;</a:t>
          </a:r>
        </a:p>
        <a:p>
          <a:r>
            <a:rPr lang="pt-BR" sz="1000" b="0" i="0">
              <a:solidFill>
                <a:schemeClr val="tx1">
                  <a:lumMod val="50000"/>
                  <a:lumOff val="50000"/>
                </a:schemeClr>
              </a:solidFill>
              <a:effectLst/>
              <a:latin typeface="+mn-lt"/>
              <a:ea typeface="+mn-ea"/>
              <a:cs typeface="+mn-cs"/>
            </a:rPr>
            <a:t>► Academias de atividades físicas, desportivas, de natação e escolas de esportes;</a:t>
          </a:r>
        </a:p>
        <a:p>
          <a:r>
            <a:rPr lang="pt-BR" sz="1000" b="0" i="0">
              <a:solidFill>
                <a:schemeClr val="tx1">
                  <a:lumMod val="50000"/>
                  <a:lumOff val="50000"/>
                </a:schemeClr>
              </a:solidFill>
              <a:effectLst/>
              <a:latin typeface="+mn-lt"/>
              <a:ea typeface="+mn-ea"/>
              <a:cs typeface="+mn-cs"/>
            </a:rPr>
            <a:t>► Elaboração de programas de computadores, inclusive jogos eletrônicos, desde que desenvolvidos em estabelecimento da optante;</a:t>
          </a:r>
        </a:p>
        <a:p>
          <a:r>
            <a:rPr lang="pt-BR" sz="1000" b="0" i="0">
              <a:solidFill>
                <a:schemeClr val="tx1">
                  <a:lumMod val="50000"/>
                  <a:lumOff val="50000"/>
                </a:schemeClr>
              </a:solidFill>
              <a:effectLst/>
              <a:latin typeface="+mn-lt"/>
              <a:ea typeface="+mn-ea"/>
              <a:cs typeface="+mn-cs"/>
            </a:rPr>
            <a:t>► Licenciamento ou cessão de direito de uso de programas de computação;</a:t>
          </a:r>
        </a:p>
        <a:p>
          <a:r>
            <a:rPr lang="pt-BR" sz="1000" b="0" i="0">
              <a:solidFill>
                <a:schemeClr val="tx1">
                  <a:lumMod val="50000"/>
                  <a:lumOff val="50000"/>
                </a:schemeClr>
              </a:solidFill>
              <a:effectLst/>
              <a:latin typeface="+mn-lt"/>
              <a:ea typeface="+mn-ea"/>
              <a:cs typeface="+mn-cs"/>
            </a:rPr>
            <a:t>► Planejamento, confecção, manutenção e atualização de páginas eletrônicas, desde que realizados em estabelecimento da optante;</a:t>
          </a:r>
        </a:p>
        <a:p>
          <a:r>
            <a:rPr lang="pt-BR" sz="1000" b="0" i="0">
              <a:solidFill>
                <a:schemeClr val="tx1">
                  <a:lumMod val="50000"/>
                  <a:lumOff val="50000"/>
                </a:schemeClr>
              </a:solidFill>
              <a:effectLst/>
              <a:latin typeface="+mn-lt"/>
              <a:ea typeface="+mn-ea"/>
              <a:cs typeface="+mn-cs"/>
            </a:rPr>
            <a:t>► Empresas montadoras de estandes para feiras;</a:t>
          </a:r>
        </a:p>
        <a:p>
          <a:r>
            <a:rPr lang="pt-BR" sz="1000" b="0" i="0">
              <a:solidFill>
                <a:schemeClr val="tx1">
                  <a:lumMod val="50000"/>
                  <a:lumOff val="50000"/>
                </a:schemeClr>
              </a:solidFill>
              <a:effectLst/>
              <a:latin typeface="+mn-lt"/>
              <a:ea typeface="+mn-ea"/>
              <a:cs typeface="+mn-cs"/>
            </a:rPr>
            <a:t>►</a:t>
          </a:r>
          <a:r>
            <a:rPr lang="pt-BR" sz="1000" b="0" i="0" baseline="0">
              <a:solidFill>
                <a:schemeClr val="tx1">
                  <a:lumMod val="50000"/>
                  <a:lumOff val="50000"/>
                </a:schemeClr>
              </a:solidFill>
              <a:effectLst/>
              <a:latin typeface="+mn-lt"/>
              <a:ea typeface="+mn-ea"/>
              <a:cs typeface="+mn-cs"/>
            </a:rPr>
            <a:t> </a:t>
          </a:r>
          <a:r>
            <a:rPr lang="pt-BR" sz="1000" b="0" i="0">
              <a:solidFill>
                <a:schemeClr val="tx1">
                  <a:lumMod val="50000"/>
                  <a:lumOff val="50000"/>
                </a:schemeClr>
              </a:solidFill>
              <a:effectLst/>
              <a:latin typeface="+mn-lt"/>
              <a:ea typeface="+mn-ea"/>
              <a:cs typeface="+mn-cs"/>
            </a:rPr>
            <a:t>Laboratórios de análises clínicas ou de patologia clínica;</a:t>
          </a:r>
        </a:p>
        <a:p>
          <a:r>
            <a:rPr lang="pt-BR" sz="1000" b="0" i="0">
              <a:solidFill>
                <a:schemeClr val="tx1">
                  <a:lumMod val="50000"/>
                  <a:lumOff val="50000"/>
                </a:schemeClr>
              </a:solidFill>
              <a:effectLst/>
              <a:latin typeface="+mn-lt"/>
              <a:ea typeface="+mn-ea"/>
              <a:cs typeface="+mn-cs"/>
            </a:rPr>
            <a:t>► Serviços de tomografia, diagnósticos médicos por imagem, registros gráficos e métodos óticos, bem como ressonância magnética;</a:t>
          </a:r>
        </a:p>
        <a:p>
          <a:r>
            <a:rPr lang="pt-BR" sz="1000" b="0" i="0">
              <a:solidFill>
                <a:schemeClr val="tx1">
                  <a:lumMod val="50000"/>
                  <a:lumOff val="50000"/>
                </a:schemeClr>
              </a:solidFill>
              <a:effectLst/>
              <a:latin typeface="+mn-lt"/>
              <a:ea typeface="+mn-ea"/>
              <a:cs typeface="+mn-cs"/>
            </a:rPr>
            <a:t>►</a:t>
          </a:r>
          <a:r>
            <a:rPr lang="pt-BR" sz="1000" b="0" i="0" baseline="0">
              <a:solidFill>
                <a:schemeClr val="tx1">
                  <a:lumMod val="50000"/>
                  <a:lumOff val="50000"/>
                </a:schemeClr>
              </a:solidFill>
              <a:effectLst/>
              <a:latin typeface="+mn-lt"/>
              <a:ea typeface="+mn-ea"/>
              <a:cs typeface="+mn-cs"/>
            </a:rPr>
            <a:t> </a:t>
          </a:r>
          <a:r>
            <a:rPr lang="pt-BR" sz="1000" b="0" i="0">
              <a:solidFill>
                <a:schemeClr val="tx1">
                  <a:lumMod val="50000"/>
                  <a:lumOff val="50000"/>
                </a:schemeClr>
              </a:solidFill>
              <a:effectLst/>
              <a:latin typeface="+mn-lt"/>
              <a:ea typeface="+mn-ea"/>
              <a:cs typeface="+mn-cs"/>
            </a:rPr>
            <a:t>Serviços de prótese em geral;</a:t>
          </a:r>
        </a:p>
        <a:p>
          <a:r>
            <a:rPr lang="pt-BR" sz="1000" b="0" i="0">
              <a:solidFill>
                <a:schemeClr val="tx1">
                  <a:lumMod val="50000"/>
                  <a:lumOff val="50000"/>
                </a:schemeClr>
              </a:solidFill>
              <a:effectLst/>
              <a:latin typeface="+mn-lt"/>
              <a:ea typeface="+mn-ea"/>
              <a:cs typeface="+mn-cs"/>
            </a:rPr>
            <a:t>► Fisioterapia;</a:t>
          </a:r>
        </a:p>
        <a:p>
          <a:r>
            <a:rPr lang="pt-BR" sz="1000" b="0" i="0">
              <a:solidFill>
                <a:schemeClr val="tx1">
                  <a:lumMod val="50000"/>
                  <a:lumOff val="50000"/>
                </a:schemeClr>
              </a:solidFill>
              <a:effectLst/>
              <a:latin typeface="+mn-lt"/>
              <a:ea typeface="+mn-ea"/>
              <a:cs typeface="+mn-cs"/>
            </a:rPr>
            <a:t>► Medicina, inclusive laboratorial, e enfermagem;</a:t>
          </a:r>
        </a:p>
        <a:p>
          <a:r>
            <a:rPr lang="pt-BR" sz="1000" b="0" i="0">
              <a:solidFill>
                <a:schemeClr val="tx1">
                  <a:lumMod val="50000"/>
                  <a:lumOff val="50000"/>
                </a:schemeClr>
              </a:solidFill>
              <a:effectLst/>
              <a:latin typeface="+mn-lt"/>
              <a:ea typeface="+mn-ea"/>
              <a:cs typeface="+mn-cs"/>
            </a:rPr>
            <a:t>► Medicina veterinária;</a:t>
          </a:r>
        </a:p>
        <a:p>
          <a:r>
            <a:rPr lang="pt-BR" sz="1000" b="0" i="0">
              <a:solidFill>
                <a:schemeClr val="tx1">
                  <a:lumMod val="50000"/>
                  <a:lumOff val="50000"/>
                </a:schemeClr>
              </a:solidFill>
              <a:effectLst/>
              <a:latin typeface="+mn-lt"/>
              <a:ea typeface="+mn-ea"/>
              <a:cs typeface="+mn-cs"/>
            </a:rPr>
            <a:t>► Odontologia e prótese dentária;</a:t>
          </a:r>
        </a:p>
        <a:p>
          <a:r>
            <a:rPr lang="pt-BR" sz="1000" b="0" i="0">
              <a:solidFill>
                <a:schemeClr val="tx1">
                  <a:lumMod val="50000"/>
                  <a:lumOff val="50000"/>
                </a:schemeClr>
              </a:solidFill>
              <a:effectLst/>
              <a:latin typeface="+mn-lt"/>
              <a:ea typeface="+mn-ea"/>
              <a:cs typeface="+mn-cs"/>
            </a:rPr>
            <a:t>► Psicologia, psicanálise, terapia ocupacional, acupuntura, podologia, fonoaudiologia, clínicas de nutrição e de vacinação e bancos de leite;</a:t>
          </a:r>
        </a:p>
        <a:p>
          <a:r>
            <a:rPr lang="pt-BR" sz="1000" b="0" i="0">
              <a:solidFill>
                <a:schemeClr val="tx1">
                  <a:lumMod val="50000"/>
                  <a:lumOff val="50000"/>
                </a:schemeClr>
              </a:solidFill>
              <a:effectLst/>
              <a:latin typeface="+mn-lt"/>
              <a:ea typeface="+mn-ea"/>
              <a:cs typeface="+mn-cs"/>
            </a:rPr>
            <a:t>► Serviços de comissária, de despachantes, de tradução e de interpretação;</a:t>
          </a:r>
        </a:p>
        <a:p>
          <a:r>
            <a:rPr lang="pt-BR" sz="1000" b="0" i="0">
              <a:solidFill>
                <a:schemeClr val="tx1">
                  <a:lumMod val="50000"/>
                  <a:lumOff val="50000"/>
                </a:schemeClr>
              </a:solidFill>
              <a:effectLst/>
              <a:latin typeface="+mn-lt"/>
              <a:ea typeface="+mn-ea"/>
              <a:cs typeface="+mn-cs"/>
            </a:rPr>
            <a:t>► Arquitetura e urbanismo;</a:t>
          </a:r>
        </a:p>
        <a:p>
          <a:r>
            <a:rPr lang="pt-BR" sz="1000" b="0" i="0">
              <a:solidFill>
                <a:schemeClr val="tx1">
                  <a:lumMod val="50000"/>
                  <a:lumOff val="50000"/>
                </a:schemeClr>
              </a:solidFill>
              <a:effectLst/>
              <a:latin typeface="+mn-lt"/>
              <a:ea typeface="+mn-ea"/>
              <a:cs typeface="+mn-cs"/>
            </a:rPr>
            <a:t>► Engenharia, medição, cartografia, topografia, geologia, geodésia, testes, suporte e análises técnicas e tecnológicas, pesquisa, design, desenho e agronomia;</a:t>
          </a:r>
        </a:p>
        <a:p>
          <a:r>
            <a:rPr lang="pt-BR" sz="1000" b="0" i="0">
              <a:solidFill>
                <a:schemeClr val="tx1">
                  <a:lumMod val="50000"/>
                  <a:lumOff val="50000"/>
                </a:schemeClr>
              </a:solidFill>
              <a:effectLst/>
              <a:latin typeface="+mn-lt"/>
              <a:ea typeface="+mn-ea"/>
              <a:cs typeface="+mn-cs"/>
            </a:rPr>
            <a:t>► Representação comercial e demais atividades de intermediação de negócios e serviços de terceiros;</a:t>
          </a:r>
        </a:p>
        <a:p>
          <a:r>
            <a:rPr lang="pt-BR" sz="1000" b="0" i="0">
              <a:solidFill>
                <a:schemeClr val="tx1">
                  <a:lumMod val="50000"/>
                  <a:lumOff val="50000"/>
                </a:schemeClr>
              </a:solidFill>
              <a:effectLst/>
              <a:latin typeface="+mn-lt"/>
              <a:ea typeface="+mn-ea"/>
              <a:cs typeface="+mn-cs"/>
            </a:rPr>
            <a:t>► Perícia, leilão e avaliação;</a:t>
          </a:r>
        </a:p>
        <a:p>
          <a:r>
            <a:rPr lang="pt-BR" sz="1000" b="0" i="0">
              <a:solidFill>
                <a:schemeClr val="tx1">
                  <a:lumMod val="50000"/>
                  <a:lumOff val="50000"/>
                </a:schemeClr>
              </a:solidFill>
              <a:effectLst/>
              <a:latin typeface="+mn-lt"/>
              <a:ea typeface="+mn-ea"/>
              <a:cs typeface="+mn-cs"/>
            </a:rPr>
            <a:t>► Auditoria, economia, consultoria, gestão, organização, controle e administração;</a:t>
          </a:r>
        </a:p>
        <a:p>
          <a:r>
            <a:rPr lang="pt-BR" sz="1000" b="0" i="0">
              <a:solidFill>
                <a:schemeClr val="tx1">
                  <a:lumMod val="50000"/>
                  <a:lumOff val="50000"/>
                </a:schemeClr>
              </a:solidFill>
              <a:effectLst/>
              <a:latin typeface="+mn-lt"/>
              <a:ea typeface="+mn-ea"/>
              <a:cs typeface="+mn-cs"/>
            </a:rPr>
            <a:t>► Jornalismo e publicidade;</a:t>
          </a:r>
        </a:p>
        <a:p>
          <a:r>
            <a:rPr lang="pt-BR" sz="1000" b="0" i="0">
              <a:solidFill>
                <a:schemeClr val="tx1">
                  <a:lumMod val="50000"/>
                  <a:lumOff val="50000"/>
                </a:schemeClr>
              </a:solidFill>
              <a:effectLst/>
              <a:latin typeface="+mn-lt"/>
              <a:ea typeface="+mn-ea"/>
              <a:cs typeface="+mn-cs"/>
            </a:rPr>
            <a:t>► Agenciamento.</a:t>
          </a:r>
        </a:p>
        <a:p>
          <a:r>
            <a:rPr lang="pt-BR" sz="1000" b="0" i="0">
              <a:solidFill>
                <a:schemeClr val="tx1">
                  <a:lumMod val="50000"/>
                  <a:lumOff val="50000"/>
                </a:schemeClr>
              </a:solidFill>
              <a:effectLst/>
              <a:latin typeface="+mn-lt"/>
              <a:ea typeface="+mn-ea"/>
              <a:cs typeface="+mn-cs"/>
            </a:rPr>
            <a:t>► E outras atividades que tenham por finalidade a prestação de serviços decorrentes do exercício de atividade intelectual, de natureza técnica, científica, desportiva, artística ou cultural, que constitua profissão regulamentada ou não.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841875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866775</xdr:colOff>
      <xdr:row>0</xdr:row>
      <xdr:rowOff>85725</xdr:rowOff>
    </xdr:from>
    <xdr:to>
      <xdr:col>5</xdr:col>
      <xdr:colOff>899025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C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923925</xdr:colOff>
      <xdr:row>0</xdr:row>
      <xdr:rowOff>85725</xdr:rowOff>
    </xdr:from>
    <xdr:to>
      <xdr:col>6</xdr:col>
      <xdr:colOff>956175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C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9</xdr:col>
      <xdr:colOff>209550</xdr:colOff>
      <xdr:row>0</xdr:row>
      <xdr:rowOff>85725</xdr:rowOff>
    </xdr:from>
    <xdr:to>
      <xdr:col>10</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C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400050</xdr:colOff>
      <xdr:row>0</xdr:row>
      <xdr:rowOff>85725</xdr:rowOff>
    </xdr:from>
    <xdr:to>
      <xdr:col>11</xdr:col>
      <xdr:colOff>565650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C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590550</xdr:colOff>
      <xdr:row>0</xdr:row>
      <xdr:rowOff>85725</xdr:rowOff>
    </xdr:from>
    <xdr:to>
      <xdr:col>12</xdr:col>
      <xdr:colOff>756150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C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0</xdr:colOff>
      <xdr:row>0</xdr:row>
      <xdr:rowOff>371475</xdr:rowOff>
    </xdr:from>
    <xdr:to>
      <xdr:col>5</xdr:col>
      <xdr:colOff>720000</xdr:colOff>
      <xdr:row>0</xdr:row>
      <xdr:rowOff>388425</xdr:rowOff>
    </xdr:to>
    <xdr:sp macro="" textlink="">
      <xdr:nvSpPr>
        <xdr:cNvPr id="8" name="Retângulo 7">
          <a:extLst>
            <a:ext uri="{FF2B5EF4-FFF2-40B4-BE49-F238E27FC236}">
              <a16:creationId xmlns:a16="http://schemas.microsoft.com/office/drawing/2014/main" id="{00000000-0008-0000-0C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981075</xdr:colOff>
      <xdr:row>0</xdr:row>
      <xdr:rowOff>85725</xdr:rowOff>
    </xdr:from>
    <xdr:to>
      <xdr:col>9</xdr:col>
      <xdr:colOff>184650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C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4</xdr:col>
      <xdr:colOff>327525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C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C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C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C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C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342900</xdr:colOff>
      <xdr:row>1</xdr:row>
      <xdr:rowOff>142875</xdr:rowOff>
    </xdr:from>
    <xdr:to>
      <xdr:col>5</xdr:col>
      <xdr:colOff>375150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C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a:t>
          </a:r>
        </a:p>
      </xdr:txBody>
    </xdr:sp>
    <xdr:clientData/>
  </xdr:twoCellAnchor>
  <xdr:twoCellAnchor editAs="absolute">
    <xdr:from>
      <xdr:col>5</xdr:col>
      <xdr:colOff>390525</xdr:colOff>
      <xdr:row>1</xdr:row>
      <xdr:rowOff>142875</xdr:rowOff>
    </xdr:from>
    <xdr:to>
      <xdr:col>6</xdr:col>
      <xdr:colOff>422775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C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Tabelas</a:t>
          </a:r>
        </a:p>
      </xdr:txBody>
    </xdr:sp>
    <xdr:clientData/>
  </xdr:twoCellAnchor>
  <xdr:twoCellAnchor editAs="absolute">
    <xdr:from>
      <xdr:col>6</xdr:col>
      <xdr:colOff>438150</xdr:colOff>
      <xdr:row>1</xdr:row>
      <xdr:rowOff>142875</xdr:rowOff>
    </xdr:from>
    <xdr:to>
      <xdr:col>8</xdr:col>
      <xdr:colOff>89400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C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Consulta</a:t>
          </a:r>
        </a:p>
      </xdr:txBody>
    </xdr:sp>
    <xdr:clientData/>
  </xdr:twoCellAnchor>
  <xdr:twoCellAnchor editAs="absolute">
    <xdr:from>
      <xdr:col>1</xdr:col>
      <xdr:colOff>104774</xdr:colOff>
      <xdr:row>2</xdr:row>
      <xdr:rowOff>581025</xdr:rowOff>
    </xdr:from>
    <xdr:to>
      <xdr:col>9</xdr:col>
      <xdr:colOff>895124</xdr:colOff>
      <xdr:row>2</xdr:row>
      <xdr:rowOff>581025</xdr:rowOff>
    </xdr:to>
    <xdr:cxnSp macro="">
      <xdr:nvCxnSpPr>
        <xdr:cNvPr id="20" name="Conector reto 19">
          <a:extLst>
            <a:ext uri="{FF2B5EF4-FFF2-40B4-BE49-F238E27FC236}">
              <a16:creationId xmlns:a16="http://schemas.microsoft.com/office/drawing/2014/main" id="{00000000-0008-0000-0C00-000014000000}"/>
            </a:ext>
          </a:extLst>
        </xdr:cNvPr>
        <xdr:cNvCxnSpPr/>
      </xdr:nvCxnSpPr>
      <xdr:spPr>
        <a:xfrm>
          <a:off x="219074" y="1400175"/>
          <a:ext cx="637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266700</xdr:rowOff>
    </xdr:from>
    <xdr:to>
      <xdr:col>3</xdr:col>
      <xdr:colOff>802800</xdr:colOff>
      <xdr:row>2</xdr:row>
      <xdr:rowOff>554700</xdr:rowOff>
    </xdr:to>
    <xdr:sp macro="" textlink="">
      <xdr:nvSpPr>
        <xdr:cNvPr id="21" name="Retângulo 20">
          <a:hlinkClick xmlns:r="http://schemas.openxmlformats.org/officeDocument/2006/relationships" r:id="rId9"/>
          <a:extLst>
            <a:ext uri="{FF2B5EF4-FFF2-40B4-BE49-F238E27FC236}">
              <a16:creationId xmlns:a16="http://schemas.microsoft.com/office/drawing/2014/main" id="{00000000-0008-0000-0C00-000015000000}"/>
            </a:ext>
          </a:extLst>
        </xdr:cNvPr>
        <xdr:cNvSpPr/>
      </xdr:nvSpPr>
      <xdr:spPr>
        <a:xfrm>
          <a:off x="219075" y="1085850"/>
          <a:ext cx="1260000" cy="28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Comércio</a:t>
          </a:r>
        </a:p>
      </xdr:txBody>
    </xdr:sp>
    <xdr:clientData/>
  </xdr:twoCellAnchor>
  <xdr:twoCellAnchor editAs="absolute">
    <xdr:from>
      <xdr:col>3</xdr:col>
      <xdr:colOff>819150</xdr:colOff>
      <xdr:row>2</xdr:row>
      <xdr:rowOff>266700</xdr:rowOff>
    </xdr:from>
    <xdr:to>
      <xdr:col>4</xdr:col>
      <xdr:colOff>1031400</xdr:colOff>
      <xdr:row>2</xdr:row>
      <xdr:rowOff>554700</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C00-000016000000}"/>
            </a:ext>
          </a:extLst>
        </xdr:cNvPr>
        <xdr:cNvSpPr/>
      </xdr:nvSpPr>
      <xdr:spPr>
        <a:xfrm>
          <a:off x="14954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Indústria</a:t>
          </a:r>
        </a:p>
      </xdr:txBody>
    </xdr:sp>
    <xdr:clientData/>
  </xdr:twoCellAnchor>
  <xdr:twoCellAnchor editAs="absolute">
    <xdr:from>
      <xdr:col>5</xdr:col>
      <xdr:colOff>0</xdr:colOff>
      <xdr:row>2</xdr:row>
      <xdr:rowOff>266700</xdr:rowOff>
    </xdr:from>
    <xdr:to>
      <xdr:col>6</xdr:col>
      <xdr:colOff>212250</xdr:colOff>
      <xdr:row>2</xdr:row>
      <xdr:rowOff>554700</xdr:rowOff>
    </xdr:to>
    <xdr:sp macro="" textlink="">
      <xdr:nvSpPr>
        <xdr:cNvPr id="23" name="Retângulo 22">
          <a:hlinkClick xmlns:r="http://schemas.openxmlformats.org/officeDocument/2006/relationships" r:id="rId12"/>
          <a:extLst>
            <a:ext uri="{FF2B5EF4-FFF2-40B4-BE49-F238E27FC236}">
              <a16:creationId xmlns:a16="http://schemas.microsoft.com/office/drawing/2014/main" id="{00000000-0008-0000-0C00-000017000000}"/>
            </a:ext>
          </a:extLst>
        </xdr:cNvPr>
        <xdr:cNvSpPr/>
      </xdr:nvSpPr>
      <xdr:spPr>
        <a:xfrm>
          <a:off x="27717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III</a:t>
          </a:r>
        </a:p>
      </xdr:txBody>
    </xdr:sp>
    <xdr:clientData/>
  </xdr:twoCellAnchor>
  <xdr:twoCellAnchor editAs="absolute">
    <xdr:from>
      <xdr:col>6</xdr:col>
      <xdr:colOff>228600</xdr:colOff>
      <xdr:row>2</xdr:row>
      <xdr:rowOff>266700</xdr:rowOff>
    </xdr:from>
    <xdr:to>
      <xdr:col>8</xdr:col>
      <xdr:colOff>59850</xdr:colOff>
      <xdr:row>2</xdr:row>
      <xdr:rowOff>554700</xdr:rowOff>
    </xdr:to>
    <xdr:sp macro="" textlink="">
      <xdr:nvSpPr>
        <xdr:cNvPr id="24" name="Retângulo 23">
          <a:hlinkClick xmlns:r="http://schemas.openxmlformats.org/officeDocument/2006/relationships" r:id="rId13"/>
          <a:extLst>
            <a:ext uri="{FF2B5EF4-FFF2-40B4-BE49-F238E27FC236}">
              <a16:creationId xmlns:a16="http://schemas.microsoft.com/office/drawing/2014/main" id="{00000000-0008-0000-0C00-000018000000}"/>
            </a:ext>
          </a:extLst>
        </xdr:cNvPr>
        <xdr:cNvSpPr/>
      </xdr:nvSpPr>
      <xdr:spPr>
        <a:xfrm>
          <a:off x="40481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a:t>
          </a:r>
          <a:r>
            <a:rPr lang="pt-BR" sz="1000" baseline="0">
              <a:solidFill>
                <a:schemeClr val="tx1">
                  <a:lumMod val="65000"/>
                  <a:lumOff val="35000"/>
                </a:schemeClr>
              </a:solidFill>
            </a:rPr>
            <a:t> IV</a:t>
          </a:r>
          <a:endParaRPr lang="pt-BR" sz="1000">
            <a:solidFill>
              <a:schemeClr val="tx1">
                <a:lumMod val="65000"/>
                <a:lumOff val="35000"/>
              </a:schemeClr>
            </a:solidFill>
          </a:endParaRPr>
        </a:p>
      </xdr:txBody>
    </xdr:sp>
    <xdr:clientData/>
  </xdr:twoCellAnchor>
  <xdr:twoCellAnchor editAs="absolute">
    <xdr:from>
      <xdr:col>8</xdr:col>
      <xdr:colOff>76200</xdr:colOff>
      <xdr:row>2</xdr:row>
      <xdr:rowOff>266700</xdr:rowOff>
    </xdr:from>
    <xdr:to>
      <xdr:col>9</xdr:col>
      <xdr:colOff>888525</xdr:colOff>
      <xdr:row>2</xdr:row>
      <xdr:rowOff>554700</xdr:rowOff>
    </xdr:to>
    <xdr:sp macro="" textlink="">
      <xdr:nvSpPr>
        <xdr:cNvPr id="25" name="Retângulo 24">
          <a:hlinkClick xmlns:r="http://schemas.openxmlformats.org/officeDocument/2006/relationships" r:id="rId14"/>
          <a:extLst>
            <a:ext uri="{FF2B5EF4-FFF2-40B4-BE49-F238E27FC236}">
              <a16:creationId xmlns:a16="http://schemas.microsoft.com/office/drawing/2014/main" id="{00000000-0008-0000-0C00-000019000000}"/>
            </a:ext>
          </a:extLst>
        </xdr:cNvPr>
        <xdr:cNvSpPr/>
      </xdr:nvSpPr>
      <xdr:spPr>
        <a:xfrm>
          <a:off x="53244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V</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841875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866775</xdr:colOff>
      <xdr:row>0</xdr:row>
      <xdr:rowOff>85725</xdr:rowOff>
    </xdr:from>
    <xdr:to>
      <xdr:col>5</xdr:col>
      <xdr:colOff>899025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D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923925</xdr:colOff>
      <xdr:row>0</xdr:row>
      <xdr:rowOff>85725</xdr:rowOff>
    </xdr:from>
    <xdr:to>
      <xdr:col>6</xdr:col>
      <xdr:colOff>956175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D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9</xdr:col>
      <xdr:colOff>209550</xdr:colOff>
      <xdr:row>0</xdr:row>
      <xdr:rowOff>85725</xdr:rowOff>
    </xdr:from>
    <xdr:to>
      <xdr:col>10</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D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400050</xdr:colOff>
      <xdr:row>0</xdr:row>
      <xdr:rowOff>85725</xdr:rowOff>
    </xdr:from>
    <xdr:to>
      <xdr:col>11</xdr:col>
      <xdr:colOff>565650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D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590550</xdr:colOff>
      <xdr:row>0</xdr:row>
      <xdr:rowOff>85725</xdr:rowOff>
    </xdr:from>
    <xdr:to>
      <xdr:col>12</xdr:col>
      <xdr:colOff>756150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D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0</xdr:colOff>
      <xdr:row>0</xdr:row>
      <xdr:rowOff>371475</xdr:rowOff>
    </xdr:from>
    <xdr:to>
      <xdr:col>5</xdr:col>
      <xdr:colOff>720000</xdr:colOff>
      <xdr:row>0</xdr:row>
      <xdr:rowOff>388425</xdr:rowOff>
    </xdr:to>
    <xdr:sp macro="" textlink="">
      <xdr:nvSpPr>
        <xdr:cNvPr id="8" name="Retângulo 7">
          <a:extLst>
            <a:ext uri="{FF2B5EF4-FFF2-40B4-BE49-F238E27FC236}">
              <a16:creationId xmlns:a16="http://schemas.microsoft.com/office/drawing/2014/main" id="{00000000-0008-0000-0D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981075</xdr:colOff>
      <xdr:row>0</xdr:row>
      <xdr:rowOff>85725</xdr:rowOff>
    </xdr:from>
    <xdr:to>
      <xdr:col>9</xdr:col>
      <xdr:colOff>184650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D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4</xdr:col>
      <xdr:colOff>327525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D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D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D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D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D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342900</xdr:colOff>
      <xdr:row>1</xdr:row>
      <xdr:rowOff>142875</xdr:rowOff>
    </xdr:from>
    <xdr:to>
      <xdr:col>5</xdr:col>
      <xdr:colOff>375150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D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a:t>
          </a:r>
        </a:p>
      </xdr:txBody>
    </xdr:sp>
    <xdr:clientData/>
  </xdr:twoCellAnchor>
  <xdr:twoCellAnchor editAs="absolute">
    <xdr:from>
      <xdr:col>5</xdr:col>
      <xdr:colOff>390525</xdr:colOff>
      <xdr:row>1</xdr:row>
      <xdr:rowOff>142875</xdr:rowOff>
    </xdr:from>
    <xdr:to>
      <xdr:col>6</xdr:col>
      <xdr:colOff>422775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D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Tabelas</a:t>
          </a:r>
        </a:p>
      </xdr:txBody>
    </xdr:sp>
    <xdr:clientData/>
  </xdr:twoCellAnchor>
  <xdr:twoCellAnchor editAs="absolute">
    <xdr:from>
      <xdr:col>6</xdr:col>
      <xdr:colOff>438150</xdr:colOff>
      <xdr:row>1</xdr:row>
      <xdr:rowOff>142875</xdr:rowOff>
    </xdr:from>
    <xdr:to>
      <xdr:col>8</xdr:col>
      <xdr:colOff>89400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D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Consulta</a:t>
          </a:r>
        </a:p>
      </xdr:txBody>
    </xdr:sp>
    <xdr:clientData/>
  </xdr:twoCellAnchor>
  <xdr:twoCellAnchor editAs="absolute">
    <xdr:from>
      <xdr:col>1</xdr:col>
      <xdr:colOff>104774</xdr:colOff>
      <xdr:row>2</xdr:row>
      <xdr:rowOff>581025</xdr:rowOff>
    </xdr:from>
    <xdr:to>
      <xdr:col>9</xdr:col>
      <xdr:colOff>895124</xdr:colOff>
      <xdr:row>2</xdr:row>
      <xdr:rowOff>581025</xdr:rowOff>
    </xdr:to>
    <xdr:cxnSp macro="">
      <xdr:nvCxnSpPr>
        <xdr:cNvPr id="19" name="Conector reto 18">
          <a:extLst>
            <a:ext uri="{FF2B5EF4-FFF2-40B4-BE49-F238E27FC236}">
              <a16:creationId xmlns:a16="http://schemas.microsoft.com/office/drawing/2014/main" id="{00000000-0008-0000-0D00-000013000000}"/>
            </a:ext>
          </a:extLst>
        </xdr:cNvPr>
        <xdr:cNvCxnSpPr/>
      </xdr:nvCxnSpPr>
      <xdr:spPr>
        <a:xfrm>
          <a:off x="219074" y="1400175"/>
          <a:ext cx="637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266700</xdr:rowOff>
    </xdr:from>
    <xdr:to>
      <xdr:col>3</xdr:col>
      <xdr:colOff>802800</xdr:colOff>
      <xdr:row>2</xdr:row>
      <xdr:rowOff>554700</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D00-000014000000}"/>
            </a:ext>
          </a:extLst>
        </xdr:cNvPr>
        <xdr:cNvSpPr/>
      </xdr:nvSpPr>
      <xdr:spPr>
        <a:xfrm>
          <a:off x="2190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Comércio</a:t>
          </a:r>
        </a:p>
      </xdr:txBody>
    </xdr:sp>
    <xdr:clientData/>
  </xdr:twoCellAnchor>
  <xdr:twoCellAnchor editAs="absolute">
    <xdr:from>
      <xdr:col>3</xdr:col>
      <xdr:colOff>819150</xdr:colOff>
      <xdr:row>2</xdr:row>
      <xdr:rowOff>266700</xdr:rowOff>
    </xdr:from>
    <xdr:to>
      <xdr:col>4</xdr:col>
      <xdr:colOff>1031400</xdr:colOff>
      <xdr:row>2</xdr:row>
      <xdr:rowOff>554700</xdr:rowOff>
    </xdr:to>
    <xdr:sp macro="" textlink="">
      <xdr:nvSpPr>
        <xdr:cNvPr id="21" name="Retângulo 20">
          <a:hlinkClick xmlns:r="http://schemas.openxmlformats.org/officeDocument/2006/relationships" r:id="rId11"/>
          <a:extLst>
            <a:ext uri="{FF2B5EF4-FFF2-40B4-BE49-F238E27FC236}">
              <a16:creationId xmlns:a16="http://schemas.microsoft.com/office/drawing/2014/main" id="{00000000-0008-0000-0D00-000015000000}"/>
            </a:ext>
          </a:extLst>
        </xdr:cNvPr>
        <xdr:cNvSpPr/>
      </xdr:nvSpPr>
      <xdr:spPr>
        <a:xfrm>
          <a:off x="1495425" y="1085850"/>
          <a:ext cx="1260000" cy="28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Indústria</a:t>
          </a:r>
        </a:p>
      </xdr:txBody>
    </xdr:sp>
    <xdr:clientData/>
  </xdr:twoCellAnchor>
  <xdr:twoCellAnchor editAs="absolute">
    <xdr:from>
      <xdr:col>5</xdr:col>
      <xdr:colOff>0</xdr:colOff>
      <xdr:row>2</xdr:row>
      <xdr:rowOff>266700</xdr:rowOff>
    </xdr:from>
    <xdr:to>
      <xdr:col>6</xdr:col>
      <xdr:colOff>212250</xdr:colOff>
      <xdr:row>2</xdr:row>
      <xdr:rowOff>554700</xdr:rowOff>
    </xdr:to>
    <xdr:sp macro="" textlink="">
      <xdr:nvSpPr>
        <xdr:cNvPr id="22" name="Retângulo 21">
          <a:hlinkClick xmlns:r="http://schemas.openxmlformats.org/officeDocument/2006/relationships" r:id="rId12"/>
          <a:extLst>
            <a:ext uri="{FF2B5EF4-FFF2-40B4-BE49-F238E27FC236}">
              <a16:creationId xmlns:a16="http://schemas.microsoft.com/office/drawing/2014/main" id="{00000000-0008-0000-0D00-000016000000}"/>
            </a:ext>
          </a:extLst>
        </xdr:cNvPr>
        <xdr:cNvSpPr/>
      </xdr:nvSpPr>
      <xdr:spPr>
        <a:xfrm>
          <a:off x="27717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III</a:t>
          </a:r>
        </a:p>
      </xdr:txBody>
    </xdr:sp>
    <xdr:clientData/>
  </xdr:twoCellAnchor>
  <xdr:twoCellAnchor editAs="absolute">
    <xdr:from>
      <xdr:col>6</xdr:col>
      <xdr:colOff>228600</xdr:colOff>
      <xdr:row>2</xdr:row>
      <xdr:rowOff>266700</xdr:rowOff>
    </xdr:from>
    <xdr:to>
      <xdr:col>8</xdr:col>
      <xdr:colOff>59850</xdr:colOff>
      <xdr:row>2</xdr:row>
      <xdr:rowOff>554700</xdr:rowOff>
    </xdr:to>
    <xdr:sp macro="" textlink="">
      <xdr:nvSpPr>
        <xdr:cNvPr id="23" name="Retângulo 22">
          <a:hlinkClick xmlns:r="http://schemas.openxmlformats.org/officeDocument/2006/relationships" r:id="rId13"/>
          <a:extLst>
            <a:ext uri="{FF2B5EF4-FFF2-40B4-BE49-F238E27FC236}">
              <a16:creationId xmlns:a16="http://schemas.microsoft.com/office/drawing/2014/main" id="{00000000-0008-0000-0D00-000017000000}"/>
            </a:ext>
          </a:extLst>
        </xdr:cNvPr>
        <xdr:cNvSpPr/>
      </xdr:nvSpPr>
      <xdr:spPr>
        <a:xfrm>
          <a:off x="40481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a:t>
          </a:r>
          <a:r>
            <a:rPr lang="pt-BR" sz="1000" baseline="0">
              <a:solidFill>
                <a:schemeClr val="tx1">
                  <a:lumMod val="65000"/>
                  <a:lumOff val="35000"/>
                </a:schemeClr>
              </a:solidFill>
            </a:rPr>
            <a:t> IV</a:t>
          </a:r>
          <a:endParaRPr lang="pt-BR" sz="1000">
            <a:solidFill>
              <a:schemeClr val="tx1">
                <a:lumMod val="65000"/>
                <a:lumOff val="35000"/>
              </a:schemeClr>
            </a:solidFill>
          </a:endParaRPr>
        </a:p>
      </xdr:txBody>
    </xdr:sp>
    <xdr:clientData/>
  </xdr:twoCellAnchor>
  <xdr:twoCellAnchor editAs="absolute">
    <xdr:from>
      <xdr:col>8</xdr:col>
      <xdr:colOff>76200</xdr:colOff>
      <xdr:row>2</xdr:row>
      <xdr:rowOff>266700</xdr:rowOff>
    </xdr:from>
    <xdr:to>
      <xdr:col>9</xdr:col>
      <xdr:colOff>888525</xdr:colOff>
      <xdr:row>2</xdr:row>
      <xdr:rowOff>554700</xdr:rowOff>
    </xdr:to>
    <xdr:sp macro="" textlink="">
      <xdr:nvSpPr>
        <xdr:cNvPr id="24" name="Retângulo 23">
          <a:hlinkClick xmlns:r="http://schemas.openxmlformats.org/officeDocument/2006/relationships" r:id="rId14"/>
          <a:extLst>
            <a:ext uri="{FF2B5EF4-FFF2-40B4-BE49-F238E27FC236}">
              <a16:creationId xmlns:a16="http://schemas.microsoft.com/office/drawing/2014/main" id="{00000000-0008-0000-0D00-000018000000}"/>
            </a:ext>
          </a:extLst>
        </xdr:cNvPr>
        <xdr:cNvSpPr/>
      </xdr:nvSpPr>
      <xdr:spPr>
        <a:xfrm>
          <a:off x="53244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V</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841875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866775</xdr:colOff>
      <xdr:row>0</xdr:row>
      <xdr:rowOff>85725</xdr:rowOff>
    </xdr:from>
    <xdr:to>
      <xdr:col>5</xdr:col>
      <xdr:colOff>899025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E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923925</xdr:colOff>
      <xdr:row>0</xdr:row>
      <xdr:rowOff>85725</xdr:rowOff>
    </xdr:from>
    <xdr:to>
      <xdr:col>6</xdr:col>
      <xdr:colOff>956175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E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9</xdr:col>
      <xdr:colOff>209550</xdr:colOff>
      <xdr:row>0</xdr:row>
      <xdr:rowOff>85725</xdr:rowOff>
    </xdr:from>
    <xdr:to>
      <xdr:col>10</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E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400050</xdr:colOff>
      <xdr:row>0</xdr:row>
      <xdr:rowOff>85725</xdr:rowOff>
    </xdr:from>
    <xdr:to>
      <xdr:col>11</xdr:col>
      <xdr:colOff>565650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E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590550</xdr:colOff>
      <xdr:row>0</xdr:row>
      <xdr:rowOff>85725</xdr:rowOff>
    </xdr:from>
    <xdr:to>
      <xdr:col>12</xdr:col>
      <xdr:colOff>756150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E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0</xdr:colOff>
      <xdr:row>0</xdr:row>
      <xdr:rowOff>371475</xdr:rowOff>
    </xdr:from>
    <xdr:to>
      <xdr:col>5</xdr:col>
      <xdr:colOff>720000</xdr:colOff>
      <xdr:row>0</xdr:row>
      <xdr:rowOff>388425</xdr:rowOff>
    </xdr:to>
    <xdr:sp macro="" textlink="">
      <xdr:nvSpPr>
        <xdr:cNvPr id="8" name="Retângulo 7">
          <a:extLst>
            <a:ext uri="{FF2B5EF4-FFF2-40B4-BE49-F238E27FC236}">
              <a16:creationId xmlns:a16="http://schemas.microsoft.com/office/drawing/2014/main" id="{00000000-0008-0000-0E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981075</xdr:colOff>
      <xdr:row>0</xdr:row>
      <xdr:rowOff>85725</xdr:rowOff>
    </xdr:from>
    <xdr:to>
      <xdr:col>9</xdr:col>
      <xdr:colOff>184650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E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4</xdr:col>
      <xdr:colOff>327525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E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E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E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E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E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342900</xdr:colOff>
      <xdr:row>1</xdr:row>
      <xdr:rowOff>142875</xdr:rowOff>
    </xdr:from>
    <xdr:to>
      <xdr:col>5</xdr:col>
      <xdr:colOff>375150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E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a:t>
          </a:r>
        </a:p>
      </xdr:txBody>
    </xdr:sp>
    <xdr:clientData/>
  </xdr:twoCellAnchor>
  <xdr:twoCellAnchor editAs="absolute">
    <xdr:from>
      <xdr:col>5</xdr:col>
      <xdr:colOff>390525</xdr:colOff>
      <xdr:row>1</xdr:row>
      <xdr:rowOff>142875</xdr:rowOff>
    </xdr:from>
    <xdr:to>
      <xdr:col>6</xdr:col>
      <xdr:colOff>422775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E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Tabelas</a:t>
          </a:r>
        </a:p>
      </xdr:txBody>
    </xdr:sp>
    <xdr:clientData/>
  </xdr:twoCellAnchor>
  <xdr:twoCellAnchor editAs="absolute">
    <xdr:from>
      <xdr:col>6</xdr:col>
      <xdr:colOff>438150</xdr:colOff>
      <xdr:row>1</xdr:row>
      <xdr:rowOff>142875</xdr:rowOff>
    </xdr:from>
    <xdr:to>
      <xdr:col>8</xdr:col>
      <xdr:colOff>89400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E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Consulta</a:t>
          </a:r>
        </a:p>
      </xdr:txBody>
    </xdr:sp>
    <xdr:clientData/>
  </xdr:twoCellAnchor>
  <xdr:twoCellAnchor editAs="absolute">
    <xdr:from>
      <xdr:col>1</xdr:col>
      <xdr:colOff>104774</xdr:colOff>
      <xdr:row>2</xdr:row>
      <xdr:rowOff>581025</xdr:rowOff>
    </xdr:from>
    <xdr:to>
      <xdr:col>9</xdr:col>
      <xdr:colOff>895124</xdr:colOff>
      <xdr:row>2</xdr:row>
      <xdr:rowOff>581025</xdr:rowOff>
    </xdr:to>
    <xdr:cxnSp macro="">
      <xdr:nvCxnSpPr>
        <xdr:cNvPr id="19" name="Conector reto 18">
          <a:extLst>
            <a:ext uri="{FF2B5EF4-FFF2-40B4-BE49-F238E27FC236}">
              <a16:creationId xmlns:a16="http://schemas.microsoft.com/office/drawing/2014/main" id="{00000000-0008-0000-0E00-000013000000}"/>
            </a:ext>
          </a:extLst>
        </xdr:cNvPr>
        <xdr:cNvCxnSpPr/>
      </xdr:nvCxnSpPr>
      <xdr:spPr>
        <a:xfrm>
          <a:off x="219074" y="1400175"/>
          <a:ext cx="637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266700</xdr:rowOff>
    </xdr:from>
    <xdr:to>
      <xdr:col>3</xdr:col>
      <xdr:colOff>802800</xdr:colOff>
      <xdr:row>2</xdr:row>
      <xdr:rowOff>554700</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E00-000014000000}"/>
            </a:ext>
          </a:extLst>
        </xdr:cNvPr>
        <xdr:cNvSpPr/>
      </xdr:nvSpPr>
      <xdr:spPr>
        <a:xfrm>
          <a:off x="2190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Comércio</a:t>
          </a:r>
        </a:p>
      </xdr:txBody>
    </xdr:sp>
    <xdr:clientData/>
  </xdr:twoCellAnchor>
  <xdr:twoCellAnchor editAs="absolute">
    <xdr:from>
      <xdr:col>3</xdr:col>
      <xdr:colOff>819150</xdr:colOff>
      <xdr:row>2</xdr:row>
      <xdr:rowOff>266700</xdr:rowOff>
    </xdr:from>
    <xdr:to>
      <xdr:col>4</xdr:col>
      <xdr:colOff>1031400</xdr:colOff>
      <xdr:row>2</xdr:row>
      <xdr:rowOff>554700</xdr:rowOff>
    </xdr:to>
    <xdr:sp macro="" textlink="">
      <xdr:nvSpPr>
        <xdr:cNvPr id="21" name="Retângulo 20">
          <a:hlinkClick xmlns:r="http://schemas.openxmlformats.org/officeDocument/2006/relationships" r:id="rId11"/>
          <a:extLst>
            <a:ext uri="{FF2B5EF4-FFF2-40B4-BE49-F238E27FC236}">
              <a16:creationId xmlns:a16="http://schemas.microsoft.com/office/drawing/2014/main" id="{00000000-0008-0000-0E00-000015000000}"/>
            </a:ext>
          </a:extLst>
        </xdr:cNvPr>
        <xdr:cNvSpPr/>
      </xdr:nvSpPr>
      <xdr:spPr>
        <a:xfrm>
          <a:off x="14954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Indústria</a:t>
          </a:r>
        </a:p>
      </xdr:txBody>
    </xdr:sp>
    <xdr:clientData/>
  </xdr:twoCellAnchor>
  <xdr:twoCellAnchor editAs="absolute">
    <xdr:from>
      <xdr:col>5</xdr:col>
      <xdr:colOff>0</xdr:colOff>
      <xdr:row>2</xdr:row>
      <xdr:rowOff>266700</xdr:rowOff>
    </xdr:from>
    <xdr:to>
      <xdr:col>6</xdr:col>
      <xdr:colOff>212250</xdr:colOff>
      <xdr:row>2</xdr:row>
      <xdr:rowOff>554700</xdr:rowOff>
    </xdr:to>
    <xdr:sp macro="" textlink="">
      <xdr:nvSpPr>
        <xdr:cNvPr id="22" name="Retângulo 21">
          <a:hlinkClick xmlns:r="http://schemas.openxmlformats.org/officeDocument/2006/relationships" r:id="rId12"/>
          <a:extLst>
            <a:ext uri="{FF2B5EF4-FFF2-40B4-BE49-F238E27FC236}">
              <a16:creationId xmlns:a16="http://schemas.microsoft.com/office/drawing/2014/main" id="{00000000-0008-0000-0E00-000016000000}"/>
            </a:ext>
          </a:extLst>
        </xdr:cNvPr>
        <xdr:cNvSpPr/>
      </xdr:nvSpPr>
      <xdr:spPr>
        <a:xfrm>
          <a:off x="2771775" y="1085850"/>
          <a:ext cx="1260000" cy="28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Anexo III</a:t>
          </a:r>
        </a:p>
      </xdr:txBody>
    </xdr:sp>
    <xdr:clientData/>
  </xdr:twoCellAnchor>
  <xdr:twoCellAnchor editAs="absolute">
    <xdr:from>
      <xdr:col>6</xdr:col>
      <xdr:colOff>228600</xdr:colOff>
      <xdr:row>2</xdr:row>
      <xdr:rowOff>266700</xdr:rowOff>
    </xdr:from>
    <xdr:to>
      <xdr:col>8</xdr:col>
      <xdr:colOff>59850</xdr:colOff>
      <xdr:row>2</xdr:row>
      <xdr:rowOff>554700</xdr:rowOff>
    </xdr:to>
    <xdr:sp macro="" textlink="">
      <xdr:nvSpPr>
        <xdr:cNvPr id="23" name="Retângulo 22">
          <a:hlinkClick xmlns:r="http://schemas.openxmlformats.org/officeDocument/2006/relationships" r:id="rId13"/>
          <a:extLst>
            <a:ext uri="{FF2B5EF4-FFF2-40B4-BE49-F238E27FC236}">
              <a16:creationId xmlns:a16="http://schemas.microsoft.com/office/drawing/2014/main" id="{00000000-0008-0000-0E00-000017000000}"/>
            </a:ext>
          </a:extLst>
        </xdr:cNvPr>
        <xdr:cNvSpPr/>
      </xdr:nvSpPr>
      <xdr:spPr>
        <a:xfrm>
          <a:off x="40481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a:t>
          </a:r>
          <a:r>
            <a:rPr lang="pt-BR" sz="1000" baseline="0">
              <a:solidFill>
                <a:schemeClr val="tx1">
                  <a:lumMod val="65000"/>
                  <a:lumOff val="35000"/>
                </a:schemeClr>
              </a:solidFill>
            </a:rPr>
            <a:t> IV</a:t>
          </a:r>
          <a:endParaRPr lang="pt-BR" sz="1000">
            <a:solidFill>
              <a:schemeClr val="tx1">
                <a:lumMod val="65000"/>
                <a:lumOff val="35000"/>
              </a:schemeClr>
            </a:solidFill>
          </a:endParaRPr>
        </a:p>
      </xdr:txBody>
    </xdr:sp>
    <xdr:clientData/>
  </xdr:twoCellAnchor>
  <xdr:twoCellAnchor editAs="absolute">
    <xdr:from>
      <xdr:col>8</xdr:col>
      <xdr:colOff>76200</xdr:colOff>
      <xdr:row>2</xdr:row>
      <xdr:rowOff>266700</xdr:rowOff>
    </xdr:from>
    <xdr:to>
      <xdr:col>9</xdr:col>
      <xdr:colOff>888525</xdr:colOff>
      <xdr:row>2</xdr:row>
      <xdr:rowOff>554700</xdr:rowOff>
    </xdr:to>
    <xdr:sp macro="" textlink="">
      <xdr:nvSpPr>
        <xdr:cNvPr id="24" name="Retângulo 23">
          <a:hlinkClick xmlns:r="http://schemas.openxmlformats.org/officeDocument/2006/relationships" r:id="rId14"/>
          <a:extLst>
            <a:ext uri="{FF2B5EF4-FFF2-40B4-BE49-F238E27FC236}">
              <a16:creationId xmlns:a16="http://schemas.microsoft.com/office/drawing/2014/main" id="{00000000-0008-0000-0E00-000018000000}"/>
            </a:ext>
          </a:extLst>
        </xdr:cNvPr>
        <xdr:cNvSpPr/>
      </xdr:nvSpPr>
      <xdr:spPr>
        <a:xfrm>
          <a:off x="53244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V</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841875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866775</xdr:colOff>
      <xdr:row>0</xdr:row>
      <xdr:rowOff>85725</xdr:rowOff>
    </xdr:from>
    <xdr:to>
      <xdr:col>5</xdr:col>
      <xdr:colOff>899025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923925</xdr:colOff>
      <xdr:row>0</xdr:row>
      <xdr:rowOff>85725</xdr:rowOff>
    </xdr:from>
    <xdr:to>
      <xdr:col>6</xdr:col>
      <xdr:colOff>956175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F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9</xdr:col>
      <xdr:colOff>209550</xdr:colOff>
      <xdr:row>0</xdr:row>
      <xdr:rowOff>85725</xdr:rowOff>
    </xdr:from>
    <xdr:to>
      <xdr:col>10</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F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400050</xdr:colOff>
      <xdr:row>0</xdr:row>
      <xdr:rowOff>85725</xdr:rowOff>
    </xdr:from>
    <xdr:to>
      <xdr:col>11</xdr:col>
      <xdr:colOff>565650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F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590550</xdr:colOff>
      <xdr:row>0</xdr:row>
      <xdr:rowOff>85725</xdr:rowOff>
    </xdr:from>
    <xdr:to>
      <xdr:col>12</xdr:col>
      <xdr:colOff>756150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F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0</xdr:colOff>
      <xdr:row>0</xdr:row>
      <xdr:rowOff>371475</xdr:rowOff>
    </xdr:from>
    <xdr:to>
      <xdr:col>5</xdr:col>
      <xdr:colOff>720000</xdr:colOff>
      <xdr:row>0</xdr:row>
      <xdr:rowOff>388425</xdr:rowOff>
    </xdr:to>
    <xdr:sp macro="" textlink="">
      <xdr:nvSpPr>
        <xdr:cNvPr id="8" name="Retângulo 7">
          <a:extLst>
            <a:ext uri="{FF2B5EF4-FFF2-40B4-BE49-F238E27FC236}">
              <a16:creationId xmlns:a16="http://schemas.microsoft.com/office/drawing/2014/main" id="{00000000-0008-0000-0F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981075</xdr:colOff>
      <xdr:row>0</xdr:row>
      <xdr:rowOff>85725</xdr:rowOff>
    </xdr:from>
    <xdr:to>
      <xdr:col>9</xdr:col>
      <xdr:colOff>184650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F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4</xdr:col>
      <xdr:colOff>327525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F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F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F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F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F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342900</xdr:colOff>
      <xdr:row>1</xdr:row>
      <xdr:rowOff>142875</xdr:rowOff>
    </xdr:from>
    <xdr:to>
      <xdr:col>5</xdr:col>
      <xdr:colOff>375150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F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a:t>
          </a:r>
        </a:p>
      </xdr:txBody>
    </xdr:sp>
    <xdr:clientData/>
  </xdr:twoCellAnchor>
  <xdr:twoCellAnchor editAs="absolute">
    <xdr:from>
      <xdr:col>5</xdr:col>
      <xdr:colOff>390525</xdr:colOff>
      <xdr:row>1</xdr:row>
      <xdr:rowOff>142875</xdr:rowOff>
    </xdr:from>
    <xdr:to>
      <xdr:col>6</xdr:col>
      <xdr:colOff>422775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F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Tabelas</a:t>
          </a:r>
        </a:p>
      </xdr:txBody>
    </xdr:sp>
    <xdr:clientData/>
  </xdr:twoCellAnchor>
  <xdr:twoCellAnchor editAs="absolute">
    <xdr:from>
      <xdr:col>6</xdr:col>
      <xdr:colOff>438150</xdr:colOff>
      <xdr:row>1</xdr:row>
      <xdr:rowOff>142875</xdr:rowOff>
    </xdr:from>
    <xdr:to>
      <xdr:col>8</xdr:col>
      <xdr:colOff>89400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F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Consulta</a:t>
          </a:r>
        </a:p>
      </xdr:txBody>
    </xdr:sp>
    <xdr:clientData/>
  </xdr:twoCellAnchor>
  <xdr:twoCellAnchor editAs="absolute">
    <xdr:from>
      <xdr:col>1</xdr:col>
      <xdr:colOff>104774</xdr:colOff>
      <xdr:row>2</xdr:row>
      <xdr:rowOff>581025</xdr:rowOff>
    </xdr:from>
    <xdr:to>
      <xdr:col>9</xdr:col>
      <xdr:colOff>895124</xdr:colOff>
      <xdr:row>2</xdr:row>
      <xdr:rowOff>581025</xdr:rowOff>
    </xdr:to>
    <xdr:cxnSp macro="">
      <xdr:nvCxnSpPr>
        <xdr:cNvPr id="19" name="Conector reto 18">
          <a:extLst>
            <a:ext uri="{FF2B5EF4-FFF2-40B4-BE49-F238E27FC236}">
              <a16:creationId xmlns:a16="http://schemas.microsoft.com/office/drawing/2014/main" id="{00000000-0008-0000-0F00-000013000000}"/>
            </a:ext>
          </a:extLst>
        </xdr:cNvPr>
        <xdr:cNvCxnSpPr/>
      </xdr:nvCxnSpPr>
      <xdr:spPr>
        <a:xfrm>
          <a:off x="219074" y="1400175"/>
          <a:ext cx="637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266700</xdr:rowOff>
    </xdr:from>
    <xdr:to>
      <xdr:col>3</xdr:col>
      <xdr:colOff>802800</xdr:colOff>
      <xdr:row>2</xdr:row>
      <xdr:rowOff>554700</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F00-000014000000}"/>
            </a:ext>
          </a:extLst>
        </xdr:cNvPr>
        <xdr:cNvSpPr/>
      </xdr:nvSpPr>
      <xdr:spPr>
        <a:xfrm>
          <a:off x="2190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Comércio</a:t>
          </a:r>
        </a:p>
      </xdr:txBody>
    </xdr:sp>
    <xdr:clientData/>
  </xdr:twoCellAnchor>
  <xdr:twoCellAnchor editAs="absolute">
    <xdr:from>
      <xdr:col>3</xdr:col>
      <xdr:colOff>819150</xdr:colOff>
      <xdr:row>2</xdr:row>
      <xdr:rowOff>266700</xdr:rowOff>
    </xdr:from>
    <xdr:to>
      <xdr:col>4</xdr:col>
      <xdr:colOff>1031400</xdr:colOff>
      <xdr:row>2</xdr:row>
      <xdr:rowOff>554700</xdr:rowOff>
    </xdr:to>
    <xdr:sp macro="" textlink="">
      <xdr:nvSpPr>
        <xdr:cNvPr id="21" name="Retângulo 20">
          <a:hlinkClick xmlns:r="http://schemas.openxmlformats.org/officeDocument/2006/relationships" r:id="rId11"/>
          <a:extLst>
            <a:ext uri="{FF2B5EF4-FFF2-40B4-BE49-F238E27FC236}">
              <a16:creationId xmlns:a16="http://schemas.microsoft.com/office/drawing/2014/main" id="{00000000-0008-0000-0F00-000015000000}"/>
            </a:ext>
          </a:extLst>
        </xdr:cNvPr>
        <xdr:cNvSpPr/>
      </xdr:nvSpPr>
      <xdr:spPr>
        <a:xfrm>
          <a:off x="14954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Indústria</a:t>
          </a:r>
        </a:p>
      </xdr:txBody>
    </xdr:sp>
    <xdr:clientData/>
  </xdr:twoCellAnchor>
  <xdr:twoCellAnchor editAs="absolute">
    <xdr:from>
      <xdr:col>5</xdr:col>
      <xdr:colOff>0</xdr:colOff>
      <xdr:row>2</xdr:row>
      <xdr:rowOff>266700</xdr:rowOff>
    </xdr:from>
    <xdr:to>
      <xdr:col>6</xdr:col>
      <xdr:colOff>212250</xdr:colOff>
      <xdr:row>2</xdr:row>
      <xdr:rowOff>554700</xdr:rowOff>
    </xdr:to>
    <xdr:sp macro="" textlink="">
      <xdr:nvSpPr>
        <xdr:cNvPr id="22" name="Retângulo 21">
          <a:hlinkClick xmlns:r="http://schemas.openxmlformats.org/officeDocument/2006/relationships" r:id="rId12"/>
          <a:extLst>
            <a:ext uri="{FF2B5EF4-FFF2-40B4-BE49-F238E27FC236}">
              <a16:creationId xmlns:a16="http://schemas.microsoft.com/office/drawing/2014/main" id="{00000000-0008-0000-0F00-000016000000}"/>
            </a:ext>
          </a:extLst>
        </xdr:cNvPr>
        <xdr:cNvSpPr/>
      </xdr:nvSpPr>
      <xdr:spPr>
        <a:xfrm>
          <a:off x="27717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III</a:t>
          </a:r>
        </a:p>
      </xdr:txBody>
    </xdr:sp>
    <xdr:clientData/>
  </xdr:twoCellAnchor>
  <xdr:twoCellAnchor editAs="absolute">
    <xdr:from>
      <xdr:col>6</xdr:col>
      <xdr:colOff>228600</xdr:colOff>
      <xdr:row>2</xdr:row>
      <xdr:rowOff>266700</xdr:rowOff>
    </xdr:from>
    <xdr:to>
      <xdr:col>8</xdr:col>
      <xdr:colOff>59850</xdr:colOff>
      <xdr:row>2</xdr:row>
      <xdr:rowOff>554700</xdr:rowOff>
    </xdr:to>
    <xdr:sp macro="" textlink="">
      <xdr:nvSpPr>
        <xdr:cNvPr id="23" name="Retângulo 22">
          <a:hlinkClick xmlns:r="http://schemas.openxmlformats.org/officeDocument/2006/relationships" r:id="rId13"/>
          <a:extLst>
            <a:ext uri="{FF2B5EF4-FFF2-40B4-BE49-F238E27FC236}">
              <a16:creationId xmlns:a16="http://schemas.microsoft.com/office/drawing/2014/main" id="{00000000-0008-0000-0F00-000017000000}"/>
            </a:ext>
          </a:extLst>
        </xdr:cNvPr>
        <xdr:cNvSpPr/>
      </xdr:nvSpPr>
      <xdr:spPr>
        <a:xfrm>
          <a:off x="4048125" y="1085850"/>
          <a:ext cx="1260000" cy="28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Anexo</a:t>
          </a:r>
          <a:r>
            <a:rPr lang="pt-BR" sz="1000" baseline="0">
              <a:solidFill>
                <a:schemeClr val="bg1"/>
              </a:solidFill>
            </a:rPr>
            <a:t> IV</a:t>
          </a:r>
          <a:endParaRPr lang="pt-BR" sz="1000">
            <a:solidFill>
              <a:schemeClr val="bg1"/>
            </a:solidFill>
          </a:endParaRPr>
        </a:p>
      </xdr:txBody>
    </xdr:sp>
    <xdr:clientData/>
  </xdr:twoCellAnchor>
  <xdr:twoCellAnchor editAs="absolute">
    <xdr:from>
      <xdr:col>8</xdr:col>
      <xdr:colOff>76200</xdr:colOff>
      <xdr:row>2</xdr:row>
      <xdr:rowOff>266700</xdr:rowOff>
    </xdr:from>
    <xdr:to>
      <xdr:col>9</xdr:col>
      <xdr:colOff>888525</xdr:colOff>
      <xdr:row>2</xdr:row>
      <xdr:rowOff>554700</xdr:rowOff>
    </xdr:to>
    <xdr:sp macro="" textlink="">
      <xdr:nvSpPr>
        <xdr:cNvPr id="24" name="Retângulo 23">
          <a:hlinkClick xmlns:r="http://schemas.openxmlformats.org/officeDocument/2006/relationships" r:id="rId14"/>
          <a:extLst>
            <a:ext uri="{FF2B5EF4-FFF2-40B4-BE49-F238E27FC236}">
              <a16:creationId xmlns:a16="http://schemas.microsoft.com/office/drawing/2014/main" id="{00000000-0008-0000-0F00-000018000000}"/>
            </a:ext>
          </a:extLst>
        </xdr:cNvPr>
        <xdr:cNvSpPr/>
      </xdr:nvSpPr>
      <xdr:spPr>
        <a:xfrm>
          <a:off x="53244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V</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841875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866775</xdr:colOff>
      <xdr:row>0</xdr:row>
      <xdr:rowOff>85725</xdr:rowOff>
    </xdr:from>
    <xdr:to>
      <xdr:col>5</xdr:col>
      <xdr:colOff>899025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0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923925</xdr:colOff>
      <xdr:row>0</xdr:row>
      <xdr:rowOff>85725</xdr:rowOff>
    </xdr:from>
    <xdr:to>
      <xdr:col>6</xdr:col>
      <xdr:colOff>956175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0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9</xdr:col>
      <xdr:colOff>209550</xdr:colOff>
      <xdr:row>0</xdr:row>
      <xdr:rowOff>85725</xdr:rowOff>
    </xdr:from>
    <xdr:to>
      <xdr:col>10</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0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400050</xdr:colOff>
      <xdr:row>0</xdr:row>
      <xdr:rowOff>85725</xdr:rowOff>
    </xdr:from>
    <xdr:to>
      <xdr:col>11</xdr:col>
      <xdr:colOff>565650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0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590550</xdr:colOff>
      <xdr:row>0</xdr:row>
      <xdr:rowOff>85725</xdr:rowOff>
    </xdr:from>
    <xdr:to>
      <xdr:col>12</xdr:col>
      <xdr:colOff>756150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0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0</xdr:colOff>
      <xdr:row>0</xdr:row>
      <xdr:rowOff>371475</xdr:rowOff>
    </xdr:from>
    <xdr:to>
      <xdr:col>5</xdr:col>
      <xdr:colOff>720000</xdr:colOff>
      <xdr:row>0</xdr:row>
      <xdr:rowOff>388425</xdr:rowOff>
    </xdr:to>
    <xdr:sp macro="" textlink="">
      <xdr:nvSpPr>
        <xdr:cNvPr id="8" name="Retângulo 7">
          <a:extLst>
            <a:ext uri="{FF2B5EF4-FFF2-40B4-BE49-F238E27FC236}">
              <a16:creationId xmlns:a16="http://schemas.microsoft.com/office/drawing/2014/main" id="{00000000-0008-0000-10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981075</xdr:colOff>
      <xdr:row>0</xdr:row>
      <xdr:rowOff>85725</xdr:rowOff>
    </xdr:from>
    <xdr:to>
      <xdr:col>9</xdr:col>
      <xdr:colOff>184650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0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4</xdr:col>
      <xdr:colOff>327525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10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0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0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0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0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342900</xdr:colOff>
      <xdr:row>1</xdr:row>
      <xdr:rowOff>142875</xdr:rowOff>
    </xdr:from>
    <xdr:to>
      <xdr:col>5</xdr:col>
      <xdr:colOff>375150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0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a:t>
          </a:r>
        </a:p>
      </xdr:txBody>
    </xdr:sp>
    <xdr:clientData/>
  </xdr:twoCellAnchor>
  <xdr:twoCellAnchor editAs="absolute">
    <xdr:from>
      <xdr:col>5</xdr:col>
      <xdr:colOff>390525</xdr:colOff>
      <xdr:row>1</xdr:row>
      <xdr:rowOff>142875</xdr:rowOff>
    </xdr:from>
    <xdr:to>
      <xdr:col>6</xdr:col>
      <xdr:colOff>422775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0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Tabelas</a:t>
          </a:r>
        </a:p>
      </xdr:txBody>
    </xdr:sp>
    <xdr:clientData/>
  </xdr:twoCellAnchor>
  <xdr:twoCellAnchor editAs="absolute">
    <xdr:from>
      <xdr:col>6</xdr:col>
      <xdr:colOff>438150</xdr:colOff>
      <xdr:row>1</xdr:row>
      <xdr:rowOff>142875</xdr:rowOff>
    </xdr:from>
    <xdr:to>
      <xdr:col>8</xdr:col>
      <xdr:colOff>89400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0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Consulta</a:t>
          </a:r>
        </a:p>
      </xdr:txBody>
    </xdr:sp>
    <xdr:clientData/>
  </xdr:twoCellAnchor>
  <xdr:twoCellAnchor editAs="absolute">
    <xdr:from>
      <xdr:col>1</xdr:col>
      <xdr:colOff>104774</xdr:colOff>
      <xdr:row>2</xdr:row>
      <xdr:rowOff>581025</xdr:rowOff>
    </xdr:from>
    <xdr:to>
      <xdr:col>9</xdr:col>
      <xdr:colOff>895124</xdr:colOff>
      <xdr:row>2</xdr:row>
      <xdr:rowOff>581025</xdr:rowOff>
    </xdr:to>
    <xdr:cxnSp macro="">
      <xdr:nvCxnSpPr>
        <xdr:cNvPr id="19" name="Conector reto 18">
          <a:extLst>
            <a:ext uri="{FF2B5EF4-FFF2-40B4-BE49-F238E27FC236}">
              <a16:creationId xmlns:a16="http://schemas.microsoft.com/office/drawing/2014/main" id="{00000000-0008-0000-1000-000013000000}"/>
            </a:ext>
          </a:extLst>
        </xdr:cNvPr>
        <xdr:cNvCxnSpPr/>
      </xdr:nvCxnSpPr>
      <xdr:spPr>
        <a:xfrm>
          <a:off x="219074" y="1400175"/>
          <a:ext cx="637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266700</xdr:rowOff>
    </xdr:from>
    <xdr:to>
      <xdr:col>3</xdr:col>
      <xdr:colOff>802800</xdr:colOff>
      <xdr:row>2</xdr:row>
      <xdr:rowOff>554700</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1000-000014000000}"/>
            </a:ext>
          </a:extLst>
        </xdr:cNvPr>
        <xdr:cNvSpPr/>
      </xdr:nvSpPr>
      <xdr:spPr>
        <a:xfrm>
          <a:off x="2190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Comércio</a:t>
          </a:r>
        </a:p>
      </xdr:txBody>
    </xdr:sp>
    <xdr:clientData/>
  </xdr:twoCellAnchor>
  <xdr:twoCellAnchor editAs="absolute">
    <xdr:from>
      <xdr:col>3</xdr:col>
      <xdr:colOff>819150</xdr:colOff>
      <xdr:row>2</xdr:row>
      <xdr:rowOff>266700</xdr:rowOff>
    </xdr:from>
    <xdr:to>
      <xdr:col>4</xdr:col>
      <xdr:colOff>1031400</xdr:colOff>
      <xdr:row>2</xdr:row>
      <xdr:rowOff>554700</xdr:rowOff>
    </xdr:to>
    <xdr:sp macro="" textlink="">
      <xdr:nvSpPr>
        <xdr:cNvPr id="21" name="Retângulo 20">
          <a:hlinkClick xmlns:r="http://schemas.openxmlformats.org/officeDocument/2006/relationships" r:id="rId11"/>
          <a:extLst>
            <a:ext uri="{FF2B5EF4-FFF2-40B4-BE49-F238E27FC236}">
              <a16:creationId xmlns:a16="http://schemas.microsoft.com/office/drawing/2014/main" id="{00000000-0008-0000-1000-000015000000}"/>
            </a:ext>
          </a:extLst>
        </xdr:cNvPr>
        <xdr:cNvSpPr/>
      </xdr:nvSpPr>
      <xdr:spPr>
        <a:xfrm>
          <a:off x="14954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Indústria</a:t>
          </a:r>
        </a:p>
      </xdr:txBody>
    </xdr:sp>
    <xdr:clientData/>
  </xdr:twoCellAnchor>
  <xdr:twoCellAnchor editAs="absolute">
    <xdr:from>
      <xdr:col>5</xdr:col>
      <xdr:colOff>0</xdr:colOff>
      <xdr:row>2</xdr:row>
      <xdr:rowOff>266700</xdr:rowOff>
    </xdr:from>
    <xdr:to>
      <xdr:col>6</xdr:col>
      <xdr:colOff>212250</xdr:colOff>
      <xdr:row>2</xdr:row>
      <xdr:rowOff>554700</xdr:rowOff>
    </xdr:to>
    <xdr:sp macro="" textlink="">
      <xdr:nvSpPr>
        <xdr:cNvPr id="22" name="Retângulo 21">
          <a:hlinkClick xmlns:r="http://schemas.openxmlformats.org/officeDocument/2006/relationships" r:id="rId12"/>
          <a:extLst>
            <a:ext uri="{FF2B5EF4-FFF2-40B4-BE49-F238E27FC236}">
              <a16:creationId xmlns:a16="http://schemas.microsoft.com/office/drawing/2014/main" id="{00000000-0008-0000-1000-000016000000}"/>
            </a:ext>
          </a:extLst>
        </xdr:cNvPr>
        <xdr:cNvSpPr/>
      </xdr:nvSpPr>
      <xdr:spPr>
        <a:xfrm>
          <a:off x="27717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III</a:t>
          </a:r>
        </a:p>
      </xdr:txBody>
    </xdr:sp>
    <xdr:clientData/>
  </xdr:twoCellAnchor>
  <xdr:twoCellAnchor editAs="absolute">
    <xdr:from>
      <xdr:col>6</xdr:col>
      <xdr:colOff>228600</xdr:colOff>
      <xdr:row>2</xdr:row>
      <xdr:rowOff>266700</xdr:rowOff>
    </xdr:from>
    <xdr:to>
      <xdr:col>8</xdr:col>
      <xdr:colOff>59850</xdr:colOff>
      <xdr:row>2</xdr:row>
      <xdr:rowOff>554700</xdr:rowOff>
    </xdr:to>
    <xdr:sp macro="" textlink="">
      <xdr:nvSpPr>
        <xdr:cNvPr id="23" name="Retângulo 22">
          <a:hlinkClick xmlns:r="http://schemas.openxmlformats.org/officeDocument/2006/relationships" r:id="rId13"/>
          <a:extLst>
            <a:ext uri="{FF2B5EF4-FFF2-40B4-BE49-F238E27FC236}">
              <a16:creationId xmlns:a16="http://schemas.microsoft.com/office/drawing/2014/main" id="{00000000-0008-0000-1000-000017000000}"/>
            </a:ext>
          </a:extLst>
        </xdr:cNvPr>
        <xdr:cNvSpPr/>
      </xdr:nvSpPr>
      <xdr:spPr>
        <a:xfrm>
          <a:off x="40481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a:t>
          </a:r>
          <a:r>
            <a:rPr lang="pt-BR" sz="1000" baseline="0">
              <a:solidFill>
                <a:schemeClr val="tx1">
                  <a:lumMod val="65000"/>
                  <a:lumOff val="35000"/>
                </a:schemeClr>
              </a:solidFill>
            </a:rPr>
            <a:t> IV</a:t>
          </a:r>
          <a:endParaRPr lang="pt-BR" sz="1000">
            <a:solidFill>
              <a:schemeClr val="tx1">
                <a:lumMod val="65000"/>
                <a:lumOff val="35000"/>
              </a:schemeClr>
            </a:solidFill>
          </a:endParaRPr>
        </a:p>
      </xdr:txBody>
    </xdr:sp>
    <xdr:clientData/>
  </xdr:twoCellAnchor>
  <xdr:twoCellAnchor editAs="absolute">
    <xdr:from>
      <xdr:col>8</xdr:col>
      <xdr:colOff>76200</xdr:colOff>
      <xdr:row>2</xdr:row>
      <xdr:rowOff>266700</xdr:rowOff>
    </xdr:from>
    <xdr:to>
      <xdr:col>9</xdr:col>
      <xdr:colOff>888525</xdr:colOff>
      <xdr:row>2</xdr:row>
      <xdr:rowOff>554700</xdr:rowOff>
    </xdr:to>
    <xdr:sp macro="" textlink="">
      <xdr:nvSpPr>
        <xdr:cNvPr id="24" name="Retângulo 23">
          <a:hlinkClick xmlns:r="http://schemas.openxmlformats.org/officeDocument/2006/relationships" r:id="rId14"/>
          <a:extLst>
            <a:ext uri="{FF2B5EF4-FFF2-40B4-BE49-F238E27FC236}">
              <a16:creationId xmlns:a16="http://schemas.microsoft.com/office/drawing/2014/main" id="{00000000-0008-0000-1000-000018000000}"/>
            </a:ext>
          </a:extLst>
        </xdr:cNvPr>
        <xdr:cNvSpPr/>
      </xdr:nvSpPr>
      <xdr:spPr>
        <a:xfrm>
          <a:off x="5324475" y="1085850"/>
          <a:ext cx="1260000" cy="28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Anexo V</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2</xdr:col>
      <xdr:colOff>2337300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2</xdr:col>
      <xdr:colOff>2362200</xdr:colOff>
      <xdr:row>0</xdr:row>
      <xdr:rowOff>85725</xdr:rowOff>
    </xdr:from>
    <xdr:to>
      <xdr:col>2</xdr:col>
      <xdr:colOff>3442200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1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2</xdr:col>
      <xdr:colOff>3467100</xdr:colOff>
      <xdr:row>0</xdr:row>
      <xdr:rowOff>85725</xdr:rowOff>
    </xdr:from>
    <xdr:to>
      <xdr:col>3</xdr:col>
      <xdr:colOff>498975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1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4</xdr:col>
      <xdr:colOff>247650</xdr:colOff>
      <xdr:row>0</xdr:row>
      <xdr:rowOff>85725</xdr:rowOff>
    </xdr:from>
    <xdr:to>
      <xdr:col>5</xdr:col>
      <xdr:colOff>946650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1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971550</xdr:colOff>
      <xdr:row>0</xdr:row>
      <xdr:rowOff>85725</xdr:rowOff>
    </xdr:from>
    <xdr:to>
      <xdr:col>5</xdr:col>
      <xdr:colOff>2051550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1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5</xdr:col>
      <xdr:colOff>2076450</xdr:colOff>
      <xdr:row>0</xdr:row>
      <xdr:rowOff>85725</xdr:rowOff>
    </xdr:from>
    <xdr:to>
      <xdr:col>6</xdr:col>
      <xdr:colOff>51300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1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2</xdr:col>
      <xdr:colOff>3657600</xdr:colOff>
      <xdr:row>0</xdr:row>
      <xdr:rowOff>371475</xdr:rowOff>
    </xdr:from>
    <xdr:to>
      <xdr:col>3</xdr:col>
      <xdr:colOff>329475</xdr:colOff>
      <xdr:row>0</xdr:row>
      <xdr:rowOff>388425</xdr:rowOff>
    </xdr:to>
    <xdr:sp macro="" textlink="">
      <xdr:nvSpPr>
        <xdr:cNvPr id="8" name="Retângulo 7">
          <a:extLst>
            <a:ext uri="{FF2B5EF4-FFF2-40B4-BE49-F238E27FC236}">
              <a16:creationId xmlns:a16="http://schemas.microsoft.com/office/drawing/2014/main" id="{00000000-0008-0000-11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3</xdr:col>
      <xdr:colOff>523875</xdr:colOff>
      <xdr:row>0</xdr:row>
      <xdr:rowOff>85725</xdr:rowOff>
    </xdr:from>
    <xdr:to>
      <xdr:col>4</xdr:col>
      <xdr:colOff>222750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1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2</xdr:col>
      <xdr:colOff>1822950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1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Faturamento</a:t>
          </a:r>
        </a:p>
      </xdr:txBody>
    </xdr:sp>
    <xdr:clientData/>
  </xdr:twoCellAnchor>
  <xdr:twoCellAnchor editAs="absolute">
    <xdr:from>
      <xdr:col>1</xdr:col>
      <xdr:colOff>2804</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100-00000B000000}"/>
            </a:ext>
          </a:extLst>
        </xdr:cNvPr>
        <xdr:cNvGrpSpPr/>
      </xdr:nvGrpSpPr>
      <xdr:grpSpPr>
        <a:xfrm>
          <a:off x="117104" y="0"/>
          <a:ext cx="899855" cy="428625"/>
          <a:chOff x="142504" y="66675"/>
          <a:chExt cx="903030" cy="534208"/>
        </a:xfrm>
      </xdr:grpSpPr>
      <xdr:sp macro="" textlink="">
        <xdr:nvSpPr>
          <xdr:cNvPr id="12" name="CaixaDeTexto 11">
            <a:extLst>
              <a:ext uri="{FF2B5EF4-FFF2-40B4-BE49-F238E27FC236}">
                <a16:creationId xmlns:a16="http://schemas.microsoft.com/office/drawing/2014/main" id="{00000000-0008-0000-11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1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1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1838325</xdr:colOff>
      <xdr:row>1</xdr:row>
      <xdr:rowOff>142875</xdr:rowOff>
    </xdr:from>
    <xdr:to>
      <xdr:col>2</xdr:col>
      <xdr:colOff>2918325</xdr:colOff>
      <xdr:row>2</xdr:row>
      <xdr:rowOff>13875</xdr:rowOff>
    </xdr:to>
    <xdr:sp macro="" textlink="">
      <xdr:nvSpPr>
        <xdr:cNvPr id="24" name="Retângulo 23">
          <a:hlinkClick xmlns:r="http://schemas.openxmlformats.org/officeDocument/2006/relationships" r:id="rId8"/>
          <a:extLst>
            <a:ext uri="{FF2B5EF4-FFF2-40B4-BE49-F238E27FC236}">
              <a16:creationId xmlns:a16="http://schemas.microsoft.com/office/drawing/2014/main" id="{00000000-0008-0000-1100-000018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Anexos</a:t>
          </a:r>
        </a:p>
      </xdr:txBody>
    </xdr:sp>
    <xdr:clientData/>
  </xdr:twoCellAnchor>
  <xdr:oneCellAnchor>
    <xdr:from>
      <xdr:col>4</xdr:col>
      <xdr:colOff>76200</xdr:colOff>
      <xdr:row>8</xdr:row>
      <xdr:rowOff>76200</xdr:rowOff>
    </xdr:from>
    <xdr:ext cx="3208251" cy="405367"/>
    <xdr:sp macro="" textlink="">
      <xdr:nvSpPr>
        <xdr:cNvPr id="15" name="CaixaDeTexto 14">
          <a:extLst>
            <a:ext uri="{FF2B5EF4-FFF2-40B4-BE49-F238E27FC236}">
              <a16:creationId xmlns:a16="http://schemas.microsoft.com/office/drawing/2014/main" id="{00000000-0008-0000-1100-00000F000000}"/>
            </a:ext>
          </a:extLst>
        </xdr:cNvPr>
        <xdr:cNvSpPr txBox="1"/>
      </xdr:nvSpPr>
      <xdr:spPr>
        <a:xfrm>
          <a:off x="5734050" y="3838575"/>
          <a:ext cx="3208251"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 Aqui também pode ser preenchido</a:t>
          </a:r>
          <a:r>
            <a:rPr lang="pt-BR" sz="1000" baseline="0">
              <a:solidFill>
                <a:srgbClr val="FB5A56"/>
              </a:solidFill>
            </a:rPr>
            <a:t> por</a:t>
          </a:r>
        </a:p>
        <a:p>
          <a:r>
            <a:rPr lang="pt-BR" sz="1000" baseline="0">
              <a:solidFill>
                <a:srgbClr val="FB5A56"/>
              </a:solidFill>
            </a:rPr>
            <a:t>     parte do faturamento </a:t>
          </a:r>
          <a:r>
            <a:rPr lang="pt-BR" sz="1000" b="1" baseline="0">
              <a:solidFill>
                <a:srgbClr val="FB5A56"/>
              </a:solidFill>
            </a:rPr>
            <a:t>que não tenha incidência de ISS</a:t>
          </a:r>
          <a:r>
            <a:rPr lang="pt-BR" sz="1000" baseline="0">
              <a:solidFill>
                <a:srgbClr val="FB5A56"/>
              </a:solidFill>
            </a:rPr>
            <a:t>.</a:t>
          </a:r>
          <a:endParaRPr lang="pt-BR" sz="1000">
            <a:solidFill>
              <a:srgbClr val="FB5A56"/>
            </a:solidFill>
          </a:endParaRPr>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3</xdr:col>
      <xdr:colOff>381000</xdr:colOff>
      <xdr:row>0</xdr:row>
      <xdr:rowOff>85725</xdr:rowOff>
    </xdr:from>
    <xdr:to>
      <xdr:col>4</xdr:col>
      <xdr:colOff>584700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609600</xdr:colOff>
      <xdr:row>0</xdr:row>
      <xdr:rowOff>85725</xdr:rowOff>
    </xdr:from>
    <xdr:to>
      <xdr:col>5</xdr:col>
      <xdr:colOff>813300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838200</xdr:colOff>
      <xdr:row>0</xdr:row>
      <xdr:rowOff>85725</xdr:rowOff>
    </xdr:from>
    <xdr:to>
      <xdr:col>7</xdr:col>
      <xdr:colOff>165600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419100</xdr:colOff>
      <xdr:row>0</xdr:row>
      <xdr:rowOff>85725</xdr:rowOff>
    </xdr:from>
    <xdr:to>
      <xdr:col>9</xdr:col>
      <xdr:colOff>622800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647700</xdr:colOff>
      <xdr:row>0</xdr:row>
      <xdr:rowOff>85725</xdr:rowOff>
    </xdr:from>
    <xdr:to>
      <xdr:col>10</xdr:col>
      <xdr:colOff>851400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0</xdr:colOff>
      <xdr:row>0</xdr:row>
      <xdr:rowOff>85725</xdr:rowOff>
    </xdr:from>
    <xdr:to>
      <xdr:col>12</xdr:col>
      <xdr:colOff>203700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12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190500</xdr:colOff>
      <xdr:row>0</xdr:row>
      <xdr:rowOff>85725</xdr:rowOff>
    </xdr:from>
    <xdr:to>
      <xdr:col>8</xdr:col>
      <xdr:colOff>394200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70350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2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2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2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2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2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xdr:from>
      <xdr:col>7</xdr:col>
      <xdr:colOff>866775</xdr:colOff>
      <xdr:row>4</xdr:row>
      <xdr:rowOff>142875</xdr:rowOff>
    </xdr:from>
    <xdr:to>
      <xdr:col>8</xdr:col>
      <xdr:colOff>170475</xdr:colOff>
      <xdr:row>4</xdr:row>
      <xdr:rowOff>322875</xdr:rowOff>
    </xdr:to>
    <xdr:sp macro="" textlink="">
      <xdr:nvSpPr>
        <xdr:cNvPr id="17" name="Sinal de Multiplicação 16">
          <a:extLst>
            <a:ext uri="{FF2B5EF4-FFF2-40B4-BE49-F238E27FC236}">
              <a16:creationId xmlns:a16="http://schemas.microsoft.com/office/drawing/2014/main" id="{00000000-0008-0000-1200-000011000000}"/>
            </a:ext>
          </a:extLst>
        </xdr:cNvPr>
        <xdr:cNvSpPr/>
      </xdr:nvSpPr>
      <xdr:spPr>
        <a:xfrm>
          <a:off x="5476875" y="2124075"/>
          <a:ext cx="180000" cy="180000"/>
        </a:xfrm>
        <a:prstGeom prst="mathMultiply">
          <a:avLst>
            <a:gd name="adj1" fmla="val 0"/>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771525</xdr:colOff>
      <xdr:row>4</xdr:row>
      <xdr:rowOff>219075</xdr:rowOff>
    </xdr:from>
    <xdr:to>
      <xdr:col>9</xdr:col>
      <xdr:colOff>75225</xdr:colOff>
      <xdr:row>4</xdr:row>
      <xdr:rowOff>255075</xdr:rowOff>
    </xdr:to>
    <xdr:sp macro="" textlink="">
      <xdr:nvSpPr>
        <xdr:cNvPr id="25" name="Sinal de Subtração 24">
          <a:extLst>
            <a:ext uri="{FF2B5EF4-FFF2-40B4-BE49-F238E27FC236}">
              <a16:creationId xmlns:a16="http://schemas.microsoft.com/office/drawing/2014/main" id="{00000000-0008-0000-1200-000019000000}"/>
            </a:ext>
          </a:extLst>
        </xdr:cNvPr>
        <xdr:cNvSpPr/>
      </xdr:nvSpPr>
      <xdr:spPr>
        <a:xfrm>
          <a:off x="6257925" y="2200275"/>
          <a:ext cx="180000" cy="36000"/>
        </a:xfrm>
        <a:prstGeom prst="mathMinus">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1</xdr:col>
          <xdr:colOff>66675</xdr:colOff>
          <xdr:row>2</xdr:row>
          <xdr:rowOff>876300</xdr:rowOff>
        </xdr:from>
        <xdr:to>
          <xdr:col>6</xdr:col>
          <xdr:colOff>666750</xdr:colOff>
          <xdr:row>6</xdr:row>
          <xdr:rowOff>9525</xdr:rowOff>
        </xdr:to>
        <xdr:sp macro="" textlink="">
          <xdr:nvSpPr>
            <xdr:cNvPr id="8195" name="Group Box 3" hidden="1">
              <a:extLst>
                <a:ext uri="{63B3BB69-23CF-44E3-9099-C40C66FF867C}">
                  <a14:compatExt spid="_x0000_s8195"/>
                </a:ext>
                <a:ext uri="{FF2B5EF4-FFF2-40B4-BE49-F238E27FC236}">
                  <a16:creationId xmlns:a16="http://schemas.microsoft.com/office/drawing/2014/main" id="{00000000-0008-0000-1200-00000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Fórmula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752475</xdr:colOff>
          <xdr:row>2</xdr:row>
          <xdr:rowOff>876300</xdr:rowOff>
        </xdr:from>
        <xdr:to>
          <xdr:col>16</xdr:col>
          <xdr:colOff>85725</xdr:colOff>
          <xdr:row>6</xdr:row>
          <xdr:rowOff>9525</xdr:rowOff>
        </xdr:to>
        <xdr:sp macro="" textlink="">
          <xdr:nvSpPr>
            <xdr:cNvPr id="8196" name="Group Box 4" hidden="1">
              <a:extLst>
                <a:ext uri="{63B3BB69-23CF-44E3-9099-C40C66FF867C}">
                  <a14:compatExt spid="_x0000_s8196"/>
                </a:ext>
                <a:ext uri="{FF2B5EF4-FFF2-40B4-BE49-F238E27FC236}">
                  <a16:creationId xmlns:a16="http://schemas.microsoft.com/office/drawing/2014/main" id="{00000000-0008-0000-1200-00000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Cálculo</a:t>
              </a:r>
            </a:p>
          </xdr:txBody>
        </xdr:sp>
        <xdr:clientData/>
      </xdr:twoCellAnchor>
    </mc:Choice>
    <mc:Fallback/>
  </mc:AlternateContent>
  <xdr:twoCellAnchor>
    <xdr:from>
      <xdr:col>10</xdr:col>
      <xdr:colOff>352425</xdr:colOff>
      <xdr:row>4</xdr:row>
      <xdr:rowOff>304800</xdr:rowOff>
    </xdr:from>
    <xdr:to>
      <xdr:col>10</xdr:col>
      <xdr:colOff>532425</xdr:colOff>
      <xdr:row>5</xdr:row>
      <xdr:rowOff>82650</xdr:rowOff>
    </xdr:to>
    <xdr:sp macro="" textlink="">
      <xdr:nvSpPr>
        <xdr:cNvPr id="26" name="Igual a 25">
          <a:extLst>
            <a:ext uri="{FF2B5EF4-FFF2-40B4-BE49-F238E27FC236}">
              <a16:creationId xmlns:a16="http://schemas.microsoft.com/office/drawing/2014/main" id="{00000000-0008-0000-1200-00001A000000}"/>
            </a:ext>
          </a:extLst>
        </xdr:cNvPr>
        <xdr:cNvSpPr/>
      </xdr:nvSpPr>
      <xdr:spPr>
        <a:xfrm>
          <a:off x="7591425" y="2286000"/>
          <a:ext cx="180000" cy="216000"/>
        </a:xfrm>
        <a:prstGeom prst="mathEqual">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371475</xdr:colOff>
      <xdr:row>4</xdr:row>
      <xdr:rowOff>304800</xdr:rowOff>
    </xdr:from>
    <xdr:to>
      <xdr:col>12</xdr:col>
      <xdr:colOff>551475</xdr:colOff>
      <xdr:row>5</xdr:row>
      <xdr:rowOff>82650</xdr:rowOff>
    </xdr:to>
    <xdr:sp macro="" textlink="">
      <xdr:nvSpPr>
        <xdr:cNvPr id="31" name="Igual a 30">
          <a:extLst>
            <a:ext uri="{FF2B5EF4-FFF2-40B4-BE49-F238E27FC236}">
              <a16:creationId xmlns:a16="http://schemas.microsoft.com/office/drawing/2014/main" id="{00000000-0008-0000-1200-00001F000000}"/>
            </a:ext>
          </a:extLst>
        </xdr:cNvPr>
        <xdr:cNvSpPr/>
      </xdr:nvSpPr>
      <xdr:spPr>
        <a:xfrm>
          <a:off x="9363075" y="2286000"/>
          <a:ext cx="180000" cy="216000"/>
        </a:xfrm>
        <a:prstGeom prst="mathEqual">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11</xdr:col>
          <xdr:colOff>142875</xdr:colOff>
          <xdr:row>6</xdr:row>
          <xdr:rowOff>180975</xdr:rowOff>
        </xdr:from>
        <xdr:to>
          <xdr:col>16</xdr:col>
          <xdr:colOff>85725</xdr:colOff>
          <xdr:row>15</xdr:row>
          <xdr:rowOff>0</xdr:rowOff>
        </xdr:to>
        <xdr:sp macro="" textlink="">
          <xdr:nvSpPr>
            <xdr:cNvPr id="8197" name="Group Box 5" hidden="1">
              <a:extLst>
                <a:ext uri="{63B3BB69-23CF-44E3-9099-C40C66FF867C}">
                  <a14:compatExt spid="_x0000_s8197"/>
                </a:ext>
                <a:ext uri="{FF2B5EF4-FFF2-40B4-BE49-F238E27FC236}">
                  <a16:creationId xmlns:a16="http://schemas.microsoft.com/office/drawing/2014/main" id="{00000000-0008-0000-1200-00000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Observações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xdr:row>
          <xdr:rowOff>180975</xdr:rowOff>
        </xdr:from>
        <xdr:to>
          <xdr:col>16</xdr:col>
          <xdr:colOff>85725</xdr:colOff>
          <xdr:row>24</xdr:row>
          <xdr:rowOff>228600</xdr:rowOff>
        </xdr:to>
        <xdr:sp macro="" textlink="">
          <xdr:nvSpPr>
            <xdr:cNvPr id="8198" name="Group Box 6" hidden="1">
              <a:extLst>
                <a:ext uri="{63B3BB69-23CF-44E3-9099-C40C66FF867C}">
                  <a14:compatExt spid="_x0000_s8198"/>
                </a:ext>
                <a:ext uri="{FF2B5EF4-FFF2-40B4-BE49-F238E27FC236}">
                  <a16:creationId xmlns:a16="http://schemas.microsoft.com/office/drawing/2014/main" id="{00000000-0008-0000-1200-00000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Repartição</a:t>
              </a:r>
            </a:p>
          </xdr:txBody>
        </xdr:sp>
        <xdr:clientData/>
      </xdr:twoCellAnchor>
    </mc:Choice>
    <mc:Fallback/>
  </mc:AlternateContent>
  <xdr:oneCellAnchor>
    <xdr:from>
      <xdr:col>11</xdr:col>
      <xdr:colOff>523875</xdr:colOff>
      <xdr:row>8</xdr:row>
      <xdr:rowOff>209550</xdr:rowOff>
    </xdr:from>
    <xdr:ext cx="3581400" cy="2283574"/>
    <xdr:sp macro="" textlink="">
      <xdr:nvSpPr>
        <xdr:cNvPr id="18" name="CaixaDeTexto 17">
          <a:extLst>
            <a:ext uri="{FF2B5EF4-FFF2-40B4-BE49-F238E27FC236}">
              <a16:creationId xmlns:a16="http://schemas.microsoft.com/office/drawing/2014/main" id="{00000000-0008-0000-1200-000012000000}"/>
            </a:ext>
          </a:extLst>
        </xdr:cNvPr>
        <xdr:cNvSpPr txBox="1"/>
      </xdr:nvSpPr>
      <xdr:spPr>
        <a:xfrm>
          <a:off x="8639175" y="3533775"/>
          <a:ext cx="3581400" cy="2283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a:solidFill>
                <a:srgbClr val="FB5A56"/>
              </a:solidFill>
            </a:rPr>
            <a:t>← Essa</a:t>
          </a:r>
          <a:r>
            <a:rPr lang="pt-BR" sz="1000" baseline="0">
              <a:solidFill>
                <a:srgbClr val="FB5A56"/>
              </a:solidFill>
            </a:rPr>
            <a:t> repartição diz respeito ao valor destinado a cada um dos impostos incidentes sobre o anexo em relação a alíquota efetiva.</a:t>
          </a:r>
        </a:p>
        <a:p>
          <a:endParaRPr lang="pt-BR" sz="1000" baseline="0">
            <a:solidFill>
              <a:srgbClr val="FB5A56"/>
            </a:solidFill>
          </a:endParaRPr>
        </a:p>
        <a:p>
          <a:r>
            <a:rPr lang="pt-BR" sz="1000" baseline="0">
              <a:solidFill>
                <a:srgbClr val="FB5A56"/>
              </a:solidFill>
            </a:rPr>
            <a:t>No final das somas de cada faixa do anexo, o valor total deve ser correspondente ao valor da alíquota efetiva.</a:t>
          </a:r>
        </a:p>
        <a:p>
          <a:endParaRPr lang="pt-BR" sz="1000" baseline="0">
            <a:solidFill>
              <a:srgbClr val="FB5A56"/>
            </a:solidFill>
          </a:endParaRPr>
        </a:p>
        <a:p>
          <a:r>
            <a:rPr lang="pt-BR" sz="1000" baseline="0">
              <a:solidFill>
                <a:srgbClr val="FB5A56"/>
              </a:solidFill>
            </a:rPr>
            <a:t>Abaixo, é feita a divisão do valor do DAS completo (Faturamento declarado x Alíquota Efetiva) em relação ao percentual dividido para cada um dos impostos.</a:t>
          </a:r>
        </a:p>
        <a:p>
          <a:endParaRPr lang="pt-BR" sz="1000" baseline="0">
            <a:solidFill>
              <a:srgbClr val="FB5A56"/>
            </a:solidFill>
          </a:endParaRPr>
        </a:p>
        <a:p>
          <a:r>
            <a:rPr lang="pt-BR" sz="1000" baseline="0">
              <a:solidFill>
                <a:srgbClr val="FB5A56"/>
              </a:solidFill>
            </a:rPr>
            <a:t>A soma de cada uma das faixas, deve ser correspondente ao valor total do DAS apurado.</a:t>
          </a:r>
        </a:p>
        <a:p>
          <a:endParaRPr lang="pt-BR" sz="1000" baseline="0">
            <a:solidFill>
              <a:srgbClr val="FB5A56"/>
            </a:solidFill>
          </a:endParaRPr>
        </a:p>
        <a:p>
          <a:r>
            <a:rPr lang="pt-BR" sz="1000" baseline="0">
              <a:solidFill>
                <a:srgbClr val="FB5A56"/>
              </a:solidFill>
            </a:rPr>
            <a:t>Confira abaixo ↓</a:t>
          </a:r>
        </a:p>
      </xdr:txBody>
    </xdr:sp>
    <xdr:clientData/>
  </xdr:oneCellAnchor>
  <xdr:twoCellAnchor editAs="absolute">
    <xdr:from>
      <xdr:col>4</xdr:col>
      <xdr:colOff>85725</xdr:colOff>
      <xdr:row>1</xdr:row>
      <xdr:rowOff>142875</xdr:rowOff>
    </xdr:from>
    <xdr:to>
      <xdr:col>5</xdr:col>
      <xdr:colOff>289425</xdr:colOff>
      <xdr:row>2</xdr:row>
      <xdr:rowOff>13875</xdr:rowOff>
    </xdr:to>
    <xdr:sp macro="" textlink="">
      <xdr:nvSpPr>
        <xdr:cNvPr id="24" name="Retângulo 23">
          <a:hlinkClick xmlns:r="http://schemas.openxmlformats.org/officeDocument/2006/relationships" r:id="rId8"/>
          <a:extLst>
            <a:ext uri="{FF2B5EF4-FFF2-40B4-BE49-F238E27FC236}">
              <a16:creationId xmlns:a16="http://schemas.microsoft.com/office/drawing/2014/main" id="{00000000-0008-0000-1200-000018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Anexos</a:t>
          </a:r>
        </a:p>
      </xdr:txBody>
    </xdr:sp>
    <xdr:clientData/>
  </xdr:twoCellAnchor>
  <xdr:twoCellAnchor>
    <xdr:from>
      <xdr:col>2</xdr:col>
      <xdr:colOff>314325</xdr:colOff>
      <xdr:row>5</xdr:row>
      <xdr:rowOff>0</xdr:rowOff>
    </xdr:from>
    <xdr:to>
      <xdr:col>6</xdr:col>
      <xdr:colOff>301125</xdr:colOff>
      <xdr:row>5</xdr:row>
      <xdr:rowOff>0</xdr:rowOff>
    </xdr:to>
    <xdr:cxnSp macro="">
      <xdr:nvCxnSpPr>
        <xdr:cNvPr id="16" name="Conector reto 15">
          <a:extLst>
            <a:ext uri="{FF2B5EF4-FFF2-40B4-BE49-F238E27FC236}">
              <a16:creationId xmlns:a16="http://schemas.microsoft.com/office/drawing/2014/main" id="{00000000-0008-0000-1200-000010000000}"/>
            </a:ext>
          </a:extLst>
        </xdr:cNvPr>
        <xdr:cNvCxnSpPr/>
      </xdr:nvCxnSpPr>
      <xdr:spPr>
        <a:xfrm flipV="1">
          <a:off x="542925" y="2419350"/>
          <a:ext cx="3492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76200</xdr:colOff>
      <xdr:row>4</xdr:row>
      <xdr:rowOff>94238</xdr:rowOff>
    </xdr:from>
    <xdr:ext cx="4191000" cy="342786"/>
    <xdr:sp macro="" textlink="">
      <xdr:nvSpPr>
        <xdr:cNvPr id="20" name="CaixaDeTexto 19">
          <a:extLst>
            <a:ext uri="{FF2B5EF4-FFF2-40B4-BE49-F238E27FC236}">
              <a16:creationId xmlns:a16="http://schemas.microsoft.com/office/drawing/2014/main" id="{00000000-0008-0000-1200-000014000000}"/>
            </a:ext>
          </a:extLst>
        </xdr:cNvPr>
        <xdr:cNvSpPr txBox="1"/>
      </xdr:nvSpPr>
      <xdr:spPr>
        <a:xfrm>
          <a:off x="190500" y="2075438"/>
          <a:ext cx="41910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600" b="1">
              <a:solidFill>
                <a:schemeClr val="tx1"/>
              </a:solidFill>
            </a:rPr>
            <a:t>RBT 12 x Alíquota - Parcela à Deduzir</a:t>
          </a:r>
        </a:p>
      </xdr:txBody>
    </xdr:sp>
    <xdr:clientData/>
  </xdr:oneCellAnchor>
  <xdr:oneCellAnchor>
    <xdr:from>
      <xdr:col>1</xdr:col>
      <xdr:colOff>85725</xdr:colOff>
      <xdr:row>5</xdr:row>
      <xdr:rowOff>8513</xdr:rowOff>
    </xdr:from>
    <xdr:ext cx="4191000" cy="342786"/>
    <xdr:sp macro="" textlink="">
      <xdr:nvSpPr>
        <xdr:cNvPr id="32" name="CaixaDeTexto 31">
          <a:extLst>
            <a:ext uri="{FF2B5EF4-FFF2-40B4-BE49-F238E27FC236}">
              <a16:creationId xmlns:a16="http://schemas.microsoft.com/office/drawing/2014/main" id="{00000000-0008-0000-1200-000020000000}"/>
            </a:ext>
          </a:extLst>
        </xdr:cNvPr>
        <xdr:cNvSpPr txBox="1"/>
      </xdr:nvSpPr>
      <xdr:spPr>
        <a:xfrm>
          <a:off x="200025" y="2427863"/>
          <a:ext cx="41910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600" b="1">
              <a:solidFill>
                <a:schemeClr val="tx1"/>
              </a:solidFill>
            </a:rPr>
            <a:t>RBT 12</a:t>
          </a:r>
        </a:p>
      </xdr:txBody>
    </xdr:sp>
    <xdr:clientData/>
  </xdr:oneCellAnchor>
  <xdr:twoCellAnchor editAs="absolute">
    <xdr:from>
      <xdr:col>1</xdr:col>
      <xdr:colOff>104774</xdr:colOff>
      <xdr:row>2</xdr:row>
      <xdr:rowOff>581025</xdr:rowOff>
    </xdr:from>
    <xdr:to>
      <xdr:col>9</xdr:col>
      <xdr:colOff>228374</xdr:colOff>
      <xdr:row>2</xdr:row>
      <xdr:rowOff>581025</xdr:rowOff>
    </xdr:to>
    <xdr:cxnSp macro="">
      <xdr:nvCxnSpPr>
        <xdr:cNvPr id="37" name="Conector reto 36">
          <a:extLst>
            <a:ext uri="{FF2B5EF4-FFF2-40B4-BE49-F238E27FC236}">
              <a16:creationId xmlns:a16="http://schemas.microsoft.com/office/drawing/2014/main" id="{00000000-0008-0000-1200-000025000000}"/>
            </a:ext>
          </a:extLst>
        </xdr:cNvPr>
        <xdr:cNvCxnSpPr/>
      </xdr:nvCxnSpPr>
      <xdr:spPr>
        <a:xfrm>
          <a:off x="219074" y="1400175"/>
          <a:ext cx="637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266700</xdr:rowOff>
    </xdr:from>
    <xdr:to>
      <xdr:col>3</xdr:col>
      <xdr:colOff>374175</xdr:colOff>
      <xdr:row>2</xdr:row>
      <xdr:rowOff>554700</xdr:rowOff>
    </xdr:to>
    <xdr:sp macro="" textlink="">
      <xdr:nvSpPr>
        <xdr:cNvPr id="38" name="Retângulo 37">
          <a:hlinkClick xmlns:r="http://schemas.openxmlformats.org/officeDocument/2006/relationships" r:id="rId8"/>
          <a:extLst>
            <a:ext uri="{FF2B5EF4-FFF2-40B4-BE49-F238E27FC236}">
              <a16:creationId xmlns:a16="http://schemas.microsoft.com/office/drawing/2014/main" id="{00000000-0008-0000-1200-000026000000}"/>
            </a:ext>
          </a:extLst>
        </xdr:cNvPr>
        <xdr:cNvSpPr/>
      </xdr:nvSpPr>
      <xdr:spPr>
        <a:xfrm>
          <a:off x="219075" y="1085850"/>
          <a:ext cx="1260000" cy="28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Comércio</a:t>
          </a:r>
        </a:p>
      </xdr:txBody>
    </xdr:sp>
    <xdr:clientData/>
  </xdr:twoCellAnchor>
  <xdr:twoCellAnchor editAs="absolute">
    <xdr:from>
      <xdr:col>3</xdr:col>
      <xdr:colOff>390525</xdr:colOff>
      <xdr:row>2</xdr:row>
      <xdr:rowOff>266700</xdr:rowOff>
    </xdr:from>
    <xdr:to>
      <xdr:col>4</xdr:col>
      <xdr:colOff>774225</xdr:colOff>
      <xdr:row>2</xdr:row>
      <xdr:rowOff>554700</xdr:rowOff>
    </xdr:to>
    <xdr:sp macro="" textlink="">
      <xdr:nvSpPr>
        <xdr:cNvPr id="39" name="Retângulo 38">
          <a:hlinkClick xmlns:r="http://schemas.openxmlformats.org/officeDocument/2006/relationships" r:id="rId9"/>
          <a:extLst>
            <a:ext uri="{FF2B5EF4-FFF2-40B4-BE49-F238E27FC236}">
              <a16:creationId xmlns:a16="http://schemas.microsoft.com/office/drawing/2014/main" id="{00000000-0008-0000-1200-000027000000}"/>
            </a:ext>
          </a:extLst>
        </xdr:cNvPr>
        <xdr:cNvSpPr/>
      </xdr:nvSpPr>
      <xdr:spPr>
        <a:xfrm>
          <a:off x="14954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Indústria</a:t>
          </a:r>
        </a:p>
      </xdr:txBody>
    </xdr:sp>
    <xdr:clientData/>
  </xdr:twoCellAnchor>
  <xdr:twoCellAnchor editAs="absolute">
    <xdr:from>
      <xdr:col>4</xdr:col>
      <xdr:colOff>790575</xdr:colOff>
      <xdr:row>2</xdr:row>
      <xdr:rowOff>266700</xdr:rowOff>
    </xdr:from>
    <xdr:to>
      <xdr:col>6</xdr:col>
      <xdr:colOff>297975</xdr:colOff>
      <xdr:row>2</xdr:row>
      <xdr:rowOff>554700</xdr:rowOff>
    </xdr:to>
    <xdr:sp macro="" textlink="">
      <xdr:nvSpPr>
        <xdr:cNvPr id="40" name="Retângulo 39">
          <a:hlinkClick xmlns:r="http://schemas.openxmlformats.org/officeDocument/2006/relationships" r:id="rId10"/>
          <a:extLst>
            <a:ext uri="{FF2B5EF4-FFF2-40B4-BE49-F238E27FC236}">
              <a16:creationId xmlns:a16="http://schemas.microsoft.com/office/drawing/2014/main" id="{00000000-0008-0000-1200-000028000000}"/>
            </a:ext>
          </a:extLst>
        </xdr:cNvPr>
        <xdr:cNvSpPr/>
      </xdr:nvSpPr>
      <xdr:spPr>
        <a:xfrm>
          <a:off x="27717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III</a:t>
          </a:r>
        </a:p>
      </xdr:txBody>
    </xdr:sp>
    <xdr:clientData/>
  </xdr:twoCellAnchor>
  <xdr:twoCellAnchor editAs="absolute">
    <xdr:from>
      <xdr:col>6</xdr:col>
      <xdr:colOff>314325</xdr:colOff>
      <xdr:row>2</xdr:row>
      <xdr:rowOff>266700</xdr:rowOff>
    </xdr:from>
    <xdr:to>
      <xdr:col>7</xdr:col>
      <xdr:colOff>698025</xdr:colOff>
      <xdr:row>2</xdr:row>
      <xdr:rowOff>554700</xdr:rowOff>
    </xdr:to>
    <xdr:sp macro="" textlink="">
      <xdr:nvSpPr>
        <xdr:cNvPr id="41" name="Retângulo 40">
          <a:hlinkClick xmlns:r="http://schemas.openxmlformats.org/officeDocument/2006/relationships" r:id="rId11"/>
          <a:extLst>
            <a:ext uri="{FF2B5EF4-FFF2-40B4-BE49-F238E27FC236}">
              <a16:creationId xmlns:a16="http://schemas.microsoft.com/office/drawing/2014/main" id="{00000000-0008-0000-1200-000029000000}"/>
            </a:ext>
          </a:extLst>
        </xdr:cNvPr>
        <xdr:cNvSpPr/>
      </xdr:nvSpPr>
      <xdr:spPr>
        <a:xfrm>
          <a:off x="40481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a:t>
          </a:r>
          <a:r>
            <a:rPr lang="pt-BR" sz="1000" baseline="0">
              <a:solidFill>
                <a:schemeClr val="tx1">
                  <a:lumMod val="65000"/>
                  <a:lumOff val="35000"/>
                </a:schemeClr>
              </a:solidFill>
            </a:rPr>
            <a:t> IV</a:t>
          </a:r>
          <a:endParaRPr lang="pt-BR" sz="1000">
            <a:solidFill>
              <a:schemeClr val="tx1">
                <a:lumMod val="65000"/>
                <a:lumOff val="35000"/>
              </a:schemeClr>
            </a:solidFill>
          </a:endParaRPr>
        </a:p>
      </xdr:txBody>
    </xdr:sp>
    <xdr:clientData/>
  </xdr:twoCellAnchor>
  <xdr:twoCellAnchor editAs="absolute">
    <xdr:from>
      <xdr:col>7</xdr:col>
      <xdr:colOff>714375</xdr:colOff>
      <xdr:row>2</xdr:row>
      <xdr:rowOff>266700</xdr:rowOff>
    </xdr:from>
    <xdr:to>
      <xdr:col>9</xdr:col>
      <xdr:colOff>221775</xdr:colOff>
      <xdr:row>2</xdr:row>
      <xdr:rowOff>554700</xdr:rowOff>
    </xdr:to>
    <xdr:sp macro="" textlink="">
      <xdr:nvSpPr>
        <xdr:cNvPr id="42" name="Retângulo 41">
          <a:hlinkClick xmlns:r="http://schemas.openxmlformats.org/officeDocument/2006/relationships" r:id="rId12"/>
          <a:extLst>
            <a:ext uri="{FF2B5EF4-FFF2-40B4-BE49-F238E27FC236}">
              <a16:creationId xmlns:a16="http://schemas.microsoft.com/office/drawing/2014/main" id="{00000000-0008-0000-1200-00002A000000}"/>
            </a:ext>
          </a:extLst>
        </xdr:cNvPr>
        <xdr:cNvSpPr/>
      </xdr:nvSpPr>
      <xdr:spPr>
        <a:xfrm>
          <a:off x="53244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V</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3</xdr:col>
      <xdr:colOff>381000</xdr:colOff>
      <xdr:row>0</xdr:row>
      <xdr:rowOff>85725</xdr:rowOff>
    </xdr:from>
    <xdr:to>
      <xdr:col>4</xdr:col>
      <xdr:colOff>584700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609600</xdr:colOff>
      <xdr:row>0</xdr:row>
      <xdr:rowOff>85725</xdr:rowOff>
    </xdr:from>
    <xdr:to>
      <xdr:col>5</xdr:col>
      <xdr:colOff>813300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838200</xdr:colOff>
      <xdr:row>0</xdr:row>
      <xdr:rowOff>85725</xdr:rowOff>
    </xdr:from>
    <xdr:to>
      <xdr:col>7</xdr:col>
      <xdr:colOff>165600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419100</xdr:colOff>
      <xdr:row>0</xdr:row>
      <xdr:rowOff>85725</xdr:rowOff>
    </xdr:from>
    <xdr:to>
      <xdr:col>9</xdr:col>
      <xdr:colOff>622800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647700</xdr:colOff>
      <xdr:row>0</xdr:row>
      <xdr:rowOff>85725</xdr:rowOff>
    </xdr:from>
    <xdr:to>
      <xdr:col>10</xdr:col>
      <xdr:colOff>851400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0</xdr:colOff>
      <xdr:row>0</xdr:row>
      <xdr:rowOff>85725</xdr:rowOff>
    </xdr:from>
    <xdr:to>
      <xdr:col>12</xdr:col>
      <xdr:colOff>203700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13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190500</xdr:colOff>
      <xdr:row>0</xdr:row>
      <xdr:rowOff>85725</xdr:rowOff>
    </xdr:from>
    <xdr:to>
      <xdr:col>8</xdr:col>
      <xdr:colOff>394200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70350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3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xdr:from>
      <xdr:col>7</xdr:col>
      <xdr:colOff>866775</xdr:colOff>
      <xdr:row>4</xdr:row>
      <xdr:rowOff>142875</xdr:rowOff>
    </xdr:from>
    <xdr:to>
      <xdr:col>8</xdr:col>
      <xdr:colOff>170475</xdr:colOff>
      <xdr:row>4</xdr:row>
      <xdr:rowOff>322875</xdr:rowOff>
    </xdr:to>
    <xdr:sp macro="" textlink="">
      <xdr:nvSpPr>
        <xdr:cNvPr id="15" name="Sinal de Multiplicação 14">
          <a:extLst>
            <a:ext uri="{FF2B5EF4-FFF2-40B4-BE49-F238E27FC236}">
              <a16:creationId xmlns:a16="http://schemas.microsoft.com/office/drawing/2014/main" id="{00000000-0008-0000-1300-00000F000000}"/>
            </a:ext>
          </a:extLst>
        </xdr:cNvPr>
        <xdr:cNvSpPr/>
      </xdr:nvSpPr>
      <xdr:spPr>
        <a:xfrm>
          <a:off x="5476875" y="2124075"/>
          <a:ext cx="180000" cy="180000"/>
        </a:xfrm>
        <a:prstGeom prst="mathMultiply">
          <a:avLst>
            <a:gd name="adj1" fmla="val 0"/>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771525</xdr:colOff>
      <xdr:row>4</xdr:row>
      <xdr:rowOff>219075</xdr:rowOff>
    </xdr:from>
    <xdr:to>
      <xdr:col>9</xdr:col>
      <xdr:colOff>75225</xdr:colOff>
      <xdr:row>4</xdr:row>
      <xdr:rowOff>255075</xdr:rowOff>
    </xdr:to>
    <xdr:sp macro="" textlink="">
      <xdr:nvSpPr>
        <xdr:cNvPr id="16" name="Sinal de Subtração 15">
          <a:extLst>
            <a:ext uri="{FF2B5EF4-FFF2-40B4-BE49-F238E27FC236}">
              <a16:creationId xmlns:a16="http://schemas.microsoft.com/office/drawing/2014/main" id="{00000000-0008-0000-1300-000010000000}"/>
            </a:ext>
          </a:extLst>
        </xdr:cNvPr>
        <xdr:cNvSpPr/>
      </xdr:nvSpPr>
      <xdr:spPr>
        <a:xfrm>
          <a:off x="6257925" y="2200275"/>
          <a:ext cx="180000" cy="36000"/>
        </a:xfrm>
        <a:prstGeom prst="mathMinus">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1</xdr:col>
          <xdr:colOff>66675</xdr:colOff>
          <xdr:row>2</xdr:row>
          <xdr:rowOff>876300</xdr:rowOff>
        </xdr:from>
        <xdr:to>
          <xdr:col>6</xdr:col>
          <xdr:colOff>666750</xdr:colOff>
          <xdr:row>6</xdr:row>
          <xdr:rowOff>9525</xdr:rowOff>
        </xdr:to>
        <xdr:sp macro="" textlink="">
          <xdr:nvSpPr>
            <xdr:cNvPr id="30721" name="Group Box 1"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Fórmula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752475</xdr:colOff>
          <xdr:row>2</xdr:row>
          <xdr:rowOff>876300</xdr:rowOff>
        </xdr:from>
        <xdr:to>
          <xdr:col>23</xdr:col>
          <xdr:colOff>85725</xdr:colOff>
          <xdr:row>6</xdr:row>
          <xdr:rowOff>9525</xdr:rowOff>
        </xdr:to>
        <xdr:sp macro="" textlink="">
          <xdr:nvSpPr>
            <xdr:cNvPr id="30722" name="Group Box 2" hidden="1">
              <a:extLst>
                <a:ext uri="{63B3BB69-23CF-44E3-9099-C40C66FF867C}">
                  <a14:compatExt spid="_x0000_s30722"/>
                </a:ext>
                <a:ext uri="{FF2B5EF4-FFF2-40B4-BE49-F238E27FC236}">
                  <a16:creationId xmlns:a16="http://schemas.microsoft.com/office/drawing/2014/main" id="{00000000-0008-0000-1300-000002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Cálculo</a:t>
              </a:r>
            </a:p>
          </xdr:txBody>
        </xdr:sp>
        <xdr:clientData/>
      </xdr:twoCellAnchor>
    </mc:Choice>
    <mc:Fallback/>
  </mc:AlternateContent>
  <xdr:twoCellAnchor>
    <xdr:from>
      <xdr:col>10</xdr:col>
      <xdr:colOff>352425</xdr:colOff>
      <xdr:row>4</xdr:row>
      <xdr:rowOff>304800</xdr:rowOff>
    </xdr:from>
    <xdr:to>
      <xdr:col>10</xdr:col>
      <xdr:colOff>532425</xdr:colOff>
      <xdr:row>5</xdr:row>
      <xdr:rowOff>82650</xdr:rowOff>
    </xdr:to>
    <xdr:sp macro="" textlink="">
      <xdr:nvSpPr>
        <xdr:cNvPr id="19" name="Igual a 18">
          <a:extLst>
            <a:ext uri="{FF2B5EF4-FFF2-40B4-BE49-F238E27FC236}">
              <a16:creationId xmlns:a16="http://schemas.microsoft.com/office/drawing/2014/main" id="{00000000-0008-0000-1300-000013000000}"/>
            </a:ext>
          </a:extLst>
        </xdr:cNvPr>
        <xdr:cNvSpPr/>
      </xdr:nvSpPr>
      <xdr:spPr>
        <a:xfrm>
          <a:off x="7591425" y="2286000"/>
          <a:ext cx="180000" cy="216000"/>
        </a:xfrm>
        <a:prstGeom prst="mathEqual">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371475</xdr:colOff>
      <xdr:row>4</xdr:row>
      <xdr:rowOff>304800</xdr:rowOff>
    </xdr:from>
    <xdr:to>
      <xdr:col>12</xdr:col>
      <xdr:colOff>551475</xdr:colOff>
      <xdr:row>5</xdr:row>
      <xdr:rowOff>82650</xdr:rowOff>
    </xdr:to>
    <xdr:sp macro="" textlink="">
      <xdr:nvSpPr>
        <xdr:cNvPr id="20" name="Igual a 19">
          <a:extLst>
            <a:ext uri="{FF2B5EF4-FFF2-40B4-BE49-F238E27FC236}">
              <a16:creationId xmlns:a16="http://schemas.microsoft.com/office/drawing/2014/main" id="{00000000-0008-0000-1300-000014000000}"/>
            </a:ext>
          </a:extLst>
        </xdr:cNvPr>
        <xdr:cNvSpPr/>
      </xdr:nvSpPr>
      <xdr:spPr>
        <a:xfrm>
          <a:off x="9363075" y="2286000"/>
          <a:ext cx="180000" cy="216000"/>
        </a:xfrm>
        <a:prstGeom prst="mathEqual">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11</xdr:col>
          <xdr:colOff>142875</xdr:colOff>
          <xdr:row>6</xdr:row>
          <xdr:rowOff>180975</xdr:rowOff>
        </xdr:from>
        <xdr:to>
          <xdr:col>23</xdr:col>
          <xdr:colOff>85725</xdr:colOff>
          <xdr:row>15</xdr:row>
          <xdr:rowOff>0</xdr:rowOff>
        </xdr:to>
        <xdr:sp macro="" textlink="">
          <xdr:nvSpPr>
            <xdr:cNvPr id="30723" name="Group Box 3" hidden="1">
              <a:extLst>
                <a:ext uri="{63B3BB69-23CF-44E3-9099-C40C66FF867C}">
                  <a14:compatExt spid="_x0000_s30723"/>
                </a:ext>
                <a:ext uri="{FF2B5EF4-FFF2-40B4-BE49-F238E27FC236}">
                  <a16:creationId xmlns:a16="http://schemas.microsoft.com/office/drawing/2014/main" id="{00000000-0008-0000-1300-000003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Observações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xdr:row>
          <xdr:rowOff>180975</xdr:rowOff>
        </xdr:from>
        <xdr:to>
          <xdr:col>23</xdr:col>
          <xdr:colOff>85725</xdr:colOff>
          <xdr:row>108</xdr:row>
          <xdr:rowOff>228600</xdr:rowOff>
        </xdr:to>
        <xdr:sp macro="" textlink="">
          <xdr:nvSpPr>
            <xdr:cNvPr id="30724" name="Group Box 4" hidden="1">
              <a:extLst>
                <a:ext uri="{63B3BB69-23CF-44E3-9099-C40C66FF867C}">
                  <a14:compatExt spid="_x0000_s30724"/>
                </a:ext>
                <a:ext uri="{FF2B5EF4-FFF2-40B4-BE49-F238E27FC236}">
                  <a16:creationId xmlns:a16="http://schemas.microsoft.com/office/drawing/2014/main" id="{00000000-0008-0000-1300-000004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Repartição</a:t>
              </a:r>
            </a:p>
          </xdr:txBody>
        </xdr:sp>
        <xdr:clientData/>
      </xdr:twoCellAnchor>
    </mc:Choice>
    <mc:Fallback/>
  </mc:AlternateContent>
  <xdr:oneCellAnchor>
    <xdr:from>
      <xdr:col>11</xdr:col>
      <xdr:colOff>523875</xdr:colOff>
      <xdr:row>8</xdr:row>
      <xdr:rowOff>209550</xdr:rowOff>
    </xdr:from>
    <xdr:ext cx="3581400" cy="2283574"/>
    <xdr:sp macro="" textlink="">
      <xdr:nvSpPr>
        <xdr:cNvPr id="23" name="CaixaDeTexto 22">
          <a:extLst>
            <a:ext uri="{FF2B5EF4-FFF2-40B4-BE49-F238E27FC236}">
              <a16:creationId xmlns:a16="http://schemas.microsoft.com/office/drawing/2014/main" id="{00000000-0008-0000-1300-000017000000}"/>
            </a:ext>
          </a:extLst>
        </xdr:cNvPr>
        <xdr:cNvSpPr txBox="1"/>
      </xdr:nvSpPr>
      <xdr:spPr>
        <a:xfrm>
          <a:off x="8639175" y="3533775"/>
          <a:ext cx="3581400" cy="2283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a:solidFill>
                <a:srgbClr val="FB5A56"/>
              </a:solidFill>
            </a:rPr>
            <a:t>← Essa</a:t>
          </a:r>
          <a:r>
            <a:rPr lang="pt-BR" sz="1000" baseline="0">
              <a:solidFill>
                <a:srgbClr val="FB5A56"/>
              </a:solidFill>
            </a:rPr>
            <a:t> repartição diz respeito ao valor destinado a cada um dos impostos incidentes sobre o anexo em relação a alíquota efetiva.</a:t>
          </a:r>
        </a:p>
        <a:p>
          <a:endParaRPr lang="pt-BR" sz="1000" baseline="0">
            <a:solidFill>
              <a:srgbClr val="FB5A56"/>
            </a:solidFill>
          </a:endParaRPr>
        </a:p>
        <a:p>
          <a:r>
            <a:rPr lang="pt-BR" sz="1000" baseline="0">
              <a:solidFill>
                <a:srgbClr val="FB5A56"/>
              </a:solidFill>
            </a:rPr>
            <a:t>No final das somas de cada faixa do anexo, o valor total deve ser correspondente ao valor da alíquota efetiva.</a:t>
          </a:r>
        </a:p>
        <a:p>
          <a:endParaRPr lang="pt-BR" sz="1000" baseline="0">
            <a:solidFill>
              <a:srgbClr val="FB5A56"/>
            </a:solidFill>
          </a:endParaRPr>
        </a:p>
        <a:p>
          <a:r>
            <a:rPr lang="pt-BR" sz="1000" baseline="0">
              <a:solidFill>
                <a:srgbClr val="FB5A56"/>
              </a:solidFill>
            </a:rPr>
            <a:t>Abaixo, é feita a divisão do valor do DAS completo (Faturamento declarado x Alíquota Efetiva) em relação ao percentual dividido para cada um dos impostos.</a:t>
          </a:r>
        </a:p>
        <a:p>
          <a:endParaRPr lang="pt-BR" sz="1000" baseline="0">
            <a:solidFill>
              <a:srgbClr val="FB5A56"/>
            </a:solidFill>
          </a:endParaRPr>
        </a:p>
        <a:p>
          <a:r>
            <a:rPr lang="pt-BR" sz="1000" baseline="0">
              <a:solidFill>
                <a:srgbClr val="FB5A56"/>
              </a:solidFill>
            </a:rPr>
            <a:t>A soma de cada uma das faixas, deve ser correspondente ao valor total do DAS apurado.</a:t>
          </a:r>
        </a:p>
        <a:p>
          <a:endParaRPr lang="pt-BR" sz="1000" baseline="0">
            <a:solidFill>
              <a:srgbClr val="FB5A56"/>
            </a:solidFill>
          </a:endParaRPr>
        </a:p>
        <a:p>
          <a:r>
            <a:rPr lang="pt-BR" sz="1000" baseline="0">
              <a:solidFill>
                <a:srgbClr val="FB5A56"/>
              </a:solidFill>
            </a:rPr>
            <a:t>Confira abaixo ↓</a:t>
          </a:r>
        </a:p>
      </xdr:txBody>
    </xdr:sp>
    <xdr:clientData/>
  </xdr:oneCellAnchor>
  <xdr:twoCellAnchor editAs="absolute">
    <xdr:from>
      <xdr:col>4</xdr:col>
      <xdr:colOff>85725</xdr:colOff>
      <xdr:row>1</xdr:row>
      <xdr:rowOff>142875</xdr:rowOff>
    </xdr:from>
    <xdr:to>
      <xdr:col>5</xdr:col>
      <xdr:colOff>289425</xdr:colOff>
      <xdr:row>2</xdr:row>
      <xdr:rowOff>13875</xdr:rowOff>
    </xdr:to>
    <xdr:sp macro="" textlink="">
      <xdr:nvSpPr>
        <xdr:cNvPr id="24" name="Retângulo 23">
          <a:hlinkClick xmlns:r="http://schemas.openxmlformats.org/officeDocument/2006/relationships" r:id="rId8"/>
          <a:extLst>
            <a:ext uri="{FF2B5EF4-FFF2-40B4-BE49-F238E27FC236}">
              <a16:creationId xmlns:a16="http://schemas.microsoft.com/office/drawing/2014/main" id="{00000000-0008-0000-1300-000018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Anexos</a:t>
          </a:r>
        </a:p>
      </xdr:txBody>
    </xdr:sp>
    <xdr:clientData/>
  </xdr:twoCellAnchor>
  <xdr:twoCellAnchor>
    <xdr:from>
      <xdr:col>2</xdr:col>
      <xdr:colOff>314325</xdr:colOff>
      <xdr:row>5</xdr:row>
      <xdr:rowOff>0</xdr:rowOff>
    </xdr:from>
    <xdr:to>
      <xdr:col>6</xdr:col>
      <xdr:colOff>301125</xdr:colOff>
      <xdr:row>5</xdr:row>
      <xdr:rowOff>0</xdr:rowOff>
    </xdr:to>
    <xdr:cxnSp macro="">
      <xdr:nvCxnSpPr>
        <xdr:cNvPr id="25" name="Conector reto 24">
          <a:extLst>
            <a:ext uri="{FF2B5EF4-FFF2-40B4-BE49-F238E27FC236}">
              <a16:creationId xmlns:a16="http://schemas.microsoft.com/office/drawing/2014/main" id="{00000000-0008-0000-1300-000019000000}"/>
            </a:ext>
          </a:extLst>
        </xdr:cNvPr>
        <xdr:cNvCxnSpPr/>
      </xdr:nvCxnSpPr>
      <xdr:spPr>
        <a:xfrm flipV="1">
          <a:off x="542925" y="2419350"/>
          <a:ext cx="3492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76200</xdr:colOff>
      <xdr:row>4</xdr:row>
      <xdr:rowOff>94238</xdr:rowOff>
    </xdr:from>
    <xdr:ext cx="4191000" cy="342786"/>
    <xdr:sp macro="" textlink="">
      <xdr:nvSpPr>
        <xdr:cNvPr id="26" name="CaixaDeTexto 25">
          <a:extLst>
            <a:ext uri="{FF2B5EF4-FFF2-40B4-BE49-F238E27FC236}">
              <a16:creationId xmlns:a16="http://schemas.microsoft.com/office/drawing/2014/main" id="{00000000-0008-0000-1300-00001A000000}"/>
            </a:ext>
          </a:extLst>
        </xdr:cNvPr>
        <xdr:cNvSpPr txBox="1"/>
      </xdr:nvSpPr>
      <xdr:spPr>
        <a:xfrm>
          <a:off x="190500" y="2075438"/>
          <a:ext cx="41910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600" b="1">
              <a:solidFill>
                <a:schemeClr val="tx1"/>
              </a:solidFill>
            </a:rPr>
            <a:t>RBT 12 x Alíquota - Parcela à Deduzir</a:t>
          </a:r>
        </a:p>
      </xdr:txBody>
    </xdr:sp>
    <xdr:clientData/>
  </xdr:oneCellAnchor>
  <xdr:oneCellAnchor>
    <xdr:from>
      <xdr:col>1</xdr:col>
      <xdr:colOff>85725</xdr:colOff>
      <xdr:row>5</xdr:row>
      <xdr:rowOff>8513</xdr:rowOff>
    </xdr:from>
    <xdr:ext cx="4191000" cy="342786"/>
    <xdr:sp macro="" textlink="">
      <xdr:nvSpPr>
        <xdr:cNvPr id="27" name="CaixaDeTexto 26">
          <a:extLst>
            <a:ext uri="{FF2B5EF4-FFF2-40B4-BE49-F238E27FC236}">
              <a16:creationId xmlns:a16="http://schemas.microsoft.com/office/drawing/2014/main" id="{00000000-0008-0000-1300-00001B000000}"/>
            </a:ext>
          </a:extLst>
        </xdr:cNvPr>
        <xdr:cNvSpPr txBox="1"/>
      </xdr:nvSpPr>
      <xdr:spPr>
        <a:xfrm>
          <a:off x="200025" y="2427863"/>
          <a:ext cx="41910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600" b="1">
              <a:solidFill>
                <a:schemeClr val="tx1"/>
              </a:solidFill>
            </a:rPr>
            <a:t>RBT 12</a:t>
          </a:r>
        </a:p>
      </xdr:txBody>
    </xdr:sp>
    <xdr:clientData/>
  </xdr:oneCellAnchor>
  <xdr:twoCellAnchor editAs="absolute">
    <xdr:from>
      <xdr:col>1</xdr:col>
      <xdr:colOff>104774</xdr:colOff>
      <xdr:row>2</xdr:row>
      <xdr:rowOff>581025</xdr:rowOff>
    </xdr:from>
    <xdr:to>
      <xdr:col>9</xdr:col>
      <xdr:colOff>228374</xdr:colOff>
      <xdr:row>2</xdr:row>
      <xdr:rowOff>581025</xdr:rowOff>
    </xdr:to>
    <xdr:cxnSp macro="">
      <xdr:nvCxnSpPr>
        <xdr:cNvPr id="30" name="Conector reto 29">
          <a:extLst>
            <a:ext uri="{FF2B5EF4-FFF2-40B4-BE49-F238E27FC236}">
              <a16:creationId xmlns:a16="http://schemas.microsoft.com/office/drawing/2014/main" id="{00000000-0008-0000-1300-00001E000000}"/>
            </a:ext>
          </a:extLst>
        </xdr:cNvPr>
        <xdr:cNvCxnSpPr/>
      </xdr:nvCxnSpPr>
      <xdr:spPr>
        <a:xfrm>
          <a:off x="219074" y="1400175"/>
          <a:ext cx="637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266700</xdr:rowOff>
    </xdr:from>
    <xdr:to>
      <xdr:col>3</xdr:col>
      <xdr:colOff>374175</xdr:colOff>
      <xdr:row>2</xdr:row>
      <xdr:rowOff>554700</xdr:rowOff>
    </xdr:to>
    <xdr:sp macro="" textlink="">
      <xdr:nvSpPr>
        <xdr:cNvPr id="31" name="Retângulo 30">
          <a:hlinkClick xmlns:r="http://schemas.openxmlformats.org/officeDocument/2006/relationships" r:id="rId8"/>
          <a:extLst>
            <a:ext uri="{FF2B5EF4-FFF2-40B4-BE49-F238E27FC236}">
              <a16:creationId xmlns:a16="http://schemas.microsoft.com/office/drawing/2014/main" id="{00000000-0008-0000-1300-00001F000000}"/>
            </a:ext>
          </a:extLst>
        </xdr:cNvPr>
        <xdr:cNvSpPr/>
      </xdr:nvSpPr>
      <xdr:spPr>
        <a:xfrm>
          <a:off x="2190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Comércio</a:t>
          </a:r>
        </a:p>
      </xdr:txBody>
    </xdr:sp>
    <xdr:clientData/>
  </xdr:twoCellAnchor>
  <xdr:twoCellAnchor editAs="absolute">
    <xdr:from>
      <xdr:col>3</xdr:col>
      <xdr:colOff>390525</xdr:colOff>
      <xdr:row>2</xdr:row>
      <xdr:rowOff>266700</xdr:rowOff>
    </xdr:from>
    <xdr:to>
      <xdr:col>4</xdr:col>
      <xdr:colOff>774225</xdr:colOff>
      <xdr:row>2</xdr:row>
      <xdr:rowOff>554700</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1300-000020000000}"/>
            </a:ext>
          </a:extLst>
        </xdr:cNvPr>
        <xdr:cNvSpPr/>
      </xdr:nvSpPr>
      <xdr:spPr>
        <a:xfrm>
          <a:off x="1495425" y="1085850"/>
          <a:ext cx="1260000" cy="28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Indústria</a:t>
          </a:r>
        </a:p>
      </xdr:txBody>
    </xdr:sp>
    <xdr:clientData/>
  </xdr:twoCellAnchor>
  <xdr:twoCellAnchor editAs="absolute">
    <xdr:from>
      <xdr:col>4</xdr:col>
      <xdr:colOff>790575</xdr:colOff>
      <xdr:row>2</xdr:row>
      <xdr:rowOff>266700</xdr:rowOff>
    </xdr:from>
    <xdr:to>
      <xdr:col>6</xdr:col>
      <xdr:colOff>297975</xdr:colOff>
      <xdr:row>2</xdr:row>
      <xdr:rowOff>554700</xdr:rowOff>
    </xdr:to>
    <xdr:sp macro="" textlink="">
      <xdr:nvSpPr>
        <xdr:cNvPr id="33" name="Retângulo 32">
          <a:hlinkClick xmlns:r="http://schemas.openxmlformats.org/officeDocument/2006/relationships" r:id="rId10"/>
          <a:extLst>
            <a:ext uri="{FF2B5EF4-FFF2-40B4-BE49-F238E27FC236}">
              <a16:creationId xmlns:a16="http://schemas.microsoft.com/office/drawing/2014/main" id="{00000000-0008-0000-1300-000021000000}"/>
            </a:ext>
          </a:extLst>
        </xdr:cNvPr>
        <xdr:cNvSpPr/>
      </xdr:nvSpPr>
      <xdr:spPr>
        <a:xfrm>
          <a:off x="27717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III</a:t>
          </a:r>
        </a:p>
      </xdr:txBody>
    </xdr:sp>
    <xdr:clientData/>
  </xdr:twoCellAnchor>
  <xdr:twoCellAnchor editAs="absolute">
    <xdr:from>
      <xdr:col>6</xdr:col>
      <xdr:colOff>314325</xdr:colOff>
      <xdr:row>2</xdr:row>
      <xdr:rowOff>266700</xdr:rowOff>
    </xdr:from>
    <xdr:to>
      <xdr:col>7</xdr:col>
      <xdr:colOff>698025</xdr:colOff>
      <xdr:row>2</xdr:row>
      <xdr:rowOff>554700</xdr:rowOff>
    </xdr:to>
    <xdr:sp macro="" textlink="">
      <xdr:nvSpPr>
        <xdr:cNvPr id="34" name="Retângulo 33">
          <a:hlinkClick xmlns:r="http://schemas.openxmlformats.org/officeDocument/2006/relationships" r:id="rId11"/>
          <a:extLst>
            <a:ext uri="{FF2B5EF4-FFF2-40B4-BE49-F238E27FC236}">
              <a16:creationId xmlns:a16="http://schemas.microsoft.com/office/drawing/2014/main" id="{00000000-0008-0000-1300-000022000000}"/>
            </a:ext>
          </a:extLst>
        </xdr:cNvPr>
        <xdr:cNvSpPr/>
      </xdr:nvSpPr>
      <xdr:spPr>
        <a:xfrm>
          <a:off x="40481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a:t>
          </a:r>
          <a:r>
            <a:rPr lang="pt-BR" sz="1000" baseline="0">
              <a:solidFill>
                <a:schemeClr val="tx1">
                  <a:lumMod val="65000"/>
                  <a:lumOff val="35000"/>
                </a:schemeClr>
              </a:solidFill>
            </a:rPr>
            <a:t> IV</a:t>
          </a:r>
          <a:endParaRPr lang="pt-BR" sz="1000">
            <a:solidFill>
              <a:schemeClr val="tx1">
                <a:lumMod val="65000"/>
                <a:lumOff val="35000"/>
              </a:schemeClr>
            </a:solidFill>
          </a:endParaRPr>
        </a:p>
      </xdr:txBody>
    </xdr:sp>
    <xdr:clientData/>
  </xdr:twoCellAnchor>
  <xdr:twoCellAnchor editAs="absolute">
    <xdr:from>
      <xdr:col>7</xdr:col>
      <xdr:colOff>714375</xdr:colOff>
      <xdr:row>2</xdr:row>
      <xdr:rowOff>266700</xdr:rowOff>
    </xdr:from>
    <xdr:to>
      <xdr:col>9</xdr:col>
      <xdr:colOff>221775</xdr:colOff>
      <xdr:row>2</xdr:row>
      <xdr:rowOff>554700</xdr:rowOff>
    </xdr:to>
    <xdr:sp macro="" textlink="">
      <xdr:nvSpPr>
        <xdr:cNvPr id="35" name="Retângulo 34">
          <a:hlinkClick xmlns:r="http://schemas.openxmlformats.org/officeDocument/2006/relationships" r:id="rId12"/>
          <a:extLst>
            <a:ext uri="{FF2B5EF4-FFF2-40B4-BE49-F238E27FC236}">
              <a16:creationId xmlns:a16="http://schemas.microsoft.com/office/drawing/2014/main" id="{00000000-0008-0000-1300-000023000000}"/>
            </a:ext>
          </a:extLst>
        </xdr:cNvPr>
        <xdr:cNvSpPr/>
      </xdr:nvSpPr>
      <xdr:spPr>
        <a:xfrm>
          <a:off x="53244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V</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3</xdr:col>
      <xdr:colOff>381000</xdr:colOff>
      <xdr:row>0</xdr:row>
      <xdr:rowOff>85725</xdr:rowOff>
    </xdr:from>
    <xdr:to>
      <xdr:col>4</xdr:col>
      <xdr:colOff>584700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609600</xdr:colOff>
      <xdr:row>0</xdr:row>
      <xdr:rowOff>85725</xdr:rowOff>
    </xdr:from>
    <xdr:to>
      <xdr:col>5</xdr:col>
      <xdr:colOff>813300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4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838200</xdr:colOff>
      <xdr:row>0</xdr:row>
      <xdr:rowOff>85725</xdr:rowOff>
    </xdr:from>
    <xdr:to>
      <xdr:col>7</xdr:col>
      <xdr:colOff>165600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4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419100</xdr:colOff>
      <xdr:row>0</xdr:row>
      <xdr:rowOff>85725</xdr:rowOff>
    </xdr:from>
    <xdr:to>
      <xdr:col>9</xdr:col>
      <xdr:colOff>622800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4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647700</xdr:colOff>
      <xdr:row>0</xdr:row>
      <xdr:rowOff>85725</xdr:rowOff>
    </xdr:from>
    <xdr:to>
      <xdr:col>10</xdr:col>
      <xdr:colOff>851400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4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0</xdr:colOff>
      <xdr:row>0</xdr:row>
      <xdr:rowOff>85725</xdr:rowOff>
    </xdr:from>
    <xdr:to>
      <xdr:col>12</xdr:col>
      <xdr:colOff>203700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4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14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190500</xdr:colOff>
      <xdr:row>0</xdr:row>
      <xdr:rowOff>85725</xdr:rowOff>
    </xdr:from>
    <xdr:to>
      <xdr:col>8</xdr:col>
      <xdr:colOff>394200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4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70350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4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4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4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4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4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xdr:from>
      <xdr:col>7</xdr:col>
      <xdr:colOff>866775</xdr:colOff>
      <xdr:row>4</xdr:row>
      <xdr:rowOff>142875</xdr:rowOff>
    </xdr:from>
    <xdr:to>
      <xdr:col>8</xdr:col>
      <xdr:colOff>170475</xdr:colOff>
      <xdr:row>4</xdr:row>
      <xdr:rowOff>322875</xdr:rowOff>
    </xdr:to>
    <xdr:sp macro="" textlink="">
      <xdr:nvSpPr>
        <xdr:cNvPr id="15" name="Sinal de Multiplicação 14">
          <a:extLst>
            <a:ext uri="{FF2B5EF4-FFF2-40B4-BE49-F238E27FC236}">
              <a16:creationId xmlns:a16="http://schemas.microsoft.com/office/drawing/2014/main" id="{00000000-0008-0000-1400-00000F000000}"/>
            </a:ext>
          </a:extLst>
        </xdr:cNvPr>
        <xdr:cNvSpPr/>
      </xdr:nvSpPr>
      <xdr:spPr>
        <a:xfrm>
          <a:off x="5476875" y="2124075"/>
          <a:ext cx="180000" cy="180000"/>
        </a:xfrm>
        <a:prstGeom prst="mathMultiply">
          <a:avLst>
            <a:gd name="adj1" fmla="val 0"/>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771525</xdr:colOff>
      <xdr:row>4</xdr:row>
      <xdr:rowOff>219075</xdr:rowOff>
    </xdr:from>
    <xdr:to>
      <xdr:col>9</xdr:col>
      <xdr:colOff>75225</xdr:colOff>
      <xdr:row>4</xdr:row>
      <xdr:rowOff>255075</xdr:rowOff>
    </xdr:to>
    <xdr:sp macro="" textlink="">
      <xdr:nvSpPr>
        <xdr:cNvPr id="16" name="Sinal de Subtração 15">
          <a:extLst>
            <a:ext uri="{FF2B5EF4-FFF2-40B4-BE49-F238E27FC236}">
              <a16:creationId xmlns:a16="http://schemas.microsoft.com/office/drawing/2014/main" id="{00000000-0008-0000-1400-000010000000}"/>
            </a:ext>
          </a:extLst>
        </xdr:cNvPr>
        <xdr:cNvSpPr/>
      </xdr:nvSpPr>
      <xdr:spPr>
        <a:xfrm>
          <a:off x="6257925" y="2200275"/>
          <a:ext cx="180000" cy="36000"/>
        </a:xfrm>
        <a:prstGeom prst="mathMinus">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1</xdr:col>
          <xdr:colOff>66675</xdr:colOff>
          <xdr:row>2</xdr:row>
          <xdr:rowOff>876300</xdr:rowOff>
        </xdr:from>
        <xdr:to>
          <xdr:col>6</xdr:col>
          <xdr:colOff>666750</xdr:colOff>
          <xdr:row>6</xdr:row>
          <xdr:rowOff>9525</xdr:rowOff>
        </xdr:to>
        <xdr:sp macro="" textlink="">
          <xdr:nvSpPr>
            <xdr:cNvPr id="31745" name="Group Box 1"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Fórmula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752475</xdr:colOff>
          <xdr:row>2</xdr:row>
          <xdr:rowOff>876300</xdr:rowOff>
        </xdr:from>
        <xdr:to>
          <xdr:col>22</xdr:col>
          <xdr:colOff>85725</xdr:colOff>
          <xdr:row>6</xdr:row>
          <xdr:rowOff>9525</xdr:rowOff>
        </xdr:to>
        <xdr:sp macro="" textlink="">
          <xdr:nvSpPr>
            <xdr:cNvPr id="31746" name="Group Box 2" hidden="1">
              <a:extLst>
                <a:ext uri="{63B3BB69-23CF-44E3-9099-C40C66FF867C}">
                  <a14:compatExt spid="_x0000_s31746"/>
                </a:ext>
                <a:ext uri="{FF2B5EF4-FFF2-40B4-BE49-F238E27FC236}">
                  <a16:creationId xmlns:a16="http://schemas.microsoft.com/office/drawing/2014/main" id="{00000000-0008-0000-1400-000002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Cálculo</a:t>
              </a:r>
            </a:p>
          </xdr:txBody>
        </xdr:sp>
        <xdr:clientData/>
      </xdr:twoCellAnchor>
    </mc:Choice>
    <mc:Fallback/>
  </mc:AlternateContent>
  <xdr:twoCellAnchor>
    <xdr:from>
      <xdr:col>10</xdr:col>
      <xdr:colOff>352425</xdr:colOff>
      <xdr:row>4</xdr:row>
      <xdr:rowOff>304800</xdr:rowOff>
    </xdr:from>
    <xdr:to>
      <xdr:col>10</xdr:col>
      <xdr:colOff>532425</xdr:colOff>
      <xdr:row>5</xdr:row>
      <xdr:rowOff>82650</xdr:rowOff>
    </xdr:to>
    <xdr:sp macro="" textlink="">
      <xdr:nvSpPr>
        <xdr:cNvPr id="19" name="Igual a 18">
          <a:extLst>
            <a:ext uri="{FF2B5EF4-FFF2-40B4-BE49-F238E27FC236}">
              <a16:creationId xmlns:a16="http://schemas.microsoft.com/office/drawing/2014/main" id="{00000000-0008-0000-1400-000013000000}"/>
            </a:ext>
          </a:extLst>
        </xdr:cNvPr>
        <xdr:cNvSpPr/>
      </xdr:nvSpPr>
      <xdr:spPr>
        <a:xfrm>
          <a:off x="7591425" y="2286000"/>
          <a:ext cx="180000" cy="216000"/>
        </a:xfrm>
        <a:prstGeom prst="mathEqual">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371475</xdr:colOff>
      <xdr:row>4</xdr:row>
      <xdr:rowOff>304800</xdr:rowOff>
    </xdr:from>
    <xdr:to>
      <xdr:col>12</xdr:col>
      <xdr:colOff>551475</xdr:colOff>
      <xdr:row>5</xdr:row>
      <xdr:rowOff>82650</xdr:rowOff>
    </xdr:to>
    <xdr:sp macro="" textlink="">
      <xdr:nvSpPr>
        <xdr:cNvPr id="20" name="Igual a 19">
          <a:extLst>
            <a:ext uri="{FF2B5EF4-FFF2-40B4-BE49-F238E27FC236}">
              <a16:creationId xmlns:a16="http://schemas.microsoft.com/office/drawing/2014/main" id="{00000000-0008-0000-1400-000014000000}"/>
            </a:ext>
          </a:extLst>
        </xdr:cNvPr>
        <xdr:cNvSpPr/>
      </xdr:nvSpPr>
      <xdr:spPr>
        <a:xfrm>
          <a:off x="9363075" y="2286000"/>
          <a:ext cx="180000" cy="216000"/>
        </a:xfrm>
        <a:prstGeom prst="mathEqual">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11</xdr:col>
          <xdr:colOff>142875</xdr:colOff>
          <xdr:row>6</xdr:row>
          <xdr:rowOff>180975</xdr:rowOff>
        </xdr:from>
        <xdr:to>
          <xdr:col>22</xdr:col>
          <xdr:colOff>85725</xdr:colOff>
          <xdr:row>15</xdr:row>
          <xdr:rowOff>0</xdr:rowOff>
        </xdr:to>
        <xdr:sp macro="" textlink="">
          <xdr:nvSpPr>
            <xdr:cNvPr id="31747" name="Group Box 3" hidden="1">
              <a:extLst>
                <a:ext uri="{63B3BB69-23CF-44E3-9099-C40C66FF867C}">
                  <a14:compatExt spid="_x0000_s31747"/>
                </a:ext>
                <a:ext uri="{FF2B5EF4-FFF2-40B4-BE49-F238E27FC236}">
                  <a16:creationId xmlns:a16="http://schemas.microsoft.com/office/drawing/2014/main" id="{00000000-0008-0000-1400-000003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Observações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xdr:row>
          <xdr:rowOff>180975</xdr:rowOff>
        </xdr:from>
        <xdr:to>
          <xdr:col>22</xdr:col>
          <xdr:colOff>85725</xdr:colOff>
          <xdr:row>24</xdr:row>
          <xdr:rowOff>228600</xdr:rowOff>
        </xdr:to>
        <xdr:sp macro="" textlink="">
          <xdr:nvSpPr>
            <xdr:cNvPr id="31748" name="Group Box 4" hidden="1">
              <a:extLst>
                <a:ext uri="{63B3BB69-23CF-44E3-9099-C40C66FF867C}">
                  <a14:compatExt spid="_x0000_s31748"/>
                </a:ext>
                <a:ext uri="{FF2B5EF4-FFF2-40B4-BE49-F238E27FC236}">
                  <a16:creationId xmlns:a16="http://schemas.microsoft.com/office/drawing/2014/main" id="{00000000-0008-0000-1400-000004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Repartição</a:t>
              </a:r>
            </a:p>
          </xdr:txBody>
        </xdr:sp>
        <xdr:clientData/>
      </xdr:twoCellAnchor>
    </mc:Choice>
    <mc:Fallback/>
  </mc:AlternateContent>
  <xdr:oneCellAnchor>
    <xdr:from>
      <xdr:col>11</xdr:col>
      <xdr:colOff>523875</xdr:colOff>
      <xdr:row>8</xdr:row>
      <xdr:rowOff>209550</xdr:rowOff>
    </xdr:from>
    <xdr:ext cx="3581400" cy="2283574"/>
    <xdr:sp macro="" textlink="">
      <xdr:nvSpPr>
        <xdr:cNvPr id="23" name="CaixaDeTexto 22">
          <a:extLst>
            <a:ext uri="{FF2B5EF4-FFF2-40B4-BE49-F238E27FC236}">
              <a16:creationId xmlns:a16="http://schemas.microsoft.com/office/drawing/2014/main" id="{00000000-0008-0000-1400-000017000000}"/>
            </a:ext>
          </a:extLst>
        </xdr:cNvPr>
        <xdr:cNvSpPr txBox="1"/>
      </xdr:nvSpPr>
      <xdr:spPr>
        <a:xfrm>
          <a:off x="8639175" y="3533775"/>
          <a:ext cx="3581400" cy="2283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a:solidFill>
                <a:srgbClr val="FB5A56"/>
              </a:solidFill>
            </a:rPr>
            <a:t>← Essa</a:t>
          </a:r>
          <a:r>
            <a:rPr lang="pt-BR" sz="1000" baseline="0">
              <a:solidFill>
                <a:srgbClr val="FB5A56"/>
              </a:solidFill>
            </a:rPr>
            <a:t> repartição diz respeito ao valor destinado a cada um dos impostos incidentes sobre o anexo em relação a alíquota efetiva.</a:t>
          </a:r>
        </a:p>
        <a:p>
          <a:endParaRPr lang="pt-BR" sz="1000" baseline="0">
            <a:solidFill>
              <a:srgbClr val="FB5A56"/>
            </a:solidFill>
          </a:endParaRPr>
        </a:p>
        <a:p>
          <a:r>
            <a:rPr lang="pt-BR" sz="1000" baseline="0">
              <a:solidFill>
                <a:srgbClr val="FB5A56"/>
              </a:solidFill>
            </a:rPr>
            <a:t>No final das somas de cada faixa do anexo, o valor total deve ser correspondente ao valor da alíquota efetiva.</a:t>
          </a:r>
        </a:p>
        <a:p>
          <a:endParaRPr lang="pt-BR" sz="1000" baseline="0">
            <a:solidFill>
              <a:srgbClr val="FB5A56"/>
            </a:solidFill>
          </a:endParaRPr>
        </a:p>
        <a:p>
          <a:r>
            <a:rPr lang="pt-BR" sz="1000" baseline="0">
              <a:solidFill>
                <a:srgbClr val="FB5A56"/>
              </a:solidFill>
            </a:rPr>
            <a:t>Abaixo, é feita a divisão do valor do DAS completo (Faturamento declarado x Alíquota Efetiva) em relação ao percentual dividido para cada um dos impostos.</a:t>
          </a:r>
        </a:p>
        <a:p>
          <a:endParaRPr lang="pt-BR" sz="1000" baseline="0">
            <a:solidFill>
              <a:srgbClr val="FB5A56"/>
            </a:solidFill>
          </a:endParaRPr>
        </a:p>
        <a:p>
          <a:r>
            <a:rPr lang="pt-BR" sz="1000" baseline="0">
              <a:solidFill>
                <a:srgbClr val="FB5A56"/>
              </a:solidFill>
            </a:rPr>
            <a:t>A soma de cada uma das faixas, deve ser correspondente ao valor total do DAS apurado.</a:t>
          </a:r>
        </a:p>
        <a:p>
          <a:endParaRPr lang="pt-BR" sz="1000" baseline="0">
            <a:solidFill>
              <a:srgbClr val="FB5A56"/>
            </a:solidFill>
          </a:endParaRPr>
        </a:p>
        <a:p>
          <a:r>
            <a:rPr lang="pt-BR" sz="1000" baseline="0">
              <a:solidFill>
                <a:srgbClr val="FB5A56"/>
              </a:solidFill>
            </a:rPr>
            <a:t>Confira abaixo ↓</a:t>
          </a:r>
        </a:p>
      </xdr:txBody>
    </xdr:sp>
    <xdr:clientData/>
  </xdr:oneCellAnchor>
  <xdr:twoCellAnchor editAs="absolute">
    <xdr:from>
      <xdr:col>4</xdr:col>
      <xdr:colOff>85725</xdr:colOff>
      <xdr:row>1</xdr:row>
      <xdr:rowOff>142875</xdr:rowOff>
    </xdr:from>
    <xdr:to>
      <xdr:col>5</xdr:col>
      <xdr:colOff>289425</xdr:colOff>
      <xdr:row>2</xdr:row>
      <xdr:rowOff>13875</xdr:rowOff>
    </xdr:to>
    <xdr:sp macro="" textlink="">
      <xdr:nvSpPr>
        <xdr:cNvPr id="24" name="Retângulo 23">
          <a:hlinkClick xmlns:r="http://schemas.openxmlformats.org/officeDocument/2006/relationships" r:id="rId8"/>
          <a:extLst>
            <a:ext uri="{FF2B5EF4-FFF2-40B4-BE49-F238E27FC236}">
              <a16:creationId xmlns:a16="http://schemas.microsoft.com/office/drawing/2014/main" id="{00000000-0008-0000-1400-000018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Anexos</a:t>
          </a:r>
        </a:p>
      </xdr:txBody>
    </xdr:sp>
    <xdr:clientData/>
  </xdr:twoCellAnchor>
  <xdr:twoCellAnchor>
    <xdr:from>
      <xdr:col>2</xdr:col>
      <xdr:colOff>314325</xdr:colOff>
      <xdr:row>5</xdr:row>
      <xdr:rowOff>0</xdr:rowOff>
    </xdr:from>
    <xdr:to>
      <xdr:col>6</xdr:col>
      <xdr:colOff>301125</xdr:colOff>
      <xdr:row>5</xdr:row>
      <xdr:rowOff>0</xdr:rowOff>
    </xdr:to>
    <xdr:cxnSp macro="">
      <xdr:nvCxnSpPr>
        <xdr:cNvPr id="25" name="Conector reto 24">
          <a:extLst>
            <a:ext uri="{FF2B5EF4-FFF2-40B4-BE49-F238E27FC236}">
              <a16:creationId xmlns:a16="http://schemas.microsoft.com/office/drawing/2014/main" id="{00000000-0008-0000-1400-000019000000}"/>
            </a:ext>
          </a:extLst>
        </xdr:cNvPr>
        <xdr:cNvCxnSpPr/>
      </xdr:nvCxnSpPr>
      <xdr:spPr>
        <a:xfrm flipV="1">
          <a:off x="542925" y="2419350"/>
          <a:ext cx="3492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76200</xdr:colOff>
      <xdr:row>4</xdr:row>
      <xdr:rowOff>94238</xdr:rowOff>
    </xdr:from>
    <xdr:ext cx="4191000" cy="342786"/>
    <xdr:sp macro="" textlink="">
      <xdr:nvSpPr>
        <xdr:cNvPr id="26" name="CaixaDeTexto 25">
          <a:extLst>
            <a:ext uri="{FF2B5EF4-FFF2-40B4-BE49-F238E27FC236}">
              <a16:creationId xmlns:a16="http://schemas.microsoft.com/office/drawing/2014/main" id="{00000000-0008-0000-1400-00001A000000}"/>
            </a:ext>
          </a:extLst>
        </xdr:cNvPr>
        <xdr:cNvSpPr txBox="1"/>
      </xdr:nvSpPr>
      <xdr:spPr>
        <a:xfrm>
          <a:off x="190500" y="2075438"/>
          <a:ext cx="41910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600" b="1">
              <a:solidFill>
                <a:schemeClr val="tx1"/>
              </a:solidFill>
            </a:rPr>
            <a:t>RBT 12 x Alíquota - Parcela à Deduzir</a:t>
          </a:r>
        </a:p>
      </xdr:txBody>
    </xdr:sp>
    <xdr:clientData/>
  </xdr:oneCellAnchor>
  <xdr:oneCellAnchor>
    <xdr:from>
      <xdr:col>1</xdr:col>
      <xdr:colOff>85725</xdr:colOff>
      <xdr:row>5</xdr:row>
      <xdr:rowOff>8513</xdr:rowOff>
    </xdr:from>
    <xdr:ext cx="4191000" cy="342786"/>
    <xdr:sp macro="" textlink="">
      <xdr:nvSpPr>
        <xdr:cNvPr id="27" name="CaixaDeTexto 26">
          <a:extLst>
            <a:ext uri="{FF2B5EF4-FFF2-40B4-BE49-F238E27FC236}">
              <a16:creationId xmlns:a16="http://schemas.microsoft.com/office/drawing/2014/main" id="{00000000-0008-0000-1400-00001B000000}"/>
            </a:ext>
          </a:extLst>
        </xdr:cNvPr>
        <xdr:cNvSpPr txBox="1"/>
      </xdr:nvSpPr>
      <xdr:spPr>
        <a:xfrm>
          <a:off x="200025" y="2427863"/>
          <a:ext cx="41910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600" b="1">
              <a:solidFill>
                <a:schemeClr val="tx1"/>
              </a:solidFill>
            </a:rPr>
            <a:t>RBT 12</a:t>
          </a:r>
        </a:p>
      </xdr:txBody>
    </xdr:sp>
    <xdr:clientData/>
  </xdr:oneCellAnchor>
  <xdr:twoCellAnchor editAs="absolute">
    <xdr:from>
      <xdr:col>1</xdr:col>
      <xdr:colOff>104774</xdr:colOff>
      <xdr:row>2</xdr:row>
      <xdr:rowOff>581025</xdr:rowOff>
    </xdr:from>
    <xdr:to>
      <xdr:col>9</xdr:col>
      <xdr:colOff>228374</xdr:colOff>
      <xdr:row>2</xdr:row>
      <xdr:rowOff>581025</xdr:rowOff>
    </xdr:to>
    <xdr:cxnSp macro="">
      <xdr:nvCxnSpPr>
        <xdr:cNvPr id="30" name="Conector reto 29">
          <a:extLst>
            <a:ext uri="{FF2B5EF4-FFF2-40B4-BE49-F238E27FC236}">
              <a16:creationId xmlns:a16="http://schemas.microsoft.com/office/drawing/2014/main" id="{00000000-0008-0000-1400-00001E000000}"/>
            </a:ext>
          </a:extLst>
        </xdr:cNvPr>
        <xdr:cNvCxnSpPr/>
      </xdr:nvCxnSpPr>
      <xdr:spPr>
        <a:xfrm>
          <a:off x="219074" y="1400175"/>
          <a:ext cx="637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266700</xdr:rowOff>
    </xdr:from>
    <xdr:to>
      <xdr:col>3</xdr:col>
      <xdr:colOff>374175</xdr:colOff>
      <xdr:row>2</xdr:row>
      <xdr:rowOff>554700</xdr:rowOff>
    </xdr:to>
    <xdr:sp macro="" textlink="">
      <xdr:nvSpPr>
        <xdr:cNvPr id="31" name="Retângulo 30">
          <a:hlinkClick xmlns:r="http://schemas.openxmlformats.org/officeDocument/2006/relationships" r:id="rId8"/>
          <a:extLst>
            <a:ext uri="{FF2B5EF4-FFF2-40B4-BE49-F238E27FC236}">
              <a16:creationId xmlns:a16="http://schemas.microsoft.com/office/drawing/2014/main" id="{00000000-0008-0000-1400-00001F000000}"/>
            </a:ext>
          </a:extLst>
        </xdr:cNvPr>
        <xdr:cNvSpPr/>
      </xdr:nvSpPr>
      <xdr:spPr>
        <a:xfrm>
          <a:off x="2190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Comércio</a:t>
          </a:r>
        </a:p>
      </xdr:txBody>
    </xdr:sp>
    <xdr:clientData/>
  </xdr:twoCellAnchor>
  <xdr:twoCellAnchor editAs="absolute">
    <xdr:from>
      <xdr:col>3</xdr:col>
      <xdr:colOff>390525</xdr:colOff>
      <xdr:row>2</xdr:row>
      <xdr:rowOff>266700</xdr:rowOff>
    </xdr:from>
    <xdr:to>
      <xdr:col>4</xdr:col>
      <xdr:colOff>774225</xdr:colOff>
      <xdr:row>2</xdr:row>
      <xdr:rowOff>554700</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1400-000020000000}"/>
            </a:ext>
          </a:extLst>
        </xdr:cNvPr>
        <xdr:cNvSpPr/>
      </xdr:nvSpPr>
      <xdr:spPr>
        <a:xfrm>
          <a:off x="14954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Indústria</a:t>
          </a:r>
        </a:p>
      </xdr:txBody>
    </xdr:sp>
    <xdr:clientData/>
  </xdr:twoCellAnchor>
  <xdr:twoCellAnchor editAs="absolute">
    <xdr:from>
      <xdr:col>4</xdr:col>
      <xdr:colOff>790575</xdr:colOff>
      <xdr:row>2</xdr:row>
      <xdr:rowOff>266700</xdr:rowOff>
    </xdr:from>
    <xdr:to>
      <xdr:col>6</xdr:col>
      <xdr:colOff>297975</xdr:colOff>
      <xdr:row>2</xdr:row>
      <xdr:rowOff>554700</xdr:rowOff>
    </xdr:to>
    <xdr:sp macro="" textlink="">
      <xdr:nvSpPr>
        <xdr:cNvPr id="33" name="Retângulo 32">
          <a:hlinkClick xmlns:r="http://schemas.openxmlformats.org/officeDocument/2006/relationships" r:id="rId10"/>
          <a:extLst>
            <a:ext uri="{FF2B5EF4-FFF2-40B4-BE49-F238E27FC236}">
              <a16:creationId xmlns:a16="http://schemas.microsoft.com/office/drawing/2014/main" id="{00000000-0008-0000-1400-000021000000}"/>
            </a:ext>
          </a:extLst>
        </xdr:cNvPr>
        <xdr:cNvSpPr/>
      </xdr:nvSpPr>
      <xdr:spPr>
        <a:xfrm>
          <a:off x="2771775" y="1085850"/>
          <a:ext cx="1260000" cy="28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Anexo III</a:t>
          </a:r>
        </a:p>
      </xdr:txBody>
    </xdr:sp>
    <xdr:clientData/>
  </xdr:twoCellAnchor>
  <xdr:twoCellAnchor editAs="absolute">
    <xdr:from>
      <xdr:col>6</xdr:col>
      <xdr:colOff>314325</xdr:colOff>
      <xdr:row>2</xdr:row>
      <xdr:rowOff>266700</xdr:rowOff>
    </xdr:from>
    <xdr:to>
      <xdr:col>7</xdr:col>
      <xdr:colOff>698025</xdr:colOff>
      <xdr:row>2</xdr:row>
      <xdr:rowOff>554700</xdr:rowOff>
    </xdr:to>
    <xdr:sp macro="" textlink="">
      <xdr:nvSpPr>
        <xdr:cNvPr id="34" name="Retângulo 33">
          <a:hlinkClick xmlns:r="http://schemas.openxmlformats.org/officeDocument/2006/relationships" r:id="rId11"/>
          <a:extLst>
            <a:ext uri="{FF2B5EF4-FFF2-40B4-BE49-F238E27FC236}">
              <a16:creationId xmlns:a16="http://schemas.microsoft.com/office/drawing/2014/main" id="{00000000-0008-0000-1400-000022000000}"/>
            </a:ext>
          </a:extLst>
        </xdr:cNvPr>
        <xdr:cNvSpPr/>
      </xdr:nvSpPr>
      <xdr:spPr>
        <a:xfrm>
          <a:off x="40481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a:t>
          </a:r>
          <a:r>
            <a:rPr lang="pt-BR" sz="1000" baseline="0">
              <a:solidFill>
                <a:schemeClr val="tx1">
                  <a:lumMod val="65000"/>
                  <a:lumOff val="35000"/>
                </a:schemeClr>
              </a:solidFill>
            </a:rPr>
            <a:t> IV</a:t>
          </a:r>
          <a:endParaRPr lang="pt-BR" sz="1000">
            <a:solidFill>
              <a:schemeClr val="tx1">
                <a:lumMod val="65000"/>
                <a:lumOff val="35000"/>
              </a:schemeClr>
            </a:solidFill>
          </a:endParaRPr>
        </a:p>
      </xdr:txBody>
    </xdr:sp>
    <xdr:clientData/>
  </xdr:twoCellAnchor>
  <xdr:twoCellAnchor editAs="absolute">
    <xdr:from>
      <xdr:col>7</xdr:col>
      <xdr:colOff>714375</xdr:colOff>
      <xdr:row>2</xdr:row>
      <xdr:rowOff>266700</xdr:rowOff>
    </xdr:from>
    <xdr:to>
      <xdr:col>9</xdr:col>
      <xdr:colOff>221775</xdr:colOff>
      <xdr:row>2</xdr:row>
      <xdr:rowOff>554700</xdr:rowOff>
    </xdr:to>
    <xdr:sp macro="" textlink="">
      <xdr:nvSpPr>
        <xdr:cNvPr id="35" name="Retângulo 34">
          <a:hlinkClick xmlns:r="http://schemas.openxmlformats.org/officeDocument/2006/relationships" r:id="rId12"/>
          <a:extLst>
            <a:ext uri="{FF2B5EF4-FFF2-40B4-BE49-F238E27FC236}">
              <a16:creationId xmlns:a16="http://schemas.microsoft.com/office/drawing/2014/main" id="{00000000-0008-0000-1400-000023000000}"/>
            </a:ext>
          </a:extLst>
        </xdr:cNvPr>
        <xdr:cNvSpPr/>
      </xdr:nvSpPr>
      <xdr:spPr>
        <a:xfrm>
          <a:off x="53244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V</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3</xdr:col>
      <xdr:colOff>381000</xdr:colOff>
      <xdr:row>0</xdr:row>
      <xdr:rowOff>85725</xdr:rowOff>
    </xdr:from>
    <xdr:to>
      <xdr:col>4</xdr:col>
      <xdr:colOff>584700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609600</xdr:colOff>
      <xdr:row>0</xdr:row>
      <xdr:rowOff>85725</xdr:rowOff>
    </xdr:from>
    <xdr:to>
      <xdr:col>5</xdr:col>
      <xdr:colOff>813300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5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838200</xdr:colOff>
      <xdr:row>0</xdr:row>
      <xdr:rowOff>85725</xdr:rowOff>
    </xdr:from>
    <xdr:to>
      <xdr:col>7</xdr:col>
      <xdr:colOff>165600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5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419100</xdr:colOff>
      <xdr:row>0</xdr:row>
      <xdr:rowOff>85725</xdr:rowOff>
    </xdr:from>
    <xdr:to>
      <xdr:col>9</xdr:col>
      <xdr:colOff>622800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5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647700</xdr:colOff>
      <xdr:row>0</xdr:row>
      <xdr:rowOff>85725</xdr:rowOff>
    </xdr:from>
    <xdr:to>
      <xdr:col>10</xdr:col>
      <xdr:colOff>851400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5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0</xdr:colOff>
      <xdr:row>0</xdr:row>
      <xdr:rowOff>85725</xdr:rowOff>
    </xdr:from>
    <xdr:to>
      <xdr:col>12</xdr:col>
      <xdr:colOff>203700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5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15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190500</xdr:colOff>
      <xdr:row>0</xdr:row>
      <xdr:rowOff>85725</xdr:rowOff>
    </xdr:from>
    <xdr:to>
      <xdr:col>8</xdr:col>
      <xdr:colOff>394200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5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70350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5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5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5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5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5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xdr:from>
      <xdr:col>7</xdr:col>
      <xdr:colOff>866775</xdr:colOff>
      <xdr:row>4</xdr:row>
      <xdr:rowOff>142875</xdr:rowOff>
    </xdr:from>
    <xdr:to>
      <xdr:col>8</xdr:col>
      <xdr:colOff>170475</xdr:colOff>
      <xdr:row>4</xdr:row>
      <xdr:rowOff>322875</xdr:rowOff>
    </xdr:to>
    <xdr:sp macro="" textlink="">
      <xdr:nvSpPr>
        <xdr:cNvPr id="15" name="Sinal de Multiplicação 14">
          <a:extLst>
            <a:ext uri="{FF2B5EF4-FFF2-40B4-BE49-F238E27FC236}">
              <a16:creationId xmlns:a16="http://schemas.microsoft.com/office/drawing/2014/main" id="{00000000-0008-0000-1500-00000F000000}"/>
            </a:ext>
          </a:extLst>
        </xdr:cNvPr>
        <xdr:cNvSpPr/>
      </xdr:nvSpPr>
      <xdr:spPr>
        <a:xfrm>
          <a:off x="5476875" y="2124075"/>
          <a:ext cx="180000" cy="180000"/>
        </a:xfrm>
        <a:prstGeom prst="mathMultiply">
          <a:avLst>
            <a:gd name="adj1" fmla="val 0"/>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771525</xdr:colOff>
      <xdr:row>4</xdr:row>
      <xdr:rowOff>219075</xdr:rowOff>
    </xdr:from>
    <xdr:to>
      <xdr:col>9</xdr:col>
      <xdr:colOff>75225</xdr:colOff>
      <xdr:row>4</xdr:row>
      <xdr:rowOff>255075</xdr:rowOff>
    </xdr:to>
    <xdr:sp macro="" textlink="">
      <xdr:nvSpPr>
        <xdr:cNvPr id="16" name="Sinal de Subtração 15">
          <a:extLst>
            <a:ext uri="{FF2B5EF4-FFF2-40B4-BE49-F238E27FC236}">
              <a16:creationId xmlns:a16="http://schemas.microsoft.com/office/drawing/2014/main" id="{00000000-0008-0000-1500-000010000000}"/>
            </a:ext>
          </a:extLst>
        </xdr:cNvPr>
        <xdr:cNvSpPr/>
      </xdr:nvSpPr>
      <xdr:spPr>
        <a:xfrm>
          <a:off x="6257925" y="2200275"/>
          <a:ext cx="180000" cy="36000"/>
        </a:xfrm>
        <a:prstGeom prst="mathMinus">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1</xdr:col>
          <xdr:colOff>66675</xdr:colOff>
          <xdr:row>2</xdr:row>
          <xdr:rowOff>876300</xdr:rowOff>
        </xdr:from>
        <xdr:to>
          <xdr:col>6</xdr:col>
          <xdr:colOff>666750</xdr:colOff>
          <xdr:row>6</xdr:row>
          <xdr:rowOff>9525</xdr:rowOff>
        </xdr:to>
        <xdr:sp macro="" textlink="">
          <xdr:nvSpPr>
            <xdr:cNvPr id="32769" name="Group Box 1"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Fórmula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752475</xdr:colOff>
          <xdr:row>2</xdr:row>
          <xdr:rowOff>876300</xdr:rowOff>
        </xdr:from>
        <xdr:to>
          <xdr:col>23</xdr:col>
          <xdr:colOff>85725</xdr:colOff>
          <xdr:row>6</xdr:row>
          <xdr:rowOff>9525</xdr:rowOff>
        </xdr:to>
        <xdr:sp macro="" textlink="">
          <xdr:nvSpPr>
            <xdr:cNvPr id="32770" name="Group Box 2" hidden="1">
              <a:extLst>
                <a:ext uri="{63B3BB69-23CF-44E3-9099-C40C66FF867C}">
                  <a14:compatExt spid="_x0000_s32770"/>
                </a:ext>
                <a:ext uri="{FF2B5EF4-FFF2-40B4-BE49-F238E27FC236}">
                  <a16:creationId xmlns:a16="http://schemas.microsoft.com/office/drawing/2014/main" id="{00000000-0008-0000-1500-000002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Cálculo</a:t>
              </a:r>
            </a:p>
          </xdr:txBody>
        </xdr:sp>
        <xdr:clientData/>
      </xdr:twoCellAnchor>
    </mc:Choice>
    <mc:Fallback/>
  </mc:AlternateContent>
  <xdr:twoCellAnchor>
    <xdr:from>
      <xdr:col>10</xdr:col>
      <xdr:colOff>352425</xdr:colOff>
      <xdr:row>4</xdr:row>
      <xdr:rowOff>304800</xdr:rowOff>
    </xdr:from>
    <xdr:to>
      <xdr:col>10</xdr:col>
      <xdr:colOff>532425</xdr:colOff>
      <xdr:row>5</xdr:row>
      <xdr:rowOff>82650</xdr:rowOff>
    </xdr:to>
    <xdr:sp macro="" textlink="">
      <xdr:nvSpPr>
        <xdr:cNvPr id="19" name="Igual a 18">
          <a:extLst>
            <a:ext uri="{FF2B5EF4-FFF2-40B4-BE49-F238E27FC236}">
              <a16:creationId xmlns:a16="http://schemas.microsoft.com/office/drawing/2014/main" id="{00000000-0008-0000-1500-000013000000}"/>
            </a:ext>
          </a:extLst>
        </xdr:cNvPr>
        <xdr:cNvSpPr/>
      </xdr:nvSpPr>
      <xdr:spPr>
        <a:xfrm>
          <a:off x="7591425" y="2286000"/>
          <a:ext cx="180000" cy="216000"/>
        </a:xfrm>
        <a:prstGeom prst="mathEqual">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371475</xdr:colOff>
      <xdr:row>4</xdr:row>
      <xdr:rowOff>304800</xdr:rowOff>
    </xdr:from>
    <xdr:to>
      <xdr:col>12</xdr:col>
      <xdr:colOff>551475</xdr:colOff>
      <xdr:row>5</xdr:row>
      <xdr:rowOff>82650</xdr:rowOff>
    </xdr:to>
    <xdr:sp macro="" textlink="">
      <xdr:nvSpPr>
        <xdr:cNvPr id="20" name="Igual a 19">
          <a:extLst>
            <a:ext uri="{FF2B5EF4-FFF2-40B4-BE49-F238E27FC236}">
              <a16:creationId xmlns:a16="http://schemas.microsoft.com/office/drawing/2014/main" id="{00000000-0008-0000-1500-000014000000}"/>
            </a:ext>
          </a:extLst>
        </xdr:cNvPr>
        <xdr:cNvSpPr/>
      </xdr:nvSpPr>
      <xdr:spPr>
        <a:xfrm>
          <a:off x="9363075" y="2286000"/>
          <a:ext cx="180000" cy="216000"/>
        </a:xfrm>
        <a:prstGeom prst="mathEqual">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11</xdr:col>
          <xdr:colOff>142875</xdr:colOff>
          <xdr:row>6</xdr:row>
          <xdr:rowOff>180975</xdr:rowOff>
        </xdr:from>
        <xdr:to>
          <xdr:col>23</xdr:col>
          <xdr:colOff>85725</xdr:colOff>
          <xdr:row>15</xdr:row>
          <xdr:rowOff>0</xdr:rowOff>
        </xdr:to>
        <xdr:sp macro="" textlink="">
          <xdr:nvSpPr>
            <xdr:cNvPr id="32771" name="Group Box 3" hidden="1">
              <a:extLst>
                <a:ext uri="{63B3BB69-23CF-44E3-9099-C40C66FF867C}">
                  <a14:compatExt spid="_x0000_s32771"/>
                </a:ext>
                <a:ext uri="{FF2B5EF4-FFF2-40B4-BE49-F238E27FC236}">
                  <a16:creationId xmlns:a16="http://schemas.microsoft.com/office/drawing/2014/main" id="{00000000-0008-0000-1500-000003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Observações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xdr:row>
          <xdr:rowOff>180975</xdr:rowOff>
        </xdr:from>
        <xdr:to>
          <xdr:col>23</xdr:col>
          <xdr:colOff>85725</xdr:colOff>
          <xdr:row>108</xdr:row>
          <xdr:rowOff>228600</xdr:rowOff>
        </xdr:to>
        <xdr:sp macro="" textlink="">
          <xdr:nvSpPr>
            <xdr:cNvPr id="32772" name="Group Box 4" hidden="1">
              <a:extLst>
                <a:ext uri="{63B3BB69-23CF-44E3-9099-C40C66FF867C}">
                  <a14:compatExt spid="_x0000_s32772"/>
                </a:ext>
                <a:ext uri="{FF2B5EF4-FFF2-40B4-BE49-F238E27FC236}">
                  <a16:creationId xmlns:a16="http://schemas.microsoft.com/office/drawing/2014/main" id="{00000000-0008-0000-1500-000004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Repartição</a:t>
              </a:r>
            </a:p>
          </xdr:txBody>
        </xdr:sp>
        <xdr:clientData/>
      </xdr:twoCellAnchor>
    </mc:Choice>
    <mc:Fallback/>
  </mc:AlternateContent>
  <xdr:oneCellAnchor>
    <xdr:from>
      <xdr:col>11</xdr:col>
      <xdr:colOff>523875</xdr:colOff>
      <xdr:row>8</xdr:row>
      <xdr:rowOff>209550</xdr:rowOff>
    </xdr:from>
    <xdr:ext cx="3581400" cy="2283574"/>
    <xdr:sp macro="" textlink="">
      <xdr:nvSpPr>
        <xdr:cNvPr id="23" name="CaixaDeTexto 22">
          <a:extLst>
            <a:ext uri="{FF2B5EF4-FFF2-40B4-BE49-F238E27FC236}">
              <a16:creationId xmlns:a16="http://schemas.microsoft.com/office/drawing/2014/main" id="{00000000-0008-0000-1500-000017000000}"/>
            </a:ext>
          </a:extLst>
        </xdr:cNvPr>
        <xdr:cNvSpPr txBox="1"/>
      </xdr:nvSpPr>
      <xdr:spPr>
        <a:xfrm>
          <a:off x="8639175" y="3533775"/>
          <a:ext cx="3581400" cy="2283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a:solidFill>
                <a:srgbClr val="FB5A56"/>
              </a:solidFill>
            </a:rPr>
            <a:t>← Essa</a:t>
          </a:r>
          <a:r>
            <a:rPr lang="pt-BR" sz="1000" baseline="0">
              <a:solidFill>
                <a:srgbClr val="FB5A56"/>
              </a:solidFill>
            </a:rPr>
            <a:t> repartição diz respeito ao valor destinado a cada um dos impostos incidentes sobre o anexo em relação a alíquota efetiva.</a:t>
          </a:r>
        </a:p>
        <a:p>
          <a:endParaRPr lang="pt-BR" sz="1000" baseline="0">
            <a:solidFill>
              <a:srgbClr val="FB5A56"/>
            </a:solidFill>
          </a:endParaRPr>
        </a:p>
        <a:p>
          <a:r>
            <a:rPr lang="pt-BR" sz="1000" baseline="0">
              <a:solidFill>
                <a:srgbClr val="FB5A56"/>
              </a:solidFill>
            </a:rPr>
            <a:t>No final das somas de cada faixa do anexo, o valor total deve ser correspondente ao valor da alíquota efetiva.</a:t>
          </a:r>
        </a:p>
        <a:p>
          <a:endParaRPr lang="pt-BR" sz="1000" baseline="0">
            <a:solidFill>
              <a:srgbClr val="FB5A56"/>
            </a:solidFill>
          </a:endParaRPr>
        </a:p>
        <a:p>
          <a:r>
            <a:rPr lang="pt-BR" sz="1000" baseline="0">
              <a:solidFill>
                <a:srgbClr val="FB5A56"/>
              </a:solidFill>
            </a:rPr>
            <a:t>Abaixo, é feita a divisão do valor do DAS completo (Faturamento declarado x Alíquota Efetiva) em relação ao percentual dividido para cada um dos impostos.</a:t>
          </a:r>
        </a:p>
        <a:p>
          <a:endParaRPr lang="pt-BR" sz="1000" baseline="0">
            <a:solidFill>
              <a:srgbClr val="FB5A56"/>
            </a:solidFill>
          </a:endParaRPr>
        </a:p>
        <a:p>
          <a:r>
            <a:rPr lang="pt-BR" sz="1000" baseline="0">
              <a:solidFill>
                <a:srgbClr val="FB5A56"/>
              </a:solidFill>
            </a:rPr>
            <a:t>A soma de cada uma das faixas, deve ser correspondente ao valor total do DAS apurado.</a:t>
          </a:r>
        </a:p>
        <a:p>
          <a:endParaRPr lang="pt-BR" sz="1000" baseline="0">
            <a:solidFill>
              <a:srgbClr val="FB5A56"/>
            </a:solidFill>
          </a:endParaRPr>
        </a:p>
        <a:p>
          <a:r>
            <a:rPr lang="pt-BR" sz="1000" baseline="0">
              <a:solidFill>
                <a:srgbClr val="FB5A56"/>
              </a:solidFill>
            </a:rPr>
            <a:t>Confira abaixo ↓</a:t>
          </a:r>
        </a:p>
      </xdr:txBody>
    </xdr:sp>
    <xdr:clientData/>
  </xdr:oneCellAnchor>
  <xdr:twoCellAnchor editAs="absolute">
    <xdr:from>
      <xdr:col>4</xdr:col>
      <xdr:colOff>85725</xdr:colOff>
      <xdr:row>1</xdr:row>
      <xdr:rowOff>142875</xdr:rowOff>
    </xdr:from>
    <xdr:to>
      <xdr:col>5</xdr:col>
      <xdr:colOff>289425</xdr:colOff>
      <xdr:row>2</xdr:row>
      <xdr:rowOff>13875</xdr:rowOff>
    </xdr:to>
    <xdr:sp macro="" textlink="">
      <xdr:nvSpPr>
        <xdr:cNvPr id="24" name="Retângulo 23">
          <a:hlinkClick xmlns:r="http://schemas.openxmlformats.org/officeDocument/2006/relationships" r:id="rId8"/>
          <a:extLst>
            <a:ext uri="{FF2B5EF4-FFF2-40B4-BE49-F238E27FC236}">
              <a16:creationId xmlns:a16="http://schemas.microsoft.com/office/drawing/2014/main" id="{00000000-0008-0000-1500-000018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Anexos</a:t>
          </a:r>
        </a:p>
      </xdr:txBody>
    </xdr:sp>
    <xdr:clientData/>
  </xdr:twoCellAnchor>
  <xdr:twoCellAnchor>
    <xdr:from>
      <xdr:col>2</xdr:col>
      <xdr:colOff>314325</xdr:colOff>
      <xdr:row>5</xdr:row>
      <xdr:rowOff>0</xdr:rowOff>
    </xdr:from>
    <xdr:to>
      <xdr:col>6</xdr:col>
      <xdr:colOff>301125</xdr:colOff>
      <xdr:row>5</xdr:row>
      <xdr:rowOff>0</xdr:rowOff>
    </xdr:to>
    <xdr:cxnSp macro="">
      <xdr:nvCxnSpPr>
        <xdr:cNvPr id="25" name="Conector reto 24">
          <a:extLst>
            <a:ext uri="{FF2B5EF4-FFF2-40B4-BE49-F238E27FC236}">
              <a16:creationId xmlns:a16="http://schemas.microsoft.com/office/drawing/2014/main" id="{00000000-0008-0000-1500-000019000000}"/>
            </a:ext>
          </a:extLst>
        </xdr:cNvPr>
        <xdr:cNvCxnSpPr/>
      </xdr:nvCxnSpPr>
      <xdr:spPr>
        <a:xfrm flipV="1">
          <a:off x="542925" y="2419350"/>
          <a:ext cx="3492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76200</xdr:colOff>
      <xdr:row>4</xdr:row>
      <xdr:rowOff>94238</xdr:rowOff>
    </xdr:from>
    <xdr:ext cx="4191000" cy="342786"/>
    <xdr:sp macro="" textlink="">
      <xdr:nvSpPr>
        <xdr:cNvPr id="26" name="CaixaDeTexto 25">
          <a:extLst>
            <a:ext uri="{FF2B5EF4-FFF2-40B4-BE49-F238E27FC236}">
              <a16:creationId xmlns:a16="http://schemas.microsoft.com/office/drawing/2014/main" id="{00000000-0008-0000-1500-00001A000000}"/>
            </a:ext>
          </a:extLst>
        </xdr:cNvPr>
        <xdr:cNvSpPr txBox="1"/>
      </xdr:nvSpPr>
      <xdr:spPr>
        <a:xfrm>
          <a:off x="190500" y="2075438"/>
          <a:ext cx="41910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600" b="1">
              <a:solidFill>
                <a:schemeClr val="tx1"/>
              </a:solidFill>
            </a:rPr>
            <a:t>RBT 12 x Alíquota - Parcela à Deduzir</a:t>
          </a:r>
        </a:p>
      </xdr:txBody>
    </xdr:sp>
    <xdr:clientData/>
  </xdr:oneCellAnchor>
  <xdr:oneCellAnchor>
    <xdr:from>
      <xdr:col>1</xdr:col>
      <xdr:colOff>85725</xdr:colOff>
      <xdr:row>5</xdr:row>
      <xdr:rowOff>8513</xdr:rowOff>
    </xdr:from>
    <xdr:ext cx="4191000" cy="342786"/>
    <xdr:sp macro="" textlink="">
      <xdr:nvSpPr>
        <xdr:cNvPr id="27" name="CaixaDeTexto 26">
          <a:extLst>
            <a:ext uri="{FF2B5EF4-FFF2-40B4-BE49-F238E27FC236}">
              <a16:creationId xmlns:a16="http://schemas.microsoft.com/office/drawing/2014/main" id="{00000000-0008-0000-1500-00001B000000}"/>
            </a:ext>
          </a:extLst>
        </xdr:cNvPr>
        <xdr:cNvSpPr txBox="1"/>
      </xdr:nvSpPr>
      <xdr:spPr>
        <a:xfrm>
          <a:off x="200025" y="2427863"/>
          <a:ext cx="41910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600" b="1">
              <a:solidFill>
                <a:schemeClr val="tx1"/>
              </a:solidFill>
            </a:rPr>
            <a:t>RBT 12</a:t>
          </a:r>
        </a:p>
      </xdr:txBody>
    </xdr:sp>
    <xdr:clientData/>
  </xdr:oneCellAnchor>
  <xdr:twoCellAnchor editAs="absolute">
    <xdr:from>
      <xdr:col>1</xdr:col>
      <xdr:colOff>104774</xdr:colOff>
      <xdr:row>2</xdr:row>
      <xdr:rowOff>581025</xdr:rowOff>
    </xdr:from>
    <xdr:to>
      <xdr:col>9</xdr:col>
      <xdr:colOff>228374</xdr:colOff>
      <xdr:row>2</xdr:row>
      <xdr:rowOff>581025</xdr:rowOff>
    </xdr:to>
    <xdr:cxnSp macro="">
      <xdr:nvCxnSpPr>
        <xdr:cNvPr id="30" name="Conector reto 29">
          <a:extLst>
            <a:ext uri="{FF2B5EF4-FFF2-40B4-BE49-F238E27FC236}">
              <a16:creationId xmlns:a16="http://schemas.microsoft.com/office/drawing/2014/main" id="{00000000-0008-0000-1500-00001E000000}"/>
            </a:ext>
          </a:extLst>
        </xdr:cNvPr>
        <xdr:cNvCxnSpPr/>
      </xdr:nvCxnSpPr>
      <xdr:spPr>
        <a:xfrm>
          <a:off x="219074" y="1400175"/>
          <a:ext cx="637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266700</xdr:rowOff>
    </xdr:from>
    <xdr:to>
      <xdr:col>3</xdr:col>
      <xdr:colOff>374175</xdr:colOff>
      <xdr:row>2</xdr:row>
      <xdr:rowOff>554700</xdr:rowOff>
    </xdr:to>
    <xdr:sp macro="" textlink="">
      <xdr:nvSpPr>
        <xdr:cNvPr id="31" name="Retângulo 30">
          <a:hlinkClick xmlns:r="http://schemas.openxmlformats.org/officeDocument/2006/relationships" r:id="rId8"/>
          <a:extLst>
            <a:ext uri="{FF2B5EF4-FFF2-40B4-BE49-F238E27FC236}">
              <a16:creationId xmlns:a16="http://schemas.microsoft.com/office/drawing/2014/main" id="{00000000-0008-0000-1500-00001F000000}"/>
            </a:ext>
          </a:extLst>
        </xdr:cNvPr>
        <xdr:cNvSpPr/>
      </xdr:nvSpPr>
      <xdr:spPr>
        <a:xfrm>
          <a:off x="2190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Comércio</a:t>
          </a:r>
        </a:p>
      </xdr:txBody>
    </xdr:sp>
    <xdr:clientData/>
  </xdr:twoCellAnchor>
  <xdr:twoCellAnchor editAs="absolute">
    <xdr:from>
      <xdr:col>3</xdr:col>
      <xdr:colOff>390525</xdr:colOff>
      <xdr:row>2</xdr:row>
      <xdr:rowOff>266700</xdr:rowOff>
    </xdr:from>
    <xdr:to>
      <xdr:col>4</xdr:col>
      <xdr:colOff>774225</xdr:colOff>
      <xdr:row>2</xdr:row>
      <xdr:rowOff>554700</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1500-000020000000}"/>
            </a:ext>
          </a:extLst>
        </xdr:cNvPr>
        <xdr:cNvSpPr/>
      </xdr:nvSpPr>
      <xdr:spPr>
        <a:xfrm>
          <a:off x="14954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Indústria</a:t>
          </a:r>
        </a:p>
      </xdr:txBody>
    </xdr:sp>
    <xdr:clientData/>
  </xdr:twoCellAnchor>
  <xdr:twoCellAnchor editAs="absolute">
    <xdr:from>
      <xdr:col>4</xdr:col>
      <xdr:colOff>790575</xdr:colOff>
      <xdr:row>2</xdr:row>
      <xdr:rowOff>266700</xdr:rowOff>
    </xdr:from>
    <xdr:to>
      <xdr:col>6</xdr:col>
      <xdr:colOff>297975</xdr:colOff>
      <xdr:row>2</xdr:row>
      <xdr:rowOff>554700</xdr:rowOff>
    </xdr:to>
    <xdr:sp macro="" textlink="">
      <xdr:nvSpPr>
        <xdr:cNvPr id="33" name="Retângulo 32">
          <a:hlinkClick xmlns:r="http://schemas.openxmlformats.org/officeDocument/2006/relationships" r:id="rId10"/>
          <a:extLst>
            <a:ext uri="{FF2B5EF4-FFF2-40B4-BE49-F238E27FC236}">
              <a16:creationId xmlns:a16="http://schemas.microsoft.com/office/drawing/2014/main" id="{00000000-0008-0000-1500-000021000000}"/>
            </a:ext>
          </a:extLst>
        </xdr:cNvPr>
        <xdr:cNvSpPr/>
      </xdr:nvSpPr>
      <xdr:spPr>
        <a:xfrm>
          <a:off x="27717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III</a:t>
          </a:r>
        </a:p>
      </xdr:txBody>
    </xdr:sp>
    <xdr:clientData/>
  </xdr:twoCellAnchor>
  <xdr:twoCellAnchor editAs="absolute">
    <xdr:from>
      <xdr:col>6</xdr:col>
      <xdr:colOff>314325</xdr:colOff>
      <xdr:row>2</xdr:row>
      <xdr:rowOff>266700</xdr:rowOff>
    </xdr:from>
    <xdr:to>
      <xdr:col>7</xdr:col>
      <xdr:colOff>698025</xdr:colOff>
      <xdr:row>2</xdr:row>
      <xdr:rowOff>554700</xdr:rowOff>
    </xdr:to>
    <xdr:sp macro="" textlink="">
      <xdr:nvSpPr>
        <xdr:cNvPr id="34" name="Retângulo 33">
          <a:hlinkClick xmlns:r="http://schemas.openxmlformats.org/officeDocument/2006/relationships" r:id="rId11"/>
          <a:extLst>
            <a:ext uri="{FF2B5EF4-FFF2-40B4-BE49-F238E27FC236}">
              <a16:creationId xmlns:a16="http://schemas.microsoft.com/office/drawing/2014/main" id="{00000000-0008-0000-1500-000022000000}"/>
            </a:ext>
          </a:extLst>
        </xdr:cNvPr>
        <xdr:cNvSpPr/>
      </xdr:nvSpPr>
      <xdr:spPr>
        <a:xfrm>
          <a:off x="4048125" y="1085850"/>
          <a:ext cx="1260000" cy="28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Anexo</a:t>
          </a:r>
          <a:r>
            <a:rPr lang="pt-BR" sz="1000" baseline="0">
              <a:solidFill>
                <a:schemeClr val="bg1"/>
              </a:solidFill>
            </a:rPr>
            <a:t> IV</a:t>
          </a:r>
          <a:endParaRPr lang="pt-BR" sz="1000">
            <a:solidFill>
              <a:schemeClr val="bg1"/>
            </a:solidFill>
          </a:endParaRPr>
        </a:p>
      </xdr:txBody>
    </xdr:sp>
    <xdr:clientData/>
  </xdr:twoCellAnchor>
  <xdr:twoCellAnchor editAs="absolute">
    <xdr:from>
      <xdr:col>7</xdr:col>
      <xdr:colOff>714375</xdr:colOff>
      <xdr:row>2</xdr:row>
      <xdr:rowOff>266700</xdr:rowOff>
    </xdr:from>
    <xdr:to>
      <xdr:col>9</xdr:col>
      <xdr:colOff>221775</xdr:colOff>
      <xdr:row>2</xdr:row>
      <xdr:rowOff>554700</xdr:rowOff>
    </xdr:to>
    <xdr:sp macro="" textlink="">
      <xdr:nvSpPr>
        <xdr:cNvPr id="35" name="Retângulo 34">
          <a:hlinkClick xmlns:r="http://schemas.openxmlformats.org/officeDocument/2006/relationships" r:id="rId12"/>
          <a:extLst>
            <a:ext uri="{FF2B5EF4-FFF2-40B4-BE49-F238E27FC236}">
              <a16:creationId xmlns:a16="http://schemas.microsoft.com/office/drawing/2014/main" id="{00000000-0008-0000-1500-000023000000}"/>
            </a:ext>
          </a:extLst>
        </xdr:cNvPr>
        <xdr:cNvSpPr/>
      </xdr:nvSpPr>
      <xdr:spPr>
        <a:xfrm>
          <a:off x="53244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V</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3</xdr:col>
      <xdr:colOff>381000</xdr:colOff>
      <xdr:row>0</xdr:row>
      <xdr:rowOff>85725</xdr:rowOff>
    </xdr:from>
    <xdr:to>
      <xdr:col>4</xdr:col>
      <xdr:colOff>584700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609600</xdr:colOff>
      <xdr:row>0</xdr:row>
      <xdr:rowOff>85725</xdr:rowOff>
    </xdr:from>
    <xdr:to>
      <xdr:col>5</xdr:col>
      <xdr:colOff>813300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6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838200</xdr:colOff>
      <xdr:row>0</xdr:row>
      <xdr:rowOff>85725</xdr:rowOff>
    </xdr:from>
    <xdr:to>
      <xdr:col>7</xdr:col>
      <xdr:colOff>165600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6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419100</xdr:colOff>
      <xdr:row>0</xdr:row>
      <xdr:rowOff>85725</xdr:rowOff>
    </xdr:from>
    <xdr:to>
      <xdr:col>9</xdr:col>
      <xdr:colOff>622800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6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647700</xdr:colOff>
      <xdr:row>0</xdr:row>
      <xdr:rowOff>85725</xdr:rowOff>
    </xdr:from>
    <xdr:to>
      <xdr:col>10</xdr:col>
      <xdr:colOff>851400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6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0</xdr:colOff>
      <xdr:row>0</xdr:row>
      <xdr:rowOff>85725</xdr:rowOff>
    </xdr:from>
    <xdr:to>
      <xdr:col>12</xdr:col>
      <xdr:colOff>203700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6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16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190500</xdr:colOff>
      <xdr:row>0</xdr:row>
      <xdr:rowOff>85725</xdr:rowOff>
    </xdr:from>
    <xdr:to>
      <xdr:col>8</xdr:col>
      <xdr:colOff>394200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6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70350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6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6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6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6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6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xdr:from>
      <xdr:col>7</xdr:col>
      <xdr:colOff>866775</xdr:colOff>
      <xdr:row>4</xdr:row>
      <xdr:rowOff>142875</xdr:rowOff>
    </xdr:from>
    <xdr:to>
      <xdr:col>8</xdr:col>
      <xdr:colOff>170475</xdr:colOff>
      <xdr:row>4</xdr:row>
      <xdr:rowOff>322875</xdr:rowOff>
    </xdr:to>
    <xdr:sp macro="" textlink="">
      <xdr:nvSpPr>
        <xdr:cNvPr id="15" name="Sinal de Multiplicação 14">
          <a:extLst>
            <a:ext uri="{FF2B5EF4-FFF2-40B4-BE49-F238E27FC236}">
              <a16:creationId xmlns:a16="http://schemas.microsoft.com/office/drawing/2014/main" id="{00000000-0008-0000-1600-00000F000000}"/>
            </a:ext>
          </a:extLst>
        </xdr:cNvPr>
        <xdr:cNvSpPr/>
      </xdr:nvSpPr>
      <xdr:spPr>
        <a:xfrm>
          <a:off x="5476875" y="2124075"/>
          <a:ext cx="180000" cy="180000"/>
        </a:xfrm>
        <a:prstGeom prst="mathMultiply">
          <a:avLst>
            <a:gd name="adj1" fmla="val 0"/>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771525</xdr:colOff>
      <xdr:row>4</xdr:row>
      <xdr:rowOff>219075</xdr:rowOff>
    </xdr:from>
    <xdr:to>
      <xdr:col>9</xdr:col>
      <xdr:colOff>75225</xdr:colOff>
      <xdr:row>4</xdr:row>
      <xdr:rowOff>255075</xdr:rowOff>
    </xdr:to>
    <xdr:sp macro="" textlink="">
      <xdr:nvSpPr>
        <xdr:cNvPr id="16" name="Sinal de Subtração 15">
          <a:extLst>
            <a:ext uri="{FF2B5EF4-FFF2-40B4-BE49-F238E27FC236}">
              <a16:creationId xmlns:a16="http://schemas.microsoft.com/office/drawing/2014/main" id="{00000000-0008-0000-1600-000010000000}"/>
            </a:ext>
          </a:extLst>
        </xdr:cNvPr>
        <xdr:cNvSpPr/>
      </xdr:nvSpPr>
      <xdr:spPr>
        <a:xfrm>
          <a:off x="6257925" y="2200275"/>
          <a:ext cx="180000" cy="36000"/>
        </a:xfrm>
        <a:prstGeom prst="mathMinus">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1</xdr:col>
          <xdr:colOff>66675</xdr:colOff>
          <xdr:row>2</xdr:row>
          <xdr:rowOff>876300</xdr:rowOff>
        </xdr:from>
        <xdr:to>
          <xdr:col>6</xdr:col>
          <xdr:colOff>666750</xdr:colOff>
          <xdr:row>6</xdr:row>
          <xdr:rowOff>9525</xdr:rowOff>
        </xdr:to>
        <xdr:sp macro="" textlink="">
          <xdr:nvSpPr>
            <xdr:cNvPr id="33793" name="Group Box 1" hidden="1">
              <a:extLst>
                <a:ext uri="{63B3BB69-23CF-44E3-9099-C40C66FF867C}">
                  <a14:compatExt spid="_x0000_s33793"/>
                </a:ext>
                <a:ext uri="{FF2B5EF4-FFF2-40B4-BE49-F238E27FC236}">
                  <a16:creationId xmlns:a16="http://schemas.microsoft.com/office/drawing/2014/main" id="{00000000-0008-0000-1600-000001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Fórmula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752475</xdr:colOff>
          <xdr:row>2</xdr:row>
          <xdr:rowOff>876300</xdr:rowOff>
        </xdr:from>
        <xdr:to>
          <xdr:col>23</xdr:col>
          <xdr:colOff>85725</xdr:colOff>
          <xdr:row>6</xdr:row>
          <xdr:rowOff>9525</xdr:rowOff>
        </xdr:to>
        <xdr:sp macro="" textlink="">
          <xdr:nvSpPr>
            <xdr:cNvPr id="33794" name="Group Box 2" hidden="1">
              <a:extLst>
                <a:ext uri="{63B3BB69-23CF-44E3-9099-C40C66FF867C}">
                  <a14:compatExt spid="_x0000_s33794"/>
                </a:ext>
                <a:ext uri="{FF2B5EF4-FFF2-40B4-BE49-F238E27FC236}">
                  <a16:creationId xmlns:a16="http://schemas.microsoft.com/office/drawing/2014/main" id="{00000000-0008-0000-1600-000002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Cálculo</a:t>
              </a:r>
            </a:p>
          </xdr:txBody>
        </xdr:sp>
        <xdr:clientData/>
      </xdr:twoCellAnchor>
    </mc:Choice>
    <mc:Fallback/>
  </mc:AlternateContent>
  <xdr:twoCellAnchor>
    <xdr:from>
      <xdr:col>10</xdr:col>
      <xdr:colOff>352425</xdr:colOff>
      <xdr:row>4</xdr:row>
      <xdr:rowOff>304800</xdr:rowOff>
    </xdr:from>
    <xdr:to>
      <xdr:col>10</xdr:col>
      <xdr:colOff>532425</xdr:colOff>
      <xdr:row>5</xdr:row>
      <xdr:rowOff>82650</xdr:rowOff>
    </xdr:to>
    <xdr:sp macro="" textlink="">
      <xdr:nvSpPr>
        <xdr:cNvPr id="19" name="Igual a 18">
          <a:extLst>
            <a:ext uri="{FF2B5EF4-FFF2-40B4-BE49-F238E27FC236}">
              <a16:creationId xmlns:a16="http://schemas.microsoft.com/office/drawing/2014/main" id="{00000000-0008-0000-1600-000013000000}"/>
            </a:ext>
          </a:extLst>
        </xdr:cNvPr>
        <xdr:cNvSpPr/>
      </xdr:nvSpPr>
      <xdr:spPr>
        <a:xfrm>
          <a:off x="7591425" y="2286000"/>
          <a:ext cx="180000" cy="216000"/>
        </a:xfrm>
        <a:prstGeom prst="mathEqual">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371475</xdr:colOff>
      <xdr:row>4</xdr:row>
      <xdr:rowOff>304800</xdr:rowOff>
    </xdr:from>
    <xdr:to>
      <xdr:col>12</xdr:col>
      <xdr:colOff>551475</xdr:colOff>
      <xdr:row>5</xdr:row>
      <xdr:rowOff>82650</xdr:rowOff>
    </xdr:to>
    <xdr:sp macro="" textlink="">
      <xdr:nvSpPr>
        <xdr:cNvPr id="20" name="Igual a 19">
          <a:extLst>
            <a:ext uri="{FF2B5EF4-FFF2-40B4-BE49-F238E27FC236}">
              <a16:creationId xmlns:a16="http://schemas.microsoft.com/office/drawing/2014/main" id="{00000000-0008-0000-1600-000014000000}"/>
            </a:ext>
          </a:extLst>
        </xdr:cNvPr>
        <xdr:cNvSpPr/>
      </xdr:nvSpPr>
      <xdr:spPr>
        <a:xfrm>
          <a:off x="9363075" y="2286000"/>
          <a:ext cx="180000" cy="216000"/>
        </a:xfrm>
        <a:prstGeom prst="mathEqual">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11</xdr:col>
          <xdr:colOff>142875</xdr:colOff>
          <xdr:row>6</xdr:row>
          <xdr:rowOff>180975</xdr:rowOff>
        </xdr:from>
        <xdr:to>
          <xdr:col>23</xdr:col>
          <xdr:colOff>85725</xdr:colOff>
          <xdr:row>15</xdr:row>
          <xdr:rowOff>0</xdr:rowOff>
        </xdr:to>
        <xdr:sp macro="" textlink="">
          <xdr:nvSpPr>
            <xdr:cNvPr id="33795" name="Group Box 3" hidden="1">
              <a:extLst>
                <a:ext uri="{63B3BB69-23CF-44E3-9099-C40C66FF867C}">
                  <a14:compatExt spid="_x0000_s33795"/>
                </a:ext>
                <a:ext uri="{FF2B5EF4-FFF2-40B4-BE49-F238E27FC236}">
                  <a16:creationId xmlns:a16="http://schemas.microsoft.com/office/drawing/2014/main" id="{00000000-0008-0000-1600-000003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Observações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xdr:row>
          <xdr:rowOff>180975</xdr:rowOff>
        </xdr:from>
        <xdr:to>
          <xdr:col>23</xdr:col>
          <xdr:colOff>85725</xdr:colOff>
          <xdr:row>108</xdr:row>
          <xdr:rowOff>228600</xdr:rowOff>
        </xdr:to>
        <xdr:sp macro="" textlink="">
          <xdr:nvSpPr>
            <xdr:cNvPr id="33796" name="Group Box 4" hidden="1">
              <a:extLst>
                <a:ext uri="{63B3BB69-23CF-44E3-9099-C40C66FF867C}">
                  <a14:compatExt spid="_x0000_s33796"/>
                </a:ext>
                <a:ext uri="{FF2B5EF4-FFF2-40B4-BE49-F238E27FC236}">
                  <a16:creationId xmlns:a16="http://schemas.microsoft.com/office/drawing/2014/main" id="{00000000-0008-0000-1600-00000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Repartição</a:t>
              </a:r>
            </a:p>
          </xdr:txBody>
        </xdr:sp>
        <xdr:clientData/>
      </xdr:twoCellAnchor>
    </mc:Choice>
    <mc:Fallback/>
  </mc:AlternateContent>
  <xdr:oneCellAnchor>
    <xdr:from>
      <xdr:col>11</xdr:col>
      <xdr:colOff>523875</xdr:colOff>
      <xdr:row>8</xdr:row>
      <xdr:rowOff>209550</xdr:rowOff>
    </xdr:from>
    <xdr:ext cx="3581400" cy="2283574"/>
    <xdr:sp macro="" textlink="">
      <xdr:nvSpPr>
        <xdr:cNvPr id="23" name="CaixaDeTexto 22">
          <a:extLst>
            <a:ext uri="{FF2B5EF4-FFF2-40B4-BE49-F238E27FC236}">
              <a16:creationId xmlns:a16="http://schemas.microsoft.com/office/drawing/2014/main" id="{00000000-0008-0000-1600-000017000000}"/>
            </a:ext>
          </a:extLst>
        </xdr:cNvPr>
        <xdr:cNvSpPr txBox="1"/>
      </xdr:nvSpPr>
      <xdr:spPr>
        <a:xfrm>
          <a:off x="8639175" y="3533775"/>
          <a:ext cx="3581400" cy="2283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a:solidFill>
                <a:srgbClr val="FB5A56"/>
              </a:solidFill>
            </a:rPr>
            <a:t>← Essa</a:t>
          </a:r>
          <a:r>
            <a:rPr lang="pt-BR" sz="1000" baseline="0">
              <a:solidFill>
                <a:srgbClr val="FB5A56"/>
              </a:solidFill>
            </a:rPr>
            <a:t> repartição diz respeito ao valor destinado a cada um dos impostos incidentes sobre o anexo em relação a alíquota efetiva.</a:t>
          </a:r>
        </a:p>
        <a:p>
          <a:endParaRPr lang="pt-BR" sz="1000" baseline="0">
            <a:solidFill>
              <a:srgbClr val="FB5A56"/>
            </a:solidFill>
          </a:endParaRPr>
        </a:p>
        <a:p>
          <a:r>
            <a:rPr lang="pt-BR" sz="1000" baseline="0">
              <a:solidFill>
                <a:srgbClr val="FB5A56"/>
              </a:solidFill>
            </a:rPr>
            <a:t>No final das somas de cada faixa do anexo, o valor total deve ser correspondente ao valor da alíquota efetiva.</a:t>
          </a:r>
        </a:p>
        <a:p>
          <a:endParaRPr lang="pt-BR" sz="1000" baseline="0">
            <a:solidFill>
              <a:srgbClr val="FB5A56"/>
            </a:solidFill>
          </a:endParaRPr>
        </a:p>
        <a:p>
          <a:r>
            <a:rPr lang="pt-BR" sz="1000" baseline="0">
              <a:solidFill>
                <a:srgbClr val="FB5A56"/>
              </a:solidFill>
            </a:rPr>
            <a:t>Abaixo, é feita a divisão do valor do DAS completo (Faturamento declarado x Alíquota Efetiva) em relação ao percentual dividido para cada um dos impostos.</a:t>
          </a:r>
        </a:p>
        <a:p>
          <a:endParaRPr lang="pt-BR" sz="1000" baseline="0">
            <a:solidFill>
              <a:srgbClr val="FB5A56"/>
            </a:solidFill>
          </a:endParaRPr>
        </a:p>
        <a:p>
          <a:r>
            <a:rPr lang="pt-BR" sz="1000" baseline="0">
              <a:solidFill>
                <a:srgbClr val="FB5A56"/>
              </a:solidFill>
            </a:rPr>
            <a:t>A soma de cada uma das faixas, deve ser correspondente ao valor total do DAS apurado.</a:t>
          </a:r>
        </a:p>
        <a:p>
          <a:endParaRPr lang="pt-BR" sz="1000" baseline="0">
            <a:solidFill>
              <a:srgbClr val="FB5A56"/>
            </a:solidFill>
          </a:endParaRPr>
        </a:p>
        <a:p>
          <a:r>
            <a:rPr lang="pt-BR" sz="1000" baseline="0">
              <a:solidFill>
                <a:srgbClr val="FB5A56"/>
              </a:solidFill>
            </a:rPr>
            <a:t>Confira abaixo ↓</a:t>
          </a:r>
        </a:p>
      </xdr:txBody>
    </xdr:sp>
    <xdr:clientData/>
  </xdr:oneCellAnchor>
  <xdr:twoCellAnchor editAs="absolute">
    <xdr:from>
      <xdr:col>4</xdr:col>
      <xdr:colOff>85725</xdr:colOff>
      <xdr:row>1</xdr:row>
      <xdr:rowOff>142875</xdr:rowOff>
    </xdr:from>
    <xdr:to>
      <xdr:col>5</xdr:col>
      <xdr:colOff>289425</xdr:colOff>
      <xdr:row>2</xdr:row>
      <xdr:rowOff>13875</xdr:rowOff>
    </xdr:to>
    <xdr:sp macro="" textlink="">
      <xdr:nvSpPr>
        <xdr:cNvPr id="24" name="Retângulo 23">
          <a:hlinkClick xmlns:r="http://schemas.openxmlformats.org/officeDocument/2006/relationships" r:id="rId8"/>
          <a:extLst>
            <a:ext uri="{FF2B5EF4-FFF2-40B4-BE49-F238E27FC236}">
              <a16:creationId xmlns:a16="http://schemas.microsoft.com/office/drawing/2014/main" id="{00000000-0008-0000-1600-000018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Anexos</a:t>
          </a:r>
        </a:p>
      </xdr:txBody>
    </xdr:sp>
    <xdr:clientData/>
  </xdr:twoCellAnchor>
  <xdr:twoCellAnchor>
    <xdr:from>
      <xdr:col>2</xdr:col>
      <xdr:colOff>314325</xdr:colOff>
      <xdr:row>5</xdr:row>
      <xdr:rowOff>0</xdr:rowOff>
    </xdr:from>
    <xdr:to>
      <xdr:col>6</xdr:col>
      <xdr:colOff>301125</xdr:colOff>
      <xdr:row>5</xdr:row>
      <xdr:rowOff>0</xdr:rowOff>
    </xdr:to>
    <xdr:cxnSp macro="">
      <xdr:nvCxnSpPr>
        <xdr:cNvPr id="25" name="Conector reto 24">
          <a:extLst>
            <a:ext uri="{FF2B5EF4-FFF2-40B4-BE49-F238E27FC236}">
              <a16:creationId xmlns:a16="http://schemas.microsoft.com/office/drawing/2014/main" id="{00000000-0008-0000-1600-000019000000}"/>
            </a:ext>
          </a:extLst>
        </xdr:cNvPr>
        <xdr:cNvCxnSpPr/>
      </xdr:nvCxnSpPr>
      <xdr:spPr>
        <a:xfrm flipV="1">
          <a:off x="542925" y="2419350"/>
          <a:ext cx="3492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76200</xdr:colOff>
      <xdr:row>4</xdr:row>
      <xdr:rowOff>94238</xdr:rowOff>
    </xdr:from>
    <xdr:ext cx="4191000" cy="342786"/>
    <xdr:sp macro="" textlink="">
      <xdr:nvSpPr>
        <xdr:cNvPr id="26" name="CaixaDeTexto 25">
          <a:extLst>
            <a:ext uri="{FF2B5EF4-FFF2-40B4-BE49-F238E27FC236}">
              <a16:creationId xmlns:a16="http://schemas.microsoft.com/office/drawing/2014/main" id="{00000000-0008-0000-1600-00001A000000}"/>
            </a:ext>
          </a:extLst>
        </xdr:cNvPr>
        <xdr:cNvSpPr txBox="1"/>
      </xdr:nvSpPr>
      <xdr:spPr>
        <a:xfrm>
          <a:off x="190500" y="2075438"/>
          <a:ext cx="41910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600" b="1">
              <a:solidFill>
                <a:schemeClr val="tx1"/>
              </a:solidFill>
            </a:rPr>
            <a:t>RBT 12 x Alíquota - Parcela à Deduzir</a:t>
          </a:r>
        </a:p>
      </xdr:txBody>
    </xdr:sp>
    <xdr:clientData/>
  </xdr:oneCellAnchor>
  <xdr:oneCellAnchor>
    <xdr:from>
      <xdr:col>1</xdr:col>
      <xdr:colOff>85725</xdr:colOff>
      <xdr:row>5</xdr:row>
      <xdr:rowOff>8513</xdr:rowOff>
    </xdr:from>
    <xdr:ext cx="4191000" cy="342786"/>
    <xdr:sp macro="" textlink="">
      <xdr:nvSpPr>
        <xdr:cNvPr id="27" name="CaixaDeTexto 26">
          <a:extLst>
            <a:ext uri="{FF2B5EF4-FFF2-40B4-BE49-F238E27FC236}">
              <a16:creationId xmlns:a16="http://schemas.microsoft.com/office/drawing/2014/main" id="{00000000-0008-0000-1600-00001B000000}"/>
            </a:ext>
          </a:extLst>
        </xdr:cNvPr>
        <xdr:cNvSpPr txBox="1"/>
      </xdr:nvSpPr>
      <xdr:spPr>
        <a:xfrm>
          <a:off x="200025" y="2427863"/>
          <a:ext cx="41910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600" b="1">
              <a:solidFill>
                <a:schemeClr val="tx1"/>
              </a:solidFill>
            </a:rPr>
            <a:t>RBT 12</a:t>
          </a:r>
        </a:p>
      </xdr:txBody>
    </xdr:sp>
    <xdr:clientData/>
  </xdr:oneCellAnchor>
  <xdr:twoCellAnchor editAs="absolute">
    <xdr:from>
      <xdr:col>1</xdr:col>
      <xdr:colOff>104774</xdr:colOff>
      <xdr:row>2</xdr:row>
      <xdr:rowOff>581025</xdr:rowOff>
    </xdr:from>
    <xdr:to>
      <xdr:col>9</xdr:col>
      <xdr:colOff>228374</xdr:colOff>
      <xdr:row>2</xdr:row>
      <xdr:rowOff>581025</xdr:rowOff>
    </xdr:to>
    <xdr:cxnSp macro="">
      <xdr:nvCxnSpPr>
        <xdr:cNvPr id="30" name="Conector reto 29">
          <a:extLst>
            <a:ext uri="{FF2B5EF4-FFF2-40B4-BE49-F238E27FC236}">
              <a16:creationId xmlns:a16="http://schemas.microsoft.com/office/drawing/2014/main" id="{00000000-0008-0000-1600-00001E000000}"/>
            </a:ext>
          </a:extLst>
        </xdr:cNvPr>
        <xdr:cNvCxnSpPr/>
      </xdr:nvCxnSpPr>
      <xdr:spPr>
        <a:xfrm>
          <a:off x="219074" y="1400175"/>
          <a:ext cx="637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xdr:col>
      <xdr:colOff>104775</xdr:colOff>
      <xdr:row>2</xdr:row>
      <xdr:rowOff>266700</xdr:rowOff>
    </xdr:from>
    <xdr:to>
      <xdr:col>3</xdr:col>
      <xdr:colOff>374175</xdr:colOff>
      <xdr:row>2</xdr:row>
      <xdr:rowOff>554700</xdr:rowOff>
    </xdr:to>
    <xdr:sp macro="" textlink="">
      <xdr:nvSpPr>
        <xdr:cNvPr id="31" name="Retângulo 30">
          <a:hlinkClick xmlns:r="http://schemas.openxmlformats.org/officeDocument/2006/relationships" r:id="rId8"/>
          <a:extLst>
            <a:ext uri="{FF2B5EF4-FFF2-40B4-BE49-F238E27FC236}">
              <a16:creationId xmlns:a16="http://schemas.microsoft.com/office/drawing/2014/main" id="{00000000-0008-0000-1600-00001F000000}"/>
            </a:ext>
          </a:extLst>
        </xdr:cNvPr>
        <xdr:cNvSpPr/>
      </xdr:nvSpPr>
      <xdr:spPr>
        <a:xfrm>
          <a:off x="2190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Comércio</a:t>
          </a:r>
        </a:p>
      </xdr:txBody>
    </xdr:sp>
    <xdr:clientData/>
  </xdr:twoCellAnchor>
  <xdr:twoCellAnchor editAs="absolute">
    <xdr:from>
      <xdr:col>3</xdr:col>
      <xdr:colOff>390525</xdr:colOff>
      <xdr:row>2</xdr:row>
      <xdr:rowOff>266700</xdr:rowOff>
    </xdr:from>
    <xdr:to>
      <xdr:col>4</xdr:col>
      <xdr:colOff>774225</xdr:colOff>
      <xdr:row>2</xdr:row>
      <xdr:rowOff>554700</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1600-000020000000}"/>
            </a:ext>
          </a:extLst>
        </xdr:cNvPr>
        <xdr:cNvSpPr/>
      </xdr:nvSpPr>
      <xdr:spPr>
        <a:xfrm>
          <a:off x="14954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Indústria</a:t>
          </a:r>
        </a:p>
      </xdr:txBody>
    </xdr:sp>
    <xdr:clientData/>
  </xdr:twoCellAnchor>
  <xdr:twoCellAnchor editAs="absolute">
    <xdr:from>
      <xdr:col>4</xdr:col>
      <xdr:colOff>790575</xdr:colOff>
      <xdr:row>2</xdr:row>
      <xdr:rowOff>266700</xdr:rowOff>
    </xdr:from>
    <xdr:to>
      <xdr:col>6</xdr:col>
      <xdr:colOff>297975</xdr:colOff>
      <xdr:row>2</xdr:row>
      <xdr:rowOff>554700</xdr:rowOff>
    </xdr:to>
    <xdr:sp macro="" textlink="">
      <xdr:nvSpPr>
        <xdr:cNvPr id="33" name="Retângulo 32">
          <a:hlinkClick xmlns:r="http://schemas.openxmlformats.org/officeDocument/2006/relationships" r:id="rId10"/>
          <a:extLst>
            <a:ext uri="{FF2B5EF4-FFF2-40B4-BE49-F238E27FC236}">
              <a16:creationId xmlns:a16="http://schemas.microsoft.com/office/drawing/2014/main" id="{00000000-0008-0000-1600-000021000000}"/>
            </a:ext>
          </a:extLst>
        </xdr:cNvPr>
        <xdr:cNvSpPr/>
      </xdr:nvSpPr>
      <xdr:spPr>
        <a:xfrm>
          <a:off x="277177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 III</a:t>
          </a:r>
        </a:p>
      </xdr:txBody>
    </xdr:sp>
    <xdr:clientData/>
  </xdr:twoCellAnchor>
  <xdr:twoCellAnchor editAs="absolute">
    <xdr:from>
      <xdr:col>6</xdr:col>
      <xdr:colOff>314325</xdr:colOff>
      <xdr:row>2</xdr:row>
      <xdr:rowOff>266700</xdr:rowOff>
    </xdr:from>
    <xdr:to>
      <xdr:col>7</xdr:col>
      <xdr:colOff>698025</xdr:colOff>
      <xdr:row>2</xdr:row>
      <xdr:rowOff>554700</xdr:rowOff>
    </xdr:to>
    <xdr:sp macro="" textlink="">
      <xdr:nvSpPr>
        <xdr:cNvPr id="34" name="Retângulo 33">
          <a:hlinkClick xmlns:r="http://schemas.openxmlformats.org/officeDocument/2006/relationships" r:id="rId11"/>
          <a:extLst>
            <a:ext uri="{FF2B5EF4-FFF2-40B4-BE49-F238E27FC236}">
              <a16:creationId xmlns:a16="http://schemas.microsoft.com/office/drawing/2014/main" id="{00000000-0008-0000-1600-000022000000}"/>
            </a:ext>
          </a:extLst>
        </xdr:cNvPr>
        <xdr:cNvSpPr/>
      </xdr:nvSpPr>
      <xdr:spPr>
        <a:xfrm>
          <a:off x="4048125" y="1085850"/>
          <a:ext cx="126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Anexo</a:t>
          </a:r>
          <a:r>
            <a:rPr lang="pt-BR" sz="1000" baseline="0">
              <a:solidFill>
                <a:schemeClr val="tx1">
                  <a:lumMod val="65000"/>
                  <a:lumOff val="35000"/>
                </a:schemeClr>
              </a:solidFill>
            </a:rPr>
            <a:t> IV</a:t>
          </a:r>
          <a:endParaRPr lang="pt-BR" sz="1000">
            <a:solidFill>
              <a:schemeClr val="tx1">
                <a:lumMod val="65000"/>
                <a:lumOff val="35000"/>
              </a:schemeClr>
            </a:solidFill>
          </a:endParaRPr>
        </a:p>
      </xdr:txBody>
    </xdr:sp>
    <xdr:clientData/>
  </xdr:twoCellAnchor>
  <xdr:twoCellAnchor editAs="absolute">
    <xdr:from>
      <xdr:col>7</xdr:col>
      <xdr:colOff>714375</xdr:colOff>
      <xdr:row>2</xdr:row>
      <xdr:rowOff>266700</xdr:rowOff>
    </xdr:from>
    <xdr:to>
      <xdr:col>9</xdr:col>
      <xdr:colOff>221775</xdr:colOff>
      <xdr:row>2</xdr:row>
      <xdr:rowOff>554700</xdr:rowOff>
    </xdr:to>
    <xdr:sp macro="" textlink="">
      <xdr:nvSpPr>
        <xdr:cNvPr id="35" name="Retângulo 34">
          <a:hlinkClick xmlns:r="http://schemas.openxmlformats.org/officeDocument/2006/relationships" r:id="rId12"/>
          <a:extLst>
            <a:ext uri="{FF2B5EF4-FFF2-40B4-BE49-F238E27FC236}">
              <a16:creationId xmlns:a16="http://schemas.microsoft.com/office/drawing/2014/main" id="{00000000-0008-0000-1600-000023000000}"/>
            </a:ext>
          </a:extLst>
        </xdr:cNvPr>
        <xdr:cNvSpPr/>
      </xdr:nvSpPr>
      <xdr:spPr>
        <a:xfrm>
          <a:off x="5324475" y="1085850"/>
          <a:ext cx="1260000" cy="28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Anexo V</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2</xdr:col>
      <xdr:colOff>2337300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2</xdr:col>
      <xdr:colOff>2362200</xdr:colOff>
      <xdr:row>0</xdr:row>
      <xdr:rowOff>85725</xdr:rowOff>
    </xdr:from>
    <xdr:to>
      <xdr:col>3</xdr:col>
      <xdr:colOff>1060950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3</xdr:col>
      <xdr:colOff>1085850</xdr:colOff>
      <xdr:row>0</xdr:row>
      <xdr:rowOff>85725</xdr:rowOff>
    </xdr:from>
    <xdr:to>
      <xdr:col>4</xdr:col>
      <xdr:colOff>784725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1257300</xdr:colOff>
      <xdr:row>0</xdr:row>
      <xdr:rowOff>85725</xdr:rowOff>
    </xdr:from>
    <xdr:to>
      <xdr:col>6</xdr:col>
      <xdr:colOff>2337300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6</xdr:col>
      <xdr:colOff>2362200</xdr:colOff>
      <xdr:row>0</xdr:row>
      <xdr:rowOff>85725</xdr:rowOff>
    </xdr:from>
    <xdr:to>
      <xdr:col>7</xdr:col>
      <xdr:colOff>1060950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1000125</xdr:colOff>
      <xdr:row>0</xdr:row>
      <xdr:rowOff>371475</xdr:rowOff>
    </xdr:from>
    <xdr:to>
      <xdr:col>5</xdr:col>
      <xdr:colOff>339000</xdr:colOff>
      <xdr:row>0</xdr:row>
      <xdr:rowOff>388425</xdr:rowOff>
    </xdr:to>
    <xdr:sp macro="" textlink="">
      <xdr:nvSpPr>
        <xdr:cNvPr id="8" name="Retângulo 7">
          <a:extLst>
            <a:ext uri="{FF2B5EF4-FFF2-40B4-BE49-F238E27FC236}">
              <a16:creationId xmlns:a16="http://schemas.microsoft.com/office/drawing/2014/main" id="{00000000-0008-0000-17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809625</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7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2</xdr:col>
      <xdr:colOff>1822950</xdr:colOff>
      <xdr:row>2</xdr:row>
      <xdr:rowOff>13875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17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Resumo</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7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7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7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7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3</xdr:col>
      <xdr:colOff>381000</xdr:colOff>
      <xdr:row>0</xdr:row>
      <xdr:rowOff>85725</xdr:rowOff>
    </xdr:from>
    <xdr:to>
      <xdr:col>4</xdr:col>
      <xdr:colOff>584700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609600</xdr:colOff>
      <xdr:row>0</xdr:row>
      <xdr:rowOff>85725</xdr:rowOff>
    </xdr:from>
    <xdr:to>
      <xdr:col>5</xdr:col>
      <xdr:colOff>813300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838200</xdr:colOff>
      <xdr:row>0</xdr:row>
      <xdr:rowOff>85725</xdr:rowOff>
    </xdr:from>
    <xdr:to>
      <xdr:col>7</xdr:col>
      <xdr:colOff>165600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419100</xdr:colOff>
      <xdr:row>0</xdr:row>
      <xdr:rowOff>85725</xdr:rowOff>
    </xdr:from>
    <xdr:to>
      <xdr:col>9</xdr:col>
      <xdr:colOff>622800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647700</xdr:colOff>
      <xdr:row>0</xdr:row>
      <xdr:rowOff>85725</xdr:rowOff>
    </xdr:from>
    <xdr:to>
      <xdr:col>10</xdr:col>
      <xdr:colOff>851400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0</xdr:colOff>
      <xdr:row>0</xdr:row>
      <xdr:rowOff>85725</xdr:rowOff>
    </xdr:from>
    <xdr:to>
      <xdr:col>12</xdr:col>
      <xdr:colOff>203700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600075</xdr:colOff>
      <xdr:row>0</xdr:row>
      <xdr:rowOff>371475</xdr:rowOff>
    </xdr:from>
    <xdr:to>
      <xdr:col>9</xdr:col>
      <xdr:colOff>443775</xdr:colOff>
      <xdr:row>0</xdr:row>
      <xdr:rowOff>388425</xdr:rowOff>
    </xdr:to>
    <xdr:sp macro="" textlink="">
      <xdr:nvSpPr>
        <xdr:cNvPr id="8" name="Retângulo 7">
          <a:extLst>
            <a:ext uri="{FF2B5EF4-FFF2-40B4-BE49-F238E27FC236}">
              <a16:creationId xmlns:a16="http://schemas.microsoft.com/office/drawing/2014/main" id="{00000000-0008-0000-18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190500</xdr:colOff>
      <xdr:row>0</xdr:row>
      <xdr:rowOff>85725</xdr:rowOff>
    </xdr:from>
    <xdr:to>
      <xdr:col>8</xdr:col>
      <xdr:colOff>394200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70350</xdr:colOff>
      <xdr:row>2</xdr:row>
      <xdr:rowOff>13875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18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Divisão</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8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8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8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8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85725</xdr:colOff>
      <xdr:row>1</xdr:row>
      <xdr:rowOff>142875</xdr:rowOff>
    </xdr:from>
    <xdr:to>
      <xdr:col>5</xdr:col>
      <xdr:colOff>289425</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1800-00001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Imprimir</a:t>
          </a:r>
        </a:p>
      </xdr:txBody>
    </xdr:sp>
    <xdr:clientData/>
  </xdr:twoCellAnchor>
  <xdr:oneCellAnchor>
    <xdr:from>
      <xdr:col>2</xdr:col>
      <xdr:colOff>9525</xdr:colOff>
      <xdr:row>2</xdr:row>
      <xdr:rowOff>200025</xdr:rowOff>
    </xdr:from>
    <xdr:ext cx="1715983" cy="248851"/>
    <xdr:sp macro="" textlink="">
      <xdr:nvSpPr>
        <xdr:cNvPr id="17" name="CaixaDeTexto 16">
          <a:extLst>
            <a:ext uri="{FF2B5EF4-FFF2-40B4-BE49-F238E27FC236}">
              <a16:creationId xmlns:a16="http://schemas.microsoft.com/office/drawing/2014/main" id="{00000000-0008-0000-1800-000011000000}"/>
            </a:ext>
          </a:extLst>
        </xdr:cNvPr>
        <xdr:cNvSpPr txBox="1"/>
      </xdr:nvSpPr>
      <xdr:spPr>
        <a:xfrm>
          <a:off x="238125" y="1019175"/>
          <a:ext cx="1715983"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Para imprimir</a:t>
          </a:r>
          <a:r>
            <a:rPr lang="pt-BR" sz="1000" baseline="0">
              <a:solidFill>
                <a:srgbClr val="FB5A56"/>
              </a:solidFill>
            </a:rPr>
            <a:t>, aperte CTRL+P</a:t>
          </a:r>
          <a:endParaRPr lang="pt-BR" sz="1000">
            <a:solidFill>
              <a:srgbClr val="FB5A56"/>
            </a:solidFill>
          </a:endParaRPr>
        </a:p>
      </xdr:txBody>
    </xdr:sp>
    <xdr:clientData/>
  </xdr:one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142875</xdr:colOff>
          <xdr:row>3</xdr:row>
          <xdr:rowOff>104775</xdr:rowOff>
        </xdr:from>
        <xdr:to>
          <xdr:col>21</xdr:col>
          <xdr:colOff>0</xdr:colOff>
          <xdr:row>4</xdr:row>
          <xdr:rowOff>161925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9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a:t>
              </a:r>
            </a:p>
          </xdr:txBody>
        </xdr:sp>
        <xdr:clientData fPrintsWithSheet="0"/>
      </xdr:twoCellAnchor>
    </mc:Choice>
    <mc:Fallback/>
  </mc:AlternateContent>
  <xdr:oneCellAnchor>
    <xdr:from>
      <xdr:col>3</xdr:col>
      <xdr:colOff>0</xdr:colOff>
      <xdr:row>3</xdr:row>
      <xdr:rowOff>85725</xdr:rowOff>
    </xdr:from>
    <xdr:ext cx="3433248" cy="248851"/>
    <xdr:sp macro="" textlink="">
      <xdr:nvSpPr>
        <xdr:cNvPr id="3" name="CaixaDeTexto 2">
          <a:extLst>
            <a:ext uri="{FF2B5EF4-FFF2-40B4-BE49-F238E27FC236}">
              <a16:creationId xmlns:a16="http://schemas.microsoft.com/office/drawing/2014/main" id="{00000000-0008-0000-1900-000003000000}"/>
            </a:ext>
          </a:extLst>
        </xdr:cNvPr>
        <xdr:cNvSpPr txBox="1"/>
      </xdr:nvSpPr>
      <xdr:spPr>
        <a:xfrm>
          <a:off x="838200" y="1095375"/>
          <a:ext cx="343324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Caso clique no botão e falhe, basta apertar CTRL+P e imprimir.</a:t>
          </a:r>
        </a:p>
      </xdr:txBody>
    </xdr:sp>
    <xdr:clientData/>
  </xdr:oneCellAnchor>
  <xdr:twoCellAnchor editAs="absolute">
    <xdr:from>
      <xdr:col>4</xdr:col>
      <xdr:colOff>466725</xdr:colOff>
      <xdr:row>0</xdr:row>
      <xdr:rowOff>85725</xdr:rowOff>
    </xdr:from>
    <xdr:to>
      <xdr:col>5</xdr:col>
      <xdr:colOff>508500</xdr:colOff>
      <xdr:row>0</xdr:row>
      <xdr:rowOff>373725</xdr:rowOff>
    </xdr:to>
    <xdr:sp macro="" textlink="">
      <xdr:nvSpPr>
        <xdr:cNvPr id="4" name="Retângulo 3">
          <a:hlinkClick xmlns:r="http://schemas.openxmlformats.org/officeDocument/2006/relationships" r:id="rId1"/>
          <a:extLst>
            <a:ext uri="{FF2B5EF4-FFF2-40B4-BE49-F238E27FC236}">
              <a16:creationId xmlns:a16="http://schemas.microsoft.com/office/drawing/2014/main" id="{00000000-0008-0000-1900-000004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6</xdr:col>
      <xdr:colOff>575175</xdr:colOff>
      <xdr:row>0</xdr:row>
      <xdr:rowOff>373725</xdr:rowOff>
    </xdr:to>
    <xdr:sp macro="" textlink="">
      <xdr:nvSpPr>
        <xdr:cNvPr id="5" name="Retângulo 4">
          <a:hlinkClick xmlns:r="http://schemas.openxmlformats.org/officeDocument/2006/relationships" r:id="rId2"/>
          <a:extLst>
            <a:ext uri="{FF2B5EF4-FFF2-40B4-BE49-F238E27FC236}">
              <a16:creationId xmlns:a16="http://schemas.microsoft.com/office/drawing/2014/main" id="{00000000-0008-0000-1900-000005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600075</xdr:colOff>
      <xdr:row>0</xdr:row>
      <xdr:rowOff>85725</xdr:rowOff>
    </xdr:from>
    <xdr:to>
      <xdr:col>8</xdr:col>
      <xdr:colOff>460875</xdr:colOff>
      <xdr:row>0</xdr:row>
      <xdr:rowOff>373725</xdr:rowOff>
    </xdr:to>
    <xdr:sp macro="" textlink="">
      <xdr:nvSpPr>
        <xdr:cNvPr id="6" name="Retângulo 5">
          <a:hlinkClick xmlns:r="http://schemas.openxmlformats.org/officeDocument/2006/relationships" r:id="rId3"/>
          <a:extLst>
            <a:ext uri="{FF2B5EF4-FFF2-40B4-BE49-F238E27FC236}">
              <a16:creationId xmlns:a16="http://schemas.microsoft.com/office/drawing/2014/main" id="{00000000-0008-0000-1900-000006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371475</xdr:colOff>
      <xdr:row>0</xdr:row>
      <xdr:rowOff>85725</xdr:rowOff>
    </xdr:from>
    <xdr:to>
      <xdr:col>11</xdr:col>
      <xdr:colOff>413250</xdr:colOff>
      <xdr:row>0</xdr:row>
      <xdr:rowOff>373725</xdr:rowOff>
    </xdr:to>
    <xdr:sp macro="" textlink="">
      <xdr:nvSpPr>
        <xdr:cNvPr id="7" name="Retângulo 6">
          <a:hlinkClick xmlns:r="http://schemas.openxmlformats.org/officeDocument/2006/relationships" r:id="rId4"/>
          <a:extLst>
            <a:ext uri="{FF2B5EF4-FFF2-40B4-BE49-F238E27FC236}">
              <a16:creationId xmlns:a16="http://schemas.microsoft.com/office/drawing/2014/main" id="{00000000-0008-0000-1900-000007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11</xdr:col>
      <xdr:colOff>438150</xdr:colOff>
      <xdr:row>0</xdr:row>
      <xdr:rowOff>85725</xdr:rowOff>
    </xdr:from>
    <xdr:to>
      <xdr:col>13</xdr:col>
      <xdr:colOff>298950</xdr:colOff>
      <xdr:row>0</xdr:row>
      <xdr:rowOff>373725</xdr:rowOff>
    </xdr:to>
    <xdr:sp macro="" textlink="">
      <xdr:nvSpPr>
        <xdr:cNvPr id="8" name="Retângulo 7">
          <a:hlinkClick xmlns:r="http://schemas.openxmlformats.org/officeDocument/2006/relationships" r:id="rId5"/>
          <a:extLst>
            <a:ext uri="{FF2B5EF4-FFF2-40B4-BE49-F238E27FC236}">
              <a16:creationId xmlns:a16="http://schemas.microsoft.com/office/drawing/2014/main" id="{00000000-0008-0000-1900-000008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13</xdr:col>
      <xdr:colOff>323850</xdr:colOff>
      <xdr:row>0</xdr:row>
      <xdr:rowOff>85725</xdr:rowOff>
    </xdr:from>
    <xdr:to>
      <xdr:col>15</xdr:col>
      <xdr:colOff>184650</xdr:colOff>
      <xdr:row>0</xdr:row>
      <xdr:rowOff>373725</xdr:rowOff>
    </xdr:to>
    <xdr:sp macro="" textlink="">
      <xdr:nvSpPr>
        <xdr:cNvPr id="9" name="Retângulo 8">
          <a:hlinkClick xmlns:r="http://schemas.openxmlformats.org/officeDocument/2006/relationships" r:id="rId6"/>
          <a:extLst>
            <a:ext uri="{FF2B5EF4-FFF2-40B4-BE49-F238E27FC236}">
              <a16:creationId xmlns:a16="http://schemas.microsoft.com/office/drawing/2014/main" id="{00000000-0008-0000-1900-000009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10</xdr:col>
      <xdr:colOff>552450</xdr:colOff>
      <xdr:row>0</xdr:row>
      <xdr:rowOff>371475</xdr:rowOff>
    </xdr:from>
    <xdr:to>
      <xdr:col>11</xdr:col>
      <xdr:colOff>234225</xdr:colOff>
      <xdr:row>0</xdr:row>
      <xdr:rowOff>388425</xdr:rowOff>
    </xdr:to>
    <xdr:sp macro="" textlink="">
      <xdr:nvSpPr>
        <xdr:cNvPr id="10" name="Retângulo 9">
          <a:extLst>
            <a:ext uri="{FF2B5EF4-FFF2-40B4-BE49-F238E27FC236}">
              <a16:creationId xmlns:a16="http://schemas.microsoft.com/office/drawing/2014/main" id="{00000000-0008-0000-1900-00000A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485775</xdr:colOff>
      <xdr:row>0</xdr:row>
      <xdr:rowOff>85725</xdr:rowOff>
    </xdr:from>
    <xdr:to>
      <xdr:col>10</xdr:col>
      <xdr:colOff>346575</xdr:colOff>
      <xdr:row>0</xdr:row>
      <xdr:rowOff>373725</xdr:rowOff>
    </xdr:to>
    <xdr:sp macro="" textlink="">
      <xdr:nvSpPr>
        <xdr:cNvPr id="11" name="Retângulo 10">
          <a:hlinkClick xmlns:r="http://schemas.openxmlformats.org/officeDocument/2006/relationships" r:id="rId7"/>
          <a:extLst>
            <a:ext uri="{FF2B5EF4-FFF2-40B4-BE49-F238E27FC236}">
              <a16:creationId xmlns:a16="http://schemas.microsoft.com/office/drawing/2014/main" id="{00000000-0008-0000-1900-00000B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1032375</xdr:colOff>
      <xdr:row>2</xdr:row>
      <xdr:rowOff>13875</xdr:rowOff>
    </xdr:to>
    <xdr:sp macro="" textlink="">
      <xdr:nvSpPr>
        <xdr:cNvPr id="12" name="Retângulo 11">
          <a:hlinkClick xmlns:r="http://schemas.openxmlformats.org/officeDocument/2006/relationships" r:id="rId4"/>
          <a:extLst>
            <a:ext uri="{FF2B5EF4-FFF2-40B4-BE49-F238E27FC236}">
              <a16:creationId xmlns:a16="http://schemas.microsoft.com/office/drawing/2014/main" id="{00000000-0008-0000-1900-00000C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Divisão</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3" name="Agrupar 12">
          <a:extLst>
            <a:ext uri="{FF2B5EF4-FFF2-40B4-BE49-F238E27FC236}">
              <a16:creationId xmlns:a16="http://schemas.microsoft.com/office/drawing/2014/main" id="{00000000-0008-0000-1900-00000D000000}"/>
            </a:ext>
          </a:extLst>
        </xdr:cNvPr>
        <xdr:cNvGrpSpPr/>
      </xdr:nvGrpSpPr>
      <xdr:grpSpPr>
        <a:xfrm>
          <a:off x="113929" y="0"/>
          <a:ext cx="903030" cy="428625"/>
          <a:chOff x="142504" y="66675"/>
          <a:chExt cx="903030" cy="534208"/>
        </a:xfrm>
      </xdr:grpSpPr>
      <xdr:sp macro="" textlink="">
        <xdr:nvSpPr>
          <xdr:cNvPr id="14" name="CaixaDeTexto 13">
            <a:extLst>
              <a:ext uri="{FF2B5EF4-FFF2-40B4-BE49-F238E27FC236}">
                <a16:creationId xmlns:a16="http://schemas.microsoft.com/office/drawing/2014/main" id="{00000000-0008-0000-1900-00000E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5" name="Meio-quadro 14">
            <a:extLst>
              <a:ext uri="{FF2B5EF4-FFF2-40B4-BE49-F238E27FC236}">
                <a16:creationId xmlns:a16="http://schemas.microsoft.com/office/drawing/2014/main" id="{00000000-0008-0000-1900-00000F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6" name="Meio-quadro 15">
            <a:extLst>
              <a:ext uri="{FF2B5EF4-FFF2-40B4-BE49-F238E27FC236}">
                <a16:creationId xmlns:a16="http://schemas.microsoft.com/office/drawing/2014/main" id="{00000000-0008-0000-1900-000010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51300</xdr:colOff>
      <xdr:row>2</xdr:row>
      <xdr:rowOff>13875</xdr:rowOff>
    </xdr:to>
    <xdr:sp macro="" textlink="">
      <xdr:nvSpPr>
        <xdr:cNvPr id="17" name="Retângulo 16">
          <a:hlinkClick xmlns:r="http://schemas.openxmlformats.org/officeDocument/2006/relationships" r:id="rId8"/>
          <a:extLst>
            <a:ext uri="{FF2B5EF4-FFF2-40B4-BE49-F238E27FC236}">
              <a16:creationId xmlns:a16="http://schemas.microsoft.com/office/drawing/2014/main" id="{00000000-0008-0000-1900-000011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Imprimir</a:t>
          </a:r>
        </a:p>
      </xdr:txBody>
    </xdr:sp>
    <xdr:clientData/>
  </xdr:twoCellAnchor>
  <xdr:twoCellAnchor>
    <xdr:from>
      <xdr:col>4</xdr:col>
      <xdr:colOff>9525</xdr:colOff>
      <xdr:row>15</xdr:row>
      <xdr:rowOff>47625</xdr:rowOff>
    </xdr:from>
    <xdr:to>
      <xdr:col>6</xdr:col>
      <xdr:colOff>21075</xdr:colOff>
      <xdr:row>22</xdr:row>
      <xdr:rowOff>154125</xdr:rowOff>
    </xdr:to>
    <xdr:sp macro="" textlink="Controles!E5">
      <xdr:nvSpPr>
        <xdr:cNvPr id="19" name="Retângulo 18">
          <a:extLst>
            <a:ext uri="{FF2B5EF4-FFF2-40B4-BE49-F238E27FC236}">
              <a16:creationId xmlns:a16="http://schemas.microsoft.com/office/drawing/2014/main" id="{00000000-0008-0000-1900-000013000000}"/>
            </a:ext>
          </a:extLst>
        </xdr:cNvPr>
        <xdr:cNvSpPr/>
      </xdr:nvSpPr>
      <xdr:spPr>
        <a:xfrm>
          <a:off x="1028700" y="3343275"/>
          <a:ext cx="2088000" cy="144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4038D-9845-4734-9BAF-9626B91BF5CB}" type="TxLink">
            <a:rPr lang="en-US" sz="2000" b="0" i="0" u="none" strike="noStrike">
              <a:solidFill>
                <a:schemeClr val="bg1"/>
              </a:solidFill>
              <a:latin typeface="Calibri"/>
              <a:cs typeface="Calibri"/>
            </a:rPr>
            <a:pPr algn="ctr"/>
            <a:t>R$ 5.657,24</a:t>
          </a:fld>
          <a:endParaRPr lang="pt-BR" sz="2800" b="0">
            <a:solidFill>
              <a:schemeClr val="bg1"/>
            </a:solidFill>
          </a:endParaRPr>
        </a:p>
      </xdr:txBody>
    </xdr:sp>
    <xdr:clientData/>
  </xdr:twoCellAnchor>
  <xdr:twoCellAnchor>
    <xdr:from>
      <xdr:col>6</xdr:col>
      <xdr:colOff>57150</xdr:colOff>
      <xdr:row>15</xdr:row>
      <xdr:rowOff>47625</xdr:rowOff>
    </xdr:from>
    <xdr:to>
      <xdr:col>9</xdr:col>
      <xdr:colOff>316350</xdr:colOff>
      <xdr:row>22</xdr:row>
      <xdr:rowOff>154125</xdr:rowOff>
    </xdr:to>
    <xdr:sp macro="" textlink="Controles!E6">
      <xdr:nvSpPr>
        <xdr:cNvPr id="20" name="Retângulo 19">
          <a:extLst>
            <a:ext uri="{FF2B5EF4-FFF2-40B4-BE49-F238E27FC236}">
              <a16:creationId xmlns:a16="http://schemas.microsoft.com/office/drawing/2014/main" id="{00000000-0008-0000-1900-000014000000}"/>
            </a:ext>
          </a:extLst>
        </xdr:cNvPr>
        <xdr:cNvSpPr/>
      </xdr:nvSpPr>
      <xdr:spPr>
        <a:xfrm>
          <a:off x="3152775" y="3343275"/>
          <a:ext cx="2088000" cy="144000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44835CC7-E672-40D2-9784-2A943AD3167E}" type="TxLink">
            <a:rPr lang="en-US" sz="2000" b="0" i="0" u="none" strike="noStrike">
              <a:solidFill>
                <a:schemeClr val="bg1"/>
              </a:solidFill>
              <a:latin typeface="Calibri"/>
              <a:cs typeface="Calibri"/>
            </a:rPr>
            <a:pPr algn="ctr"/>
            <a:t>R$ 6.364,40</a:t>
          </a:fld>
          <a:endParaRPr lang="pt-BR" sz="2800" b="0">
            <a:solidFill>
              <a:schemeClr val="bg1"/>
            </a:solidFill>
          </a:endParaRPr>
        </a:p>
      </xdr:txBody>
    </xdr:sp>
    <xdr:clientData/>
  </xdr:twoCellAnchor>
  <xdr:twoCellAnchor>
    <xdr:from>
      <xdr:col>9</xdr:col>
      <xdr:colOff>342900</xdr:colOff>
      <xdr:row>15</xdr:row>
      <xdr:rowOff>47625</xdr:rowOff>
    </xdr:from>
    <xdr:to>
      <xdr:col>12</xdr:col>
      <xdr:colOff>173475</xdr:colOff>
      <xdr:row>22</xdr:row>
      <xdr:rowOff>154125</xdr:rowOff>
    </xdr:to>
    <xdr:sp macro="" textlink="Controles!E7">
      <xdr:nvSpPr>
        <xdr:cNvPr id="21" name="Retângulo 20">
          <a:extLst>
            <a:ext uri="{FF2B5EF4-FFF2-40B4-BE49-F238E27FC236}">
              <a16:creationId xmlns:a16="http://schemas.microsoft.com/office/drawing/2014/main" id="{00000000-0008-0000-1900-000015000000}"/>
            </a:ext>
          </a:extLst>
        </xdr:cNvPr>
        <xdr:cNvSpPr/>
      </xdr:nvSpPr>
      <xdr:spPr>
        <a:xfrm>
          <a:off x="5267325" y="3343275"/>
          <a:ext cx="2088000" cy="144000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A02C17F0-56E1-4D9A-9B6B-0FCC0FCF5971}" type="TxLink">
            <a:rPr lang="en-US" sz="2000" b="0" i="0" u="none" strike="noStrike">
              <a:solidFill>
                <a:schemeClr val="bg1"/>
              </a:solidFill>
              <a:latin typeface="Calibri"/>
              <a:cs typeface="Calibri"/>
            </a:rPr>
            <a:pPr algn="ctr"/>
            <a:t>R$ 8.485,87</a:t>
          </a:fld>
          <a:endParaRPr lang="pt-BR" sz="2800" b="0">
            <a:solidFill>
              <a:schemeClr val="bg1"/>
            </a:solidFill>
          </a:endParaRPr>
        </a:p>
      </xdr:txBody>
    </xdr:sp>
    <xdr:clientData/>
  </xdr:twoCellAnchor>
  <xdr:twoCellAnchor>
    <xdr:from>
      <xdr:col>12</xdr:col>
      <xdr:colOff>200025</xdr:colOff>
      <xdr:row>15</xdr:row>
      <xdr:rowOff>47625</xdr:rowOff>
    </xdr:from>
    <xdr:to>
      <xdr:col>15</xdr:col>
      <xdr:colOff>459225</xdr:colOff>
      <xdr:row>22</xdr:row>
      <xdr:rowOff>154125</xdr:rowOff>
    </xdr:to>
    <xdr:sp macro="" textlink="Controles!E8">
      <xdr:nvSpPr>
        <xdr:cNvPr id="22" name="Retângulo 21">
          <a:extLst>
            <a:ext uri="{FF2B5EF4-FFF2-40B4-BE49-F238E27FC236}">
              <a16:creationId xmlns:a16="http://schemas.microsoft.com/office/drawing/2014/main" id="{00000000-0008-0000-1900-000016000000}"/>
            </a:ext>
          </a:extLst>
        </xdr:cNvPr>
        <xdr:cNvSpPr/>
      </xdr:nvSpPr>
      <xdr:spPr>
        <a:xfrm>
          <a:off x="7381875" y="3343275"/>
          <a:ext cx="2088000" cy="1440000"/>
        </a:xfrm>
        <a:prstGeom prst="rect">
          <a:avLst/>
        </a:prstGeom>
        <a:solidFill>
          <a:srgbClr val="2B35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60A27795-4079-4F11-9CCD-2FE916674958}" type="TxLink">
            <a:rPr lang="en-US" sz="2000" b="0" i="0" u="none" strike="noStrike">
              <a:solidFill>
                <a:schemeClr val="bg1"/>
              </a:solidFill>
              <a:latin typeface="Calibri"/>
              <a:cs typeface="Calibri"/>
            </a:rPr>
            <a:pPr algn="ctr"/>
            <a:t>R$ 6.364,40</a:t>
          </a:fld>
          <a:endParaRPr lang="pt-BR" sz="2800" b="0">
            <a:solidFill>
              <a:schemeClr val="bg1"/>
            </a:solidFill>
          </a:endParaRPr>
        </a:p>
      </xdr:txBody>
    </xdr:sp>
    <xdr:clientData/>
  </xdr:twoCellAnchor>
  <xdr:twoCellAnchor>
    <xdr:from>
      <xdr:col>15</xdr:col>
      <xdr:colOff>495300</xdr:colOff>
      <xdr:row>15</xdr:row>
      <xdr:rowOff>47625</xdr:rowOff>
    </xdr:from>
    <xdr:to>
      <xdr:col>19</xdr:col>
      <xdr:colOff>144900</xdr:colOff>
      <xdr:row>22</xdr:row>
      <xdr:rowOff>154125</xdr:rowOff>
    </xdr:to>
    <xdr:sp macro="" textlink="Controles!E9">
      <xdr:nvSpPr>
        <xdr:cNvPr id="23" name="Retângulo 22">
          <a:extLst>
            <a:ext uri="{FF2B5EF4-FFF2-40B4-BE49-F238E27FC236}">
              <a16:creationId xmlns:a16="http://schemas.microsoft.com/office/drawing/2014/main" id="{00000000-0008-0000-1900-000017000000}"/>
            </a:ext>
          </a:extLst>
        </xdr:cNvPr>
        <xdr:cNvSpPr/>
      </xdr:nvSpPr>
      <xdr:spPr>
        <a:xfrm>
          <a:off x="9505950" y="3343275"/>
          <a:ext cx="2088000" cy="144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6119B8C-E8F0-4D0C-90F4-CDC4414F235A}" type="TxLink">
            <a:rPr lang="en-US" sz="2000" b="0" i="0" u="none" strike="noStrike">
              <a:solidFill>
                <a:schemeClr val="bg1"/>
              </a:solidFill>
              <a:latin typeface="Calibri"/>
              <a:cs typeface="Calibri"/>
            </a:rPr>
            <a:pPr algn="ctr"/>
            <a:t>R$ 21.921,82</a:t>
          </a:fld>
          <a:endParaRPr lang="pt-BR" sz="2800" b="0">
            <a:solidFill>
              <a:schemeClr val="bg1"/>
            </a:solidFill>
          </a:endParaRPr>
        </a:p>
      </xdr:txBody>
    </xdr:sp>
    <xdr:clientData/>
  </xdr:twoCellAnchor>
  <xdr:twoCellAnchor editAs="absolute">
    <xdr:from>
      <xdr:col>4</xdr:col>
      <xdr:colOff>9525</xdr:colOff>
      <xdr:row>18</xdr:row>
      <xdr:rowOff>123825</xdr:rowOff>
    </xdr:from>
    <xdr:to>
      <xdr:col>6</xdr:col>
      <xdr:colOff>21075</xdr:colOff>
      <xdr:row>20</xdr:row>
      <xdr:rowOff>7385</xdr:rowOff>
    </xdr:to>
    <xdr:sp macro="" textlink="">
      <xdr:nvSpPr>
        <xdr:cNvPr id="24" name="CaixaDeTexto 23">
          <a:extLst>
            <a:ext uri="{FF2B5EF4-FFF2-40B4-BE49-F238E27FC236}">
              <a16:creationId xmlns:a16="http://schemas.microsoft.com/office/drawing/2014/main" id="{00000000-0008-0000-1900-000018000000}"/>
            </a:ext>
          </a:extLst>
        </xdr:cNvPr>
        <xdr:cNvSpPr txBox="1"/>
      </xdr:nvSpPr>
      <xdr:spPr>
        <a:xfrm>
          <a:off x="1028700" y="3990975"/>
          <a:ext cx="208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bg1"/>
              </a:solidFill>
            </a:rPr>
            <a:t>Comércio</a:t>
          </a:r>
        </a:p>
      </xdr:txBody>
    </xdr:sp>
    <xdr:clientData/>
  </xdr:twoCellAnchor>
  <xdr:twoCellAnchor editAs="absolute">
    <xdr:from>
      <xdr:col>6</xdr:col>
      <xdr:colOff>57150</xdr:colOff>
      <xdr:row>18</xdr:row>
      <xdr:rowOff>123825</xdr:rowOff>
    </xdr:from>
    <xdr:to>
      <xdr:col>9</xdr:col>
      <xdr:colOff>316350</xdr:colOff>
      <xdr:row>20</xdr:row>
      <xdr:rowOff>7385</xdr:rowOff>
    </xdr:to>
    <xdr:sp macro="" textlink="">
      <xdr:nvSpPr>
        <xdr:cNvPr id="25" name="CaixaDeTexto 24">
          <a:extLst>
            <a:ext uri="{FF2B5EF4-FFF2-40B4-BE49-F238E27FC236}">
              <a16:creationId xmlns:a16="http://schemas.microsoft.com/office/drawing/2014/main" id="{00000000-0008-0000-1900-000019000000}"/>
            </a:ext>
          </a:extLst>
        </xdr:cNvPr>
        <xdr:cNvSpPr txBox="1"/>
      </xdr:nvSpPr>
      <xdr:spPr>
        <a:xfrm>
          <a:off x="3152775" y="3990975"/>
          <a:ext cx="208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bg1"/>
              </a:solidFill>
            </a:rPr>
            <a:t>Indústria</a:t>
          </a:r>
        </a:p>
      </xdr:txBody>
    </xdr:sp>
    <xdr:clientData/>
  </xdr:twoCellAnchor>
  <xdr:twoCellAnchor editAs="absolute">
    <xdr:from>
      <xdr:col>9</xdr:col>
      <xdr:colOff>352425</xdr:colOff>
      <xdr:row>18</xdr:row>
      <xdr:rowOff>123825</xdr:rowOff>
    </xdr:from>
    <xdr:to>
      <xdr:col>12</xdr:col>
      <xdr:colOff>183000</xdr:colOff>
      <xdr:row>20</xdr:row>
      <xdr:rowOff>7385</xdr:rowOff>
    </xdr:to>
    <xdr:sp macro="" textlink="">
      <xdr:nvSpPr>
        <xdr:cNvPr id="26" name="CaixaDeTexto 25">
          <a:extLst>
            <a:ext uri="{FF2B5EF4-FFF2-40B4-BE49-F238E27FC236}">
              <a16:creationId xmlns:a16="http://schemas.microsoft.com/office/drawing/2014/main" id="{00000000-0008-0000-1900-00001A000000}"/>
            </a:ext>
          </a:extLst>
        </xdr:cNvPr>
        <xdr:cNvSpPr txBox="1"/>
      </xdr:nvSpPr>
      <xdr:spPr>
        <a:xfrm>
          <a:off x="5276850" y="3990975"/>
          <a:ext cx="208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bg1"/>
              </a:solidFill>
            </a:rPr>
            <a:t>Anexo III</a:t>
          </a:r>
        </a:p>
      </xdr:txBody>
    </xdr:sp>
    <xdr:clientData/>
  </xdr:twoCellAnchor>
  <xdr:twoCellAnchor editAs="absolute">
    <xdr:from>
      <xdr:col>12</xdr:col>
      <xdr:colOff>200025</xdr:colOff>
      <xdr:row>18</xdr:row>
      <xdr:rowOff>123825</xdr:rowOff>
    </xdr:from>
    <xdr:to>
      <xdr:col>15</xdr:col>
      <xdr:colOff>459225</xdr:colOff>
      <xdr:row>20</xdr:row>
      <xdr:rowOff>7385</xdr:rowOff>
    </xdr:to>
    <xdr:sp macro="" textlink="">
      <xdr:nvSpPr>
        <xdr:cNvPr id="27" name="CaixaDeTexto 26">
          <a:extLst>
            <a:ext uri="{FF2B5EF4-FFF2-40B4-BE49-F238E27FC236}">
              <a16:creationId xmlns:a16="http://schemas.microsoft.com/office/drawing/2014/main" id="{00000000-0008-0000-1900-00001B000000}"/>
            </a:ext>
          </a:extLst>
        </xdr:cNvPr>
        <xdr:cNvSpPr txBox="1"/>
      </xdr:nvSpPr>
      <xdr:spPr>
        <a:xfrm>
          <a:off x="7381875" y="3990975"/>
          <a:ext cx="208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bg1"/>
              </a:solidFill>
            </a:rPr>
            <a:t>Anexo IV</a:t>
          </a:r>
        </a:p>
      </xdr:txBody>
    </xdr:sp>
    <xdr:clientData/>
  </xdr:twoCellAnchor>
  <xdr:twoCellAnchor editAs="absolute">
    <xdr:from>
      <xdr:col>15</xdr:col>
      <xdr:colOff>495300</xdr:colOff>
      <xdr:row>18</xdr:row>
      <xdr:rowOff>123825</xdr:rowOff>
    </xdr:from>
    <xdr:to>
      <xdr:col>19</xdr:col>
      <xdr:colOff>144900</xdr:colOff>
      <xdr:row>20</xdr:row>
      <xdr:rowOff>7385</xdr:rowOff>
    </xdr:to>
    <xdr:sp macro="" textlink="">
      <xdr:nvSpPr>
        <xdr:cNvPr id="28" name="CaixaDeTexto 27">
          <a:extLst>
            <a:ext uri="{FF2B5EF4-FFF2-40B4-BE49-F238E27FC236}">
              <a16:creationId xmlns:a16="http://schemas.microsoft.com/office/drawing/2014/main" id="{00000000-0008-0000-1900-00001C000000}"/>
            </a:ext>
          </a:extLst>
        </xdr:cNvPr>
        <xdr:cNvSpPr txBox="1"/>
      </xdr:nvSpPr>
      <xdr:spPr>
        <a:xfrm>
          <a:off x="9505950" y="3990975"/>
          <a:ext cx="208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bg1"/>
              </a:solidFill>
            </a:rPr>
            <a:t>Anexo</a:t>
          </a:r>
          <a:r>
            <a:rPr lang="pt-BR" sz="1000" baseline="0">
              <a:solidFill>
                <a:schemeClr val="bg1"/>
              </a:solidFill>
            </a:rPr>
            <a:t> V</a:t>
          </a:r>
          <a:endParaRPr lang="pt-BR" sz="1000">
            <a:solidFill>
              <a:schemeClr val="bg1"/>
            </a:solidFill>
          </a:endParaRPr>
        </a:p>
      </xdr:txBody>
    </xdr:sp>
    <xdr:clientData/>
  </xdr:twoCellAnchor>
  <xdr:twoCellAnchor editAs="oneCell">
    <xdr:from>
      <xdr:col>4</xdr:col>
      <xdr:colOff>819150</xdr:colOff>
      <xdr:row>16</xdr:row>
      <xdr:rowOff>19050</xdr:rowOff>
    </xdr:from>
    <xdr:to>
      <xdr:col>5</xdr:col>
      <xdr:colOff>248925</xdr:colOff>
      <xdr:row>18</xdr:row>
      <xdr:rowOff>106050</xdr:rowOff>
    </xdr:to>
    <xdr:pic>
      <xdr:nvPicPr>
        <xdr:cNvPr id="29" name="Gráfico 28" descr="Moedas">
          <a:extLst>
            <a:ext uri="{FF2B5EF4-FFF2-40B4-BE49-F238E27FC236}">
              <a16:creationId xmlns:a16="http://schemas.microsoft.com/office/drawing/2014/main" id="{00000000-0008-0000-1900-00001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1838325" y="3505200"/>
          <a:ext cx="468000" cy="468000"/>
        </a:xfrm>
        <a:prstGeom prst="rect">
          <a:avLst/>
        </a:prstGeom>
      </xdr:spPr>
    </xdr:pic>
    <xdr:clientData/>
  </xdr:twoCellAnchor>
  <xdr:twoCellAnchor editAs="oneCell">
    <xdr:from>
      <xdr:col>7</xdr:col>
      <xdr:colOff>266700</xdr:colOff>
      <xdr:row>16</xdr:row>
      <xdr:rowOff>19050</xdr:rowOff>
    </xdr:from>
    <xdr:to>
      <xdr:col>8</xdr:col>
      <xdr:colOff>125100</xdr:colOff>
      <xdr:row>18</xdr:row>
      <xdr:rowOff>106050</xdr:rowOff>
    </xdr:to>
    <xdr:pic>
      <xdr:nvPicPr>
        <xdr:cNvPr id="30" name="Gráfico 29" descr="Moedas">
          <a:extLst>
            <a:ext uri="{FF2B5EF4-FFF2-40B4-BE49-F238E27FC236}">
              <a16:creationId xmlns:a16="http://schemas.microsoft.com/office/drawing/2014/main" id="{00000000-0008-0000-1900-00001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3971925" y="3505200"/>
          <a:ext cx="468000" cy="468000"/>
        </a:xfrm>
        <a:prstGeom prst="rect">
          <a:avLst/>
        </a:prstGeom>
      </xdr:spPr>
    </xdr:pic>
    <xdr:clientData/>
  </xdr:twoCellAnchor>
  <xdr:twoCellAnchor editAs="oneCell">
    <xdr:from>
      <xdr:col>10</xdr:col>
      <xdr:colOff>552450</xdr:colOff>
      <xdr:row>16</xdr:row>
      <xdr:rowOff>19050</xdr:rowOff>
    </xdr:from>
    <xdr:to>
      <xdr:col>10</xdr:col>
      <xdr:colOff>1020450</xdr:colOff>
      <xdr:row>18</xdr:row>
      <xdr:rowOff>106050</xdr:rowOff>
    </xdr:to>
    <xdr:pic>
      <xdr:nvPicPr>
        <xdr:cNvPr id="31" name="Gráfico 30" descr="Moedas">
          <a:extLst>
            <a:ext uri="{FF2B5EF4-FFF2-40B4-BE49-F238E27FC236}">
              <a16:creationId xmlns:a16="http://schemas.microsoft.com/office/drawing/2014/main" id="{00000000-0008-0000-1900-00001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6086475" y="3505200"/>
          <a:ext cx="468000" cy="468000"/>
        </a:xfrm>
        <a:prstGeom prst="rect">
          <a:avLst/>
        </a:prstGeom>
      </xdr:spPr>
    </xdr:pic>
    <xdr:clientData/>
  </xdr:twoCellAnchor>
  <xdr:twoCellAnchor editAs="oneCell">
    <xdr:from>
      <xdr:col>13</xdr:col>
      <xdr:colOff>409575</xdr:colOff>
      <xdr:row>16</xdr:row>
      <xdr:rowOff>19050</xdr:rowOff>
    </xdr:from>
    <xdr:to>
      <xdr:col>14</xdr:col>
      <xdr:colOff>267975</xdr:colOff>
      <xdr:row>18</xdr:row>
      <xdr:rowOff>106050</xdr:rowOff>
    </xdr:to>
    <xdr:pic>
      <xdr:nvPicPr>
        <xdr:cNvPr id="32" name="Gráfico 31" descr="Moedas">
          <a:extLst>
            <a:ext uri="{FF2B5EF4-FFF2-40B4-BE49-F238E27FC236}">
              <a16:creationId xmlns:a16="http://schemas.microsoft.com/office/drawing/2014/main" id="{00000000-0008-0000-1900-000020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8201025" y="3505200"/>
          <a:ext cx="468000" cy="468000"/>
        </a:xfrm>
        <a:prstGeom prst="rect">
          <a:avLst/>
        </a:prstGeom>
      </xdr:spPr>
    </xdr:pic>
    <xdr:clientData/>
  </xdr:twoCellAnchor>
  <xdr:twoCellAnchor editAs="oneCell">
    <xdr:from>
      <xdr:col>17</xdr:col>
      <xdr:colOff>85725</xdr:colOff>
      <xdr:row>16</xdr:row>
      <xdr:rowOff>19050</xdr:rowOff>
    </xdr:from>
    <xdr:to>
      <xdr:col>17</xdr:col>
      <xdr:colOff>553725</xdr:colOff>
      <xdr:row>18</xdr:row>
      <xdr:rowOff>106050</xdr:rowOff>
    </xdr:to>
    <xdr:pic>
      <xdr:nvPicPr>
        <xdr:cNvPr id="33" name="Gráfico 32" descr="Moedas">
          <a:extLst>
            <a:ext uri="{FF2B5EF4-FFF2-40B4-BE49-F238E27FC236}">
              <a16:creationId xmlns:a16="http://schemas.microsoft.com/office/drawing/2014/main" id="{00000000-0008-0000-1900-00002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10315575" y="3505200"/>
          <a:ext cx="468000" cy="468000"/>
        </a:xfrm>
        <a:prstGeom prst="rect">
          <a:avLst/>
        </a:prstGeom>
      </xdr:spPr>
    </xdr:pic>
    <xdr:clientData/>
  </xdr:twoCellAnchor>
  <xdr:twoCellAnchor>
    <xdr:from>
      <xdr:col>4</xdr:col>
      <xdr:colOff>9525</xdr:colOff>
      <xdr:row>23</xdr:row>
      <xdr:rowOff>0</xdr:rowOff>
    </xdr:from>
    <xdr:to>
      <xdr:col>6</xdr:col>
      <xdr:colOff>21075</xdr:colOff>
      <xdr:row>44</xdr:row>
      <xdr:rowOff>152400</xdr:rowOff>
    </xdr:to>
    <xdr:graphicFrame macro="">
      <xdr:nvGraphicFramePr>
        <xdr:cNvPr id="34" name="Gráfico 33">
          <a:extLst>
            <a:ext uri="{FF2B5EF4-FFF2-40B4-BE49-F238E27FC236}">
              <a16:creationId xmlns:a16="http://schemas.microsoft.com/office/drawing/2014/main" id="{00000000-0008-0000-1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4</xdr:col>
      <xdr:colOff>9525</xdr:colOff>
      <xdr:row>31</xdr:row>
      <xdr:rowOff>152399</xdr:rowOff>
    </xdr:from>
    <xdr:to>
      <xdr:col>6</xdr:col>
      <xdr:colOff>21075</xdr:colOff>
      <xdr:row>34</xdr:row>
      <xdr:rowOff>66674</xdr:rowOff>
    </xdr:to>
    <xdr:sp macro="" textlink="Controles!D5">
      <xdr:nvSpPr>
        <xdr:cNvPr id="35" name="CaixaDeTexto 34">
          <a:extLst>
            <a:ext uri="{FF2B5EF4-FFF2-40B4-BE49-F238E27FC236}">
              <a16:creationId xmlns:a16="http://schemas.microsoft.com/office/drawing/2014/main" id="{00000000-0008-0000-1900-000023000000}"/>
            </a:ext>
          </a:extLst>
        </xdr:cNvPr>
        <xdr:cNvSpPr txBox="1"/>
      </xdr:nvSpPr>
      <xdr:spPr>
        <a:xfrm>
          <a:off x="1028700" y="6496049"/>
          <a:ext cx="2088000" cy="485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fld id="{BB40E10D-7FE2-4543-B291-46CE838B6AB5}" type="TxLink">
            <a:rPr lang="en-US" sz="2000" b="0" i="0" u="none" strike="noStrike">
              <a:solidFill>
                <a:schemeClr val="tx1">
                  <a:lumMod val="75000"/>
                  <a:lumOff val="25000"/>
                </a:schemeClr>
              </a:solidFill>
              <a:latin typeface="Calibri"/>
              <a:cs typeface="Calibri"/>
            </a:rPr>
            <a:pPr algn="ctr"/>
            <a:t>4,00%</a:t>
          </a:fld>
          <a:endParaRPr lang="pt-BR" sz="2000">
            <a:solidFill>
              <a:schemeClr val="tx1">
                <a:lumMod val="75000"/>
                <a:lumOff val="25000"/>
              </a:schemeClr>
            </a:solidFill>
          </a:endParaRPr>
        </a:p>
      </xdr:txBody>
    </xdr:sp>
    <xdr:clientData/>
  </xdr:twoCellAnchor>
  <xdr:twoCellAnchor editAs="absolute">
    <xdr:from>
      <xdr:col>4</xdr:col>
      <xdr:colOff>0</xdr:colOff>
      <xdr:row>39</xdr:row>
      <xdr:rowOff>9525</xdr:rowOff>
    </xdr:from>
    <xdr:to>
      <xdr:col>6</xdr:col>
      <xdr:colOff>11550</xdr:colOff>
      <xdr:row>41</xdr:row>
      <xdr:rowOff>47625</xdr:rowOff>
    </xdr:to>
    <xdr:sp macro="" textlink="">
      <xdr:nvSpPr>
        <xdr:cNvPr id="36" name="CaixaDeTexto 35">
          <a:extLst>
            <a:ext uri="{FF2B5EF4-FFF2-40B4-BE49-F238E27FC236}">
              <a16:creationId xmlns:a16="http://schemas.microsoft.com/office/drawing/2014/main" id="{00000000-0008-0000-1900-000024000000}"/>
            </a:ext>
          </a:extLst>
        </xdr:cNvPr>
        <xdr:cNvSpPr txBox="1"/>
      </xdr:nvSpPr>
      <xdr:spPr>
        <a:xfrm>
          <a:off x="1019175" y="7877175"/>
          <a:ext cx="208800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tx1">
                  <a:lumMod val="75000"/>
                  <a:lumOff val="25000"/>
                </a:schemeClr>
              </a:solidFill>
            </a:rPr>
            <a:t>Com</a:t>
          </a:r>
          <a:r>
            <a:rPr lang="pt-BR" sz="1000" baseline="0">
              <a:solidFill>
                <a:schemeClr val="tx1">
                  <a:lumMod val="75000"/>
                  <a:lumOff val="25000"/>
                </a:schemeClr>
              </a:solidFill>
            </a:rPr>
            <a:t> base nos preenchimentos, </a:t>
          </a:r>
        </a:p>
        <a:p>
          <a:pPr algn="ctr"/>
          <a:r>
            <a:rPr lang="pt-BR" sz="1000" baseline="0">
              <a:solidFill>
                <a:schemeClr val="tx1">
                  <a:lumMod val="75000"/>
                  <a:lumOff val="25000"/>
                </a:schemeClr>
              </a:solidFill>
            </a:rPr>
            <a:t>essa é a</a:t>
          </a:r>
        </a:p>
        <a:p>
          <a:pPr algn="ctr"/>
          <a:r>
            <a:rPr lang="pt-BR" sz="1000" baseline="0">
              <a:solidFill>
                <a:schemeClr val="tx1">
                  <a:lumMod val="75000"/>
                  <a:lumOff val="25000"/>
                </a:schemeClr>
              </a:solidFill>
            </a:rPr>
            <a:t>alíquota efetiva apurada.</a:t>
          </a:r>
          <a:endParaRPr lang="pt-BR" sz="1000">
            <a:solidFill>
              <a:schemeClr val="tx1">
                <a:lumMod val="75000"/>
                <a:lumOff val="25000"/>
              </a:schemeClr>
            </a:solidFill>
          </a:endParaRPr>
        </a:p>
      </xdr:txBody>
    </xdr:sp>
    <xdr:clientData/>
  </xdr:twoCellAnchor>
  <xdr:twoCellAnchor>
    <xdr:from>
      <xdr:col>6</xdr:col>
      <xdr:colOff>57150</xdr:colOff>
      <xdr:row>23</xdr:row>
      <xdr:rowOff>0</xdr:rowOff>
    </xdr:from>
    <xdr:to>
      <xdr:col>9</xdr:col>
      <xdr:colOff>316350</xdr:colOff>
      <xdr:row>44</xdr:row>
      <xdr:rowOff>152400</xdr:rowOff>
    </xdr:to>
    <xdr:graphicFrame macro="">
      <xdr:nvGraphicFramePr>
        <xdr:cNvPr id="37" name="Gráfico 36">
          <a:extLst>
            <a:ext uri="{FF2B5EF4-FFF2-40B4-BE49-F238E27FC236}">
              <a16:creationId xmlns:a16="http://schemas.microsoft.com/office/drawing/2014/main" id="{00000000-0008-0000-1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6</xdr:col>
      <xdr:colOff>57150</xdr:colOff>
      <xdr:row>31</xdr:row>
      <xdr:rowOff>152399</xdr:rowOff>
    </xdr:from>
    <xdr:to>
      <xdr:col>9</xdr:col>
      <xdr:colOff>316350</xdr:colOff>
      <xdr:row>34</xdr:row>
      <xdr:rowOff>66674</xdr:rowOff>
    </xdr:to>
    <xdr:sp macro="" textlink="Controles!D6">
      <xdr:nvSpPr>
        <xdr:cNvPr id="38" name="CaixaDeTexto 37">
          <a:extLst>
            <a:ext uri="{FF2B5EF4-FFF2-40B4-BE49-F238E27FC236}">
              <a16:creationId xmlns:a16="http://schemas.microsoft.com/office/drawing/2014/main" id="{00000000-0008-0000-1900-000026000000}"/>
            </a:ext>
          </a:extLst>
        </xdr:cNvPr>
        <xdr:cNvSpPr txBox="1"/>
      </xdr:nvSpPr>
      <xdr:spPr>
        <a:xfrm>
          <a:off x="3152775" y="6496049"/>
          <a:ext cx="2088000" cy="485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marL="0" indent="0" algn="ctr"/>
          <a:fld id="{25A7F47C-E0A1-4BB3-A89D-B5F387CA4748}" type="TxLink">
            <a:rPr lang="en-US" sz="2000" b="0" i="0" u="none" strike="noStrike">
              <a:solidFill>
                <a:schemeClr val="tx1">
                  <a:lumMod val="75000"/>
                  <a:lumOff val="25000"/>
                </a:schemeClr>
              </a:solidFill>
              <a:latin typeface="Calibri"/>
              <a:ea typeface="+mn-ea"/>
              <a:cs typeface="Calibri"/>
            </a:rPr>
            <a:pPr marL="0" indent="0" algn="ctr"/>
            <a:t>4,50%</a:t>
          </a:fld>
          <a:endParaRPr lang="pt-BR" sz="20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6</xdr:col>
      <xdr:colOff>47625</xdr:colOff>
      <xdr:row>39</xdr:row>
      <xdr:rowOff>9525</xdr:rowOff>
    </xdr:from>
    <xdr:to>
      <xdr:col>9</xdr:col>
      <xdr:colOff>306825</xdr:colOff>
      <xdr:row>41</xdr:row>
      <xdr:rowOff>47625</xdr:rowOff>
    </xdr:to>
    <xdr:sp macro="" textlink="">
      <xdr:nvSpPr>
        <xdr:cNvPr id="39" name="CaixaDeTexto 38">
          <a:extLst>
            <a:ext uri="{FF2B5EF4-FFF2-40B4-BE49-F238E27FC236}">
              <a16:creationId xmlns:a16="http://schemas.microsoft.com/office/drawing/2014/main" id="{00000000-0008-0000-1900-000027000000}"/>
            </a:ext>
          </a:extLst>
        </xdr:cNvPr>
        <xdr:cNvSpPr txBox="1"/>
      </xdr:nvSpPr>
      <xdr:spPr>
        <a:xfrm>
          <a:off x="3143250" y="7877175"/>
          <a:ext cx="208800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tx1">
                  <a:lumMod val="75000"/>
                  <a:lumOff val="25000"/>
                </a:schemeClr>
              </a:solidFill>
            </a:rPr>
            <a:t>Com</a:t>
          </a:r>
          <a:r>
            <a:rPr lang="pt-BR" sz="1000" baseline="0">
              <a:solidFill>
                <a:schemeClr val="tx1">
                  <a:lumMod val="75000"/>
                  <a:lumOff val="25000"/>
                </a:schemeClr>
              </a:solidFill>
            </a:rPr>
            <a:t> base nos preenchimentos, </a:t>
          </a:r>
        </a:p>
        <a:p>
          <a:pPr algn="ctr"/>
          <a:r>
            <a:rPr lang="pt-BR" sz="1000" baseline="0">
              <a:solidFill>
                <a:schemeClr val="tx1">
                  <a:lumMod val="75000"/>
                  <a:lumOff val="25000"/>
                </a:schemeClr>
              </a:solidFill>
            </a:rPr>
            <a:t>essa é a</a:t>
          </a:r>
        </a:p>
        <a:p>
          <a:pPr algn="ctr"/>
          <a:r>
            <a:rPr lang="pt-BR" sz="1000" baseline="0">
              <a:solidFill>
                <a:schemeClr val="tx1">
                  <a:lumMod val="75000"/>
                  <a:lumOff val="25000"/>
                </a:schemeClr>
              </a:solidFill>
            </a:rPr>
            <a:t>alíquota efetiva apurada.</a:t>
          </a:r>
          <a:endParaRPr lang="pt-BR" sz="1000">
            <a:solidFill>
              <a:schemeClr val="tx1">
                <a:lumMod val="75000"/>
                <a:lumOff val="25000"/>
              </a:schemeClr>
            </a:solidFill>
          </a:endParaRPr>
        </a:p>
      </xdr:txBody>
    </xdr:sp>
    <xdr:clientData/>
  </xdr:twoCellAnchor>
  <xdr:twoCellAnchor>
    <xdr:from>
      <xdr:col>9</xdr:col>
      <xdr:colOff>352425</xdr:colOff>
      <xdr:row>23</xdr:row>
      <xdr:rowOff>0</xdr:rowOff>
    </xdr:from>
    <xdr:to>
      <xdr:col>12</xdr:col>
      <xdr:colOff>183000</xdr:colOff>
      <xdr:row>44</xdr:row>
      <xdr:rowOff>152400</xdr:rowOff>
    </xdr:to>
    <xdr:graphicFrame macro="">
      <xdr:nvGraphicFramePr>
        <xdr:cNvPr id="40" name="Gráfico 39">
          <a:extLst>
            <a:ext uri="{FF2B5EF4-FFF2-40B4-BE49-F238E27FC236}">
              <a16:creationId xmlns:a16="http://schemas.microsoft.com/office/drawing/2014/main" id="{00000000-0008-0000-19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9</xdr:col>
      <xdr:colOff>352425</xdr:colOff>
      <xdr:row>31</xdr:row>
      <xdr:rowOff>152399</xdr:rowOff>
    </xdr:from>
    <xdr:to>
      <xdr:col>12</xdr:col>
      <xdr:colOff>183000</xdr:colOff>
      <xdr:row>34</xdr:row>
      <xdr:rowOff>66674</xdr:rowOff>
    </xdr:to>
    <xdr:sp macro="" textlink="Controles!D7">
      <xdr:nvSpPr>
        <xdr:cNvPr id="41" name="CaixaDeTexto 40">
          <a:extLst>
            <a:ext uri="{FF2B5EF4-FFF2-40B4-BE49-F238E27FC236}">
              <a16:creationId xmlns:a16="http://schemas.microsoft.com/office/drawing/2014/main" id="{00000000-0008-0000-1900-000029000000}"/>
            </a:ext>
          </a:extLst>
        </xdr:cNvPr>
        <xdr:cNvSpPr txBox="1"/>
      </xdr:nvSpPr>
      <xdr:spPr>
        <a:xfrm>
          <a:off x="5276850" y="6496049"/>
          <a:ext cx="2088000" cy="485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marL="0" indent="0" algn="ctr"/>
          <a:fld id="{7BB1CF77-2593-4280-A5D2-38ED95AF73AA}" type="TxLink">
            <a:rPr lang="en-US" sz="2000" b="0" i="0" u="none" strike="noStrike">
              <a:solidFill>
                <a:schemeClr val="tx1">
                  <a:lumMod val="75000"/>
                  <a:lumOff val="25000"/>
                </a:schemeClr>
              </a:solidFill>
              <a:latin typeface="Calibri"/>
              <a:ea typeface="+mn-ea"/>
              <a:cs typeface="Calibri"/>
            </a:rPr>
            <a:pPr marL="0" indent="0" algn="ctr"/>
            <a:t>6,00%</a:t>
          </a:fld>
          <a:endParaRPr lang="pt-BR" sz="20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9</xdr:col>
      <xdr:colOff>342900</xdr:colOff>
      <xdr:row>39</xdr:row>
      <xdr:rowOff>9525</xdr:rowOff>
    </xdr:from>
    <xdr:to>
      <xdr:col>12</xdr:col>
      <xdr:colOff>173475</xdr:colOff>
      <xdr:row>41</xdr:row>
      <xdr:rowOff>47625</xdr:rowOff>
    </xdr:to>
    <xdr:sp macro="" textlink="">
      <xdr:nvSpPr>
        <xdr:cNvPr id="42" name="CaixaDeTexto 41">
          <a:extLst>
            <a:ext uri="{FF2B5EF4-FFF2-40B4-BE49-F238E27FC236}">
              <a16:creationId xmlns:a16="http://schemas.microsoft.com/office/drawing/2014/main" id="{00000000-0008-0000-1900-00002A000000}"/>
            </a:ext>
          </a:extLst>
        </xdr:cNvPr>
        <xdr:cNvSpPr txBox="1"/>
      </xdr:nvSpPr>
      <xdr:spPr>
        <a:xfrm>
          <a:off x="5267325" y="7877175"/>
          <a:ext cx="208800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tx1">
                  <a:lumMod val="75000"/>
                  <a:lumOff val="25000"/>
                </a:schemeClr>
              </a:solidFill>
            </a:rPr>
            <a:t>Com</a:t>
          </a:r>
          <a:r>
            <a:rPr lang="pt-BR" sz="1000" baseline="0">
              <a:solidFill>
                <a:schemeClr val="tx1">
                  <a:lumMod val="75000"/>
                  <a:lumOff val="25000"/>
                </a:schemeClr>
              </a:solidFill>
            </a:rPr>
            <a:t> base nos preenchimentos, </a:t>
          </a:r>
        </a:p>
        <a:p>
          <a:pPr algn="ctr"/>
          <a:r>
            <a:rPr lang="pt-BR" sz="1000" baseline="0">
              <a:solidFill>
                <a:schemeClr val="tx1">
                  <a:lumMod val="75000"/>
                  <a:lumOff val="25000"/>
                </a:schemeClr>
              </a:solidFill>
            </a:rPr>
            <a:t>essa é a</a:t>
          </a:r>
        </a:p>
        <a:p>
          <a:pPr algn="ctr"/>
          <a:r>
            <a:rPr lang="pt-BR" sz="1000" baseline="0">
              <a:solidFill>
                <a:schemeClr val="tx1">
                  <a:lumMod val="75000"/>
                  <a:lumOff val="25000"/>
                </a:schemeClr>
              </a:solidFill>
            </a:rPr>
            <a:t>alíquota efetiva apurada.</a:t>
          </a:r>
          <a:endParaRPr lang="pt-BR" sz="1000">
            <a:solidFill>
              <a:schemeClr val="tx1">
                <a:lumMod val="75000"/>
                <a:lumOff val="25000"/>
              </a:schemeClr>
            </a:solidFill>
          </a:endParaRPr>
        </a:p>
      </xdr:txBody>
    </xdr:sp>
    <xdr:clientData/>
  </xdr:twoCellAnchor>
  <xdr:twoCellAnchor>
    <xdr:from>
      <xdr:col>12</xdr:col>
      <xdr:colOff>200025</xdr:colOff>
      <xdr:row>23</xdr:row>
      <xdr:rowOff>0</xdr:rowOff>
    </xdr:from>
    <xdr:to>
      <xdr:col>15</xdr:col>
      <xdr:colOff>459225</xdr:colOff>
      <xdr:row>44</xdr:row>
      <xdr:rowOff>152400</xdr:rowOff>
    </xdr:to>
    <xdr:graphicFrame macro="">
      <xdr:nvGraphicFramePr>
        <xdr:cNvPr id="43" name="Gráfico 42">
          <a:extLst>
            <a:ext uri="{FF2B5EF4-FFF2-40B4-BE49-F238E27FC236}">
              <a16:creationId xmlns:a16="http://schemas.microsoft.com/office/drawing/2014/main" id="{00000000-0008-0000-19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12</xdr:col>
      <xdr:colOff>200025</xdr:colOff>
      <xdr:row>31</xdr:row>
      <xdr:rowOff>152399</xdr:rowOff>
    </xdr:from>
    <xdr:to>
      <xdr:col>15</xdr:col>
      <xdr:colOff>459225</xdr:colOff>
      <xdr:row>34</xdr:row>
      <xdr:rowOff>66674</xdr:rowOff>
    </xdr:to>
    <xdr:sp macro="" textlink="Controles!D8">
      <xdr:nvSpPr>
        <xdr:cNvPr id="44" name="CaixaDeTexto 43">
          <a:extLst>
            <a:ext uri="{FF2B5EF4-FFF2-40B4-BE49-F238E27FC236}">
              <a16:creationId xmlns:a16="http://schemas.microsoft.com/office/drawing/2014/main" id="{00000000-0008-0000-1900-00002C000000}"/>
            </a:ext>
          </a:extLst>
        </xdr:cNvPr>
        <xdr:cNvSpPr txBox="1"/>
      </xdr:nvSpPr>
      <xdr:spPr>
        <a:xfrm>
          <a:off x="7381875" y="6496049"/>
          <a:ext cx="2088000" cy="485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marL="0" indent="0" algn="ctr"/>
          <a:fld id="{62959337-667D-4623-B926-05157A446799}" type="TxLink">
            <a:rPr lang="en-US" sz="2000" b="0" i="0" u="none" strike="noStrike">
              <a:solidFill>
                <a:schemeClr val="tx1">
                  <a:lumMod val="75000"/>
                  <a:lumOff val="25000"/>
                </a:schemeClr>
              </a:solidFill>
              <a:latin typeface="Calibri"/>
              <a:ea typeface="+mn-ea"/>
              <a:cs typeface="Calibri"/>
            </a:rPr>
            <a:pPr marL="0" indent="0" algn="ctr"/>
            <a:t>4,50%</a:t>
          </a:fld>
          <a:endParaRPr lang="pt-BR" sz="20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12</xdr:col>
      <xdr:colOff>190500</xdr:colOff>
      <xdr:row>39</xdr:row>
      <xdr:rowOff>9525</xdr:rowOff>
    </xdr:from>
    <xdr:to>
      <xdr:col>15</xdr:col>
      <xdr:colOff>449700</xdr:colOff>
      <xdr:row>41</xdr:row>
      <xdr:rowOff>47625</xdr:rowOff>
    </xdr:to>
    <xdr:sp macro="" textlink="">
      <xdr:nvSpPr>
        <xdr:cNvPr id="45" name="CaixaDeTexto 44">
          <a:extLst>
            <a:ext uri="{FF2B5EF4-FFF2-40B4-BE49-F238E27FC236}">
              <a16:creationId xmlns:a16="http://schemas.microsoft.com/office/drawing/2014/main" id="{00000000-0008-0000-1900-00002D000000}"/>
            </a:ext>
          </a:extLst>
        </xdr:cNvPr>
        <xdr:cNvSpPr txBox="1"/>
      </xdr:nvSpPr>
      <xdr:spPr>
        <a:xfrm>
          <a:off x="7372350" y="7877175"/>
          <a:ext cx="208800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tx1">
                  <a:lumMod val="75000"/>
                  <a:lumOff val="25000"/>
                </a:schemeClr>
              </a:solidFill>
            </a:rPr>
            <a:t>Com</a:t>
          </a:r>
          <a:r>
            <a:rPr lang="pt-BR" sz="1000" baseline="0">
              <a:solidFill>
                <a:schemeClr val="tx1">
                  <a:lumMod val="75000"/>
                  <a:lumOff val="25000"/>
                </a:schemeClr>
              </a:solidFill>
            </a:rPr>
            <a:t> base nos preenchimentos, </a:t>
          </a:r>
        </a:p>
        <a:p>
          <a:pPr algn="ctr"/>
          <a:r>
            <a:rPr lang="pt-BR" sz="1000" baseline="0">
              <a:solidFill>
                <a:schemeClr val="tx1">
                  <a:lumMod val="75000"/>
                  <a:lumOff val="25000"/>
                </a:schemeClr>
              </a:solidFill>
            </a:rPr>
            <a:t>essa é a</a:t>
          </a:r>
        </a:p>
        <a:p>
          <a:pPr algn="ctr"/>
          <a:r>
            <a:rPr lang="pt-BR" sz="1000" baseline="0">
              <a:solidFill>
                <a:schemeClr val="tx1">
                  <a:lumMod val="75000"/>
                  <a:lumOff val="25000"/>
                </a:schemeClr>
              </a:solidFill>
            </a:rPr>
            <a:t>alíquota efetiva apurada.</a:t>
          </a:r>
          <a:endParaRPr lang="pt-BR" sz="1000">
            <a:solidFill>
              <a:schemeClr val="tx1">
                <a:lumMod val="75000"/>
                <a:lumOff val="25000"/>
              </a:schemeClr>
            </a:solidFill>
          </a:endParaRPr>
        </a:p>
      </xdr:txBody>
    </xdr:sp>
    <xdr:clientData/>
  </xdr:twoCellAnchor>
  <xdr:twoCellAnchor>
    <xdr:from>
      <xdr:col>15</xdr:col>
      <xdr:colOff>495300</xdr:colOff>
      <xdr:row>23</xdr:row>
      <xdr:rowOff>0</xdr:rowOff>
    </xdr:from>
    <xdr:to>
      <xdr:col>19</xdr:col>
      <xdr:colOff>144900</xdr:colOff>
      <xdr:row>44</xdr:row>
      <xdr:rowOff>152400</xdr:rowOff>
    </xdr:to>
    <xdr:graphicFrame macro="">
      <xdr:nvGraphicFramePr>
        <xdr:cNvPr id="46" name="Gráfico 45">
          <a:extLst>
            <a:ext uri="{FF2B5EF4-FFF2-40B4-BE49-F238E27FC236}">
              <a16:creationId xmlns:a16="http://schemas.microsoft.com/office/drawing/2014/main" id="{00000000-0008-0000-19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15</xdr:col>
      <xdr:colOff>495300</xdr:colOff>
      <xdr:row>31</xdr:row>
      <xdr:rowOff>152399</xdr:rowOff>
    </xdr:from>
    <xdr:to>
      <xdr:col>19</xdr:col>
      <xdr:colOff>144900</xdr:colOff>
      <xdr:row>34</xdr:row>
      <xdr:rowOff>66674</xdr:rowOff>
    </xdr:to>
    <xdr:sp macro="" textlink="Controles!D9">
      <xdr:nvSpPr>
        <xdr:cNvPr id="47" name="CaixaDeTexto 46">
          <a:extLst>
            <a:ext uri="{FF2B5EF4-FFF2-40B4-BE49-F238E27FC236}">
              <a16:creationId xmlns:a16="http://schemas.microsoft.com/office/drawing/2014/main" id="{00000000-0008-0000-1900-00002F000000}"/>
            </a:ext>
          </a:extLst>
        </xdr:cNvPr>
        <xdr:cNvSpPr txBox="1"/>
      </xdr:nvSpPr>
      <xdr:spPr>
        <a:xfrm>
          <a:off x="9505950" y="6496049"/>
          <a:ext cx="2088000" cy="485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marL="0" indent="0" algn="ctr"/>
          <a:fld id="{9B0DC968-D81F-4FBC-901B-BB6B44B983DD}" type="TxLink">
            <a:rPr lang="en-US" sz="2000" b="0" i="0" u="none" strike="noStrike">
              <a:solidFill>
                <a:schemeClr val="tx1">
                  <a:lumMod val="75000"/>
                  <a:lumOff val="25000"/>
                </a:schemeClr>
              </a:solidFill>
              <a:latin typeface="Calibri"/>
              <a:ea typeface="+mn-ea"/>
              <a:cs typeface="Calibri"/>
            </a:rPr>
            <a:pPr marL="0" indent="0" algn="ctr"/>
            <a:t>15,50%</a:t>
          </a:fld>
          <a:endParaRPr lang="pt-BR" sz="20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15</xdr:col>
      <xdr:colOff>485775</xdr:colOff>
      <xdr:row>39</xdr:row>
      <xdr:rowOff>9525</xdr:rowOff>
    </xdr:from>
    <xdr:to>
      <xdr:col>19</xdr:col>
      <xdr:colOff>135375</xdr:colOff>
      <xdr:row>41</xdr:row>
      <xdr:rowOff>47625</xdr:rowOff>
    </xdr:to>
    <xdr:sp macro="" textlink="">
      <xdr:nvSpPr>
        <xdr:cNvPr id="48" name="CaixaDeTexto 47">
          <a:extLst>
            <a:ext uri="{FF2B5EF4-FFF2-40B4-BE49-F238E27FC236}">
              <a16:creationId xmlns:a16="http://schemas.microsoft.com/office/drawing/2014/main" id="{00000000-0008-0000-1900-000030000000}"/>
            </a:ext>
          </a:extLst>
        </xdr:cNvPr>
        <xdr:cNvSpPr txBox="1"/>
      </xdr:nvSpPr>
      <xdr:spPr>
        <a:xfrm>
          <a:off x="9496425" y="7877175"/>
          <a:ext cx="208800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tx1">
                  <a:lumMod val="75000"/>
                  <a:lumOff val="25000"/>
                </a:schemeClr>
              </a:solidFill>
            </a:rPr>
            <a:t>Com</a:t>
          </a:r>
          <a:r>
            <a:rPr lang="pt-BR" sz="1000" baseline="0">
              <a:solidFill>
                <a:schemeClr val="tx1">
                  <a:lumMod val="75000"/>
                  <a:lumOff val="25000"/>
                </a:schemeClr>
              </a:solidFill>
            </a:rPr>
            <a:t> base nos preenchimentos, </a:t>
          </a:r>
        </a:p>
        <a:p>
          <a:pPr algn="ctr"/>
          <a:r>
            <a:rPr lang="pt-BR" sz="1000" baseline="0">
              <a:solidFill>
                <a:schemeClr val="tx1">
                  <a:lumMod val="75000"/>
                  <a:lumOff val="25000"/>
                </a:schemeClr>
              </a:solidFill>
            </a:rPr>
            <a:t>essa é a</a:t>
          </a:r>
        </a:p>
        <a:p>
          <a:pPr algn="ctr"/>
          <a:r>
            <a:rPr lang="pt-BR" sz="1000" baseline="0">
              <a:solidFill>
                <a:schemeClr val="tx1">
                  <a:lumMod val="75000"/>
                  <a:lumOff val="25000"/>
                </a:schemeClr>
              </a:solidFill>
            </a:rPr>
            <a:t>alíquota efetiva apurada.</a:t>
          </a:r>
          <a:endParaRPr lang="pt-BR" sz="1000">
            <a:solidFill>
              <a:schemeClr val="tx1">
                <a:lumMod val="75000"/>
                <a:lumOff val="25000"/>
              </a:schemeClr>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A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A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A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A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A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A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A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A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A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Analítico</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A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xdr:from>
      <xdr:col>2</xdr:col>
      <xdr:colOff>0</xdr:colOff>
      <xdr:row>3</xdr:row>
      <xdr:rowOff>0</xdr:rowOff>
    </xdr:from>
    <xdr:to>
      <xdr:col>5</xdr:col>
      <xdr:colOff>583200</xdr:colOff>
      <xdr:row>6</xdr:row>
      <xdr:rowOff>287475</xdr:rowOff>
    </xdr:to>
    <xdr:sp macro="" textlink="Controles!E5">
      <xdr:nvSpPr>
        <xdr:cNvPr id="17" name="Retângulo 16">
          <a:extLst>
            <a:ext uri="{FF2B5EF4-FFF2-40B4-BE49-F238E27FC236}">
              <a16:creationId xmlns:a16="http://schemas.microsoft.com/office/drawing/2014/main" id="{00000000-0008-0000-1A00-000011000000}"/>
            </a:ext>
          </a:extLst>
        </xdr:cNvPr>
        <xdr:cNvSpPr/>
      </xdr:nvSpPr>
      <xdr:spPr>
        <a:xfrm>
          <a:off x="228600" y="1200150"/>
          <a:ext cx="2412000" cy="144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4038D-9845-4734-9BAF-9626B91BF5CB}" type="TxLink">
            <a:rPr lang="en-US" sz="2400" b="0" i="0" u="none" strike="noStrike">
              <a:solidFill>
                <a:schemeClr val="bg1"/>
              </a:solidFill>
              <a:latin typeface="Calibri"/>
              <a:cs typeface="Calibri"/>
            </a:rPr>
            <a:pPr algn="ctr"/>
            <a:t>R$ 5.657,24</a:t>
          </a:fld>
          <a:endParaRPr lang="pt-BR" sz="3200" b="0">
            <a:solidFill>
              <a:schemeClr val="bg1"/>
            </a:solidFill>
          </a:endParaRPr>
        </a:p>
      </xdr:txBody>
    </xdr:sp>
    <xdr:clientData/>
  </xdr:twoCellAnchor>
  <xdr:twoCellAnchor>
    <xdr:from>
      <xdr:col>6</xdr:col>
      <xdr:colOff>0</xdr:colOff>
      <xdr:row>3</xdr:row>
      <xdr:rowOff>0</xdr:rowOff>
    </xdr:from>
    <xdr:to>
      <xdr:col>9</xdr:col>
      <xdr:colOff>583200</xdr:colOff>
      <xdr:row>6</xdr:row>
      <xdr:rowOff>287475</xdr:rowOff>
    </xdr:to>
    <xdr:sp macro="" textlink="Controles!E6">
      <xdr:nvSpPr>
        <xdr:cNvPr id="18" name="Retângulo 17">
          <a:extLst>
            <a:ext uri="{FF2B5EF4-FFF2-40B4-BE49-F238E27FC236}">
              <a16:creationId xmlns:a16="http://schemas.microsoft.com/office/drawing/2014/main" id="{00000000-0008-0000-1A00-000012000000}"/>
            </a:ext>
          </a:extLst>
        </xdr:cNvPr>
        <xdr:cNvSpPr/>
      </xdr:nvSpPr>
      <xdr:spPr>
        <a:xfrm>
          <a:off x="2667000" y="1200150"/>
          <a:ext cx="2412000" cy="144000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44835CC7-E672-40D2-9784-2A943AD3167E}" type="TxLink">
            <a:rPr lang="en-US" sz="2400" b="0" i="0" u="none" strike="noStrike">
              <a:solidFill>
                <a:schemeClr val="bg1"/>
              </a:solidFill>
              <a:latin typeface="Calibri"/>
              <a:cs typeface="Calibri"/>
            </a:rPr>
            <a:pPr algn="ctr"/>
            <a:t>R$ 6.364,40</a:t>
          </a:fld>
          <a:endParaRPr lang="pt-BR" sz="3200" b="0">
            <a:solidFill>
              <a:schemeClr val="bg1"/>
            </a:solidFill>
          </a:endParaRPr>
        </a:p>
      </xdr:txBody>
    </xdr:sp>
    <xdr:clientData/>
  </xdr:twoCellAnchor>
  <xdr:twoCellAnchor>
    <xdr:from>
      <xdr:col>10</xdr:col>
      <xdr:colOff>0</xdr:colOff>
      <xdr:row>3</xdr:row>
      <xdr:rowOff>0</xdr:rowOff>
    </xdr:from>
    <xdr:to>
      <xdr:col>13</xdr:col>
      <xdr:colOff>583200</xdr:colOff>
      <xdr:row>6</xdr:row>
      <xdr:rowOff>287475</xdr:rowOff>
    </xdr:to>
    <xdr:sp macro="" textlink="Controles!E7">
      <xdr:nvSpPr>
        <xdr:cNvPr id="19" name="Retângulo 18">
          <a:extLst>
            <a:ext uri="{FF2B5EF4-FFF2-40B4-BE49-F238E27FC236}">
              <a16:creationId xmlns:a16="http://schemas.microsoft.com/office/drawing/2014/main" id="{00000000-0008-0000-1A00-000013000000}"/>
            </a:ext>
          </a:extLst>
        </xdr:cNvPr>
        <xdr:cNvSpPr/>
      </xdr:nvSpPr>
      <xdr:spPr>
        <a:xfrm>
          <a:off x="5105400" y="1200150"/>
          <a:ext cx="2412000" cy="144000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A02C17F0-56E1-4D9A-9B6B-0FCC0FCF5971}" type="TxLink">
            <a:rPr lang="en-US" sz="2400" b="0" i="0" u="none" strike="noStrike">
              <a:solidFill>
                <a:schemeClr val="bg1"/>
              </a:solidFill>
              <a:latin typeface="Calibri"/>
              <a:cs typeface="Calibri"/>
            </a:rPr>
            <a:pPr algn="ctr"/>
            <a:t>R$ 8.485,87</a:t>
          </a:fld>
          <a:endParaRPr lang="pt-BR" sz="3200" b="0">
            <a:solidFill>
              <a:schemeClr val="bg1"/>
            </a:solidFill>
          </a:endParaRPr>
        </a:p>
      </xdr:txBody>
    </xdr:sp>
    <xdr:clientData/>
  </xdr:twoCellAnchor>
  <xdr:twoCellAnchor>
    <xdr:from>
      <xdr:col>14</xdr:col>
      <xdr:colOff>0</xdr:colOff>
      <xdr:row>3</xdr:row>
      <xdr:rowOff>0</xdr:rowOff>
    </xdr:from>
    <xdr:to>
      <xdr:col>17</xdr:col>
      <xdr:colOff>583200</xdr:colOff>
      <xdr:row>6</xdr:row>
      <xdr:rowOff>287475</xdr:rowOff>
    </xdr:to>
    <xdr:sp macro="" textlink="Controles!E8">
      <xdr:nvSpPr>
        <xdr:cNvPr id="20" name="Retângulo 19">
          <a:extLst>
            <a:ext uri="{FF2B5EF4-FFF2-40B4-BE49-F238E27FC236}">
              <a16:creationId xmlns:a16="http://schemas.microsoft.com/office/drawing/2014/main" id="{00000000-0008-0000-1A00-000014000000}"/>
            </a:ext>
          </a:extLst>
        </xdr:cNvPr>
        <xdr:cNvSpPr/>
      </xdr:nvSpPr>
      <xdr:spPr>
        <a:xfrm>
          <a:off x="7543800" y="1200150"/>
          <a:ext cx="2412000" cy="1440000"/>
        </a:xfrm>
        <a:prstGeom prst="rect">
          <a:avLst/>
        </a:prstGeom>
        <a:solidFill>
          <a:srgbClr val="2B353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60A27795-4079-4F11-9CCD-2FE916674958}" type="TxLink">
            <a:rPr lang="en-US" sz="2400" b="0" i="0" u="none" strike="noStrike">
              <a:solidFill>
                <a:schemeClr val="bg1"/>
              </a:solidFill>
              <a:latin typeface="Calibri"/>
              <a:cs typeface="Calibri"/>
            </a:rPr>
            <a:pPr algn="ctr"/>
            <a:t>R$ 6.364,40</a:t>
          </a:fld>
          <a:endParaRPr lang="pt-BR" sz="3200" b="0">
            <a:solidFill>
              <a:schemeClr val="bg1"/>
            </a:solidFill>
          </a:endParaRPr>
        </a:p>
      </xdr:txBody>
    </xdr:sp>
    <xdr:clientData/>
  </xdr:twoCellAnchor>
  <xdr:twoCellAnchor>
    <xdr:from>
      <xdr:col>18</xdr:col>
      <xdr:colOff>0</xdr:colOff>
      <xdr:row>3</xdr:row>
      <xdr:rowOff>0</xdr:rowOff>
    </xdr:from>
    <xdr:to>
      <xdr:col>21</xdr:col>
      <xdr:colOff>583200</xdr:colOff>
      <xdr:row>6</xdr:row>
      <xdr:rowOff>287475</xdr:rowOff>
    </xdr:to>
    <xdr:sp macro="" textlink="Controles!E9">
      <xdr:nvSpPr>
        <xdr:cNvPr id="21" name="Retângulo 20">
          <a:extLst>
            <a:ext uri="{FF2B5EF4-FFF2-40B4-BE49-F238E27FC236}">
              <a16:creationId xmlns:a16="http://schemas.microsoft.com/office/drawing/2014/main" id="{00000000-0008-0000-1A00-000015000000}"/>
            </a:ext>
          </a:extLst>
        </xdr:cNvPr>
        <xdr:cNvSpPr/>
      </xdr:nvSpPr>
      <xdr:spPr>
        <a:xfrm>
          <a:off x="9982200" y="1200150"/>
          <a:ext cx="2412000" cy="144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6119B8C-E8F0-4D0C-90F4-CDC4414F235A}" type="TxLink">
            <a:rPr lang="en-US" sz="2400" b="0" i="0" u="none" strike="noStrike">
              <a:solidFill>
                <a:schemeClr val="bg1"/>
              </a:solidFill>
              <a:latin typeface="Calibri"/>
              <a:cs typeface="Calibri"/>
            </a:rPr>
            <a:pPr algn="ctr"/>
            <a:t>R$ 21.921,82</a:t>
          </a:fld>
          <a:endParaRPr lang="pt-BR" sz="3200" b="0">
            <a:solidFill>
              <a:schemeClr val="bg1"/>
            </a:solidFill>
          </a:endParaRPr>
        </a:p>
      </xdr:txBody>
    </xdr:sp>
    <xdr:clientData/>
  </xdr:twoCellAnchor>
  <xdr:twoCellAnchor editAs="absolute">
    <xdr:from>
      <xdr:col>2</xdr:col>
      <xdr:colOff>0</xdr:colOff>
      <xdr:row>4</xdr:row>
      <xdr:rowOff>371475</xdr:rowOff>
    </xdr:from>
    <xdr:to>
      <xdr:col>5</xdr:col>
      <xdr:colOff>583200</xdr:colOff>
      <xdr:row>5</xdr:row>
      <xdr:rowOff>197885</xdr:rowOff>
    </xdr:to>
    <xdr:sp macro="" textlink="">
      <xdr:nvSpPr>
        <xdr:cNvPr id="22" name="CaixaDeTexto 21">
          <a:extLst>
            <a:ext uri="{FF2B5EF4-FFF2-40B4-BE49-F238E27FC236}">
              <a16:creationId xmlns:a16="http://schemas.microsoft.com/office/drawing/2014/main" id="{00000000-0008-0000-1A00-000016000000}"/>
            </a:ext>
          </a:extLst>
        </xdr:cNvPr>
        <xdr:cNvSpPr txBox="1"/>
      </xdr:nvSpPr>
      <xdr:spPr>
        <a:xfrm>
          <a:off x="228600" y="1847850"/>
          <a:ext cx="2412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bg1"/>
              </a:solidFill>
            </a:rPr>
            <a:t>Comércio</a:t>
          </a:r>
        </a:p>
      </xdr:txBody>
    </xdr:sp>
    <xdr:clientData/>
  </xdr:twoCellAnchor>
  <xdr:twoCellAnchor editAs="absolute">
    <xdr:from>
      <xdr:col>6</xdr:col>
      <xdr:colOff>0</xdr:colOff>
      <xdr:row>4</xdr:row>
      <xdr:rowOff>371475</xdr:rowOff>
    </xdr:from>
    <xdr:to>
      <xdr:col>9</xdr:col>
      <xdr:colOff>583200</xdr:colOff>
      <xdr:row>5</xdr:row>
      <xdr:rowOff>197885</xdr:rowOff>
    </xdr:to>
    <xdr:sp macro="" textlink="">
      <xdr:nvSpPr>
        <xdr:cNvPr id="23" name="CaixaDeTexto 22">
          <a:extLst>
            <a:ext uri="{FF2B5EF4-FFF2-40B4-BE49-F238E27FC236}">
              <a16:creationId xmlns:a16="http://schemas.microsoft.com/office/drawing/2014/main" id="{00000000-0008-0000-1A00-000017000000}"/>
            </a:ext>
          </a:extLst>
        </xdr:cNvPr>
        <xdr:cNvSpPr txBox="1"/>
      </xdr:nvSpPr>
      <xdr:spPr>
        <a:xfrm>
          <a:off x="2667000" y="1847850"/>
          <a:ext cx="2412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bg1"/>
              </a:solidFill>
            </a:rPr>
            <a:t>Indústria</a:t>
          </a:r>
        </a:p>
      </xdr:txBody>
    </xdr:sp>
    <xdr:clientData/>
  </xdr:twoCellAnchor>
  <xdr:twoCellAnchor editAs="absolute">
    <xdr:from>
      <xdr:col>10</xdr:col>
      <xdr:colOff>0</xdr:colOff>
      <xdr:row>4</xdr:row>
      <xdr:rowOff>371475</xdr:rowOff>
    </xdr:from>
    <xdr:to>
      <xdr:col>13</xdr:col>
      <xdr:colOff>583200</xdr:colOff>
      <xdr:row>5</xdr:row>
      <xdr:rowOff>197885</xdr:rowOff>
    </xdr:to>
    <xdr:sp macro="" textlink="">
      <xdr:nvSpPr>
        <xdr:cNvPr id="24" name="CaixaDeTexto 23">
          <a:extLst>
            <a:ext uri="{FF2B5EF4-FFF2-40B4-BE49-F238E27FC236}">
              <a16:creationId xmlns:a16="http://schemas.microsoft.com/office/drawing/2014/main" id="{00000000-0008-0000-1A00-000018000000}"/>
            </a:ext>
          </a:extLst>
        </xdr:cNvPr>
        <xdr:cNvSpPr txBox="1"/>
      </xdr:nvSpPr>
      <xdr:spPr>
        <a:xfrm>
          <a:off x="5105400" y="1847850"/>
          <a:ext cx="2412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bg1"/>
              </a:solidFill>
            </a:rPr>
            <a:t>Anexo III</a:t>
          </a:r>
        </a:p>
      </xdr:txBody>
    </xdr:sp>
    <xdr:clientData/>
  </xdr:twoCellAnchor>
  <xdr:twoCellAnchor editAs="absolute">
    <xdr:from>
      <xdr:col>14</xdr:col>
      <xdr:colOff>0</xdr:colOff>
      <xdr:row>4</xdr:row>
      <xdr:rowOff>371475</xdr:rowOff>
    </xdr:from>
    <xdr:to>
      <xdr:col>17</xdr:col>
      <xdr:colOff>583200</xdr:colOff>
      <xdr:row>5</xdr:row>
      <xdr:rowOff>197885</xdr:rowOff>
    </xdr:to>
    <xdr:sp macro="" textlink="">
      <xdr:nvSpPr>
        <xdr:cNvPr id="25" name="CaixaDeTexto 24">
          <a:extLst>
            <a:ext uri="{FF2B5EF4-FFF2-40B4-BE49-F238E27FC236}">
              <a16:creationId xmlns:a16="http://schemas.microsoft.com/office/drawing/2014/main" id="{00000000-0008-0000-1A00-000019000000}"/>
            </a:ext>
          </a:extLst>
        </xdr:cNvPr>
        <xdr:cNvSpPr txBox="1"/>
      </xdr:nvSpPr>
      <xdr:spPr>
        <a:xfrm>
          <a:off x="7543800" y="1847850"/>
          <a:ext cx="2412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bg1"/>
              </a:solidFill>
            </a:rPr>
            <a:t>Anexo IV</a:t>
          </a:r>
        </a:p>
      </xdr:txBody>
    </xdr:sp>
    <xdr:clientData/>
  </xdr:twoCellAnchor>
  <xdr:twoCellAnchor editAs="absolute">
    <xdr:from>
      <xdr:col>18</xdr:col>
      <xdr:colOff>0</xdr:colOff>
      <xdr:row>4</xdr:row>
      <xdr:rowOff>371475</xdr:rowOff>
    </xdr:from>
    <xdr:to>
      <xdr:col>21</xdr:col>
      <xdr:colOff>583200</xdr:colOff>
      <xdr:row>5</xdr:row>
      <xdr:rowOff>197885</xdr:rowOff>
    </xdr:to>
    <xdr:sp macro="" textlink="">
      <xdr:nvSpPr>
        <xdr:cNvPr id="26" name="CaixaDeTexto 25">
          <a:extLst>
            <a:ext uri="{FF2B5EF4-FFF2-40B4-BE49-F238E27FC236}">
              <a16:creationId xmlns:a16="http://schemas.microsoft.com/office/drawing/2014/main" id="{00000000-0008-0000-1A00-00001A000000}"/>
            </a:ext>
          </a:extLst>
        </xdr:cNvPr>
        <xdr:cNvSpPr txBox="1"/>
      </xdr:nvSpPr>
      <xdr:spPr>
        <a:xfrm>
          <a:off x="9982200" y="1847850"/>
          <a:ext cx="2412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bg1"/>
              </a:solidFill>
            </a:rPr>
            <a:t>Anexo</a:t>
          </a:r>
          <a:r>
            <a:rPr lang="pt-BR" sz="1000" baseline="0">
              <a:solidFill>
                <a:schemeClr val="bg1"/>
              </a:solidFill>
            </a:rPr>
            <a:t> V</a:t>
          </a:r>
          <a:endParaRPr lang="pt-BR" sz="1000">
            <a:solidFill>
              <a:schemeClr val="bg1"/>
            </a:solidFill>
          </a:endParaRPr>
        </a:p>
      </xdr:txBody>
    </xdr:sp>
    <xdr:clientData/>
  </xdr:twoCellAnchor>
  <xdr:twoCellAnchor editAs="oneCell">
    <xdr:from>
      <xdr:col>3</xdr:col>
      <xdr:colOff>352425</xdr:colOff>
      <xdr:row>3</xdr:row>
      <xdr:rowOff>66675</xdr:rowOff>
    </xdr:from>
    <xdr:to>
      <xdr:col>4</xdr:col>
      <xdr:colOff>210825</xdr:colOff>
      <xdr:row>4</xdr:row>
      <xdr:rowOff>258450</xdr:rowOff>
    </xdr:to>
    <xdr:pic>
      <xdr:nvPicPr>
        <xdr:cNvPr id="28" name="Gráfico 27" descr="Moedas">
          <a:extLst>
            <a:ext uri="{FF2B5EF4-FFF2-40B4-BE49-F238E27FC236}">
              <a16:creationId xmlns:a16="http://schemas.microsoft.com/office/drawing/2014/main" id="{00000000-0008-0000-1A00-00001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xmlns="" r:embed="rId9"/>
            </a:ext>
          </a:extLst>
        </a:blip>
        <a:stretch>
          <a:fillRect/>
        </a:stretch>
      </xdr:blipFill>
      <xdr:spPr>
        <a:xfrm>
          <a:off x="1190625" y="1266825"/>
          <a:ext cx="468000" cy="468000"/>
        </a:xfrm>
        <a:prstGeom prst="rect">
          <a:avLst/>
        </a:prstGeom>
      </xdr:spPr>
    </xdr:pic>
    <xdr:clientData/>
  </xdr:twoCellAnchor>
  <xdr:twoCellAnchor editAs="oneCell">
    <xdr:from>
      <xdr:col>7</xdr:col>
      <xdr:colOff>361950</xdr:colOff>
      <xdr:row>3</xdr:row>
      <xdr:rowOff>66675</xdr:rowOff>
    </xdr:from>
    <xdr:to>
      <xdr:col>8</xdr:col>
      <xdr:colOff>220350</xdr:colOff>
      <xdr:row>4</xdr:row>
      <xdr:rowOff>258450</xdr:rowOff>
    </xdr:to>
    <xdr:pic>
      <xdr:nvPicPr>
        <xdr:cNvPr id="29" name="Gráfico 28" descr="Moedas">
          <a:extLst>
            <a:ext uri="{FF2B5EF4-FFF2-40B4-BE49-F238E27FC236}">
              <a16:creationId xmlns:a16="http://schemas.microsoft.com/office/drawing/2014/main" id="{00000000-0008-0000-1A00-00001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xmlns="" r:embed="rId9"/>
            </a:ext>
          </a:extLst>
        </a:blip>
        <a:stretch>
          <a:fillRect/>
        </a:stretch>
      </xdr:blipFill>
      <xdr:spPr>
        <a:xfrm>
          <a:off x="3638550" y="1266825"/>
          <a:ext cx="468000" cy="468000"/>
        </a:xfrm>
        <a:prstGeom prst="rect">
          <a:avLst/>
        </a:prstGeom>
      </xdr:spPr>
    </xdr:pic>
    <xdr:clientData/>
  </xdr:twoCellAnchor>
  <xdr:twoCellAnchor editAs="oneCell">
    <xdr:from>
      <xdr:col>11</xdr:col>
      <xdr:colOff>352425</xdr:colOff>
      <xdr:row>3</xdr:row>
      <xdr:rowOff>66675</xdr:rowOff>
    </xdr:from>
    <xdr:to>
      <xdr:col>12</xdr:col>
      <xdr:colOff>210825</xdr:colOff>
      <xdr:row>4</xdr:row>
      <xdr:rowOff>258450</xdr:rowOff>
    </xdr:to>
    <xdr:pic>
      <xdr:nvPicPr>
        <xdr:cNvPr id="30" name="Gráfico 29" descr="Moedas">
          <a:extLst>
            <a:ext uri="{FF2B5EF4-FFF2-40B4-BE49-F238E27FC236}">
              <a16:creationId xmlns:a16="http://schemas.microsoft.com/office/drawing/2014/main" id="{00000000-0008-0000-1A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xmlns="" r:embed="rId9"/>
            </a:ext>
          </a:extLst>
        </a:blip>
        <a:stretch>
          <a:fillRect/>
        </a:stretch>
      </xdr:blipFill>
      <xdr:spPr>
        <a:xfrm>
          <a:off x="6067425" y="1266825"/>
          <a:ext cx="468000" cy="468000"/>
        </a:xfrm>
        <a:prstGeom prst="rect">
          <a:avLst/>
        </a:prstGeom>
      </xdr:spPr>
    </xdr:pic>
    <xdr:clientData/>
  </xdr:twoCellAnchor>
  <xdr:twoCellAnchor editAs="oneCell">
    <xdr:from>
      <xdr:col>15</xdr:col>
      <xdr:colOff>361950</xdr:colOff>
      <xdr:row>3</xdr:row>
      <xdr:rowOff>66675</xdr:rowOff>
    </xdr:from>
    <xdr:to>
      <xdr:col>16</xdr:col>
      <xdr:colOff>220350</xdr:colOff>
      <xdr:row>4</xdr:row>
      <xdr:rowOff>258450</xdr:rowOff>
    </xdr:to>
    <xdr:pic>
      <xdr:nvPicPr>
        <xdr:cNvPr id="31" name="Gráfico 30" descr="Moedas">
          <a:extLst>
            <a:ext uri="{FF2B5EF4-FFF2-40B4-BE49-F238E27FC236}">
              <a16:creationId xmlns:a16="http://schemas.microsoft.com/office/drawing/2014/main" id="{00000000-0008-0000-1A00-00001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xmlns="" r:embed="rId9"/>
            </a:ext>
          </a:extLst>
        </a:blip>
        <a:stretch>
          <a:fillRect/>
        </a:stretch>
      </xdr:blipFill>
      <xdr:spPr>
        <a:xfrm>
          <a:off x="8515350" y="1266825"/>
          <a:ext cx="468000" cy="468000"/>
        </a:xfrm>
        <a:prstGeom prst="rect">
          <a:avLst/>
        </a:prstGeom>
      </xdr:spPr>
    </xdr:pic>
    <xdr:clientData/>
  </xdr:twoCellAnchor>
  <xdr:twoCellAnchor editAs="oneCell">
    <xdr:from>
      <xdr:col>19</xdr:col>
      <xdr:colOff>352425</xdr:colOff>
      <xdr:row>3</xdr:row>
      <xdr:rowOff>66675</xdr:rowOff>
    </xdr:from>
    <xdr:to>
      <xdr:col>20</xdr:col>
      <xdr:colOff>210825</xdr:colOff>
      <xdr:row>4</xdr:row>
      <xdr:rowOff>258450</xdr:rowOff>
    </xdr:to>
    <xdr:pic>
      <xdr:nvPicPr>
        <xdr:cNvPr id="32" name="Gráfico 31" descr="Moedas">
          <a:extLst>
            <a:ext uri="{FF2B5EF4-FFF2-40B4-BE49-F238E27FC236}">
              <a16:creationId xmlns:a16="http://schemas.microsoft.com/office/drawing/2014/main" id="{00000000-0008-0000-1A00-00002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xmlns="" r:embed="rId9"/>
            </a:ext>
          </a:extLst>
        </a:blip>
        <a:stretch>
          <a:fillRect/>
        </a:stretch>
      </xdr:blipFill>
      <xdr:spPr>
        <a:xfrm>
          <a:off x="10944225" y="1266825"/>
          <a:ext cx="468000" cy="468000"/>
        </a:xfrm>
        <a:prstGeom prst="rect">
          <a:avLst/>
        </a:prstGeom>
      </xdr:spPr>
    </xdr:pic>
    <xdr:clientData/>
  </xdr:twoCellAnchor>
  <xdr:twoCellAnchor>
    <xdr:from>
      <xdr:col>2</xdr:col>
      <xdr:colOff>0</xdr:colOff>
      <xdr:row>6</xdr:row>
      <xdr:rowOff>314325</xdr:rowOff>
    </xdr:from>
    <xdr:to>
      <xdr:col>5</xdr:col>
      <xdr:colOff>583200</xdr:colOff>
      <xdr:row>14</xdr:row>
      <xdr:rowOff>371475</xdr:rowOff>
    </xdr:to>
    <xdr:graphicFrame macro="">
      <xdr:nvGraphicFramePr>
        <xdr:cNvPr id="40" name="Gráfico 39">
          <a:extLst>
            <a:ext uri="{FF2B5EF4-FFF2-40B4-BE49-F238E27FC236}">
              <a16:creationId xmlns:a16="http://schemas.microsoft.com/office/drawing/2014/main" id="{00000000-0008-0000-1A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2</xdr:col>
      <xdr:colOff>0</xdr:colOff>
      <xdr:row>9</xdr:row>
      <xdr:rowOff>390524</xdr:rowOff>
    </xdr:from>
    <xdr:to>
      <xdr:col>5</xdr:col>
      <xdr:colOff>583200</xdr:colOff>
      <xdr:row>10</xdr:row>
      <xdr:rowOff>438149</xdr:rowOff>
    </xdr:to>
    <xdr:sp macro="" textlink="Controles!D5">
      <xdr:nvSpPr>
        <xdr:cNvPr id="42" name="CaixaDeTexto 41">
          <a:extLst>
            <a:ext uri="{FF2B5EF4-FFF2-40B4-BE49-F238E27FC236}">
              <a16:creationId xmlns:a16="http://schemas.microsoft.com/office/drawing/2014/main" id="{00000000-0008-0000-1A00-00002A000000}"/>
            </a:ext>
          </a:extLst>
        </xdr:cNvPr>
        <xdr:cNvSpPr txBox="1"/>
      </xdr:nvSpPr>
      <xdr:spPr>
        <a:xfrm>
          <a:off x="228600" y="4057649"/>
          <a:ext cx="2412000" cy="485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fld id="{BB40E10D-7FE2-4543-B291-46CE838B6AB5}" type="TxLink">
            <a:rPr lang="en-US" sz="2800" b="0" i="0" u="none" strike="noStrike">
              <a:solidFill>
                <a:schemeClr val="tx1">
                  <a:lumMod val="75000"/>
                  <a:lumOff val="25000"/>
                </a:schemeClr>
              </a:solidFill>
              <a:latin typeface="Calibri"/>
              <a:cs typeface="Calibri"/>
            </a:rPr>
            <a:pPr algn="ctr"/>
            <a:t>4,00%</a:t>
          </a:fld>
          <a:endParaRPr lang="pt-BR" sz="2800">
            <a:solidFill>
              <a:schemeClr val="tx1">
                <a:lumMod val="75000"/>
                <a:lumOff val="25000"/>
              </a:schemeClr>
            </a:solidFill>
          </a:endParaRPr>
        </a:p>
      </xdr:txBody>
    </xdr:sp>
    <xdr:clientData/>
  </xdr:twoCellAnchor>
  <xdr:twoCellAnchor editAs="absolute">
    <xdr:from>
      <xdr:col>1</xdr:col>
      <xdr:colOff>104775</xdr:colOff>
      <xdr:row>13</xdr:row>
      <xdr:rowOff>152400</xdr:rowOff>
    </xdr:from>
    <xdr:to>
      <xdr:col>5</xdr:col>
      <xdr:colOff>573675</xdr:colOff>
      <xdr:row>14</xdr:row>
      <xdr:rowOff>133350</xdr:rowOff>
    </xdr:to>
    <xdr:sp macro="" textlink="">
      <xdr:nvSpPr>
        <xdr:cNvPr id="43" name="CaixaDeTexto 42">
          <a:extLst>
            <a:ext uri="{FF2B5EF4-FFF2-40B4-BE49-F238E27FC236}">
              <a16:creationId xmlns:a16="http://schemas.microsoft.com/office/drawing/2014/main" id="{00000000-0008-0000-1A00-00002B000000}"/>
            </a:ext>
          </a:extLst>
        </xdr:cNvPr>
        <xdr:cNvSpPr txBox="1"/>
      </xdr:nvSpPr>
      <xdr:spPr>
        <a:xfrm>
          <a:off x="219075" y="5572125"/>
          <a:ext cx="241200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tx1">
                  <a:lumMod val="75000"/>
                  <a:lumOff val="25000"/>
                </a:schemeClr>
              </a:solidFill>
            </a:rPr>
            <a:t>Com</a:t>
          </a:r>
          <a:r>
            <a:rPr lang="pt-BR" sz="1000" baseline="0">
              <a:solidFill>
                <a:schemeClr val="tx1">
                  <a:lumMod val="75000"/>
                  <a:lumOff val="25000"/>
                </a:schemeClr>
              </a:solidFill>
            </a:rPr>
            <a:t> base nos preenchimentos, essa é a</a:t>
          </a:r>
        </a:p>
        <a:p>
          <a:pPr algn="ctr"/>
          <a:r>
            <a:rPr lang="pt-BR" sz="1000" baseline="0">
              <a:solidFill>
                <a:schemeClr val="tx1">
                  <a:lumMod val="75000"/>
                  <a:lumOff val="25000"/>
                </a:schemeClr>
              </a:solidFill>
            </a:rPr>
            <a:t>alíquota efetiva apurada.</a:t>
          </a:r>
          <a:endParaRPr lang="pt-BR" sz="1000">
            <a:solidFill>
              <a:schemeClr val="tx1">
                <a:lumMod val="75000"/>
                <a:lumOff val="25000"/>
              </a:schemeClr>
            </a:solidFill>
          </a:endParaRPr>
        </a:p>
      </xdr:txBody>
    </xdr:sp>
    <xdr:clientData/>
  </xdr:twoCellAnchor>
  <xdr:twoCellAnchor>
    <xdr:from>
      <xdr:col>6</xdr:col>
      <xdr:colOff>0</xdr:colOff>
      <xdr:row>6</xdr:row>
      <xdr:rowOff>314325</xdr:rowOff>
    </xdr:from>
    <xdr:to>
      <xdr:col>9</xdr:col>
      <xdr:colOff>583200</xdr:colOff>
      <xdr:row>14</xdr:row>
      <xdr:rowOff>371475</xdr:rowOff>
    </xdr:to>
    <xdr:graphicFrame macro="">
      <xdr:nvGraphicFramePr>
        <xdr:cNvPr id="44" name="Gráfico 43">
          <a:extLst>
            <a:ext uri="{FF2B5EF4-FFF2-40B4-BE49-F238E27FC236}">
              <a16:creationId xmlns:a16="http://schemas.microsoft.com/office/drawing/2014/main" id="{00000000-0008-0000-1A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6</xdr:col>
      <xdr:colOff>0</xdr:colOff>
      <xdr:row>9</xdr:row>
      <xdr:rowOff>390524</xdr:rowOff>
    </xdr:from>
    <xdr:to>
      <xdr:col>9</xdr:col>
      <xdr:colOff>583200</xdr:colOff>
      <xdr:row>10</xdr:row>
      <xdr:rowOff>438149</xdr:rowOff>
    </xdr:to>
    <xdr:sp macro="" textlink="Controles!D6">
      <xdr:nvSpPr>
        <xdr:cNvPr id="45" name="CaixaDeTexto 44">
          <a:extLst>
            <a:ext uri="{FF2B5EF4-FFF2-40B4-BE49-F238E27FC236}">
              <a16:creationId xmlns:a16="http://schemas.microsoft.com/office/drawing/2014/main" id="{00000000-0008-0000-1A00-00002D000000}"/>
            </a:ext>
          </a:extLst>
        </xdr:cNvPr>
        <xdr:cNvSpPr txBox="1"/>
      </xdr:nvSpPr>
      <xdr:spPr>
        <a:xfrm>
          <a:off x="2667000" y="4057649"/>
          <a:ext cx="2412000" cy="485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marL="0" indent="0" algn="ctr"/>
          <a:fld id="{25A7F47C-E0A1-4BB3-A89D-B5F387CA4748}" type="TxLink">
            <a:rPr lang="en-US" sz="2800" b="0" i="0" u="none" strike="noStrike">
              <a:solidFill>
                <a:schemeClr val="tx1">
                  <a:lumMod val="75000"/>
                  <a:lumOff val="25000"/>
                </a:schemeClr>
              </a:solidFill>
              <a:latin typeface="Calibri"/>
              <a:ea typeface="+mn-ea"/>
              <a:cs typeface="Calibri"/>
            </a:rPr>
            <a:pPr marL="0" indent="0" algn="ctr"/>
            <a:t>4,50%</a:t>
          </a:fld>
          <a:endParaRPr lang="pt-BR" sz="28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5</xdr:col>
      <xdr:colOff>600075</xdr:colOff>
      <xdr:row>13</xdr:row>
      <xdr:rowOff>152400</xdr:rowOff>
    </xdr:from>
    <xdr:to>
      <xdr:col>9</xdr:col>
      <xdr:colOff>573675</xdr:colOff>
      <xdr:row>14</xdr:row>
      <xdr:rowOff>133350</xdr:rowOff>
    </xdr:to>
    <xdr:sp macro="" textlink="">
      <xdr:nvSpPr>
        <xdr:cNvPr id="46" name="CaixaDeTexto 45">
          <a:extLst>
            <a:ext uri="{FF2B5EF4-FFF2-40B4-BE49-F238E27FC236}">
              <a16:creationId xmlns:a16="http://schemas.microsoft.com/office/drawing/2014/main" id="{00000000-0008-0000-1A00-00002E000000}"/>
            </a:ext>
          </a:extLst>
        </xdr:cNvPr>
        <xdr:cNvSpPr txBox="1"/>
      </xdr:nvSpPr>
      <xdr:spPr>
        <a:xfrm>
          <a:off x="2657475" y="5572125"/>
          <a:ext cx="241200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tx1">
                  <a:lumMod val="75000"/>
                  <a:lumOff val="25000"/>
                </a:schemeClr>
              </a:solidFill>
            </a:rPr>
            <a:t>Com</a:t>
          </a:r>
          <a:r>
            <a:rPr lang="pt-BR" sz="1000" baseline="0">
              <a:solidFill>
                <a:schemeClr val="tx1">
                  <a:lumMod val="75000"/>
                  <a:lumOff val="25000"/>
                </a:schemeClr>
              </a:solidFill>
            </a:rPr>
            <a:t> base nos preenchimentos, essa é a</a:t>
          </a:r>
        </a:p>
        <a:p>
          <a:pPr algn="ctr"/>
          <a:r>
            <a:rPr lang="pt-BR" sz="1000" baseline="0">
              <a:solidFill>
                <a:schemeClr val="tx1">
                  <a:lumMod val="75000"/>
                  <a:lumOff val="25000"/>
                </a:schemeClr>
              </a:solidFill>
            </a:rPr>
            <a:t>alíquota efetiva apurada.</a:t>
          </a:r>
          <a:endParaRPr lang="pt-BR" sz="1000">
            <a:solidFill>
              <a:schemeClr val="tx1">
                <a:lumMod val="75000"/>
                <a:lumOff val="25000"/>
              </a:schemeClr>
            </a:solidFill>
          </a:endParaRPr>
        </a:p>
      </xdr:txBody>
    </xdr:sp>
    <xdr:clientData/>
  </xdr:twoCellAnchor>
  <xdr:twoCellAnchor>
    <xdr:from>
      <xdr:col>10</xdr:col>
      <xdr:colOff>0</xdr:colOff>
      <xdr:row>6</xdr:row>
      <xdr:rowOff>314325</xdr:rowOff>
    </xdr:from>
    <xdr:to>
      <xdr:col>13</xdr:col>
      <xdr:colOff>583200</xdr:colOff>
      <xdr:row>14</xdr:row>
      <xdr:rowOff>371475</xdr:rowOff>
    </xdr:to>
    <xdr:graphicFrame macro="">
      <xdr:nvGraphicFramePr>
        <xdr:cNvPr id="47" name="Gráfico 46">
          <a:extLst>
            <a:ext uri="{FF2B5EF4-FFF2-40B4-BE49-F238E27FC236}">
              <a16:creationId xmlns:a16="http://schemas.microsoft.com/office/drawing/2014/main" id="{00000000-0008-0000-1A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10</xdr:col>
      <xdr:colOff>0</xdr:colOff>
      <xdr:row>9</xdr:row>
      <xdr:rowOff>390524</xdr:rowOff>
    </xdr:from>
    <xdr:to>
      <xdr:col>13</xdr:col>
      <xdr:colOff>583200</xdr:colOff>
      <xdr:row>10</xdr:row>
      <xdr:rowOff>438149</xdr:rowOff>
    </xdr:to>
    <xdr:sp macro="" textlink="Controles!D7">
      <xdr:nvSpPr>
        <xdr:cNvPr id="48" name="CaixaDeTexto 47">
          <a:extLst>
            <a:ext uri="{FF2B5EF4-FFF2-40B4-BE49-F238E27FC236}">
              <a16:creationId xmlns:a16="http://schemas.microsoft.com/office/drawing/2014/main" id="{00000000-0008-0000-1A00-000030000000}"/>
            </a:ext>
          </a:extLst>
        </xdr:cNvPr>
        <xdr:cNvSpPr txBox="1"/>
      </xdr:nvSpPr>
      <xdr:spPr>
        <a:xfrm>
          <a:off x="5105400" y="4057649"/>
          <a:ext cx="2412000" cy="485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marL="0" indent="0" algn="ctr"/>
          <a:fld id="{7BB1CF77-2593-4280-A5D2-38ED95AF73AA}" type="TxLink">
            <a:rPr lang="en-US" sz="2800" b="0" i="0" u="none" strike="noStrike">
              <a:solidFill>
                <a:schemeClr val="tx1">
                  <a:lumMod val="75000"/>
                  <a:lumOff val="25000"/>
                </a:schemeClr>
              </a:solidFill>
              <a:latin typeface="Calibri"/>
              <a:ea typeface="+mn-ea"/>
              <a:cs typeface="Calibri"/>
            </a:rPr>
            <a:pPr marL="0" indent="0" algn="ctr"/>
            <a:t>6,00%</a:t>
          </a:fld>
          <a:endParaRPr lang="pt-BR" sz="28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9</xdr:col>
      <xdr:colOff>600075</xdr:colOff>
      <xdr:row>13</xdr:row>
      <xdr:rowOff>152400</xdr:rowOff>
    </xdr:from>
    <xdr:to>
      <xdr:col>13</xdr:col>
      <xdr:colOff>573675</xdr:colOff>
      <xdr:row>14</xdr:row>
      <xdr:rowOff>133350</xdr:rowOff>
    </xdr:to>
    <xdr:sp macro="" textlink="">
      <xdr:nvSpPr>
        <xdr:cNvPr id="49" name="CaixaDeTexto 48">
          <a:extLst>
            <a:ext uri="{FF2B5EF4-FFF2-40B4-BE49-F238E27FC236}">
              <a16:creationId xmlns:a16="http://schemas.microsoft.com/office/drawing/2014/main" id="{00000000-0008-0000-1A00-000031000000}"/>
            </a:ext>
          </a:extLst>
        </xdr:cNvPr>
        <xdr:cNvSpPr txBox="1"/>
      </xdr:nvSpPr>
      <xdr:spPr>
        <a:xfrm>
          <a:off x="5095875" y="5572125"/>
          <a:ext cx="241200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tx1">
                  <a:lumMod val="75000"/>
                  <a:lumOff val="25000"/>
                </a:schemeClr>
              </a:solidFill>
            </a:rPr>
            <a:t>Com</a:t>
          </a:r>
          <a:r>
            <a:rPr lang="pt-BR" sz="1000" baseline="0">
              <a:solidFill>
                <a:schemeClr val="tx1">
                  <a:lumMod val="75000"/>
                  <a:lumOff val="25000"/>
                </a:schemeClr>
              </a:solidFill>
            </a:rPr>
            <a:t> base nos preenchimentos, essa é a</a:t>
          </a:r>
        </a:p>
        <a:p>
          <a:pPr algn="ctr"/>
          <a:r>
            <a:rPr lang="pt-BR" sz="1000" baseline="0">
              <a:solidFill>
                <a:schemeClr val="tx1">
                  <a:lumMod val="75000"/>
                  <a:lumOff val="25000"/>
                </a:schemeClr>
              </a:solidFill>
            </a:rPr>
            <a:t>alíquota efetiva apurada.</a:t>
          </a:r>
          <a:endParaRPr lang="pt-BR" sz="1000">
            <a:solidFill>
              <a:schemeClr val="tx1">
                <a:lumMod val="75000"/>
                <a:lumOff val="25000"/>
              </a:schemeClr>
            </a:solidFill>
          </a:endParaRPr>
        </a:p>
      </xdr:txBody>
    </xdr:sp>
    <xdr:clientData/>
  </xdr:twoCellAnchor>
  <xdr:twoCellAnchor>
    <xdr:from>
      <xdr:col>14</xdr:col>
      <xdr:colOff>0</xdr:colOff>
      <xdr:row>6</xdr:row>
      <xdr:rowOff>314325</xdr:rowOff>
    </xdr:from>
    <xdr:to>
      <xdr:col>17</xdr:col>
      <xdr:colOff>583200</xdr:colOff>
      <xdr:row>14</xdr:row>
      <xdr:rowOff>371475</xdr:rowOff>
    </xdr:to>
    <xdr:graphicFrame macro="">
      <xdr:nvGraphicFramePr>
        <xdr:cNvPr id="50" name="Gráfico 49">
          <a:extLst>
            <a:ext uri="{FF2B5EF4-FFF2-40B4-BE49-F238E27FC236}">
              <a16:creationId xmlns:a16="http://schemas.microsoft.com/office/drawing/2014/main" id="{00000000-0008-0000-1A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14</xdr:col>
      <xdr:colOff>0</xdr:colOff>
      <xdr:row>9</xdr:row>
      <xdr:rowOff>390524</xdr:rowOff>
    </xdr:from>
    <xdr:to>
      <xdr:col>17</xdr:col>
      <xdr:colOff>583200</xdr:colOff>
      <xdr:row>10</xdr:row>
      <xdr:rowOff>438149</xdr:rowOff>
    </xdr:to>
    <xdr:sp macro="" textlink="Controles!D8">
      <xdr:nvSpPr>
        <xdr:cNvPr id="51" name="CaixaDeTexto 50">
          <a:extLst>
            <a:ext uri="{FF2B5EF4-FFF2-40B4-BE49-F238E27FC236}">
              <a16:creationId xmlns:a16="http://schemas.microsoft.com/office/drawing/2014/main" id="{00000000-0008-0000-1A00-000033000000}"/>
            </a:ext>
          </a:extLst>
        </xdr:cNvPr>
        <xdr:cNvSpPr txBox="1"/>
      </xdr:nvSpPr>
      <xdr:spPr>
        <a:xfrm>
          <a:off x="7543800" y="4057649"/>
          <a:ext cx="2412000" cy="485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marL="0" indent="0" algn="ctr"/>
          <a:fld id="{62959337-667D-4623-B926-05157A446799}" type="TxLink">
            <a:rPr lang="en-US" sz="2800" b="0" i="0" u="none" strike="noStrike">
              <a:solidFill>
                <a:schemeClr val="tx1">
                  <a:lumMod val="75000"/>
                  <a:lumOff val="25000"/>
                </a:schemeClr>
              </a:solidFill>
              <a:latin typeface="Calibri"/>
              <a:ea typeface="+mn-ea"/>
              <a:cs typeface="Calibri"/>
            </a:rPr>
            <a:pPr marL="0" indent="0" algn="ctr"/>
            <a:t>4,50%</a:t>
          </a:fld>
          <a:endParaRPr lang="pt-BR" sz="28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13</xdr:col>
      <xdr:colOff>600075</xdr:colOff>
      <xdr:row>13</xdr:row>
      <xdr:rowOff>152400</xdr:rowOff>
    </xdr:from>
    <xdr:to>
      <xdr:col>17</xdr:col>
      <xdr:colOff>573675</xdr:colOff>
      <xdr:row>14</xdr:row>
      <xdr:rowOff>133350</xdr:rowOff>
    </xdr:to>
    <xdr:sp macro="" textlink="">
      <xdr:nvSpPr>
        <xdr:cNvPr id="52" name="CaixaDeTexto 51">
          <a:extLst>
            <a:ext uri="{FF2B5EF4-FFF2-40B4-BE49-F238E27FC236}">
              <a16:creationId xmlns:a16="http://schemas.microsoft.com/office/drawing/2014/main" id="{00000000-0008-0000-1A00-000034000000}"/>
            </a:ext>
          </a:extLst>
        </xdr:cNvPr>
        <xdr:cNvSpPr txBox="1"/>
      </xdr:nvSpPr>
      <xdr:spPr>
        <a:xfrm>
          <a:off x="7534275" y="5572125"/>
          <a:ext cx="241200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tx1">
                  <a:lumMod val="75000"/>
                  <a:lumOff val="25000"/>
                </a:schemeClr>
              </a:solidFill>
            </a:rPr>
            <a:t>Com</a:t>
          </a:r>
          <a:r>
            <a:rPr lang="pt-BR" sz="1000" baseline="0">
              <a:solidFill>
                <a:schemeClr val="tx1">
                  <a:lumMod val="75000"/>
                  <a:lumOff val="25000"/>
                </a:schemeClr>
              </a:solidFill>
            </a:rPr>
            <a:t> base nos preenchimentos, essa é a</a:t>
          </a:r>
        </a:p>
        <a:p>
          <a:pPr algn="ctr"/>
          <a:r>
            <a:rPr lang="pt-BR" sz="1000" baseline="0">
              <a:solidFill>
                <a:schemeClr val="tx1">
                  <a:lumMod val="75000"/>
                  <a:lumOff val="25000"/>
                </a:schemeClr>
              </a:solidFill>
            </a:rPr>
            <a:t>alíquota efetiva apurada.</a:t>
          </a:r>
          <a:endParaRPr lang="pt-BR" sz="1000">
            <a:solidFill>
              <a:schemeClr val="tx1">
                <a:lumMod val="75000"/>
                <a:lumOff val="25000"/>
              </a:schemeClr>
            </a:solidFill>
          </a:endParaRPr>
        </a:p>
      </xdr:txBody>
    </xdr:sp>
    <xdr:clientData/>
  </xdr:twoCellAnchor>
  <xdr:twoCellAnchor>
    <xdr:from>
      <xdr:col>18</xdr:col>
      <xdr:colOff>0</xdr:colOff>
      <xdr:row>6</xdr:row>
      <xdr:rowOff>314325</xdr:rowOff>
    </xdr:from>
    <xdr:to>
      <xdr:col>21</xdr:col>
      <xdr:colOff>583200</xdr:colOff>
      <xdr:row>14</xdr:row>
      <xdr:rowOff>371475</xdr:rowOff>
    </xdr:to>
    <xdr:graphicFrame macro="">
      <xdr:nvGraphicFramePr>
        <xdr:cNvPr id="53" name="Gráfico 52">
          <a:extLst>
            <a:ext uri="{FF2B5EF4-FFF2-40B4-BE49-F238E27FC236}">
              <a16:creationId xmlns:a16="http://schemas.microsoft.com/office/drawing/2014/main" id="{00000000-0008-0000-1A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18</xdr:col>
      <xdr:colOff>0</xdr:colOff>
      <xdr:row>9</xdr:row>
      <xdr:rowOff>390524</xdr:rowOff>
    </xdr:from>
    <xdr:to>
      <xdr:col>21</xdr:col>
      <xdr:colOff>583200</xdr:colOff>
      <xdr:row>10</xdr:row>
      <xdr:rowOff>438149</xdr:rowOff>
    </xdr:to>
    <xdr:sp macro="" textlink="Controles!D9">
      <xdr:nvSpPr>
        <xdr:cNvPr id="54" name="CaixaDeTexto 53">
          <a:extLst>
            <a:ext uri="{FF2B5EF4-FFF2-40B4-BE49-F238E27FC236}">
              <a16:creationId xmlns:a16="http://schemas.microsoft.com/office/drawing/2014/main" id="{00000000-0008-0000-1A00-000036000000}"/>
            </a:ext>
          </a:extLst>
        </xdr:cNvPr>
        <xdr:cNvSpPr txBox="1"/>
      </xdr:nvSpPr>
      <xdr:spPr>
        <a:xfrm>
          <a:off x="9982200" y="4057649"/>
          <a:ext cx="2412000" cy="485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marL="0" indent="0" algn="ctr"/>
          <a:fld id="{9B0DC968-D81F-4FBC-901B-BB6B44B983DD}" type="TxLink">
            <a:rPr lang="en-US" sz="2800" b="0" i="0" u="none" strike="noStrike">
              <a:solidFill>
                <a:schemeClr val="tx1">
                  <a:lumMod val="75000"/>
                  <a:lumOff val="25000"/>
                </a:schemeClr>
              </a:solidFill>
              <a:latin typeface="Calibri"/>
              <a:ea typeface="+mn-ea"/>
              <a:cs typeface="Calibri"/>
            </a:rPr>
            <a:pPr marL="0" indent="0" algn="ctr"/>
            <a:t>15,50%</a:t>
          </a:fld>
          <a:endParaRPr lang="pt-BR" sz="2800" b="0" i="0" u="none" strike="noStrike">
            <a:solidFill>
              <a:schemeClr val="tx1">
                <a:lumMod val="75000"/>
                <a:lumOff val="25000"/>
              </a:schemeClr>
            </a:solidFill>
            <a:latin typeface="Calibri"/>
            <a:ea typeface="+mn-ea"/>
            <a:cs typeface="Calibri"/>
          </a:endParaRPr>
        </a:p>
      </xdr:txBody>
    </xdr:sp>
    <xdr:clientData/>
  </xdr:twoCellAnchor>
  <xdr:twoCellAnchor editAs="absolute">
    <xdr:from>
      <xdr:col>17</xdr:col>
      <xdr:colOff>600075</xdr:colOff>
      <xdr:row>13</xdr:row>
      <xdr:rowOff>152400</xdr:rowOff>
    </xdr:from>
    <xdr:to>
      <xdr:col>21</xdr:col>
      <xdr:colOff>573675</xdr:colOff>
      <xdr:row>14</xdr:row>
      <xdr:rowOff>133350</xdr:rowOff>
    </xdr:to>
    <xdr:sp macro="" textlink="">
      <xdr:nvSpPr>
        <xdr:cNvPr id="55" name="CaixaDeTexto 54">
          <a:extLst>
            <a:ext uri="{FF2B5EF4-FFF2-40B4-BE49-F238E27FC236}">
              <a16:creationId xmlns:a16="http://schemas.microsoft.com/office/drawing/2014/main" id="{00000000-0008-0000-1A00-000037000000}"/>
            </a:ext>
          </a:extLst>
        </xdr:cNvPr>
        <xdr:cNvSpPr txBox="1"/>
      </xdr:nvSpPr>
      <xdr:spPr>
        <a:xfrm>
          <a:off x="9972675" y="5572125"/>
          <a:ext cx="241200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pt-BR" sz="1000">
              <a:solidFill>
                <a:schemeClr val="tx1">
                  <a:lumMod val="75000"/>
                  <a:lumOff val="25000"/>
                </a:schemeClr>
              </a:solidFill>
            </a:rPr>
            <a:t>Com</a:t>
          </a:r>
          <a:r>
            <a:rPr lang="pt-BR" sz="1000" baseline="0">
              <a:solidFill>
                <a:schemeClr val="tx1">
                  <a:lumMod val="75000"/>
                  <a:lumOff val="25000"/>
                </a:schemeClr>
              </a:solidFill>
            </a:rPr>
            <a:t> base nos preenchimentos, essa é a</a:t>
          </a:r>
        </a:p>
        <a:p>
          <a:pPr algn="ctr"/>
          <a:r>
            <a:rPr lang="pt-BR" sz="1000" baseline="0">
              <a:solidFill>
                <a:schemeClr val="tx1">
                  <a:lumMod val="75000"/>
                  <a:lumOff val="25000"/>
                </a:schemeClr>
              </a:solidFill>
            </a:rPr>
            <a:t>alíquota efetiva apurada.</a:t>
          </a:r>
          <a:endParaRPr lang="pt-BR" sz="1000">
            <a:solidFill>
              <a:schemeClr val="tx1">
                <a:lumMod val="75000"/>
                <a:lumOff val="25000"/>
              </a:schemeClr>
            </a:solidFill>
          </a:endParaRP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onsidecorporation.com.br/gestaodedepartamentopessoal/" TargetMode="External"/><Relationship Id="rId7" Type="http://schemas.openxmlformats.org/officeDocument/2006/relationships/printerSettings" Target="../printerSettings/printerSettings4.bin"/><Relationship Id="rId2" Type="http://schemas.openxmlformats.org/officeDocument/2006/relationships/hyperlink" Target="http://www.onsidecorporation.com.br/" TargetMode="External"/><Relationship Id="rId1" Type="http://schemas.openxmlformats.org/officeDocument/2006/relationships/hyperlink" Target="mailto:onsidecorporation@gmail.com" TargetMode="External"/><Relationship Id="rId6" Type="http://schemas.openxmlformats.org/officeDocument/2006/relationships/hyperlink" Target="https://onsidecorporation.com.br/calculoderescisao/" TargetMode="External"/><Relationship Id="rId5" Type="http://schemas.openxmlformats.org/officeDocument/2006/relationships/hyperlink" Target="https://onsidecorporation.com.br/indicadoresderecursoshumanos/" TargetMode="External"/><Relationship Id="rId10" Type="http://schemas.openxmlformats.org/officeDocument/2006/relationships/ctrlProp" Target="../ctrlProps/ctrlProp1.xml"/><Relationship Id="rId4" Type="http://schemas.openxmlformats.org/officeDocument/2006/relationships/hyperlink" Target="https://onsidecorporation.com.br/bancodehoras/" TargetMode="External"/><Relationship Id="rId9"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8.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16.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6.vml"/><Relationship Id="rId1" Type="http://schemas.openxmlformats.org/officeDocument/2006/relationships/drawing" Target="../drawings/drawing18.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19.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8.vml"/><Relationship Id="rId1" Type="http://schemas.openxmlformats.org/officeDocument/2006/relationships/drawing" Target="../drawings/drawing20.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3.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tabColor rgb="FFFFC000"/>
  </sheetPr>
  <dimension ref="B1:H34"/>
  <sheetViews>
    <sheetView showGridLines="0" workbookViewId="0">
      <selection activeCell="H10" sqref="H10"/>
    </sheetView>
  </sheetViews>
  <sheetFormatPr defaultColWidth="20.7109375" defaultRowHeight="24.95" customHeight="1"/>
  <cols>
    <col min="1" max="1" width="6.7109375" style="27" customWidth="1"/>
    <col min="2" max="16384" width="20.7109375" style="27"/>
  </cols>
  <sheetData>
    <row r="1" spans="2:8" s="28" customFormat="1" ht="24.95" customHeight="1"/>
    <row r="2" spans="2:8" s="30" customFormat="1" ht="24.95" customHeight="1">
      <c r="B2" s="29" t="s">
        <v>0</v>
      </c>
    </row>
    <row r="3" spans="2:8" ht="24.95" customHeight="1">
      <c r="B3" s="27">
        <v>15</v>
      </c>
      <c r="C3" s="27">
        <v>2</v>
      </c>
      <c r="D3" s="27">
        <v>3</v>
      </c>
      <c r="E3" s="27">
        <f>B3</f>
        <v>15</v>
      </c>
      <c r="F3" s="189">
        <f>DATE(E5,C3,E3)</f>
        <v>44607</v>
      </c>
      <c r="H3" s="27" t="s">
        <v>118</v>
      </c>
    </row>
    <row r="4" spans="2:8" ht="24.95" customHeight="1">
      <c r="B4" s="27">
        <v>1</v>
      </c>
      <c r="C4" s="27" t="s">
        <v>50</v>
      </c>
      <c r="D4" s="27">
        <v>2020</v>
      </c>
      <c r="E4" s="27" t="str">
        <f>INDEX(MÊs,C3)</f>
        <v>Fev</v>
      </c>
      <c r="H4" s="27" t="s">
        <v>119</v>
      </c>
    </row>
    <row r="5" spans="2:8" ht="24.95" customHeight="1">
      <c r="B5" s="27">
        <v>2</v>
      </c>
      <c r="C5" s="27" t="s">
        <v>51</v>
      </c>
      <c r="D5" s="27">
        <v>2021</v>
      </c>
      <c r="E5" s="27">
        <f>INDEX(Ano,D3)</f>
        <v>2022</v>
      </c>
      <c r="H5" s="27" t="s">
        <v>66</v>
      </c>
    </row>
    <row r="6" spans="2:8" ht="24.95" customHeight="1">
      <c r="B6" s="27">
        <v>3</v>
      </c>
      <c r="C6" s="27" t="s">
        <v>52</v>
      </c>
      <c r="D6" s="27">
        <v>2022</v>
      </c>
      <c r="F6" s="190">
        <f>Controles!D5</f>
        <v>0.04</v>
      </c>
      <c r="G6" s="191">
        <f>IFERROR(IF(F6=0,100%,100%-F6),0)</f>
        <v>0.96</v>
      </c>
      <c r="H6" s="27" t="s">
        <v>67</v>
      </c>
    </row>
    <row r="7" spans="2:8" ht="24.95" customHeight="1">
      <c r="B7" s="27">
        <v>4</v>
      </c>
      <c r="C7" s="27" t="s">
        <v>53</v>
      </c>
      <c r="D7" s="27">
        <v>2023</v>
      </c>
      <c r="F7" s="190">
        <f>Controles!D6</f>
        <v>4.5000000000000005E-2</v>
      </c>
      <c r="G7" s="191">
        <f t="shared" ref="G7:G10" si="0">IFERROR(IF(F7=0,100%,100%-F7),0)</f>
        <v>0.95499999999999996</v>
      </c>
      <c r="H7" s="27" t="s">
        <v>68</v>
      </c>
    </row>
    <row r="8" spans="2:8" ht="24.95" customHeight="1">
      <c r="B8" s="27">
        <v>5</v>
      </c>
      <c r="C8" s="27" t="s">
        <v>54</v>
      </c>
      <c r="D8" s="27">
        <v>2024</v>
      </c>
      <c r="F8" s="190">
        <f>Controles!D7</f>
        <v>0.06</v>
      </c>
      <c r="G8" s="191">
        <f t="shared" si="0"/>
        <v>0.94</v>
      </c>
      <c r="H8" s="27">
        <v>1</v>
      </c>
    </row>
    <row r="9" spans="2:8" ht="24.95" customHeight="1">
      <c r="B9" s="27">
        <v>6</v>
      </c>
      <c r="C9" s="27" t="s">
        <v>55</v>
      </c>
      <c r="D9" s="27">
        <v>2025</v>
      </c>
      <c r="F9" s="190">
        <f>Controles!D8</f>
        <v>4.5000000000000005E-2</v>
      </c>
      <c r="G9" s="191">
        <f t="shared" si="0"/>
        <v>0.95499999999999996</v>
      </c>
      <c r="H9" s="27" t="str">
        <f>INDEX(Anexo,H8)</f>
        <v>Anexo I</v>
      </c>
    </row>
    <row r="10" spans="2:8" ht="24.95" customHeight="1">
      <c r="B10" s="27">
        <v>7</v>
      </c>
      <c r="C10" s="27" t="s">
        <v>56</v>
      </c>
      <c r="D10" s="27">
        <v>2026</v>
      </c>
      <c r="F10" s="190">
        <f>Controles!D9</f>
        <v>0.155</v>
      </c>
      <c r="G10" s="191">
        <f t="shared" si="0"/>
        <v>0.84499999999999997</v>
      </c>
    </row>
    <row r="11" spans="2:8" ht="24.95" customHeight="1">
      <c r="B11" s="27">
        <v>8</v>
      </c>
      <c r="C11" s="27" t="s">
        <v>57</v>
      </c>
      <c r="D11" s="27">
        <v>2027</v>
      </c>
      <c r="G11" s="191"/>
    </row>
    <row r="12" spans="2:8" ht="24.95" customHeight="1">
      <c r="B12" s="27">
        <v>9</v>
      </c>
      <c r="C12" s="27" t="s">
        <v>58</v>
      </c>
      <c r="D12" s="27">
        <v>2028</v>
      </c>
      <c r="G12" s="191"/>
    </row>
    <row r="13" spans="2:8" ht="24.95" customHeight="1">
      <c r="B13" s="27">
        <v>10</v>
      </c>
      <c r="C13" s="27" t="s">
        <v>59</v>
      </c>
      <c r="D13" s="27">
        <v>2029</v>
      </c>
      <c r="G13" s="191"/>
    </row>
    <row r="14" spans="2:8" ht="24.95" customHeight="1">
      <c r="B14" s="27">
        <v>11</v>
      </c>
      <c r="C14" s="27" t="s">
        <v>60</v>
      </c>
      <c r="D14" s="27">
        <v>2030</v>
      </c>
      <c r="G14" s="191"/>
    </row>
    <row r="15" spans="2:8" ht="24.95" customHeight="1">
      <c r="B15" s="27">
        <v>12</v>
      </c>
      <c r="C15" s="27" t="s">
        <v>61</v>
      </c>
      <c r="G15" s="191"/>
    </row>
    <row r="16" spans="2:8" ht="24.95" customHeight="1">
      <c r="B16" s="27">
        <v>13</v>
      </c>
      <c r="G16" s="191"/>
    </row>
    <row r="17" spans="2:7" ht="24.95" customHeight="1">
      <c r="B17" s="27">
        <v>14</v>
      </c>
      <c r="G17" s="191"/>
    </row>
    <row r="18" spans="2:7" ht="24.95" customHeight="1">
      <c r="B18" s="27">
        <v>15</v>
      </c>
      <c r="G18" s="191"/>
    </row>
    <row r="19" spans="2:7" ht="24.95" customHeight="1">
      <c r="B19" s="27">
        <v>16</v>
      </c>
      <c r="G19" s="191"/>
    </row>
    <row r="20" spans="2:7" ht="24.95" customHeight="1">
      <c r="B20" s="27">
        <v>17</v>
      </c>
      <c r="G20" s="191"/>
    </row>
    <row r="21" spans="2:7" ht="24.95" customHeight="1">
      <c r="B21" s="27">
        <v>18</v>
      </c>
      <c r="G21" s="191"/>
    </row>
    <row r="22" spans="2:7" ht="24.95" customHeight="1">
      <c r="B22" s="27">
        <v>19</v>
      </c>
      <c r="G22" s="191"/>
    </row>
    <row r="23" spans="2:7" ht="24.95" customHeight="1">
      <c r="B23" s="27">
        <v>20</v>
      </c>
      <c r="G23" s="191"/>
    </row>
    <row r="24" spans="2:7" ht="24.95" customHeight="1">
      <c r="B24" s="27">
        <v>21</v>
      </c>
      <c r="G24" s="191"/>
    </row>
    <row r="25" spans="2:7" ht="24.95" customHeight="1">
      <c r="B25" s="27">
        <v>22</v>
      </c>
      <c r="G25" s="191"/>
    </row>
    <row r="26" spans="2:7" ht="24.95" customHeight="1">
      <c r="B26" s="27">
        <v>23</v>
      </c>
      <c r="G26" s="191"/>
    </row>
    <row r="27" spans="2:7" ht="24.95" customHeight="1">
      <c r="B27" s="27">
        <v>24</v>
      </c>
      <c r="G27" s="191"/>
    </row>
    <row r="28" spans="2:7" ht="24.95" customHeight="1">
      <c r="B28" s="27">
        <v>25</v>
      </c>
      <c r="G28" s="191"/>
    </row>
    <row r="29" spans="2:7" ht="24.95" customHeight="1">
      <c r="B29" s="27">
        <v>26</v>
      </c>
      <c r="G29" s="191"/>
    </row>
    <row r="30" spans="2:7" ht="24.95" customHeight="1">
      <c r="B30" s="27">
        <v>27</v>
      </c>
      <c r="G30" s="191"/>
    </row>
    <row r="31" spans="2:7" ht="24.95" customHeight="1">
      <c r="B31" s="27">
        <v>28</v>
      </c>
      <c r="G31" s="191"/>
    </row>
    <row r="32" spans="2:7" ht="24.95" customHeight="1">
      <c r="B32" s="27">
        <v>29</v>
      </c>
      <c r="G32" s="191"/>
    </row>
    <row r="33" spans="2:7" ht="24.95" customHeight="1">
      <c r="B33" s="27">
        <v>30</v>
      </c>
      <c r="G33" s="191"/>
    </row>
    <row r="34" spans="2:7" ht="24.95" customHeight="1">
      <c r="B34" s="27">
        <v>31</v>
      </c>
      <c r="G34" s="191"/>
    </row>
  </sheetData>
  <phoneticPr fontId="19" type="noConversion"/>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tabColor rgb="FFFFC000"/>
  </sheetPr>
  <dimension ref="B1:P59"/>
  <sheetViews>
    <sheetView showGridLines="0" topLeftCell="A61" workbookViewId="0">
      <selection activeCell="B41" sqref="B41"/>
    </sheetView>
  </sheetViews>
  <sheetFormatPr defaultColWidth="20.7109375" defaultRowHeight="24.95" customHeight="1"/>
  <cols>
    <col min="1" max="1" width="6.7109375" style="90" customWidth="1"/>
    <col min="2" max="15" width="15.7109375" style="90" customWidth="1"/>
    <col min="16" max="16384" width="20.7109375" style="90"/>
  </cols>
  <sheetData>
    <row r="1" spans="2:16" s="86" customFormat="1" ht="24.95" customHeight="1"/>
    <row r="2" spans="2:16" s="86" customFormat="1" ht="24.95" customHeight="1">
      <c r="B2" s="87" t="s">
        <v>0</v>
      </c>
      <c r="L2" s="104" t="s">
        <v>76</v>
      </c>
      <c r="M2" s="105">
        <f>Lançamentos!D10</f>
        <v>141431.1</v>
      </c>
    </row>
    <row r="4" spans="2:16" ht="24.95" customHeight="1">
      <c r="B4" s="88" t="s">
        <v>65</v>
      </c>
      <c r="C4" s="89"/>
      <c r="D4" s="89"/>
      <c r="E4" s="89"/>
      <c r="F4" s="89"/>
      <c r="G4" s="89"/>
      <c r="H4" s="89"/>
      <c r="I4" s="89"/>
      <c r="J4" s="89"/>
      <c r="K4" s="89"/>
      <c r="L4" s="89"/>
      <c r="M4" s="158">
        <f>IFERROR(Anexos!L5/Anexos!L6*100,0)</f>
        <v>4</v>
      </c>
      <c r="N4" s="106">
        <f>Anexos!O5</f>
        <v>5657.2440000000006</v>
      </c>
    </row>
    <row r="5" spans="2:16" ht="24.95" customHeight="1">
      <c r="B5" s="91" t="s">
        <v>41</v>
      </c>
      <c r="C5" s="92" t="s">
        <v>69</v>
      </c>
      <c r="D5" s="91" t="s">
        <v>42</v>
      </c>
      <c r="E5" s="92" t="s">
        <v>69</v>
      </c>
      <c r="F5" s="91" t="s">
        <v>43</v>
      </c>
      <c r="G5" s="92" t="s">
        <v>69</v>
      </c>
      <c r="H5" s="91" t="s">
        <v>44</v>
      </c>
      <c r="I5" s="92" t="s">
        <v>69</v>
      </c>
      <c r="J5" s="91" t="s">
        <v>45</v>
      </c>
      <c r="K5" s="92" t="s">
        <v>69</v>
      </c>
      <c r="L5" s="91" t="s">
        <v>46</v>
      </c>
      <c r="M5" s="92" t="s">
        <v>69</v>
      </c>
    </row>
    <row r="6" spans="2:16" ht="24.95" customHeight="1">
      <c r="B6" s="93">
        <f>Tabela01!J5</f>
        <v>5.5E-2</v>
      </c>
      <c r="C6" s="94">
        <f>$M$4*B6</f>
        <v>0.22</v>
      </c>
      <c r="D6" s="93">
        <f>Tabela01!K5</f>
        <v>3.5000000000000003E-2</v>
      </c>
      <c r="E6" s="94">
        <f>$M$4*D6</f>
        <v>0.14000000000000001</v>
      </c>
      <c r="F6" s="93">
        <f>Tabela01!L5</f>
        <v>0.12740000000000001</v>
      </c>
      <c r="G6" s="94">
        <f>$M$4*F6</f>
        <v>0.50960000000000005</v>
      </c>
      <c r="H6" s="93">
        <f>Tabela01!M5</f>
        <v>2.76E-2</v>
      </c>
      <c r="I6" s="94">
        <f>$M$4*H6</f>
        <v>0.1104</v>
      </c>
      <c r="J6" s="93">
        <f>Tabela01!N5</f>
        <v>0.41499999999999998</v>
      </c>
      <c r="K6" s="94">
        <f>$M$4*J6</f>
        <v>1.66</v>
      </c>
      <c r="L6" s="93">
        <f>Tabela01!O5</f>
        <v>0.34</v>
      </c>
      <c r="M6" s="95">
        <f>$M$4*L6</f>
        <v>1.36</v>
      </c>
    </row>
    <row r="7" spans="2:16" ht="24.95" customHeight="1">
      <c r="B7" s="93">
        <f>Tabela01!J6</f>
        <v>5.5E-2</v>
      </c>
      <c r="C7" s="94">
        <f>$M$4*B7</f>
        <v>0.22</v>
      </c>
      <c r="D7" s="93">
        <f>Tabela01!K6</f>
        <v>3.5000000000000003E-2</v>
      </c>
      <c r="E7" s="94">
        <f t="shared" ref="E7:E11" si="0">$M$4*D7</f>
        <v>0.14000000000000001</v>
      </c>
      <c r="F7" s="93">
        <f>Tabela01!L6</f>
        <v>0.12740000000000001</v>
      </c>
      <c r="G7" s="94">
        <f t="shared" ref="G7:G11" si="1">$M$4*F7</f>
        <v>0.50960000000000005</v>
      </c>
      <c r="H7" s="93">
        <f>Tabela01!M6</f>
        <v>2.76E-2</v>
      </c>
      <c r="I7" s="94">
        <f t="shared" ref="I7:I11" si="2">$M$4*H7</f>
        <v>0.1104</v>
      </c>
      <c r="J7" s="93">
        <f>Tabela01!N6</f>
        <v>0.41499999999999998</v>
      </c>
      <c r="K7" s="94">
        <f t="shared" ref="K7:K11" si="3">$M$4*J7</f>
        <v>1.66</v>
      </c>
      <c r="L7" s="93">
        <f>Tabela01!O6</f>
        <v>0.34</v>
      </c>
      <c r="M7" s="95">
        <f t="shared" ref="M7:M10" si="4">$M$4*L7</f>
        <v>1.36</v>
      </c>
    </row>
    <row r="8" spans="2:16" ht="24.95" customHeight="1">
      <c r="B8" s="93">
        <f>Tabela01!J7</f>
        <v>5.5E-2</v>
      </c>
      <c r="C8" s="94">
        <f>$M$4*B8</f>
        <v>0.22</v>
      </c>
      <c r="D8" s="93">
        <f>Tabela01!K7</f>
        <v>3.5000000000000003E-2</v>
      </c>
      <c r="E8" s="94">
        <f t="shared" si="0"/>
        <v>0.14000000000000001</v>
      </c>
      <c r="F8" s="93">
        <f>Tabela01!L7</f>
        <v>0.12740000000000001</v>
      </c>
      <c r="G8" s="94">
        <f t="shared" si="1"/>
        <v>0.50960000000000005</v>
      </c>
      <c r="H8" s="93">
        <f>Tabela01!M7</f>
        <v>2.76E-2</v>
      </c>
      <c r="I8" s="94">
        <f t="shared" si="2"/>
        <v>0.1104</v>
      </c>
      <c r="J8" s="93">
        <f>Tabela01!N7</f>
        <v>0.42</v>
      </c>
      <c r="K8" s="94">
        <f t="shared" si="3"/>
        <v>1.68</v>
      </c>
      <c r="L8" s="93">
        <f>Tabela01!O7</f>
        <v>0.33500000000000002</v>
      </c>
      <c r="M8" s="95">
        <f t="shared" si="4"/>
        <v>1.34</v>
      </c>
    </row>
    <row r="9" spans="2:16" ht="24.95" customHeight="1">
      <c r="B9" s="93">
        <f>Tabela01!J8</f>
        <v>5.5E-2</v>
      </c>
      <c r="C9" s="94">
        <f t="shared" ref="C9:C10" si="5">$M$4*B9</f>
        <v>0.22</v>
      </c>
      <c r="D9" s="93">
        <f>Tabela01!K8</f>
        <v>3.5000000000000003E-2</v>
      </c>
      <c r="E9" s="94">
        <f t="shared" si="0"/>
        <v>0.14000000000000001</v>
      </c>
      <c r="F9" s="93">
        <f>Tabela01!L8</f>
        <v>0.12740000000000001</v>
      </c>
      <c r="G9" s="94">
        <f t="shared" si="1"/>
        <v>0.50960000000000005</v>
      </c>
      <c r="H9" s="93">
        <f>Tabela01!M8</f>
        <v>2.76E-2</v>
      </c>
      <c r="I9" s="94">
        <f t="shared" si="2"/>
        <v>0.1104</v>
      </c>
      <c r="J9" s="93">
        <f>Tabela01!N8</f>
        <v>0.42</v>
      </c>
      <c r="K9" s="94">
        <f t="shared" si="3"/>
        <v>1.68</v>
      </c>
      <c r="L9" s="93">
        <f>Tabela01!O8</f>
        <v>0.33500000000000002</v>
      </c>
      <c r="M9" s="95">
        <f t="shared" si="4"/>
        <v>1.34</v>
      </c>
    </row>
    <row r="10" spans="2:16" ht="24.95" customHeight="1">
      <c r="B10" s="93">
        <f>Tabela01!J9</f>
        <v>5.5E-2</v>
      </c>
      <c r="C10" s="94">
        <f t="shared" si="5"/>
        <v>0.22</v>
      </c>
      <c r="D10" s="93">
        <f>Tabela01!K9</f>
        <v>3.5000000000000003E-2</v>
      </c>
      <c r="E10" s="94">
        <f t="shared" si="0"/>
        <v>0.14000000000000001</v>
      </c>
      <c r="F10" s="93">
        <f>Tabela01!L9</f>
        <v>0.12740000000000001</v>
      </c>
      <c r="G10" s="94">
        <f t="shared" si="1"/>
        <v>0.50960000000000005</v>
      </c>
      <c r="H10" s="93">
        <f>Tabela01!M9</f>
        <v>2.76E-2</v>
      </c>
      <c r="I10" s="94">
        <f t="shared" si="2"/>
        <v>0.1104</v>
      </c>
      <c r="J10" s="93">
        <f>Tabela01!N9</f>
        <v>0.42</v>
      </c>
      <c r="K10" s="94">
        <f t="shared" si="3"/>
        <v>1.68</v>
      </c>
      <c r="L10" s="93">
        <f>Tabela01!O9</f>
        <v>0.33500000000000002</v>
      </c>
      <c r="M10" s="95">
        <f t="shared" si="4"/>
        <v>1.34</v>
      </c>
    </row>
    <row r="11" spans="2:16" ht="24.95" customHeight="1">
      <c r="B11" s="93">
        <f>Tabela01!J10</f>
        <v>0.13500000000000001</v>
      </c>
      <c r="C11" s="94">
        <f>$M$4*B11</f>
        <v>0.54</v>
      </c>
      <c r="D11" s="93">
        <f>Tabela01!K10</f>
        <v>0.1</v>
      </c>
      <c r="E11" s="94">
        <f t="shared" si="0"/>
        <v>0.4</v>
      </c>
      <c r="F11" s="93">
        <f>Tabela01!L10</f>
        <v>0.28270000000000001</v>
      </c>
      <c r="G11" s="94">
        <f t="shared" si="1"/>
        <v>1.1308</v>
      </c>
      <c r="H11" s="93">
        <f>Tabela01!M10</f>
        <v>6.13E-2</v>
      </c>
      <c r="I11" s="94">
        <f t="shared" si="2"/>
        <v>0.2452</v>
      </c>
      <c r="J11" s="93">
        <f>Tabela01!N10</f>
        <v>0.42099999999999999</v>
      </c>
      <c r="K11" s="94">
        <f t="shared" si="3"/>
        <v>1.6839999999999999</v>
      </c>
      <c r="L11" s="93" t="str">
        <f>Tabela01!O10</f>
        <v>-</v>
      </c>
      <c r="M11" s="95"/>
    </row>
    <row r="13" spans="2:16" ht="24.95" customHeight="1">
      <c r="B13" s="88" t="s">
        <v>64</v>
      </c>
      <c r="C13" s="89"/>
      <c r="D13" s="89"/>
      <c r="E13" s="89"/>
      <c r="F13" s="89"/>
      <c r="G13" s="89"/>
      <c r="H13" s="89"/>
      <c r="I13" s="89"/>
      <c r="J13" s="89"/>
      <c r="K13" s="89"/>
      <c r="L13" s="89"/>
      <c r="M13" s="89"/>
      <c r="N13" s="89"/>
      <c r="O13" s="89">
        <f>IFERROR(Indústria!L5/Indústria!L6*100,)</f>
        <v>4.5000000000000009</v>
      </c>
      <c r="P13" s="106">
        <f>Indústria!O5</f>
        <v>6364.3995000000014</v>
      </c>
    </row>
    <row r="14" spans="2:16" ht="24.95" customHeight="1">
      <c r="B14" s="91" t="s">
        <v>41</v>
      </c>
      <c r="C14" s="92" t="s">
        <v>69</v>
      </c>
      <c r="D14" s="91" t="s">
        <v>42</v>
      </c>
      <c r="E14" s="92" t="s">
        <v>69</v>
      </c>
      <c r="F14" s="91" t="s">
        <v>43</v>
      </c>
      <c r="G14" s="92" t="s">
        <v>69</v>
      </c>
      <c r="H14" s="91" t="s">
        <v>44</v>
      </c>
      <c r="I14" s="92" t="s">
        <v>69</v>
      </c>
      <c r="J14" s="91" t="s">
        <v>45</v>
      </c>
      <c r="K14" s="92" t="s">
        <v>69</v>
      </c>
      <c r="L14" s="91" t="s">
        <v>47</v>
      </c>
      <c r="M14" s="92"/>
      <c r="N14" s="91" t="s">
        <v>46</v>
      </c>
      <c r="O14" s="92" t="s">
        <v>69</v>
      </c>
    </row>
    <row r="15" spans="2:16" ht="24.95" customHeight="1">
      <c r="B15" s="93">
        <f>Tabela02!J5</f>
        <v>5.5E-2</v>
      </c>
      <c r="C15" s="94">
        <f>$O$13*B15</f>
        <v>0.24750000000000005</v>
      </c>
      <c r="D15" s="93">
        <f>Tabela02!K5</f>
        <v>3.5000000000000003E-2</v>
      </c>
      <c r="E15" s="94">
        <f>$O$13*D15</f>
        <v>0.15750000000000006</v>
      </c>
      <c r="F15" s="93">
        <f>Tabela02!L5</f>
        <v>0.11509999999999999</v>
      </c>
      <c r="G15" s="94">
        <f>$O$13*F15</f>
        <v>0.51795000000000002</v>
      </c>
      <c r="H15" s="93">
        <f>Tabela02!M5</f>
        <v>2.4899999999999999E-2</v>
      </c>
      <c r="I15" s="94">
        <f>$O$13*H15</f>
        <v>0.11205000000000001</v>
      </c>
      <c r="J15" s="93">
        <f>Tabela02!N5</f>
        <v>0.375</v>
      </c>
      <c r="K15" s="94">
        <f>$O$13*J15</f>
        <v>1.6875000000000004</v>
      </c>
      <c r="L15" s="93">
        <f>Tabela02!O5</f>
        <v>7.4999999999999997E-2</v>
      </c>
      <c r="M15" s="94">
        <f>$O$13*L15</f>
        <v>0.33750000000000008</v>
      </c>
      <c r="N15" s="93">
        <f>Tabela02!P5</f>
        <v>0.32</v>
      </c>
      <c r="O15" s="94">
        <f>$O$13*N15</f>
        <v>1.4400000000000004</v>
      </c>
    </row>
    <row r="16" spans="2:16" ht="24.95" customHeight="1">
      <c r="B16" s="93">
        <f>Tabela02!J6</f>
        <v>5.5E-2</v>
      </c>
      <c r="C16" s="94">
        <f t="shared" ref="C16:E20" si="6">$O$13*B16</f>
        <v>0.24750000000000005</v>
      </c>
      <c r="D16" s="93">
        <f>Tabela02!K6</f>
        <v>3.5000000000000003E-2</v>
      </c>
      <c r="E16" s="94">
        <f t="shared" si="6"/>
        <v>0.15750000000000006</v>
      </c>
      <c r="F16" s="93">
        <f>Tabela02!L6</f>
        <v>0.11509999999999999</v>
      </c>
      <c r="G16" s="94">
        <f t="shared" ref="G16" si="7">$O$13*F16</f>
        <v>0.51795000000000002</v>
      </c>
      <c r="H16" s="93">
        <f>Tabela02!M6</f>
        <v>2.4899999999999999E-2</v>
      </c>
      <c r="I16" s="94">
        <f t="shared" ref="I16" si="8">$O$13*H16</f>
        <v>0.11205000000000001</v>
      </c>
      <c r="J16" s="93">
        <f>Tabela02!N6</f>
        <v>0.375</v>
      </c>
      <c r="K16" s="94">
        <f t="shared" ref="K16" si="9">$O$13*J16</f>
        <v>1.6875000000000004</v>
      </c>
      <c r="L16" s="93">
        <f>Tabela02!O6</f>
        <v>7.4999999999999997E-2</v>
      </c>
      <c r="M16" s="94">
        <f t="shared" ref="M16" si="10">$O$13*L16</f>
        <v>0.33750000000000008</v>
      </c>
      <c r="N16" s="93">
        <f>Tabela02!P6</f>
        <v>0.32</v>
      </c>
      <c r="O16" s="94">
        <f t="shared" ref="O16" si="11">$O$13*N16</f>
        <v>1.4400000000000004</v>
      </c>
    </row>
    <row r="17" spans="2:15" ht="24.95" customHeight="1">
      <c r="B17" s="93">
        <f>Tabela02!J7</f>
        <v>5.5E-2</v>
      </c>
      <c r="C17" s="94">
        <f t="shared" si="6"/>
        <v>0.24750000000000005</v>
      </c>
      <c r="D17" s="93">
        <f>Tabela02!K7</f>
        <v>3.5000000000000003E-2</v>
      </c>
      <c r="E17" s="94">
        <f t="shared" si="6"/>
        <v>0.15750000000000006</v>
      </c>
      <c r="F17" s="93">
        <f>Tabela02!L7</f>
        <v>0.11509999999999999</v>
      </c>
      <c r="G17" s="94">
        <f t="shared" ref="G17" si="12">$O$13*F17</f>
        <v>0.51795000000000002</v>
      </c>
      <c r="H17" s="93">
        <f>Tabela02!M7</f>
        <v>2.4899999999999999E-2</v>
      </c>
      <c r="I17" s="94">
        <f t="shared" ref="I17" si="13">$O$13*H17</f>
        <v>0.11205000000000001</v>
      </c>
      <c r="J17" s="93">
        <f>Tabela02!N7</f>
        <v>0.375</v>
      </c>
      <c r="K17" s="94">
        <f t="shared" ref="K17" si="14">$O$13*J17</f>
        <v>1.6875000000000004</v>
      </c>
      <c r="L17" s="93">
        <f>Tabela02!O7</f>
        <v>7.4999999999999997E-2</v>
      </c>
      <c r="M17" s="94">
        <f t="shared" ref="M17" si="15">$O$13*L17</f>
        <v>0.33750000000000008</v>
      </c>
      <c r="N17" s="93">
        <f>Tabela02!P7</f>
        <v>0.32</v>
      </c>
      <c r="O17" s="94">
        <f t="shared" ref="O17" si="16">$O$13*N17</f>
        <v>1.4400000000000004</v>
      </c>
    </row>
    <row r="18" spans="2:15" ht="24.95" customHeight="1">
      <c r="B18" s="93">
        <f>Tabela02!J8</f>
        <v>5.5E-2</v>
      </c>
      <c r="C18" s="94">
        <f t="shared" si="6"/>
        <v>0.24750000000000005</v>
      </c>
      <c r="D18" s="93">
        <f>Tabela02!K8</f>
        <v>3.5000000000000003E-2</v>
      </c>
      <c r="E18" s="94">
        <f t="shared" si="6"/>
        <v>0.15750000000000006</v>
      </c>
      <c r="F18" s="93">
        <f>Tabela02!L8</f>
        <v>0.11509999999999999</v>
      </c>
      <c r="G18" s="94">
        <f t="shared" ref="G18" si="17">$O$13*F18</f>
        <v>0.51795000000000002</v>
      </c>
      <c r="H18" s="93">
        <f>Tabela02!M8</f>
        <v>2.4899999999999999E-2</v>
      </c>
      <c r="I18" s="94">
        <f t="shared" ref="I18" si="18">$O$13*H18</f>
        <v>0.11205000000000001</v>
      </c>
      <c r="J18" s="93">
        <f>Tabela02!N8</f>
        <v>0.375</v>
      </c>
      <c r="K18" s="94">
        <f t="shared" ref="K18" si="19">$O$13*J18</f>
        <v>1.6875000000000004</v>
      </c>
      <c r="L18" s="93">
        <f>Tabela02!O8</f>
        <v>7.4999999999999997E-2</v>
      </c>
      <c r="M18" s="94">
        <f t="shared" ref="M18" si="20">$O$13*L18</f>
        <v>0.33750000000000008</v>
      </c>
      <c r="N18" s="93">
        <f>Tabela02!P8</f>
        <v>0.32</v>
      </c>
      <c r="O18" s="94">
        <f t="shared" ref="O18" si="21">$O$13*N18</f>
        <v>1.4400000000000004</v>
      </c>
    </row>
    <row r="19" spans="2:15" ht="24.95" customHeight="1">
      <c r="B19" s="93">
        <f>Tabela02!J9</f>
        <v>5.5E-2</v>
      </c>
      <c r="C19" s="94">
        <f t="shared" si="6"/>
        <v>0.24750000000000005</v>
      </c>
      <c r="D19" s="93">
        <f>Tabela02!K9</f>
        <v>3.5000000000000003E-2</v>
      </c>
      <c r="E19" s="94">
        <f t="shared" si="6"/>
        <v>0.15750000000000006</v>
      </c>
      <c r="F19" s="93">
        <f>Tabela02!L9</f>
        <v>0.11509999999999999</v>
      </c>
      <c r="G19" s="94">
        <f t="shared" ref="G19" si="22">$O$13*F19</f>
        <v>0.51795000000000002</v>
      </c>
      <c r="H19" s="93">
        <f>Tabela02!M9</f>
        <v>2.4899999999999999E-2</v>
      </c>
      <c r="I19" s="94">
        <f t="shared" ref="I19" si="23">$O$13*H19</f>
        <v>0.11205000000000001</v>
      </c>
      <c r="J19" s="93">
        <f>Tabela02!N9</f>
        <v>0.375</v>
      </c>
      <c r="K19" s="94">
        <f t="shared" ref="K19" si="24">$O$13*J19</f>
        <v>1.6875000000000004</v>
      </c>
      <c r="L19" s="93">
        <f>Tabela02!O9</f>
        <v>7.4999999999999997E-2</v>
      </c>
      <c r="M19" s="94">
        <f t="shared" ref="M19" si="25">$O$13*L19</f>
        <v>0.33750000000000008</v>
      </c>
      <c r="N19" s="93">
        <f>Tabela02!P9</f>
        <v>0.32</v>
      </c>
      <c r="O19" s="94">
        <f t="shared" ref="O19" si="26">$O$13*N19</f>
        <v>1.4400000000000004</v>
      </c>
    </row>
    <row r="20" spans="2:15" ht="24.95" customHeight="1">
      <c r="B20" s="93">
        <f>Tabela02!J10</f>
        <v>8.5000000000000006E-2</v>
      </c>
      <c r="C20" s="94">
        <f t="shared" si="6"/>
        <v>0.38250000000000012</v>
      </c>
      <c r="D20" s="93">
        <f>Tabela02!K10</f>
        <v>7.4999999999999997E-2</v>
      </c>
      <c r="E20" s="94">
        <f t="shared" si="6"/>
        <v>0.33750000000000008</v>
      </c>
      <c r="F20" s="93">
        <f>Tabela02!L10</f>
        <v>0.20960000000000001</v>
      </c>
      <c r="G20" s="94">
        <f t="shared" ref="G20" si="27">$O$13*F20</f>
        <v>0.94320000000000026</v>
      </c>
      <c r="H20" s="93">
        <f>Tabela02!M10</f>
        <v>4.5400000000000003E-2</v>
      </c>
      <c r="I20" s="94">
        <f t="shared" ref="I20" si="28">$O$13*H20</f>
        <v>0.20430000000000006</v>
      </c>
      <c r="J20" s="93">
        <f>Tabela02!N10</f>
        <v>0.23499999999999999</v>
      </c>
      <c r="K20" s="94">
        <f t="shared" ref="K20" si="29">$O$13*J20</f>
        <v>1.0575000000000001</v>
      </c>
      <c r="L20" s="93">
        <f>Tabela02!O10</f>
        <v>0.35</v>
      </c>
      <c r="M20" s="94">
        <f t="shared" ref="M20" si="30">$O$13*L20</f>
        <v>1.5750000000000002</v>
      </c>
      <c r="N20" s="93" t="str">
        <f>Tabela02!P10</f>
        <v>-</v>
      </c>
      <c r="O20" s="94">
        <v>0</v>
      </c>
    </row>
    <row r="22" spans="2:15" ht="24.95" customHeight="1">
      <c r="B22" s="88" t="s">
        <v>66</v>
      </c>
      <c r="C22" s="89"/>
      <c r="D22" s="89"/>
      <c r="E22" s="89"/>
      <c r="F22" s="89"/>
      <c r="G22" s="89"/>
      <c r="H22" s="89"/>
      <c r="I22" s="89"/>
      <c r="J22" s="89"/>
      <c r="K22" s="89"/>
      <c r="L22" s="89"/>
      <c r="M22" s="89">
        <f>IFERROR('Anexo III'!L5/'Anexo III'!L6*100,0)</f>
        <v>6</v>
      </c>
      <c r="N22" s="106">
        <f>'Anexo III'!O5</f>
        <v>8485.866</v>
      </c>
      <c r="O22" s="162">
        <f>'Anexo III'!N5</f>
        <v>0.06</v>
      </c>
    </row>
    <row r="23" spans="2:15" ht="24.95" customHeight="1">
      <c r="B23" s="91" t="s">
        <v>41</v>
      </c>
      <c r="C23" s="92" t="s">
        <v>69</v>
      </c>
      <c r="D23" s="91" t="s">
        <v>42</v>
      </c>
      <c r="E23" s="92" t="s">
        <v>69</v>
      </c>
      <c r="F23" s="91" t="s">
        <v>43</v>
      </c>
      <c r="G23" s="92" t="s">
        <v>69</v>
      </c>
      <c r="H23" s="91" t="s">
        <v>44</v>
      </c>
      <c r="I23" s="92" t="s">
        <v>69</v>
      </c>
      <c r="J23" s="91" t="s">
        <v>45</v>
      </c>
      <c r="K23" s="92" t="s">
        <v>69</v>
      </c>
      <c r="L23" s="91" t="s">
        <v>48</v>
      </c>
      <c r="M23" s="92"/>
      <c r="N23" s="164"/>
    </row>
    <row r="24" spans="2:15" ht="24.95" customHeight="1">
      <c r="B24" s="93">
        <f>Tabela03!J5</f>
        <v>0.04</v>
      </c>
      <c r="C24" s="94">
        <f>$M$22*B24</f>
        <v>0.24</v>
      </c>
      <c r="D24" s="93">
        <f>Tabela03!K5</f>
        <v>3.5000000000000003E-2</v>
      </c>
      <c r="E24" s="94">
        <f>$M$22*D24</f>
        <v>0.21000000000000002</v>
      </c>
      <c r="F24" s="93">
        <f>Tabela03!L5</f>
        <v>0.12820000000000001</v>
      </c>
      <c r="G24" s="94">
        <f>$M$22*F24</f>
        <v>0.76920000000000011</v>
      </c>
      <c r="H24" s="93">
        <f>Tabela03!M5</f>
        <v>2.7799999999999998E-2</v>
      </c>
      <c r="I24" s="94">
        <f>$M$22*H24</f>
        <v>0.1668</v>
      </c>
      <c r="J24" s="93">
        <f>Tabela03!N5</f>
        <v>0.434</v>
      </c>
      <c r="K24" s="94">
        <f>$M$22*J24</f>
        <v>2.6040000000000001</v>
      </c>
      <c r="L24" s="93">
        <f>Tabela03!O5</f>
        <v>0.33500000000000002</v>
      </c>
      <c r="M24" s="94">
        <f>$M$22*L24</f>
        <v>2.0100000000000002</v>
      </c>
    </row>
    <row r="25" spans="2:15" ht="24.95" customHeight="1">
      <c r="B25" s="93">
        <f>Tabela03!J6</f>
        <v>0.04</v>
      </c>
      <c r="C25" s="94">
        <f t="shared" ref="C25:E29" si="31">$M$22*B25</f>
        <v>0.24</v>
      </c>
      <c r="D25" s="93">
        <f>Tabela03!K6</f>
        <v>3.5000000000000003E-2</v>
      </c>
      <c r="E25" s="94">
        <f t="shared" si="31"/>
        <v>0.21000000000000002</v>
      </c>
      <c r="F25" s="93">
        <f>Tabela03!L6</f>
        <v>0.14050000000000001</v>
      </c>
      <c r="G25" s="94">
        <f t="shared" ref="G25" si="32">$M$22*F25</f>
        <v>0.84300000000000008</v>
      </c>
      <c r="H25" s="93">
        <f>Tabela03!M6</f>
        <v>3.0499999999999999E-2</v>
      </c>
      <c r="I25" s="94">
        <f t="shared" ref="I25" si="33">$M$22*H25</f>
        <v>0.183</v>
      </c>
      <c r="J25" s="93">
        <f>Tabela03!N6</f>
        <v>0.434</v>
      </c>
      <c r="K25" s="94">
        <f t="shared" ref="K25" si="34">$M$22*J25</f>
        <v>2.6040000000000001</v>
      </c>
      <c r="L25" s="93">
        <f>Tabela03!O6</f>
        <v>0.32</v>
      </c>
      <c r="M25" s="94">
        <f t="shared" ref="M25" si="35">$M$22*L25</f>
        <v>1.92</v>
      </c>
    </row>
    <row r="26" spans="2:15" ht="24.95" customHeight="1">
      <c r="B26" s="93">
        <f>Tabela03!J7</f>
        <v>0.04</v>
      </c>
      <c r="C26" s="94">
        <f t="shared" si="31"/>
        <v>0.24</v>
      </c>
      <c r="D26" s="93">
        <f>Tabela03!K7</f>
        <v>3.5000000000000003E-2</v>
      </c>
      <c r="E26" s="94">
        <f t="shared" si="31"/>
        <v>0.21000000000000002</v>
      </c>
      <c r="F26" s="93">
        <f>Tabela03!L7</f>
        <v>0.13639999999999999</v>
      </c>
      <c r="G26" s="94">
        <f t="shared" ref="G26" si="36">$M$22*F26</f>
        <v>0.81840000000000002</v>
      </c>
      <c r="H26" s="93">
        <f>Tabela03!M7</f>
        <v>2.9600000000000001E-2</v>
      </c>
      <c r="I26" s="94">
        <f t="shared" ref="I26" si="37">$M$22*H26</f>
        <v>0.17760000000000001</v>
      </c>
      <c r="J26" s="93">
        <f>Tabela03!N7</f>
        <v>0.434</v>
      </c>
      <c r="K26" s="94">
        <f t="shared" ref="K26" si="38">$M$22*J26</f>
        <v>2.6040000000000001</v>
      </c>
      <c r="L26" s="93">
        <f>Tabela03!O7</f>
        <v>0.32500000000000001</v>
      </c>
      <c r="M26" s="94">
        <f t="shared" ref="M26" si="39">$M$22*L26</f>
        <v>1.9500000000000002</v>
      </c>
    </row>
    <row r="27" spans="2:15" ht="24.95" customHeight="1">
      <c r="B27" s="93">
        <f>Tabela03!J8</f>
        <v>0.04</v>
      </c>
      <c r="C27" s="94">
        <f t="shared" si="31"/>
        <v>0.24</v>
      </c>
      <c r="D27" s="93">
        <f>Tabela03!K8</f>
        <v>3.5000000000000003E-2</v>
      </c>
      <c r="E27" s="94">
        <f t="shared" si="31"/>
        <v>0.21000000000000002</v>
      </c>
      <c r="F27" s="93">
        <f>Tabela03!L8</f>
        <v>0.13639999999999999</v>
      </c>
      <c r="G27" s="94">
        <f t="shared" ref="G27" si="40">$M$22*F27</f>
        <v>0.81840000000000002</v>
      </c>
      <c r="H27" s="93">
        <f>Tabela03!M8</f>
        <v>2.9600000000000001E-2</v>
      </c>
      <c r="I27" s="94">
        <f t="shared" ref="I27" si="41">$M$22*H27</f>
        <v>0.17760000000000001</v>
      </c>
      <c r="J27" s="93">
        <f>Tabela03!N8</f>
        <v>0.434</v>
      </c>
      <c r="K27" s="94">
        <f t="shared" ref="K27" si="42">$M$22*J27</f>
        <v>2.6040000000000001</v>
      </c>
      <c r="L27" s="93">
        <f>Tabela03!O8</f>
        <v>0.32500000000000001</v>
      </c>
      <c r="M27" s="94">
        <f t="shared" ref="M27" si="43">$M$22*L27</f>
        <v>1.9500000000000002</v>
      </c>
    </row>
    <row r="28" spans="2:15" ht="24.95" customHeight="1">
      <c r="B28" s="93">
        <f>Tabela03!J9</f>
        <v>0.04</v>
      </c>
      <c r="C28" s="94">
        <f t="shared" si="31"/>
        <v>0.24</v>
      </c>
      <c r="D28" s="93">
        <f>Tabela03!K9</f>
        <v>3.5000000000000003E-2</v>
      </c>
      <c r="E28" s="94">
        <f t="shared" si="31"/>
        <v>0.21000000000000002</v>
      </c>
      <c r="F28" s="93">
        <f>Tabela03!L9</f>
        <v>0.12820000000000001</v>
      </c>
      <c r="G28" s="94">
        <f t="shared" ref="G28" si="44">$M$22*F28</f>
        <v>0.76920000000000011</v>
      </c>
      <c r="H28" s="93">
        <f>Tabela03!M9</f>
        <v>2.7799999999999998E-2</v>
      </c>
      <c r="I28" s="94">
        <f t="shared" ref="I28" si="45">$M$22*H28</f>
        <v>0.1668</v>
      </c>
      <c r="J28" s="93">
        <f>Tabela03!N9</f>
        <v>0.434</v>
      </c>
      <c r="K28" s="94">
        <f t="shared" ref="K28" si="46">$M$22*J28</f>
        <v>2.6040000000000001</v>
      </c>
      <c r="L28" s="93">
        <f>Tabela03!O9</f>
        <v>0.33500000000000002</v>
      </c>
      <c r="M28" s="94">
        <f t="shared" ref="M28" si="47">$M$22*L28</f>
        <v>2.0100000000000002</v>
      </c>
    </row>
    <row r="29" spans="2:15" ht="24.95" customHeight="1">
      <c r="B29" s="93">
        <f>Tabela03!J10</f>
        <v>0.35</v>
      </c>
      <c r="C29" s="94">
        <f t="shared" si="31"/>
        <v>2.0999999999999996</v>
      </c>
      <c r="D29" s="93">
        <f>Tabela03!K10</f>
        <v>0.15</v>
      </c>
      <c r="E29" s="94">
        <f t="shared" si="31"/>
        <v>0.89999999999999991</v>
      </c>
      <c r="F29" s="93">
        <f>Tabela03!L10</f>
        <v>0.1603</v>
      </c>
      <c r="G29" s="94">
        <f t="shared" ref="G29" si="48">$M$22*F29</f>
        <v>0.96179999999999999</v>
      </c>
      <c r="H29" s="93">
        <f>Tabela03!M10</f>
        <v>3.4700000000000002E-2</v>
      </c>
      <c r="I29" s="94">
        <f t="shared" ref="I29" si="49">$M$22*H29</f>
        <v>0.2082</v>
      </c>
      <c r="J29" s="93">
        <f>Tabela03!N10</f>
        <v>0.30499999999999999</v>
      </c>
      <c r="K29" s="94">
        <f t="shared" ref="K29" si="50">$M$22*J29</f>
        <v>1.83</v>
      </c>
      <c r="L29" s="91"/>
      <c r="M29" s="94">
        <f t="shared" ref="M29" si="51">$M$22*L29</f>
        <v>0</v>
      </c>
    </row>
    <row r="31" spans="2:15" ht="24.95" customHeight="1">
      <c r="B31" s="91"/>
      <c r="C31" s="91" t="s">
        <v>41</v>
      </c>
      <c r="D31" s="91" t="s">
        <v>42</v>
      </c>
      <c r="E31" s="91" t="s">
        <v>43</v>
      </c>
      <c r="F31" s="91" t="s">
        <v>44</v>
      </c>
      <c r="G31" s="91" t="s">
        <v>45</v>
      </c>
      <c r="H31" s="91" t="s">
        <v>48</v>
      </c>
    </row>
    <row r="32" spans="2:15" ht="24.95" customHeight="1">
      <c r="B32" s="91" t="s">
        <v>70</v>
      </c>
      <c r="C32" s="91" t="s">
        <v>71</v>
      </c>
      <c r="D32" s="91" t="s">
        <v>72</v>
      </c>
      <c r="E32" s="91" t="s">
        <v>72</v>
      </c>
      <c r="F32" s="91" t="s">
        <v>72</v>
      </c>
      <c r="G32" s="91" t="s">
        <v>72</v>
      </c>
      <c r="H32" s="225" t="s">
        <v>73</v>
      </c>
    </row>
    <row r="33" spans="2:15" ht="24.95" customHeight="1">
      <c r="B33" s="91" t="s">
        <v>74</v>
      </c>
      <c r="C33" s="91" t="s">
        <v>75</v>
      </c>
      <c r="D33" s="91" t="s">
        <v>75</v>
      </c>
      <c r="E33" s="91" t="s">
        <v>75</v>
      </c>
      <c r="F33" s="91" t="s">
        <v>75</v>
      </c>
      <c r="G33" s="91" t="s">
        <v>75</v>
      </c>
      <c r="H33" s="225"/>
    </row>
    <row r="34" spans="2:15" ht="24.95" customHeight="1">
      <c r="B34" s="93">
        <v>0.14925369999999999</v>
      </c>
      <c r="C34" s="96">
        <v>6.0199999999999997E-2</v>
      </c>
      <c r="D34" s="93">
        <v>5.2600000000000001E-2</v>
      </c>
      <c r="E34" s="93">
        <v>0.1928</v>
      </c>
      <c r="F34" s="93">
        <v>4.1799999999999997E-2</v>
      </c>
      <c r="G34" s="93">
        <v>0.65259999999999996</v>
      </c>
      <c r="H34" s="225"/>
    </row>
    <row r="35" spans="2:15" ht="24.95" customHeight="1">
      <c r="B35" s="97"/>
      <c r="C35" s="98">
        <f t="shared" ref="C35:F35" si="52">($M$22-5%)*C34%</f>
        <v>3.5819000000000003E-3</v>
      </c>
      <c r="D35" s="98">
        <f t="shared" si="52"/>
        <v>3.1297E-3</v>
      </c>
      <c r="E35" s="98">
        <f t="shared" si="52"/>
        <v>1.14716E-2</v>
      </c>
      <c r="F35" s="98">
        <f t="shared" si="52"/>
        <v>2.4870999999999999E-3</v>
      </c>
      <c r="G35" s="98">
        <f>($M$22-5%)*G34%</f>
        <v>3.8829700000000002E-2</v>
      </c>
      <c r="H35" s="99">
        <v>0.05</v>
      </c>
      <c r="J35" s="164"/>
      <c r="K35" s="164"/>
      <c r="L35" s="164"/>
      <c r="M35" s="164"/>
      <c r="N35" s="164"/>
      <c r="O35" s="164"/>
    </row>
    <row r="37" spans="2:15" ht="24.95" customHeight="1">
      <c r="B37" s="88" t="s">
        <v>67</v>
      </c>
      <c r="C37" s="89"/>
      <c r="D37" s="89"/>
      <c r="E37" s="89"/>
      <c r="F37" s="89"/>
      <c r="G37" s="89"/>
      <c r="H37" s="89"/>
      <c r="I37" s="89"/>
      <c r="J37" s="89"/>
      <c r="K37" s="89"/>
      <c r="L37" s="89"/>
      <c r="M37" s="89">
        <f>IFERROR('Anexo IV'!L5/'Anexo IV'!L6*100,0)</f>
        <v>4.5000000000000009</v>
      </c>
      <c r="N37" s="163">
        <f>'Anexo IV'!O5</f>
        <v>6364.3995000000014</v>
      </c>
    </row>
    <row r="38" spans="2:15" ht="24.95" customHeight="1">
      <c r="B38" s="91" t="s">
        <v>41</v>
      </c>
      <c r="C38" s="92" t="s">
        <v>69</v>
      </c>
      <c r="D38" s="91" t="s">
        <v>42</v>
      </c>
      <c r="E38" s="92" t="s">
        <v>69</v>
      </c>
      <c r="F38" s="91" t="s">
        <v>43</v>
      </c>
      <c r="G38" s="92" t="s">
        <v>69</v>
      </c>
      <c r="H38" s="91" t="s">
        <v>44</v>
      </c>
      <c r="I38" s="92" t="s">
        <v>69</v>
      </c>
      <c r="J38" s="91" t="s">
        <v>45</v>
      </c>
      <c r="K38" s="92" t="s">
        <v>69</v>
      </c>
      <c r="L38" s="91" t="s">
        <v>48</v>
      </c>
      <c r="M38" s="92"/>
    </row>
    <row r="39" spans="2:15" ht="24.95" customHeight="1">
      <c r="B39" s="93">
        <f>Tabela04!J5</f>
        <v>0.188</v>
      </c>
      <c r="C39" s="94">
        <f>$M$37*B39</f>
        <v>0.8460000000000002</v>
      </c>
      <c r="D39" s="93">
        <f>Tabela04!K5</f>
        <v>0.152</v>
      </c>
      <c r="E39" s="94">
        <f>$M$37*D39</f>
        <v>0.68400000000000016</v>
      </c>
      <c r="F39" s="93">
        <f>Tabela04!L5</f>
        <v>0.1767</v>
      </c>
      <c r="G39" s="94">
        <f>$M$37*F39</f>
        <v>0.79515000000000013</v>
      </c>
      <c r="H39" s="93">
        <f>Tabela04!M5</f>
        <v>3.8300000000000001E-2</v>
      </c>
      <c r="I39" s="94">
        <f>$M$37*H39</f>
        <v>0.17235000000000003</v>
      </c>
      <c r="J39" s="93">
        <f>Tabela04!N5</f>
        <v>0</v>
      </c>
      <c r="K39" s="94">
        <f>$M$37*J39</f>
        <v>0</v>
      </c>
      <c r="L39" s="93">
        <f>Tabela04!O5</f>
        <v>0.44500000000000001</v>
      </c>
      <c r="M39" s="94">
        <f>$M$37*L39</f>
        <v>2.0025000000000004</v>
      </c>
    </row>
    <row r="40" spans="2:15" ht="24.95" customHeight="1">
      <c r="B40" s="93">
        <f>Tabela04!J6</f>
        <v>0.19800000000000001</v>
      </c>
      <c r="C40" s="94">
        <f t="shared" ref="C40:E44" si="53">$M$37*B40</f>
        <v>0.89100000000000024</v>
      </c>
      <c r="D40" s="93">
        <f>Tabela04!K6</f>
        <v>0.152</v>
      </c>
      <c r="E40" s="94">
        <f t="shared" si="53"/>
        <v>0.68400000000000016</v>
      </c>
      <c r="F40" s="93">
        <f>Tabela04!L6</f>
        <v>0.20549999999999999</v>
      </c>
      <c r="G40" s="94">
        <f t="shared" ref="G40" si="54">$M$37*F40</f>
        <v>0.92475000000000018</v>
      </c>
      <c r="H40" s="93">
        <f>Tabela04!M6</f>
        <v>4.4499999999999998E-2</v>
      </c>
      <c r="I40" s="94">
        <f t="shared" ref="I40" si="55">$M$37*H40</f>
        <v>0.20025000000000004</v>
      </c>
      <c r="J40" s="93">
        <f>Tabela04!N6</f>
        <v>0</v>
      </c>
      <c r="K40" s="94">
        <f t="shared" ref="K40" si="56">$M$37*J40</f>
        <v>0</v>
      </c>
      <c r="L40" s="93">
        <f>Tabela04!O6</f>
        <v>0.4</v>
      </c>
      <c r="M40" s="94">
        <f t="shared" ref="M40" si="57">$M$37*L40</f>
        <v>1.8000000000000005</v>
      </c>
    </row>
    <row r="41" spans="2:15" ht="24.95" customHeight="1">
      <c r="B41" s="93">
        <f>Tabela04!J7</f>
        <v>0.20799999999999999</v>
      </c>
      <c r="C41" s="94">
        <f t="shared" si="53"/>
        <v>0.93600000000000017</v>
      </c>
      <c r="D41" s="93">
        <f>Tabela04!K7</f>
        <v>0.152</v>
      </c>
      <c r="E41" s="94">
        <f t="shared" si="53"/>
        <v>0.68400000000000016</v>
      </c>
      <c r="F41" s="93">
        <f>Tabela04!L7</f>
        <v>0.1973</v>
      </c>
      <c r="G41" s="94">
        <f t="shared" ref="G41" si="58">$M$37*F41</f>
        <v>0.88785000000000014</v>
      </c>
      <c r="H41" s="93">
        <f>Tabela04!M7</f>
        <v>4.2700000000000002E-2</v>
      </c>
      <c r="I41" s="94">
        <f t="shared" ref="I41" si="59">$M$37*H41</f>
        <v>0.19215000000000004</v>
      </c>
      <c r="J41" s="93">
        <f>Tabela04!N7</f>
        <v>0</v>
      </c>
      <c r="K41" s="94">
        <f t="shared" ref="K41" si="60">$M$37*J41</f>
        <v>0</v>
      </c>
      <c r="L41" s="93">
        <f>Tabela04!O7</f>
        <v>0.4</v>
      </c>
      <c r="M41" s="94">
        <f t="shared" ref="M41" si="61">$M$37*L41</f>
        <v>1.8000000000000005</v>
      </c>
    </row>
    <row r="42" spans="2:15" ht="24.95" customHeight="1">
      <c r="B42" s="93">
        <f>Tabela04!J8</f>
        <v>0.17799999999999999</v>
      </c>
      <c r="C42" s="94">
        <f t="shared" si="53"/>
        <v>0.80100000000000016</v>
      </c>
      <c r="D42" s="93">
        <f>Tabela04!K8</f>
        <v>0.192</v>
      </c>
      <c r="E42" s="94">
        <f t="shared" si="53"/>
        <v>0.86400000000000021</v>
      </c>
      <c r="F42" s="93">
        <f>Tabela04!L8</f>
        <v>0.189</v>
      </c>
      <c r="G42" s="94">
        <f t="shared" ref="G42" si="62">$M$37*F42</f>
        <v>0.85050000000000014</v>
      </c>
      <c r="H42" s="93">
        <f>Tabela04!M8</f>
        <v>4.1000000000000002E-2</v>
      </c>
      <c r="I42" s="94">
        <f t="shared" ref="I42" si="63">$M$37*H42</f>
        <v>0.18450000000000005</v>
      </c>
      <c r="J42" s="93">
        <f>Tabela04!N8</f>
        <v>0</v>
      </c>
      <c r="K42" s="94">
        <f t="shared" ref="K42" si="64">$M$37*J42</f>
        <v>0</v>
      </c>
      <c r="L42" s="93">
        <f>Tabela04!O8</f>
        <v>0.4</v>
      </c>
      <c r="M42" s="94">
        <f t="shared" ref="M42" si="65">$M$37*L42</f>
        <v>1.8000000000000005</v>
      </c>
    </row>
    <row r="43" spans="2:15" ht="24.95" customHeight="1">
      <c r="B43" s="93">
        <f>Tabela04!J9</f>
        <v>0.188</v>
      </c>
      <c r="C43" s="94">
        <f t="shared" si="53"/>
        <v>0.8460000000000002</v>
      </c>
      <c r="D43" s="93">
        <f>Tabela04!K9</f>
        <v>0.192</v>
      </c>
      <c r="E43" s="94">
        <f t="shared" si="53"/>
        <v>0.86400000000000021</v>
      </c>
      <c r="F43" s="93">
        <f>Tabela04!L9</f>
        <v>0.18079999999999999</v>
      </c>
      <c r="G43" s="94">
        <f t="shared" ref="G43" si="66">$M$37*F43</f>
        <v>0.8136000000000001</v>
      </c>
      <c r="H43" s="93">
        <f>Tabela04!M9</f>
        <v>3.9199999999999999E-2</v>
      </c>
      <c r="I43" s="94">
        <f t="shared" ref="I43" si="67">$M$37*H43</f>
        <v>0.17640000000000003</v>
      </c>
      <c r="J43" s="93">
        <f>Tabela04!N9</f>
        <v>0</v>
      </c>
      <c r="K43" s="94">
        <f t="shared" ref="K43" si="68">$M$37*J43</f>
        <v>0</v>
      </c>
      <c r="L43" s="93">
        <f>Tabela04!O9</f>
        <v>0.4</v>
      </c>
      <c r="M43" s="94">
        <f t="shared" ref="M43" si="69">$M$37*L43</f>
        <v>1.8000000000000005</v>
      </c>
    </row>
    <row r="44" spans="2:15" ht="24.95" customHeight="1">
      <c r="B44" s="93">
        <f>Tabela04!J10</f>
        <v>0.53500000000000003</v>
      </c>
      <c r="C44" s="94">
        <f t="shared" si="53"/>
        <v>2.4075000000000006</v>
      </c>
      <c r="D44" s="93">
        <f>Tabela04!K10</f>
        <v>0.215</v>
      </c>
      <c r="E44" s="94">
        <f t="shared" si="53"/>
        <v>0.96750000000000014</v>
      </c>
      <c r="F44" s="93">
        <f>Tabela04!L10</f>
        <v>0.20549999999999999</v>
      </c>
      <c r="G44" s="94">
        <f t="shared" ref="G44" si="70">$M$37*F44</f>
        <v>0.92475000000000018</v>
      </c>
      <c r="H44" s="93">
        <f>Tabela04!M10</f>
        <v>4.4499999999999998E-2</v>
      </c>
      <c r="I44" s="94">
        <f t="shared" ref="I44" si="71">$M$37*H44</f>
        <v>0.20025000000000004</v>
      </c>
      <c r="J44" s="93">
        <f>Tabela04!N10</f>
        <v>0</v>
      </c>
      <c r="K44" s="94">
        <f t="shared" ref="K44" si="72">$M$37*J44</f>
        <v>0</v>
      </c>
      <c r="L44" s="91"/>
      <c r="M44" s="94">
        <f t="shared" ref="M44" si="73">$M$37*L44</f>
        <v>0</v>
      </c>
    </row>
    <row r="46" spans="2:15" ht="24.95" customHeight="1">
      <c r="B46" s="91"/>
      <c r="C46" s="91" t="s">
        <v>41</v>
      </c>
      <c r="D46" s="91" t="s">
        <v>42</v>
      </c>
      <c r="E46" s="91" t="s">
        <v>43</v>
      </c>
      <c r="F46" s="91" t="s">
        <v>44</v>
      </c>
      <c r="G46" s="91"/>
      <c r="H46" s="91" t="s">
        <v>48</v>
      </c>
      <c r="I46" s="100"/>
    </row>
    <row r="47" spans="2:15" ht="24.95" customHeight="1">
      <c r="B47" s="91" t="s">
        <v>70</v>
      </c>
      <c r="C47" s="91" t="s">
        <v>71</v>
      </c>
      <c r="D47" s="91" t="s">
        <v>72</v>
      </c>
      <c r="E47" s="91" t="s">
        <v>72</v>
      </c>
      <c r="F47" s="91" t="s">
        <v>72</v>
      </c>
      <c r="G47" s="91"/>
      <c r="H47" s="225" t="s">
        <v>73</v>
      </c>
      <c r="I47" s="100"/>
    </row>
    <row r="48" spans="2:15" ht="24.95" customHeight="1">
      <c r="B48" s="91" t="s">
        <v>74</v>
      </c>
      <c r="C48" s="91" t="s">
        <v>75</v>
      </c>
      <c r="D48" s="91" t="s">
        <v>75</v>
      </c>
      <c r="E48" s="91" t="s">
        <v>75</v>
      </c>
      <c r="F48" s="91" t="s">
        <v>75</v>
      </c>
      <c r="G48" s="91"/>
      <c r="H48" s="225"/>
      <c r="I48" s="100"/>
    </row>
    <row r="49" spans="2:14" ht="24.95" customHeight="1">
      <c r="B49" s="93">
        <v>0.125</v>
      </c>
      <c r="C49" s="96">
        <v>0.31330000000000002</v>
      </c>
      <c r="D49" s="96">
        <v>0.32</v>
      </c>
      <c r="E49" s="96">
        <v>0.30130000000000001</v>
      </c>
      <c r="F49" s="96">
        <v>6.54E-2</v>
      </c>
      <c r="G49" s="101"/>
      <c r="H49" s="225"/>
      <c r="I49" s="100"/>
    </row>
    <row r="50" spans="2:14" ht="24.95" customHeight="1">
      <c r="B50" s="97"/>
      <c r="C50" s="98">
        <f>($I$17-5%)*C49%</f>
        <v>1.9440265000000005E-4</v>
      </c>
      <c r="D50" s="98">
        <f>($I$17-5%)*D49%</f>
        <v>1.9856000000000002E-4</v>
      </c>
      <c r="E50" s="98">
        <f>($I$17-5%)*E49%</f>
        <v>1.8695665000000004E-4</v>
      </c>
      <c r="F50" s="98">
        <f>($I$17-5%)*F49%</f>
        <v>4.0580700000000003E-5</v>
      </c>
      <c r="G50" s="98">
        <f>($I$17-5%)*G49%</f>
        <v>0</v>
      </c>
      <c r="H50" s="99"/>
      <c r="I50" s="102"/>
    </row>
    <row r="52" spans="2:14" ht="24.95" customHeight="1">
      <c r="B52" s="88" t="s">
        <v>68</v>
      </c>
      <c r="C52" s="89"/>
      <c r="D52" s="89"/>
      <c r="E52" s="89"/>
      <c r="F52" s="89"/>
      <c r="G52" s="89"/>
      <c r="H52" s="89"/>
      <c r="I52" s="89"/>
      <c r="J52" s="89"/>
      <c r="K52" s="89"/>
      <c r="L52" s="89"/>
      <c r="M52" s="89">
        <f>IFERROR('Anexo V'!L5/'Anexo V'!L6*100,0)</f>
        <v>15.5</v>
      </c>
      <c r="N52" s="163">
        <f>'Anexo V'!O5</f>
        <v>21921.820500000002</v>
      </c>
    </row>
    <row r="53" spans="2:14" ht="24.95" customHeight="1">
      <c r="B53" s="91" t="s">
        <v>41</v>
      </c>
      <c r="C53" s="92" t="s">
        <v>69</v>
      </c>
      <c r="D53" s="91" t="s">
        <v>42</v>
      </c>
      <c r="E53" s="92" t="s">
        <v>69</v>
      </c>
      <c r="F53" s="91" t="s">
        <v>43</v>
      </c>
      <c r="G53" s="92" t="s">
        <v>69</v>
      </c>
      <c r="H53" s="91" t="s">
        <v>44</v>
      </c>
      <c r="I53" s="92" t="s">
        <v>69</v>
      </c>
      <c r="J53" s="91" t="s">
        <v>45</v>
      </c>
      <c r="K53" s="92" t="s">
        <v>69</v>
      </c>
      <c r="L53" s="91" t="s">
        <v>48</v>
      </c>
      <c r="M53" s="92"/>
    </row>
    <row r="54" spans="2:14" ht="24.95" customHeight="1">
      <c r="B54" s="93">
        <f>Tabela05!J5</f>
        <v>0.25</v>
      </c>
      <c r="C54" s="94">
        <f>$M$52*B54</f>
        <v>3.875</v>
      </c>
      <c r="D54" s="93">
        <f>Tabela05!K5</f>
        <v>0.15</v>
      </c>
      <c r="E54" s="94">
        <f>$M$52*D54</f>
        <v>2.3249999999999997</v>
      </c>
      <c r="F54" s="93">
        <f>Tabela05!L5</f>
        <v>0.14099999999999999</v>
      </c>
      <c r="G54" s="94">
        <f>$M$52*F54</f>
        <v>2.1854999999999998</v>
      </c>
      <c r="H54" s="93">
        <f>Tabela05!M5</f>
        <v>3.0499999999999999E-2</v>
      </c>
      <c r="I54" s="94">
        <f>$M$52*H54</f>
        <v>0.47275</v>
      </c>
      <c r="J54" s="93">
        <f>Tabela05!N5</f>
        <v>0.28849999999999998</v>
      </c>
      <c r="K54" s="94">
        <f>$M$52*J54</f>
        <v>4.4717500000000001</v>
      </c>
      <c r="L54" s="93">
        <f>Tabela05!O5</f>
        <v>0.14000000000000001</v>
      </c>
      <c r="M54" s="94">
        <f>$M$52*L54</f>
        <v>2.1700000000000004</v>
      </c>
    </row>
    <row r="55" spans="2:14" ht="24.95" customHeight="1">
      <c r="B55" s="93">
        <f>Tabela05!J6</f>
        <v>0.23</v>
      </c>
      <c r="C55" s="94">
        <f t="shared" ref="C55:E59" si="74">$M$52*B55</f>
        <v>3.5649999999999999</v>
      </c>
      <c r="D55" s="93">
        <f>Tabela05!K6</f>
        <v>0.15</v>
      </c>
      <c r="E55" s="94">
        <f t="shared" si="74"/>
        <v>2.3249999999999997</v>
      </c>
      <c r="F55" s="93">
        <f>Tabela05!L6</f>
        <v>0.14099999999999999</v>
      </c>
      <c r="G55" s="94">
        <f t="shared" ref="G55" si="75">$M$52*F55</f>
        <v>2.1854999999999998</v>
      </c>
      <c r="H55" s="93">
        <f>Tabela05!M6</f>
        <v>3.0499999999999999E-2</v>
      </c>
      <c r="I55" s="94">
        <f t="shared" ref="I55" si="76">$M$52*H55</f>
        <v>0.47275</v>
      </c>
      <c r="J55" s="93">
        <f>Tabela05!N6</f>
        <v>0.27850000000000003</v>
      </c>
      <c r="K55" s="94">
        <f t="shared" ref="K55" si="77">$M$52*J55</f>
        <v>4.3167500000000008</v>
      </c>
      <c r="L55" s="93">
        <f>Tabela05!O6</f>
        <v>0.17</v>
      </c>
      <c r="M55" s="94">
        <f t="shared" ref="M55" si="78">$M$52*L55</f>
        <v>2.6350000000000002</v>
      </c>
    </row>
    <row r="56" spans="2:14" ht="24.95" customHeight="1">
      <c r="B56" s="93">
        <f>Tabela05!J7</f>
        <v>0.24</v>
      </c>
      <c r="C56" s="94">
        <f t="shared" si="74"/>
        <v>3.7199999999999998</v>
      </c>
      <c r="D56" s="93">
        <f>Tabela05!K7</f>
        <v>0.15</v>
      </c>
      <c r="E56" s="94">
        <f t="shared" si="74"/>
        <v>2.3249999999999997</v>
      </c>
      <c r="F56" s="93">
        <f>Tabela05!L7</f>
        <v>0.1492</v>
      </c>
      <c r="G56" s="94">
        <f t="shared" ref="G56" si="79">$M$52*F56</f>
        <v>2.3125999999999998</v>
      </c>
      <c r="H56" s="93">
        <f>Tabela05!M7</f>
        <v>3.2300000000000002E-2</v>
      </c>
      <c r="I56" s="94">
        <f t="shared" ref="I56" si="80">$M$52*H56</f>
        <v>0.50065000000000004</v>
      </c>
      <c r="J56" s="93">
        <f>Tabela05!N7</f>
        <v>0.23849999999999999</v>
      </c>
      <c r="K56" s="94">
        <f t="shared" ref="K56" si="81">$M$52*J56</f>
        <v>3.6967499999999998</v>
      </c>
      <c r="L56" s="93">
        <f>Tabela05!O7</f>
        <v>0.19</v>
      </c>
      <c r="M56" s="94">
        <f t="shared" ref="M56" si="82">$M$52*L56</f>
        <v>2.9449999999999998</v>
      </c>
    </row>
    <row r="57" spans="2:14" ht="24.95" customHeight="1">
      <c r="B57" s="93">
        <f>Tabela05!J8</f>
        <v>0.21</v>
      </c>
      <c r="C57" s="94">
        <f t="shared" si="74"/>
        <v>3.2549999999999999</v>
      </c>
      <c r="D57" s="93">
        <f>Tabela05!K8</f>
        <v>0.15</v>
      </c>
      <c r="E57" s="94">
        <f t="shared" si="74"/>
        <v>2.3249999999999997</v>
      </c>
      <c r="F57" s="93">
        <f>Tabela05!L8</f>
        <v>0.15740000000000001</v>
      </c>
      <c r="G57" s="94">
        <f t="shared" ref="G57" si="83">$M$52*F57</f>
        <v>2.4397000000000002</v>
      </c>
      <c r="H57" s="93">
        <f>Tabela05!M8</f>
        <v>3.4099999999999998E-2</v>
      </c>
      <c r="I57" s="94">
        <f t="shared" ref="I57" si="84">$M$52*H57</f>
        <v>0.52854999999999996</v>
      </c>
      <c r="J57" s="93">
        <f>Tabela05!N8</f>
        <v>0.23849999999999999</v>
      </c>
      <c r="K57" s="94">
        <f t="shared" ref="K57" si="85">$M$52*J57</f>
        <v>3.6967499999999998</v>
      </c>
      <c r="L57" s="93">
        <f>Tabela05!O8</f>
        <v>0.21</v>
      </c>
      <c r="M57" s="94">
        <f t="shared" ref="M57" si="86">$M$52*L57</f>
        <v>3.2549999999999999</v>
      </c>
    </row>
    <row r="58" spans="2:14" ht="24.95" customHeight="1">
      <c r="B58" s="93">
        <f>Tabela05!J9</f>
        <v>0.23</v>
      </c>
      <c r="C58" s="94">
        <f t="shared" si="74"/>
        <v>3.5649999999999999</v>
      </c>
      <c r="D58" s="93">
        <f>Tabela05!K9</f>
        <v>0.125</v>
      </c>
      <c r="E58" s="94">
        <f t="shared" si="74"/>
        <v>1.9375</v>
      </c>
      <c r="F58" s="93">
        <f>Tabela05!L9</f>
        <v>0.14099999999999999</v>
      </c>
      <c r="G58" s="94">
        <f t="shared" ref="G58" si="87">$M$52*F58</f>
        <v>2.1854999999999998</v>
      </c>
      <c r="H58" s="93">
        <f>Tabela05!M9</f>
        <v>3.0499999999999999E-2</v>
      </c>
      <c r="I58" s="94">
        <f t="shared" ref="I58" si="88">$M$52*H58</f>
        <v>0.47275</v>
      </c>
      <c r="J58" s="93">
        <f>Tabela05!N9</f>
        <v>0.23849999999999999</v>
      </c>
      <c r="K58" s="94">
        <f t="shared" ref="K58" si="89">$M$52*J58</f>
        <v>3.6967499999999998</v>
      </c>
      <c r="L58" s="93">
        <f>Tabela05!O9</f>
        <v>0.23499999999999999</v>
      </c>
      <c r="M58" s="94">
        <f t="shared" ref="M58" si="90">$M$52*L58</f>
        <v>3.6424999999999996</v>
      </c>
    </row>
    <row r="59" spans="2:14" ht="24.95" customHeight="1">
      <c r="B59" s="93">
        <f>Tabela05!J10</f>
        <v>0.35</v>
      </c>
      <c r="C59" s="94">
        <f t="shared" si="74"/>
        <v>5.4249999999999998</v>
      </c>
      <c r="D59" s="93">
        <f>Tabela05!K10</f>
        <v>0.155</v>
      </c>
      <c r="E59" s="94">
        <f t="shared" si="74"/>
        <v>2.4024999999999999</v>
      </c>
      <c r="F59" s="93">
        <f>Tabela05!L10</f>
        <v>0.16439999999999999</v>
      </c>
      <c r="G59" s="94">
        <f t="shared" ref="G59" si="91">$M$52*F59</f>
        <v>2.5482</v>
      </c>
      <c r="H59" s="93">
        <f>Tabela05!M10</f>
        <v>3.56E-2</v>
      </c>
      <c r="I59" s="94">
        <f t="shared" ref="I59" si="92">$M$52*H59</f>
        <v>0.55179999999999996</v>
      </c>
      <c r="J59" s="93">
        <f>Tabela05!N10</f>
        <v>0.29499999999999998</v>
      </c>
      <c r="K59" s="94">
        <f t="shared" ref="K59" si="93">$M$52*J59</f>
        <v>4.5724999999999998</v>
      </c>
      <c r="L59" s="91"/>
      <c r="M59" s="94">
        <f t="shared" ref="M59" si="94">$M$52*L59</f>
        <v>0</v>
      </c>
    </row>
  </sheetData>
  <mergeCells count="2">
    <mergeCell ref="H32:H34"/>
    <mergeCell ref="H47:H49"/>
  </mergeCells>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tabColor rgb="FFFFC000"/>
  </sheetPr>
  <dimension ref="B1:B2"/>
  <sheetViews>
    <sheetView showGridLines="0" workbookViewId="0">
      <selection activeCell="D6" sqref="D6"/>
    </sheetView>
  </sheetViews>
  <sheetFormatPr defaultColWidth="20.7109375" defaultRowHeight="24.95" customHeight="1"/>
  <cols>
    <col min="1" max="1" width="6.7109375" style="27" customWidth="1"/>
    <col min="2" max="16384" width="20.7109375" style="27"/>
  </cols>
  <sheetData>
    <row r="1" spans="2:2" s="28" customFormat="1" ht="24.95" customHeight="1"/>
    <row r="2" spans="2:2" s="30" customFormat="1" ht="24.95" customHeight="1">
      <c r="B2" s="29" t="s">
        <v>0</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4">
    <tabColor rgb="FF00C5C0"/>
  </sheetPr>
  <dimension ref="C1:V29"/>
  <sheetViews>
    <sheetView showGridLines="0" showRowColHeaders="0" workbookViewId="0">
      <pane ySplit="2" topLeftCell="A3" activePane="bottomLeft" state="frozen"/>
      <selection pane="bottomLeft" activeCell="Z5" sqref="Z5"/>
    </sheetView>
  </sheetViews>
  <sheetFormatPr defaultRowHeight="15" customHeight="1"/>
  <cols>
    <col min="1" max="1" width="2.7109375" style="11" customWidth="1"/>
    <col min="2" max="3" width="5.7109375" style="11" customWidth="1"/>
    <col min="4" max="4" width="9.140625" style="11"/>
    <col min="5" max="5" width="2.7109375" style="11" customWidth="1"/>
    <col min="6" max="6" width="9.140625" style="11" customWidth="1"/>
    <col min="7" max="16384" width="9.140625" style="11"/>
  </cols>
  <sheetData>
    <row r="1" spans="3:17" s="1" customFormat="1" ht="35.1" customHeight="1"/>
    <row r="2" spans="3:17" s="3" customFormat="1" ht="30" customHeight="1"/>
    <row r="5" spans="3:17" ht="15" customHeight="1">
      <c r="C5" s="12" t="s">
        <v>4</v>
      </c>
      <c r="D5" s="13"/>
      <c r="E5" s="13"/>
      <c r="F5" s="13"/>
      <c r="G5" s="13"/>
      <c r="H5" s="13"/>
      <c r="I5" s="13"/>
      <c r="J5" s="13"/>
      <c r="K5" s="13"/>
      <c r="L5" s="13"/>
      <c r="M5" s="13"/>
      <c r="N5" s="13"/>
      <c r="O5" s="13"/>
    </row>
    <row r="6" spans="3:17" ht="15" customHeight="1">
      <c r="C6" s="14" t="s">
        <v>5</v>
      </c>
      <c r="D6" s="13"/>
      <c r="E6" s="13"/>
      <c r="F6" s="13"/>
      <c r="G6" s="13"/>
      <c r="H6" s="13"/>
      <c r="I6" s="13"/>
      <c r="J6" s="13"/>
      <c r="K6" s="13"/>
      <c r="L6" s="13"/>
      <c r="M6" s="13"/>
      <c r="N6" s="13"/>
      <c r="O6" s="13"/>
    </row>
    <row r="7" spans="3:17" ht="15" customHeight="1">
      <c r="P7" s="15" t="s">
        <v>6</v>
      </c>
      <c r="Q7" s="16" t="s">
        <v>7</v>
      </c>
    </row>
    <row r="8" spans="3:17" ht="15" customHeight="1">
      <c r="D8" s="16"/>
      <c r="F8" s="16"/>
      <c r="G8" s="17"/>
      <c r="P8" s="15"/>
      <c r="Q8" s="25" t="s">
        <v>24</v>
      </c>
    </row>
    <row r="9" spans="3:17" ht="15" customHeight="1">
      <c r="D9" s="16"/>
      <c r="F9" s="16"/>
      <c r="P9" s="15"/>
      <c r="Q9" s="16"/>
    </row>
    <row r="10" spans="3:17" ht="15" customHeight="1">
      <c r="D10" s="16" t="s">
        <v>8</v>
      </c>
      <c r="F10" s="16"/>
      <c r="G10" s="24" t="s">
        <v>22</v>
      </c>
      <c r="P10" s="15" t="s">
        <v>6</v>
      </c>
      <c r="Q10" s="16" t="s">
        <v>9</v>
      </c>
    </row>
    <row r="11" spans="3:17" ht="15" customHeight="1">
      <c r="F11" s="16"/>
      <c r="P11" s="15"/>
      <c r="Q11" s="25" t="s">
        <v>25</v>
      </c>
    </row>
    <row r="12" spans="3:17" ht="15" customHeight="1">
      <c r="D12" s="16" t="s">
        <v>10</v>
      </c>
      <c r="F12" s="16"/>
      <c r="G12" s="18" t="s">
        <v>11</v>
      </c>
      <c r="P12" s="15"/>
      <c r="Q12" s="16"/>
    </row>
    <row r="13" spans="3:17" ht="15" customHeight="1">
      <c r="F13" s="16"/>
      <c r="P13" s="15" t="s">
        <v>12</v>
      </c>
      <c r="Q13" s="16" t="s">
        <v>13</v>
      </c>
    </row>
    <row r="14" spans="3:17" ht="15" customHeight="1">
      <c r="D14" s="16" t="s">
        <v>14</v>
      </c>
      <c r="F14" s="16"/>
      <c r="G14" s="25" t="s">
        <v>23</v>
      </c>
      <c r="P14" s="15"/>
      <c r="Q14" s="25" t="s">
        <v>26</v>
      </c>
    </row>
    <row r="15" spans="3:17" ht="15" customHeight="1">
      <c r="F15" s="16"/>
      <c r="P15" s="15"/>
      <c r="Q15" s="16"/>
    </row>
    <row r="16" spans="3:17" ht="15" customHeight="1">
      <c r="D16" s="16"/>
      <c r="F16" s="16"/>
      <c r="G16" s="19"/>
      <c r="P16" s="15" t="s">
        <v>12</v>
      </c>
      <c r="Q16" s="16" t="s">
        <v>15</v>
      </c>
    </row>
    <row r="17" spans="4:22" ht="15" customHeight="1">
      <c r="P17" s="15"/>
      <c r="Q17" s="25" t="s">
        <v>27</v>
      </c>
    </row>
    <row r="18" spans="4:22" ht="15" customHeight="1">
      <c r="Q18" s="16"/>
    </row>
    <row r="19" spans="4:22" ht="15" customHeight="1">
      <c r="D19" s="16"/>
    </row>
    <row r="21" spans="4:22" ht="15" customHeight="1">
      <c r="D21" s="16" t="s">
        <v>16</v>
      </c>
    </row>
    <row r="22" spans="4:22" ht="15" customHeight="1">
      <c r="D22" s="16"/>
    </row>
    <row r="23" spans="4:22" ht="15" customHeight="1">
      <c r="D23" s="16" t="s">
        <v>17</v>
      </c>
    </row>
    <row r="24" spans="4:22" ht="15" customHeight="1">
      <c r="D24" s="16"/>
    </row>
    <row r="25" spans="4:22" ht="15" customHeight="1">
      <c r="D25" s="16" t="s">
        <v>18</v>
      </c>
      <c r="L25" s="20"/>
    </row>
    <row r="26" spans="4:22" ht="15" customHeight="1">
      <c r="D26" s="16"/>
    </row>
    <row r="27" spans="4:22" ht="15" customHeight="1">
      <c r="D27" s="16" t="s">
        <v>19</v>
      </c>
    </row>
    <row r="28" spans="4:22" ht="15" customHeight="1">
      <c r="V28" s="21" t="s">
        <v>21</v>
      </c>
    </row>
    <row r="29" spans="4:22" ht="15" customHeight="1">
      <c r="V29" s="21" t="s">
        <v>20</v>
      </c>
    </row>
  </sheetData>
  <sheetProtection algorithmName="SHA-512" hashValue="oEK4g0/0DslChWJo9CrRlg2mUCQLnHIuCfhFnQzb6bW32xA+CtpyrzQ/n4lh7g+S5FJZZx4NbugEksXkO+jsIQ==" saltValue="+gqtrjktCEM4+K3SX9C8Ag==" spinCount="100000" sheet="1" objects="1" scenarios="1" selectLockedCells="1" selectUnlockedCells="1"/>
  <conditionalFormatting sqref="B8">
    <cfRule type="iconSet" priority="11">
      <iconSet>
        <cfvo type="percent" val="0"/>
        <cfvo type="percent" val="33"/>
        <cfvo type="percent" val="67"/>
      </iconSet>
    </cfRule>
  </conditionalFormatting>
  <conditionalFormatting sqref="B10">
    <cfRule type="iconSet" priority="10">
      <iconSet>
        <cfvo type="percent" val="0"/>
        <cfvo type="percent" val="33"/>
        <cfvo type="percent" val="67"/>
      </iconSet>
    </cfRule>
  </conditionalFormatting>
  <conditionalFormatting sqref="B12">
    <cfRule type="iconSet" priority="9">
      <iconSet>
        <cfvo type="percent" val="0"/>
        <cfvo type="percent" val="33"/>
        <cfvo type="percent" val="67"/>
      </iconSet>
    </cfRule>
  </conditionalFormatting>
  <conditionalFormatting sqref="B14">
    <cfRule type="iconSet" priority="8">
      <iconSet>
        <cfvo type="percent" val="0"/>
        <cfvo type="percent" val="33"/>
        <cfvo type="percent" val="67"/>
      </iconSet>
    </cfRule>
  </conditionalFormatting>
  <conditionalFormatting sqref="B16">
    <cfRule type="iconSet" priority="7">
      <iconSet>
        <cfvo type="percent" val="0"/>
        <cfvo type="percent" val="33"/>
        <cfvo type="percent" val="67"/>
      </iconSet>
    </cfRule>
  </conditionalFormatting>
  <conditionalFormatting sqref="C8">
    <cfRule type="iconSet" priority="6">
      <iconSet>
        <cfvo type="percent" val="0"/>
        <cfvo type="percent" val="33"/>
        <cfvo type="percent" val="67"/>
      </iconSet>
    </cfRule>
  </conditionalFormatting>
  <conditionalFormatting sqref="C10">
    <cfRule type="iconSet" priority="5">
      <iconSet>
        <cfvo type="percent" val="0"/>
        <cfvo type="percent" val="33"/>
        <cfvo type="percent" val="67"/>
      </iconSet>
    </cfRule>
  </conditionalFormatting>
  <conditionalFormatting sqref="C12">
    <cfRule type="iconSet" priority="4">
      <iconSet>
        <cfvo type="percent" val="0"/>
        <cfvo type="percent" val="33"/>
        <cfvo type="percent" val="67"/>
      </iconSet>
    </cfRule>
  </conditionalFormatting>
  <conditionalFormatting sqref="C16">
    <cfRule type="iconSet" priority="2">
      <iconSet>
        <cfvo type="percent" val="0"/>
        <cfvo type="percent" val="33"/>
        <cfvo type="percent" val="67"/>
      </iconSet>
    </cfRule>
  </conditionalFormatting>
  <conditionalFormatting sqref="C14">
    <cfRule type="iconSet" priority="1">
      <iconSet>
        <cfvo type="percent" val="0"/>
        <cfvo type="percent" val="33"/>
        <cfvo type="percent" val="67"/>
      </iconSet>
    </cfRule>
  </conditionalFormatting>
  <hyperlinks>
    <hyperlink ref="G12" r:id="rId1"/>
    <hyperlink ref="G14" r:id="rId2" display="http://www.onsidecorporation.com.br/"/>
    <hyperlink ref="Q8" r:id="rId3"/>
    <hyperlink ref="Q11" r:id="rId4"/>
    <hyperlink ref="Q14" r:id="rId5"/>
    <hyperlink ref="Q17" r:id="rId6"/>
  </hyperlinks>
  <pageMargins left="0.511811024" right="0.511811024" top="0.78740157499999996" bottom="0.78740157499999996" header="0.31496062000000002" footer="0.31496062000000002"/>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7" r:id="rId10" name="Group Box 3">
              <controlPr defaultSize="0" autoFill="0" autoPict="0">
                <anchor moveWithCells="1">
                  <from>
                    <xdr:col>1</xdr:col>
                    <xdr:colOff>180975</xdr:colOff>
                    <xdr:row>18</xdr:row>
                    <xdr:rowOff>57150</xdr:rowOff>
                  </from>
                  <to>
                    <xdr:col>22</xdr:col>
                    <xdr:colOff>438150</xdr:colOff>
                    <xdr:row>30</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tabColor theme="1"/>
  </sheetPr>
  <dimension ref="B3:D9"/>
  <sheetViews>
    <sheetView showGridLines="0" showRowColHeaders="0" workbookViewId="0">
      <selection activeCell="I12" sqref="I12"/>
    </sheetView>
  </sheetViews>
  <sheetFormatPr defaultRowHeight="15"/>
  <sheetData>
    <row r="3" spans="2:4">
      <c r="B3" s="32"/>
      <c r="C3" s="26" t="s">
        <v>29</v>
      </c>
      <c r="D3" s="39"/>
    </row>
    <row r="4" spans="2:4">
      <c r="B4" s="33"/>
      <c r="C4" s="26" t="s">
        <v>30</v>
      </c>
      <c r="D4" s="45"/>
    </row>
    <row r="5" spans="2:4">
      <c r="B5" s="34"/>
      <c r="C5" s="26" t="s">
        <v>31</v>
      </c>
      <c r="D5" s="44"/>
    </row>
    <row r="6" spans="2:4">
      <c r="B6" s="35"/>
      <c r="C6" s="26" t="s">
        <v>32</v>
      </c>
      <c r="D6" s="43"/>
    </row>
    <row r="7" spans="2:4">
      <c r="B7" s="36"/>
      <c r="C7" s="26" t="s">
        <v>33</v>
      </c>
      <c r="D7" s="42"/>
    </row>
    <row r="8" spans="2:4">
      <c r="B8" s="37"/>
      <c r="C8" s="26" t="s">
        <v>34</v>
      </c>
      <c r="D8" s="41"/>
    </row>
    <row r="9" spans="2:4">
      <c r="B9" s="38"/>
      <c r="C9" s="26" t="s">
        <v>35</v>
      </c>
      <c r="D9" s="40"/>
    </row>
  </sheetData>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rgb="FFFF2F2F"/>
  </sheetPr>
  <dimension ref="A1"/>
  <sheetViews>
    <sheetView showGridLines="0" showRowColHeaders="0" tabSelected="1" workbookViewId="0"/>
  </sheetViews>
  <sheetFormatPr defaultRowHeight="15"/>
  <cols>
    <col min="1" max="16384" width="9.140625" style="23"/>
  </cols>
  <sheetData/>
  <sheetProtection algorithmName="SHA-512" hashValue="WCbkNOrMeN4b6vs66Kt2c6NrLMfiiajR4QD/g2Z4xTkoqxgTHRYTvW+VaBvGZLgVaS5agBhQ6mL1ena1dzl41Q==" saltValue="ATQ3HLgPXOaAAM31AFfNOw=="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7">
    <tabColor rgb="FF00C5C0"/>
  </sheetPr>
  <dimension ref="A1:A2"/>
  <sheetViews>
    <sheetView showGridLines="0" showRowColHeaders="0" workbookViewId="0">
      <pane ySplit="41" topLeftCell="A42" activePane="bottomLeft" state="frozen"/>
      <selection pane="bottomLeft"/>
    </sheetView>
  </sheetViews>
  <sheetFormatPr defaultRowHeight="15"/>
  <cols>
    <col min="1" max="16384" width="9.140625" style="23"/>
  </cols>
  <sheetData>
    <row r="1" s="22" customFormat="1"/>
    <row r="2" s="22" customFormat="1"/>
  </sheetData>
  <sheetProtection algorithmName="SHA-512" hashValue="mKm3BjT2RDYmUJksZZBhKJIDa0hYqv77YDzKFfvbsZnurz7He5v68R3zYXTcIXOH0wpdl0jzzRgyJQfeY2Wywg==" saltValue="rRtvF6YNtAB9sqCFjrqiww=="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8">
    <tabColor rgb="FF00C5C0"/>
  </sheetPr>
  <dimension ref="A1:Y33"/>
  <sheetViews>
    <sheetView showGridLines="0" showRowColHeaders="0" workbookViewId="0">
      <pane ySplit="2" topLeftCell="A3" activePane="bottomLeft" state="frozen"/>
      <selection pane="bottomLeft" activeCell="L9" sqref="L9"/>
    </sheetView>
  </sheetViews>
  <sheetFormatPr defaultRowHeight="15" customHeight="1"/>
  <cols>
    <col min="1" max="2" width="1.7109375" style="1" customWidth="1"/>
    <col min="3" max="3" width="2.7109375" style="1" customWidth="1"/>
    <col min="4" max="16384" width="9.140625" style="1"/>
  </cols>
  <sheetData>
    <row r="1" spans="1:25" ht="35.1" customHeight="1"/>
    <row r="2" spans="1:25" s="3" customFormat="1" ht="30" customHeight="1"/>
    <row r="3" spans="1:25" s="10" customFormat="1" ht="15" customHeight="1"/>
    <row r="4" spans="1:25" s="10" customFormat="1" ht="15" customHeight="1">
      <c r="L4" s="5"/>
      <c r="M4" s="5"/>
      <c r="N4" s="5"/>
      <c r="O4" s="5"/>
      <c r="P4" s="5"/>
      <c r="Q4" s="5"/>
      <c r="R4" s="5"/>
      <c r="S4" s="5"/>
      <c r="T4" s="5"/>
      <c r="U4" s="5"/>
      <c r="V4" s="5"/>
      <c r="W4" s="5"/>
      <c r="X4" s="5"/>
      <c r="Y4" s="5"/>
    </row>
    <row r="5" spans="1:25" s="10" customFormat="1" ht="15" customHeight="1">
      <c r="L5" s="5"/>
      <c r="M5" s="5"/>
      <c r="N5" s="5"/>
      <c r="O5" s="5"/>
      <c r="P5" s="5"/>
      <c r="Q5" s="5"/>
      <c r="R5" s="5"/>
      <c r="S5" s="5"/>
      <c r="T5" s="5"/>
      <c r="U5" s="5"/>
      <c r="V5" s="5"/>
      <c r="W5" s="5"/>
      <c r="X5" s="5"/>
      <c r="Y5" s="5"/>
    </row>
    <row r="6" spans="1:25" s="10" customFormat="1" ht="15" customHeight="1">
      <c r="L6" s="5"/>
      <c r="M6" s="5"/>
      <c r="N6" s="5"/>
      <c r="O6" s="5"/>
      <c r="P6" s="5"/>
      <c r="Q6" s="5"/>
      <c r="R6" s="5"/>
      <c r="S6" s="5"/>
      <c r="T6" s="5"/>
      <c r="U6" s="5"/>
      <c r="V6" s="5"/>
      <c r="W6" s="5"/>
      <c r="X6" s="5"/>
      <c r="Y6" s="5"/>
    </row>
    <row r="7" spans="1:25" s="10" customFormat="1" ht="15" customHeight="1">
      <c r="L7" s="5"/>
      <c r="M7" s="5"/>
      <c r="N7" s="5"/>
      <c r="O7" s="5"/>
      <c r="P7" s="5"/>
      <c r="Q7" s="5"/>
      <c r="R7" s="5"/>
      <c r="S7" s="5"/>
      <c r="T7" s="5"/>
      <c r="U7" s="5"/>
      <c r="V7" s="5"/>
      <c r="W7" s="5"/>
      <c r="X7" s="5"/>
      <c r="Y7" s="5"/>
    </row>
    <row r="8" spans="1:25" s="10" customFormat="1" ht="15" customHeight="1">
      <c r="L8" s="5"/>
      <c r="M8" s="5"/>
      <c r="N8" s="5"/>
      <c r="O8" s="5"/>
      <c r="P8" s="5"/>
      <c r="Q8" s="5"/>
      <c r="R8" s="5"/>
      <c r="S8" s="5"/>
      <c r="T8" s="5"/>
      <c r="U8" s="5"/>
      <c r="V8" s="5"/>
      <c r="W8" s="5"/>
      <c r="X8" s="5"/>
      <c r="Y8" s="5"/>
    </row>
    <row r="9" spans="1:25" s="10" customFormat="1" ht="15" customHeight="1">
      <c r="L9" s="5"/>
      <c r="M9" s="5"/>
      <c r="N9" s="5"/>
      <c r="O9" s="5"/>
      <c r="P9" s="5"/>
      <c r="Q9" s="5"/>
      <c r="R9" s="5"/>
      <c r="S9" s="5"/>
      <c r="T9" s="5"/>
      <c r="U9" s="5"/>
      <c r="V9" s="5"/>
      <c r="W9" s="5"/>
      <c r="X9" s="5"/>
      <c r="Y9" s="5"/>
    </row>
    <row r="10" spans="1:25" s="10" customFormat="1" ht="15" customHeight="1">
      <c r="L10" s="5"/>
      <c r="M10" s="5"/>
      <c r="N10" s="5"/>
      <c r="O10" s="5"/>
      <c r="P10" s="5"/>
      <c r="Q10" s="5"/>
      <c r="R10" s="5"/>
      <c r="S10" s="5"/>
      <c r="T10" s="5"/>
      <c r="U10" s="5"/>
      <c r="V10" s="5"/>
      <c r="W10" s="5"/>
      <c r="X10" s="5"/>
      <c r="Y10" s="5"/>
    </row>
    <row r="11" spans="1:25" s="10" customFormat="1" ht="15" customHeight="1">
      <c r="L11" s="5"/>
      <c r="M11" s="5"/>
      <c r="N11" s="5"/>
      <c r="O11" s="5"/>
      <c r="P11" s="5"/>
      <c r="Q11" s="5"/>
      <c r="R11" s="5"/>
      <c r="S11" s="5"/>
      <c r="T11" s="5"/>
      <c r="U11" s="5"/>
      <c r="V11" s="5"/>
      <c r="W11" s="5"/>
      <c r="X11" s="5"/>
      <c r="Y11" s="5"/>
    </row>
    <row r="12" spans="1:25" s="10" customFormat="1" ht="15" customHeight="1">
      <c r="L12" s="5"/>
      <c r="M12" s="5"/>
      <c r="N12" s="5"/>
      <c r="O12" s="5"/>
      <c r="P12" s="5"/>
      <c r="Q12" s="5"/>
      <c r="R12" s="5"/>
      <c r="S12" s="5"/>
      <c r="T12" s="5"/>
      <c r="U12" s="5"/>
      <c r="V12" s="5"/>
      <c r="W12" s="5"/>
      <c r="X12" s="5"/>
      <c r="Y12" s="5"/>
    </row>
    <row r="13" spans="1:25" s="10" customFormat="1" ht="15" customHeight="1">
      <c r="L13" s="5"/>
      <c r="M13" s="5"/>
      <c r="N13" s="5"/>
      <c r="O13" s="5"/>
      <c r="P13" s="5"/>
      <c r="Q13" s="5"/>
      <c r="R13" s="5"/>
      <c r="S13" s="5"/>
      <c r="T13" s="5"/>
      <c r="U13" s="5"/>
      <c r="V13" s="5"/>
      <c r="W13" s="5"/>
      <c r="X13" s="5"/>
      <c r="Y13" s="5"/>
    </row>
    <row r="14" spans="1:25" s="10" customFormat="1" ht="15" customHeight="1">
      <c r="A14" s="4"/>
      <c r="B14" s="5"/>
      <c r="C14" s="5"/>
      <c r="D14" s="5"/>
      <c r="E14" s="5"/>
      <c r="F14" s="5"/>
      <c r="G14" s="5"/>
      <c r="H14" s="5"/>
      <c r="I14" s="5"/>
      <c r="J14" s="5"/>
      <c r="K14" s="5"/>
      <c r="L14" s="5"/>
      <c r="M14" s="5"/>
      <c r="N14" s="5"/>
      <c r="O14" s="5"/>
      <c r="P14" s="5"/>
      <c r="Q14" s="5"/>
      <c r="R14" s="5"/>
      <c r="S14" s="5"/>
      <c r="T14" s="5"/>
      <c r="U14" s="5"/>
      <c r="V14" s="5"/>
      <c r="W14" s="5"/>
      <c r="X14" s="5"/>
      <c r="Y14" s="5"/>
    </row>
    <row r="15" spans="1:25" s="10" customFormat="1" ht="15" customHeight="1">
      <c r="A15" s="4"/>
      <c r="B15" s="5"/>
      <c r="C15" s="5"/>
      <c r="D15" s="5"/>
      <c r="E15" s="5"/>
      <c r="F15" s="5"/>
      <c r="G15" s="5"/>
      <c r="H15" s="5"/>
      <c r="I15" s="5"/>
      <c r="J15" s="5"/>
      <c r="K15" s="5"/>
      <c r="L15" s="5"/>
      <c r="M15" s="5"/>
      <c r="N15" s="5"/>
      <c r="O15" s="5"/>
      <c r="P15" s="5"/>
      <c r="Q15" s="5"/>
      <c r="R15" s="5"/>
      <c r="S15" s="5"/>
      <c r="T15" s="5"/>
      <c r="U15" s="5"/>
      <c r="V15" s="5"/>
      <c r="W15" s="5"/>
      <c r="X15" s="5"/>
      <c r="Y15" s="5"/>
    </row>
    <row r="16" spans="1:25" s="10" customFormat="1" ht="15" customHeight="1">
      <c r="A16" s="4"/>
      <c r="B16" s="5"/>
      <c r="E16" s="5"/>
      <c r="F16" s="5"/>
      <c r="G16" s="5"/>
      <c r="H16" s="5"/>
      <c r="I16" s="5"/>
      <c r="J16" s="5"/>
      <c r="K16" s="5"/>
      <c r="L16" s="5"/>
      <c r="M16" s="5"/>
      <c r="N16" s="5"/>
      <c r="O16" s="5"/>
      <c r="P16" s="5"/>
      <c r="Q16" s="5"/>
      <c r="R16" s="5"/>
      <c r="S16" s="5"/>
      <c r="T16" s="5"/>
      <c r="U16" s="5"/>
      <c r="V16" s="5"/>
      <c r="W16" s="5"/>
      <c r="X16" s="5"/>
      <c r="Y16" s="5"/>
    </row>
    <row r="17" spans="1:25" s="10" customFormat="1" ht="15" customHeight="1">
      <c r="A17" s="4"/>
      <c r="B17" s="5"/>
      <c r="E17" s="5"/>
      <c r="F17" s="5"/>
      <c r="G17" s="5"/>
      <c r="H17" s="5"/>
      <c r="I17" s="5"/>
      <c r="J17" s="5"/>
      <c r="K17" s="5"/>
      <c r="L17" s="5"/>
      <c r="M17" s="5"/>
      <c r="N17" s="5"/>
      <c r="O17" s="5"/>
      <c r="P17" s="5"/>
      <c r="Q17" s="5"/>
      <c r="R17" s="5"/>
      <c r="S17" s="5"/>
      <c r="T17" s="5"/>
      <c r="U17" s="5"/>
      <c r="V17" s="5"/>
      <c r="W17" s="5"/>
      <c r="X17" s="5"/>
      <c r="Y17" s="5"/>
    </row>
    <row r="18" spans="1:25" s="10" customFormat="1" ht="15" customHeight="1">
      <c r="A18" s="4"/>
      <c r="B18" s="5"/>
      <c r="E18" s="5"/>
      <c r="F18" s="5"/>
      <c r="G18" s="5"/>
      <c r="H18" s="5"/>
      <c r="I18" s="5"/>
      <c r="J18" s="5"/>
      <c r="K18" s="5"/>
      <c r="L18" s="5"/>
      <c r="M18" s="5"/>
      <c r="N18" s="5"/>
      <c r="O18" s="5"/>
      <c r="P18" s="5"/>
      <c r="Q18" s="5"/>
      <c r="R18" s="5"/>
      <c r="S18" s="5"/>
      <c r="T18" s="5"/>
      <c r="U18" s="5"/>
      <c r="V18" s="5"/>
      <c r="W18" s="5"/>
      <c r="X18" s="5"/>
      <c r="Y18" s="5"/>
    </row>
    <row r="19" spans="1:25" s="10" customFormat="1" ht="15" customHeight="1">
      <c r="A19" s="4"/>
      <c r="B19" s="5"/>
      <c r="C19" s="6"/>
      <c r="D19" s="6"/>
      <c r="E19" s="6"/>
      <c r="F19" s="6"/>
      <c r="G19" s="6"/>
      <c r="H19" s="6"/>
      <c r="I19" s="6"/>
      <c r="J19" s="6"/>
      <c r="K19" s="6"/>
      <c r="L19" s="6"/>
      <c r="M19" s="6"/>
      <c r="N19" s="6"/>
      <c r="O19" s="6"/>
      <c r="P19" s="6"/>
      <c r="Q19" s="6"/>
      <c r="R19" s="5"/>
      <c r="S19" s="5"/>
      <c r="T19" s="5"/>
      <c r="U19" s="5"/>
      <c r="V19" s="5"/>
      <c r="W19" s="5"/>
      <c r="X19" s="5"/>
      <c r="Y19" s="5"/>
    </row>
    <row r="20" spans="1:25" s="10" customFormat="1" ht="15" customHeight="1">
      <c r="A20" s="4"/>
      <c r="B20" s="5"/>
      <c r="C20" s="5"/>
      <c r="D20" s="5"/>
      <c r="E20" s="5"/>
      <c r="F20" s="5"/>
      <c r="G20" s="5"/>
      <c r="H20" s="5"/>
      <c r="I20" s="5"/>
      <c r="J20" s="5"/>
      <c r="K20" s="5"/>
      <c r="L20" s="5"/>
      <c r="M20" s="5"/>
      <c r="N20" s="5"/>
      <c r="O20" s="5"/>
      <c r="P20" s="5"/>
      <c r="Q20" s="7"/>
      <c r="R20" s="5"/>
      <c r="S20" s="5"/>
      <c r="T20" s="5"/>
      <c r="U20" s="5"/>
      <c r="V20" s="5"/>
      <c r="W20" s="5"/>
      <c r="X20" s="5"/>
      <c r="Y20" s="5"/>
    </row>
    <row r="21" spans="1:25" s="10" customFormat="1" ht="15" customHeight="1">
      <c r="A21" s="4"/>
      <c r="B21" s="5"/>
      <c r="C21" s="226" t="s">
        <v>1</v>
      </c>
      <c r="D21" s="226"/>
      <c r="E21" s="226"/>
      <c r="F21" s="226"/>
      <c r="G21" s="226"/>
      <c r="H21" s="226"/>
      <c r="I21" s="226"/>
      <c r="J21" s="226"/>
      <c r="K21" s="226"/>
      <c r="L21" s="226"/>
      <c r="M21" s="226"/>
      <c r="N21" s="226"/>
      <c r="O21" s="226"/>
      <c r="P21" s="226"/>
      <c r="Q21" s="226"/>
      <c r="R21" s="226"/>
      <c r="S21" s="226"/>
      <c r="T21" s="226"/>
      <c r="U21" s="226"/>
      <c r="V21" s="5"/>
      <c r="W21" s="5"/>
      <c r="X21" s="5"/>
      <c r="Y21" s="5"/>
    </row>
    <row r="22" spans="1:25" s="10" customFormat="1" ht="15" customHeight="1">
      <c r="A22" s="4"/>
      <c r="B22" s="5"/>
      <c r="C22" s="226"/>
      <c r="D22" s="226"/>
      <c r="E22" s="226"/>
      <c r="F22" s="226"/>
      <c r="G22" s="226"/>
      <c r="H22" s="226"/>
      <c r="I22" s="226"/>
      <c r="J22" s="226"/>
      <c r="K22" s="226"/>
      <c r="L22" s="226"/>
      <c r="M22" s="226"/>
      <c r="N22" s="226"/>
      <c r="O22" s="226"/>
      <c r="P22" s="226"/>
      <c r="Q22" s="226"/>
      <c r="R22" s="226"/>
      <c r="S22" s="226"/>
      <c r="T22" s="226"/>
      <c r="U22" s="226"/>
      <c r="V22" s="5"/>
      <c r="W22" s="5"/>
      <c r="X22" s="5"/>
      <c r="Y22" s="5"/>
    </row>
    <row r="23" spans="1:25" s="10" customFormat="1" ht="15" customHeight="1">
      <c r="A23" s="4"/>
      <c r="B23" s="5"/>
      <c r="C23" s="8"/>
      <c r="D23" s="8"/>
      <c r="E23" s="8"/>
      <c r="F23" s="8"/>
      <c r="G23" s="8"/>
      <c r="H23" s="8"/>
      <c r="I23" s="8"/>
      <c r="J23" s="8"/>
      <c r="K23" s="8"/>
      <c r="L23" s="8"/>
      <c r="M23" s="8"/>
      <c r="N23" s="8"/>
      <c r="O23" s="8"/>
      <c r="P23" s="8"/>
      <c r="Q23" s="8"/>
      <c r="R23" s="8"/>
      <c r="S23" s="8"/>
      <c r="T23" s="8"/>
      <c r="U23" s="8"/>
      <c r="V23" s="5"/>
      <c r="W23" s="5"/>
      <c r="X23" s="5"/>
      <c r="Y23" s="5"/>
    </row>
    <row r="24" spans="1:25" s="10" customFormat="1" ht="15" customHeight="1">
      <c r="A24" s="4"/>
      <c r="B24" s="5"/>
      <c r="C24" s="226" t="s">
        <v>2</v>
      </c>
      <c r="D24" s="226"/>
      <c r="E24" s="226"/>
      <c r="F24" s="226"/>
      <c r="G24" s="226"/>
      <c r="H24" s="226"/>
      <c r="I24" s="226"/>
      <c r="J24" s="226"/>
      <c r="K24" s="226"/>
      <c r="L24" s="226"/>
      <c r="M24" s="226"/>
      <c r="N24" s="226"/>
      <c r="O24" s="226"/>
      <c r="P24" s="226"/>
      <c r="Q24" s="226"/>
      <c r="R24" s="226"/>
      <c r="S24" s="226"/>
      <c r="T24" s="226"/>
      <c r="U24" s="226"/>
      <c r="V24" s="5"/>
      <c r="W24" s="5"/>
      <c r="X24" s="5"/>
      <c r="Y24" s="5"/>
    </row>
    <row r="25" spans="1:25" s="10" customFormat="1" ht="15" customHeight="1">
      <c r="A25" s="4"/>
      <c r="B25" s="5"/>
      <c r="C25" s="226"/>
      <c r="D25" s="226"/>
      <c r="E25" s="226"/>
      <c r="F25" s="226"/>
      <c r="G25" s="226"/>
      <c r="H25" s="226"/>
      <c r="I25" s="226"/>
      <c r="J25" s="226"/>
      <c r="K25" s="226"/>
      <c r="L25" s="226"/>
      <c r="M25" s="226"/>
      <c r="N25" s="226"/>
      <c r="O25" s="226"/>
      <c r="P25" s="226"/>
      <c r="Q25" s="226"/>
      <c r="R25" s="226"/>
      <c r="S25" s="226"/>
      <c r="T25" s="226"/>
      <c r="U25" s="226"/>
      <c r="V25" s="5"/>
      <c r="W25" s="5"/>
      <c r="X25" s="5"/>
      <c r="Y25" s="5"/>
    </row>
    <row r="26" spans="1:25" s="10" customFormat="1" ht="15" customHeight="1">
      <c r="A26" s="4"/>
      <c r="B26" s="5"/>
      <c r="C26" s="8"/>
      <c r="D26" s="8"/>
      <c r="E26" s="8"/>
      <c r="F26" s="8"/>
      <c r="G26" s="8"/>
      <c r="H26" s="8"/>
      <c r="I26" s="8"/>
      <c r="J26" s="8"/>
      <c r="K26" s="8"/>
      <c r="L26" s="8"/>
      <c r="M26" s="8"/>
      <c r="N26" s="8"/>
      <c r="O26" s="8"/>
      <c r="P26" s="8"/>
      <c r="Q26" s="8"/>
      <c r="R26" s="8"/>
      <c r="S26" s="8"/>
      <c r="T26" s="8"/>
      <c r="U26" s="8"/>
      <c r="V26" s="5"/>
      <c r="W26" s="5"/>
      <c r="X26" s="5"/>
      <c r="Y26" s="5"/>
    </row>
    <row r="27" spans="1:25" s="10" customFormat="1" ht="15" customHeight="1">
      <c r="A27" s="4"/>
      <c r="B27" s="5"/>
      <c r="C27" s="226" t="s">
        <v>3</v>
      </c>
      <c r="D27" s="226"/>
      <c r="E27" s="226"/>
      <c r="F27" s="226"/>
      <c r="G27" s="226"/>
      <c r="H27" s="226"/>
      <c r="I27" s="226"/>
      <c r="J27" s="226"/>
      <c r="K27" s="226"/>
      <c r="L27" s="226"/>
      <c r="M27" s="226"/>
      <c r="N27" s="226"/>
      <c r="O27" s="226"/>
      <c r="P27" s="226"/>
      <c r="Q27" s="226"/>
      <c r="R27" s="226"/>
      <c r="S27" s="226"/>
      <c r="T27" s="226"/>
      <c r="U27" s="226"/>
      <c r="V27" s="5"/>
      <c r="W27" s="5"/>
      <c r="X27" s="5"/>
      <c r="Y27" s="5"/>
    </row>
    <row r="28" spans="1:25" s="10" customFormat="1" ht="15" customHeight="1">
      <c r="A28" s="4"/>
      <c r="B28" s="5"/>
      <c r="C28" s="226"/>
      <c r="D28" s="226"/>
      <c r="E28" s="226"/>
      <c r="F28" s="226"/>
      <c r="G28" s="226"/>
      <c r="H28" s="226"/>
      <c r="I28" s="226"/>
      <c r="J28" s="226"/>
      <c r="K28" s="226"/>
      <c r="L28" s="226"/>
      <c r="M28" s="226"/>
      <c r="N28" s="226"/>
      <c r="O28" s="226"/>
      <c r="P28" s="226"/>
      <c r="Q28" s="226"/>
      <c r="R28" s="226"/>
      <c r="S28" s="226"/>
      <c r="T28" s="226"/>
      <c r="U28" s="226"/>
      <c r="V28" s="5"/>
      <c r="W28" s="5"/>
      <c r="X28" s="5"/>
      <c r="Y28" s="5"/>
    </row>
    <row r="29" spans="1:25" s="10" customFormat="1" ht="15" customHeight="1">
      <c r="A29" s="4"/>
      <c r="B29" s="5"/>
      <c r="C29" s="5"/>
      <c r="D29" s="5"/>
      <c r="E29" s="5"/>
      <c r="F29" s="5"/>
      <c r="G29" s="5"/>
      <c r="H29" s="5"/>
      <c r="I29" s="5"/>
      <c r="J29" s="5"/>
      <c r="K29" s="5"/>
      <c r="L29" s="5"/>
      <c r="M29" s="5"/>
      <c r="N29" s="5"/>
      <c r="O29" s="5"/>
      <c r="P29" s="5"/>
      <c r="Q29" s="5"/>
      <c r="R29" s="5"/>
      <c r="S29" s="5"/>
      <c r="T29" s="5"/>
      <c r="U29" s="5"/>
      <c r="V29" s="5"/>
      <c r="W29" s="5"/>
      <c r="X29" s="5"/>
      <c r="Y29" s="5"/>
    </row>
    <row r="30" spans="1:25" s="10" customFormat="1" ht="15" customHeight="1">
      <c r="A30" s="4"/>
      <c r="B30" s="5"/>
      <c r="C30" s="5"/>
      <c r="D30" s="5"/>
      <c r="E30" s="5"/>
      <c r="F30" s="5"/>
      <c r="G30" s="5"/>
      <c r="H30" s="5"/>
      <c r="I30" s="5"/>
      <c r="J30" s="5"/>
      <c r="K30" s="5"/>
      <c r="L30" s="5"/>
      <c r="M30" s="5"/>
      <c r="N30" s="5"/>
      <c r="O30" s="5"/>
      <c r="P30" s="5"/>
      <c r="Q30" s="5"/>
      <c r="R30" s="5"/>
      <c r="S30" s="5"/>
      <c r="T30" s="5"/>
      <c r="U30" s="5"/>
      <c r="V30" s="5"/>
      <c r="W30" s="5"/>
      <c r="X30" s="5"/>
      <c r="Y30" s="5"/>
    </row>
    <row r="31" spans="1:25" ht="15" customHeight="1">
      <c r="A31" s="9"/>
      <c r="B31" s="9"/>
      <c r="C31" s="9"/>
      <c r="D31" s="9"/>
      <c r="E31" s="9"/>
      <c r="F31" s="9"/>
      <c r="G31" s="9"/>
      <c r="H31" s="9"/>
      <c r="I31" s="9"/>
      <c r="J31" s="9"/>
      <c r="K31" s="9"/>
      <c r="L31" s="9"/>
      <c r="M31" s="9"/>
      <c r="N31" s="9"/>
      <c r="O31" s="9"/>
      <c r="P31" s="9"/>
      <c r="Q31" s="9"/>
      <c r="R31" s="9"/>
      <c r="S31" s="9"/>
      <c r="T31" s="9"/>
      <c r="U31" s="9"/>
      <c r="V31" s="9"/>
      <c r="W31" s="9"/>
      <c r="X31" s="9"/>
      <c r="Y31" s="9"/>
    </row>
    <row r="32" spans="1:25" ht="15" customHeight="1">
      <c r="A32" s="9"/>
      <c r="B32" s="9"/>
      <c r="C32" s="9"/>
      <c r="D32" s="9"/>
      <c r="E32" s="9"/>
      <c r="F32" s="9"/>
      <c r="G32" s="9"/>
      <c r="H32" s="9"/>
      <c r="I32" s="9"/>
      <c r="J32" s="9"/>
      <c r="K32" s="9"/>
      <c r="L32" s="9"/>
      <c r="M32" s="9"/>
      <c r="N32" s="9"/>
      <c r="O32" s="9"/>
      <c r="P32" s="9"/>
      <c r="Q32" s="9"/>
      <c r="R32" s="9"/>
      <c r="S32" s="9"/>
      <c r="T32" s="9"/>
      <c r="U32" s="9"/>
      <c r="V32" s="9"/>
      <c r="W32" s="9"/>
      <c r="X32" s="9"/>
      <c r="Y32" s="9"/>
    </row>
    <row r="33" spans="1:25" ht="15" customHeight="1">
      <c r="A33" s="9"/>
      <c r="B33" s="9"/>
      <c r="C33" s="9"/>
      <c r="D33" s="9"/>
      <c r="E33" s="9"/>
      <c r="F33" s="9"/>
      <c r="G33" s="9"/>
      <c r="H33" s="9"/>
      <c r="I33" s="9"/>
      <c r="J33" s="9"/>
      <c r="K33" s="9"/>
      <c r="L33" s="9"/>
      <c r="M33" s="9"/>
      <c r="N33" s="9"/>
      <c r="O33" s="9"/>
      <c r="P33" s="9"/>
      <c r="Q33" s="9"/>
      <c r="R33" s="9"/>
      <c r="S33" s="9"/>
      <c r="T33" s="9"/>
      <c r="U33" s="9"/>
      <c r="V33" s="9"/>
      <c r="W33" s="9"/>
      <c r="X33" s="9"/>
      <c r="Y33" s="9"/>
    </row>
  </sheetData>
  <sheetProtection algorithmName="SHA-512" hashValue="J8Lt5D9hXaebwLeX+VeA5+nvnloTF+Eit6YmdkeMmtMVVYvcdnxARPKqoUikvK6qLsEEaTHqnMwvOmpzo90bvw==" saltValue="30JqS6I2bpyhCeQeYx74Yw==" spinCount="100000" sheet="1" objects="1" scenarios="1" selectLockedCells="1" selectUnlockedCells="1"/>
  <mergeCells count="3">
    <mergeCell ref="C21:U22"/>
    <mergeCell ref="C24:U25"/>
    <mergeCell ref="C27:U28"/>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9"/>
  <dimension ref="A1:A2"/>
  <sheetViews>
    <sheetView showRowColHeaders="0" workbookViewId="0">
      <pane ySplit="2" topLeftCell="A3" activePane="bottomLeft" state="frozen"/>
      <selection pane="bottomLeft" activeCell="S13" sqref="S13"/>
    </sheetView>
  </sheetViews>
  <sheetFormatPr defaultRowHeight="15"/>
  <cols>
    <col min="1" max="1" width="2.7109375" style="31" customWidth="1"/>
    <col min="2" max="16384" width="9.140625" style="31"/>
  </cols>
  <sheetData>
    <row r="1" s="22" customFormat="1" ht="35.1" customHeight="1"/>
    <row r="2" s="23" customFormat="1" ht="30" customHeight="1"/>
  </sheetData>
  <sheetProtection algorithmName="SHA-512" hashValue="KL/2wibGRJqzfEYg+9hlQXETJ9dWaJyu/eqhi5R766MVzPXNQQLajLEImnUqMW8ZsKAa44FbJYtP6+11F/7VHw==" saltValue="o1aBuWXrgQM/tH1FVN6WrQ=="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0">
    <tabColor rgb="FFFFC000"/>
  </sheetPr>
  <dimension ref="A1:A4"/>
  <sheetViews>
    <sheetView showGridLines="0" showRowColHeaders="0" showZeros="0" workbookViewId="0">
      <pane ySplit="4" topLeftCell="A5" activePane="bottomLeft" state="frozen"/>
      <selection pane="bottomLeft"/>
    </sheetView>
  </sheetViews>
  <sheetFormatPr defaultRowHeight="35.1" customHeight="1"/>
  <cols>
    <col min="1" max="2" width="1.7109375" style="26" customWidth="1"/>
    <col min="3" max="3" width="12.7109375" style="26" customWidth="1"/>
    <col min="4" max="4" width="35.7109375" style="26" customWidth="1"/>
    <col min="5" max="5" width="15.7109375" style="26" customWidth="1"/>
    <col min="6" max="6" width="25.7109375" style="26" customWidth="1"/>
    <col min="7" max="16384" width="9.140625" style="26"/>
  </cols>
  <sheetData>
    <row r="1" spans="1:1" s="1" customFormat="1" ht="35.1" customHeight="1">
      <c r="A1" s="67"/>
    </row>
    <row r="2" spans="1:1" s="3" customFormat="1" ht="30" customHeight="1"/>
    <row r="3" spans="1:1" ht="30" customHeight="1"/>
    <row r="4" spans="1:1" ht="21.95" customHeight="1"/>
  </sheetData>
  <sheetProtection algorithmName="SHA-512" hashValue="fD77LP3wG9YaYx1O1MUUC58PrGE/U/3CUh4bjYYJvxcuf8WhBnNAZddtipaHkxzHbFJbhkH0++0aPIvoYd+uYQ==" saltValue="dzUWDD5ajV4RezBTsIqc0A==" spinCount="100000"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EstaPastaDeTrabalho.lsLigarTelaCheia">
                <anchor>
                  <from>
                    <xdr:col>2</xdr:col>
                    <xdr:colOff>104775</xdr:colOff>
                    <xdr:row>2</xdr:row>
                    <xdr:rowOff>219075</xdr:rowOff>
                  </from>
                  <to>
                    <xdr:col>3</xdr:col>
                    <xdr:colOff>1781175</xdr:colOff>
                    <xdr:row>3</xdr:row>
                    <xdr:rowOff>142875</xdr:rowOff>
                  </to>
                </anchor>
              </controlPr>
            </control>
          </mc:Choice>
        </mc:AlternateContent>
        <mc:AlternateContent xmlns:mc="http://schemas.openxmlformats.org/markup-compatibility/2006">
          <mc:Choice Requires="x14">
            <control shapeId="7170" r:id="rId4" name="Button 2">
              <controlPr defaultSize="0" print="0" autoFill="0" autoPict="0" macro="[0]!EstaPastaDeTrabalho.lsDesligarTelaCheia">
                <anchor>
                  <from>
                    <xdr:col>3</xdr:col>
                    <xdr:colOff>1857375</xdr:colOff>
                    <xdr:row>2</xdr:row>
                    <xdr:rowOff>219075</xdr:rowOff>
                  </from>
                  <to>
                    <xdr:col>5</xdr:col>
                    <xdr:colOff>952500</xdr:colOff>
                    <xdr:row>3</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7">
    <tabColor theme="7" tint="0.79998168889431442"/>
  </sheetPr>
  <dimension ref="B1:D11"/>
  <sheetViews>
    <sheetView showGridLines="0" showRowColHeaders="0" workbookViewId="0">
      <pane ySplit="7" topLeftCell="A8" activePane="bottomLeft" state="frozen"/>
      <selection pane="bottomLeft" activeCell="D6" sqref="D6"/>
    </sheetView>
  </sheetViews>
  <sheetFormatPr defaultRowHeight="35.1" customHeight="1"/>
  <cols>
    <col min="1" max="2" width="1.7109375" style="11" customWidth="1"/>
    <col min="3" max="3" width="25.7109375" style="11" customWidth="1"/>
    <col min="4" max="4" width="50.7109375" style="11" customWidth="1"/>
    <col min="5" max="16384" width="9.140625" style="11"/>
  </cols>
  <sheetData>
    <row r="1" spans="2:4" s="1" customFormat="1" ht="35.1" customHeight="1"/>
    <row r="2" spans="2:4" s="3" customFormat="1" ht="30" customHeight="1"/>
    <row r="3" spans="2:4" ht="30" customHeight="1" thickBot="1">
      <c r="C3" s="69"/>
      <c r="D3" s="69"/>
    </row>
    <row r="4" spans="2:4" ht="45" customHeight="1">
      <c r="B4" s="68"/>
      <c r="C4" s="72" t="s">
        <v>62</v>
      </c>
      <c r="D4" s="70"/>
    </row>
    <row r="5" spans="2:4" ht="45" customHeight="1">
      <c r="B5" s="68"/>
      <c r="C5" s="73" t="s">
        <v>63</v>
      </c>
      <c r="D5" s="71" t="s">
        <v>116</v>
      </c>
    </row>
    <row r="6" spans="2:4" ht="45" customHeight="1">
      <c r="C6" s="73" t="s">
        <v>114</v>
      </c>
      <c r="D6" s="71" t="s">
        <v>117</v>
      </c>
    </row>
    <row r="7" spans="2:4" ht="45" customHeight="1">
      <c r="C7" s="73" t="s">
        <v>115</v>
      </c>
    </row>
    <row r="8" spans="2:4" ht="45" customHeight="1"/>
    <row r="9" spans="2:4" ht="45" customHeight="1"/>
    <row r="10" spans="2:4" ht="45" customHeight="1"/>
    <row r="11" spans="2:4" ht="45" customHeight="1"/>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3313" r:id="rId3" name="Drop Down 1">
              <controlPr defaultSize="0" autoLine="0" autoPict="0">
                <anchor moveWithCells="1">
                  <from>
                    <xdr:col>3</xdr:col>
                    <xdr:colOff>9525</xdr:colOff>
                    <xdr:row>2</xdr:row>
                    <xdr:rowOff>371475</xdr:rowOff>
                  </from>
                  <to>
                    <xdr:col>3</xdr:col>
                    <xdr:colOff>1019175</xdr:colOff>
                    <xdr:row>3</xdr:row>
                    <xdr:rowOff>561975</xdr:rowOff>
                  </to>
                </anchor>
              </controlPr>
            </control>
          </mc:Choice>
        </mc:AlternateContent>
        <mc:AlternateContent xmlns:mc="http://schemas.openxmlformats.org/markup-compatibility/2006">
          <mc:Choice Requires="x14">
            <control shapeId="13314" r:id="rId4" name="Drop Down 2">
              <controlPr defaultSize="0" autoLine="0" autoPict="0">
                <anchor moveWithCells="1">
                  <from>
                    <xdr:col>3</xdr:col>
                    <xdr:colOff>1019175</xdr:colOff>
                    <xdr:row>3</xdr:row>
                    <xdr:rowOff>0</xdr:rowOff>
                  </from>
                  <to>
                    <xdr:col>3</xdr:col>
                    <xdr:colOff>2238375</xdr:colOff>
                    <xdr:row>4</xdr:row>
                    <xdr:rowOff>0</xdr:rowOff>
                  </to>
                </anchor>
              </controlPr>
            </control>
          </mc:Choice>
        </mc:AlternateContent>
        <mc:AlternateContent xmlns:mc="http://schemas.openxmlformats.org/markup-compatibility/2006">
          <mc:Choice Requires="x14">
            <control shapeId="13315" r:id="rId5" name="Drop Down 3">
              <controlPr defaultSize="0" autoLine="0" autoPict="0">
                <anchor moveWithCells="1">
                  <from>
                    <xdr:col>3</xdr:col>
                    <xdr:colOff>2238375</xdr:colOff>
                    <xdr:row>2</xdr:row>
                    <xdr:rowOff>371475</xdr:rowOff>
                  </from>
                  <to>
                    <xdr:col>4</xdr:col>
                    <xdr:colOff>19050</xdr:colOff>
                    <xdr:row>3</xdr:row>
                    <xdr:rowOff>561975</xdr:rowOff>
                  </to>
                </anchor>
              </controlPr>
            </control>
          </mc:Choice>
        </mc:AlternateContent>
        <mc:AlternateContent xmlns:mc="http://schemas.openxmlformats.org/markup-compatibility/2006">
          <mc:Choice Requires="x14">
            <control shapeId="13316" r:id="rId6" name="Drop Down 4">
              <controlPr defaultSize="0" autoLine="0" autoPict="0">
                <anchor moveWithCells="1">
                  <from>
                    <xdr:col>2</xdr:col>
                    <xdr:colOff>1714500</xdr:colOff>
                    <xdr:row>6</xdr:row>
                    <xdr:rowOff>0</xdr:rowOff>
                  </from>
                  <to>
                    <xdr:col>4</xdr:col>
                    <xdr:colOff>19050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8">
    <tabColor theme="7" tint="0.79998168889431442"/>
  </sheetPr>
  <dimension ref="A1:A4"/>
  <sheetViews>
    <sheetView showGridLines="0" showRowColHeaders="0" workbookViewId="0">
      <pane ySplit="2" topLeftCell="A3" activePane="bottomLeft" state="frozen"/>
      <selection pane="bottomLeft"/>
    </sheetView>
  </sheetViews>
  <sheetFormatPr defaultRowHeight="35.1" customHeight="1"/>
  <cols>
    <col min="1" max="2" width="1.7109375" style="11" customWidth="1"/>
    <col min="3" max="16384" width="9.140625" style="11"/>
  </cols>
  <sheetData>
    <row r="1" s="1" customFormat="1" ht="35.1" customHeight="1"/>
    <row r="2" s="3" customFormat="1" ht="30" customHeight="1"/>
    <row r="3" ht="30" customHeight="1"/>
    <row r="4" ht="21.95" customHeight="1"/>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rgb="FFFB5A56"/>
  </sheetPr>
  <dimension ref="B1:O10"/>
  <sheetViews>
    <sheetView showGridLines="0" showRowColHeaders="0" workbookViewId="0">
      <pane ySplit="4" topLeftCell="A5" activePane="bottomLeft" state="frozen"/>
      <selection activeCell="L6" sqref="L6"/>
      <selection pane="bottomLeft" activeCell="O8" sqref="O8"/>
    </sheetView>
  </sheetViews>
  <sheetFormatPr defaultRowHeight="45" customHeight="1"/>
  <cols>
    <col min="1" max="2" width="1.7109375" style="56" customWidth="1"/>
    <col min="3" max="3" width="6.7109375" style="56" customWidth="1"/>
    <col min="4" max="7" width="15.7109375" style="56" customWidth="1"/>
    <col min="8" max="8" width="5.7109375" style="56" customWidth="1"/>
    <col min="9" max="9" width="6.7109375" style="56" customWidth="1"/>
    <col min="10" max="16" width="13.7109375" style="56" customWidth="1"/>
    <col min="17" max="16384" width="9.140625" style="56"/>
  </cols>
  <sheetData>
    <row r="1" spans="2:15" s="54" customFormat="1" ht="35.1" customHeight="1"/>
    <row r="2" spans="2:15" s="55" customFormat="1" ht="30" customHeight="1"/>
    <row r="3" spans="2:15" ht="69.95" customHeight="1" thickBot="1">
      <c r="C3" s="57"/>
      <c r="D3" s="57"/>
      <c r="E3" s="57"/>
      <c r="F3" s="57"/>
      <c r="G3" s="57"/>
    </row>
    <row r="4" spans="2:15" ht="21.95" customHeight="1">
      <c r="B4" s="58"/>
      <c r="C4" s="59" t="s">
        <v>36</v>
      </c>
      <c r="D4" s="60" t="s">
        <v>37</v>
      </c>
      <c r="E4" s="60" t="s">
        <v>38</v>
      </c>
      <c r="F4" s="60" t="s">
        <v>39</v>
      </c>
      <c r="G4" s="61" t="s">
        <v>40</v>
      </c>
      <c r="I4" s="59" t="s">
        <v>36</v>
      </c>
      <c r="J4" s="62" t="s">
        <v>41</v>
      </c>
      <c r="K4" s="62" t="s">
        <v>42</v>
      </c>
      <c r="L4" s="62" t="s">
        <v>43</v>
      </c>
      <c r="M4" s="62" t="s">
        <v>44</v>
      </c>
      <c r="N4" s="62" t="s">
        <v>45</v>
      </c>
      <c r="O4" s="63" t="s">
        <v>46</v>
      </c>
    </row>
    <row r="5" spans="2:15" ht="45" customHeight="1">
      <c r="C5" s="64">
        <v>1</v>
      </c>
      <c r="D5" s="46">
        <v>0</v>
      </c>
      <c r="E5" s="46">
        <v>180000</v>
      </c>
      <c r="F5" s="47">
        <v>0.04</v>
      </c>
      <c r="G5" s="48">
        <v>0</v>
      </c>
      <c r="I5" s="64">
        <v>1</v>
      </c>
      <c r="J5" s="47">
        <v>5.5E-2</v>
      </c>
      <c r="K5" s="47">
        <v>3.5000000000000003E-2</v>
      </c>
      <c r="L5" s="47">
        <v>0.12740000000000001</v>
      </c>
      <c r="M5" s="47">
        <v>2.76E-2</v>
      </c>
      <c r="N5" s="47">
        <v>0.41499999999999998</v>
      </c>
      <c r="O5" s="52">
        <v>0.34</v>
      </c>
    </row>
    <row r="6" spans="2:15" ht="45" customHeight="1">
      <c r="C6" s="65">
        <v>2</v>
      </c>
      <c r="D6" s="46">
        <v>180000.01</v>
      </c>
      <c r="E6" s="46">
        <v>360000</v>
      </c>
      <c r="F6" s="47">
        <v>7.2999999999999995E-2</v>
      </c>
      <c r="G6" s="48">
        <v>5940</v>
      </c>
      <c r="I6" s="65">
        <v>2</v>
      </c>
      <c r="J6" s="47">
        <v>5.5E-2</v>
      </c>
      <c r="K6" s="47">
        <v>3.5000000000000003E-2</v>
      </c>
      <c r="L6" s="47">
        <v>0.12740000000000001</v>
      </c>
      <c r="M6" s="47">
        <v>2.76E-2</v>
      </c>
      <c r="N6" s="47">
        <v>0.41499999999999998</v>
      </c>
      <c r="O6" s="52">
        <v>0.34</v>
      </c>
    </row>
    <row r="7" spans="2:15" ht="45" customHeight="1">
      <c r="C7" s="65">
        <v>3</v>
      </c>
      <c r="D7" s="46">
        <v>360000.01</v>
      </c>
      <c r="E7" s="46">
        <v>720000</v>
      </c>
      <c r="F7" s="47">
        <v>9.5000000000000001E-2</v>
      </c>
      <c r="G7" s="48">
        <v>13860</v>
      </c>
      <c r="I7" s="65">
        <v>3</v>
      </c>
      <c r="J7" s="47">
        <v>5.5E-2</v>
      </c>
      <c r="K7" s="47">
        <v>3.5000000000000003E-2</v>
      </c>
      <c r="L7" s="47">
        <v>0.12740000000000001</v>
      </c>
      <c r="M7" s="47">
        <v>2.76E-2</v>
      </c>
      <c r="N7" s="47">
        <v>0.42</v>
      </c>
      <c r="O7" s="52">
        <v>0.33500000000000002</v>
      </c>
    </row>
    <row r="8" spans="2:15" ht="45" customHeight="1">
      <c r="C8" s="65">
        <v>4</v>
      </c>
      <c r="D8" s="46">
        <v>720000.01</v>
      </c>
      <c r="E8" s="46">
        <v>1800000</v>
      </c>
      <c r="F8" s="47">
        <v>0.107</v>
      </c>
      <c r="G8" s="48">
        <v>22500</v>
      </c>
      <c r="I8" s="65">
        <v>4</v>
      </c>
      <c r="J8" s="47">
        <v>5.5E-2</v>
      </c>
      <c r="K8" s="47">
        <v>3.5000000000000003E-2</v>
      </c>
      <c r="L8" s="47">
        <v>0.12740000000000001</v>
      </c>
      <c r="M8" s="47">
        <v>2.76E-2</v>
      </c>
      <c r="N8" s="47">
        <v>0.42</v>
      </c>
      <c r="O8" s="52">
        <v>0.33500000000000002</v>
      </c>
    </row>
    <row r="9" spans="2:15" ht="45" customHeight="1">
      <c r="C9" s="65">
        <v>5</v>
      </c>
      <c r="D9" s="46">
        <v>1800000.01</v>
      </c>
      <c r="E9" s="46">
        <v>3600000</v>
      </c>
      <c r="F9" s="47">
        <v>0.14299999999999999</v>
      </c>
      <c r="G9" s="48">
        <v>87300</v>
      </c>
      <c r="I9" s="65">
        <v>5</v>
      </c>
      <c r="J9" s="47">
        <v>5.5E-2</v>
      </c>
      <c r="K9" s="47">
        <v>3.5000000000000003E-2</v>
      </c>
      <c r="L9" s="47">
        <v>0.12740000000000001</v>
      </c>
      <c r="M9" s="47">
        <v>2.76E-2</v>
      </c>
      <c r="N9" s="47">
        <v>0.42</v>
      </c>
      <c r="O9" s="52">
        <v>0.33500000000000002</v>
      </c>
    </row>
    <row r="10" spans="2:15" ht="45" customHeight="1">
      <c r="C10" s="65">
        <v>6</v>
      </c>
      <c r="D10" s="49">
        <v>3600000.01</v>
      </c>
      <c r="E10" s="49">
        <v>4800000</v>
      </c>
      <c r="F10" s="50">
        <v>0.19</v>
      </c>
      <c r="G10" s="51">
        <v>378000</v>
      </c>
      <c r="I10" s="65">
        <v>6</v>
      </c>
      <c r="J10" s="50">
        <v>0.13500000000000001</v>
      </c>
      <c r="K10" s="50">
        <v>0.1</v>
      </c>
      <c r="L10" s="50">
        <v>0.28270000000000001</v>
      </c>
      <c r="M10" s="50">
        <v>6.13E-2</v>
      </c>
      <c r="N10" s="50">
        <v>0.42099999999999999</v>
      </c>
      <c r="O10" s="53" t="s">
        <v>49</v>
      </c>
    </row>
  </sheetData>
  <sheetProtection sheet="1" objects="1" scenarios="1" selectLockedCells="1"/>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0">
    <tabColor rgb="FFFB5A56"/>
  </sheetPr>
  <dimension ref="B1:P10"/>
  <sheetViews>
    <sheetView showGridLines="0" showRowColHeaders="0" workbookViewId="0">
      <pane ySplit="4" topLeftCell="A5" activePane="bottomLeft" state="frozen"/>
      <selection activeCell="J3" sqref="J3"/>
      <selection pane="bottomLeft" activeCell="D5" sqref="D5"/>
    </sheetView>
  </sheetViews>
  <sheetFormatPr defaultRowHeight="45" customHeight="1"/>
  <cols>
    <col min="1" max="2" width="1.7109375" style="56" customWidth="1"/>
    <col min="3" max="3" width="6.7109375" style="56" customWidth="1"/>
    <col min="4" max="7" width="15.7109375" style="56" customWidth="1"/>
    <col min="8" max="8" width="5.7109375" style="56" customWidth="1"/>
    <col min="9" max="9" width="6.7109375" style="56" customWidth="1"/>
    <col min="10" max="16" width="13.7109375" style="56" customWidth="1"/>
    <col min="17" max="16384" width="9.140625" style="56"/>
  </cols>
  <sheetData>
    <row r="1" spans="2:16" s="54" customFormat="1" ht="35.1" customHeight="1"/>
    <row r="2" spans="2:16" s="55" customFormat="1" ht="30" customHeight="1"/>
    <row r="3" spans="2:16" ht="69.95" customHeight="1" thickBot="1">
      <c r="C3" s="57"/>
      <c r="D3" s="57"/>
      <c r="E3" s="57"/>
      <c r="F3" s="57"/>
      <c r="G3" s="57"/>
    </row>
    <row r="4" spans="2:16" ht="21.95" customHeight="1">
      <c r="B4" s="58"/>
      <c r="C4" s="59" t="s">
        <v>36</v>
      </c>
      <c r="D4" s="60" t="s">
        <v>37</v>
      </c>
      <c r="E4" s="60" t="s">
        <v>38</v>
      </c>
      <c r="F4" s="60" t="s">
        <v>39</v>
      </c>
      <c r="G4" s="61" t="s">
        <v>40</v>
      </c>
      <c r="I4" s="59" t="s">
        <v>36</v>
      </c>
      <c r="J4" s="62" t="s">
        <v>41</v>
      </c>
      <c r="K4" s="62" t="s">
        <v>42</v>
      </c>
      <c r="L4" s="62" t="s">
        <v>43</v>
      </c>
      <c r="M4" s="62" t="s">
        <v>44</v>
      </c>
      <c r="N4" s="62" t="s">
        <v>45</v>
      </c>
      <c r="O4" s="63" t="s">
        <v>47</v>
      </c>
      <c r="P4" s="63" t="s">
        <v>46</v>
      </c>
    </row>
    <row r="5" spans="2:16" ht="45" customHeight="1">
      <c r="C5" s="64">
        <v>1</v>
      </c>
      <c r="D5" s="46">
        <v>0</v>
      </c>
      <c r="E5" s="46">
        <v>180000</v>
      </c>
      <c r="F5" s="47">
        <v>4.4999999999999998E-2</v>
      </c>
      <c r="G5" s="48">
        <v>0</v>
      </c>
      <c r="I5" s="64">
        <v>1</v>
      </c>
      <c r="J5" s="47">
        <v>5.5E-2</v>
      </c>
      <c r="K5" s="47">
        <v>3.5000000000000003E-2</v>
      </c>
      <c r="L5" s="47">
        <v>0.11509999999999999</v>
      </c>
      <c r="M5" s="47">
        <v>2.4899999999999999E-2</v>
      </c>
      <c r="N5" s="47">
        <v>0.375</v>
      </c>
      <c r="O5" s="52">
        <v>7.4999999999999997E-2</v>
      </c>
      <c r="P5" s="52">
        <v>0.32</v>
      </c>
    </row>
    <row r="6" spans="2:16" ht="45" customHeight="1">
      <c r="C6" s="65">
        <v>2</v>
      </c>
      <c r="D6" s="46">
        <v>180000.01</v>
      </c>
      <c r="E6" s="46">
        <v>360000</v>
      </c>
      <c r="F6" s="47">
        <v>7.8E-2</v>
      </c>
      <c r="G6" s="48">
        <v>5940</v>
      </c>
      <c r="I6" s="65">
        <v>2</v>
      </c>
      <c r="J6" s="47">
        <v>5.5E-2</v>
      </c>
      <c r="K6" s="47">
        <v>3.5000000000000003E-2</v>
      </c>
      <c r="L6" s="47">
        <v>0.11509999999999999</v>
      </c>
      <c r="M6" s="47">
        <v>2.4899999999999999E-2</v>
      </c>
      <c r="N6" s="47">
        <v>0.375</v>
      </c>
      <c r="O6" s="52">
        <v>7.4999999999999997E-2</v>
      </c>
      <c r="P6" s="52">
        <v>0.32</v>
      </c>
    </row>
    <row r="7" spans="2:16" ht="45" customHeight="1">
      <c r="C7" s="65">
        <v>3</v>
      </c>
      <c r="D7" s="46">
        <v>360000.01</v>
      </c>
      <c r="E7" s="46">
        <v>720000</v>
      </c>
      <c r="F7" s="47">
        <v>0.1</v>
      </c>
      <c r="G7" s="48">
        <v>13860</v>
      </c>
      <c r="I7" s="65">
        <v>3</v>
      </c>
      <c r="J7" s="47">
        <v>5.5E-2</v>
      </c>
      <c r="K7" s="47">
        <v>3.5000000000000003E-2</v>
      </c>
      <c r="L7" s="47">
        <v>0.11509999999999999</v>
      </c>
      <c r="M7" s="47">
        <v>2.4899999999999999E-2</v>
      </c>
      <c r="N7" s="47">
        <v>0.375</v>
      </c>
      <c r="O7" s="52">
        <v>7.4999999999999997E-2</v>
      </c>
      <c r="P7" s="52">
        <v>0.32</v>
      </c>
    </row>
    <row r="8" spans="2:16" ht="45" customHeight="1">
      <c r="C8" s="65">
        <v>4</v>
      </c>
      <c r="D8" s="46">
        <v>720000.01</v>
      </c>
      <c r="E8" s="46">
        <v>1800000</v>
      </c>
      <c r="F8" s="47">
        <v>0.112</v>
      </c>
      <c r="G8" s="48">
        <v>22500</v>
      </c>
      <c r="I8" s="65">
        <v>4</v>
      </c>
      <c r="J8" s="47">
        <v>5.5E-2</v>
      </c>
      <c r="K8" s="47">
        <v>3.5000000000000003E-2</v>
      </c>
      <c r="L8" s="47">
        <v>0.11509999999999999</v>
      </c>
      <c r="M8" s="47">
        <v>2.4899999999999999E-2</v>
      </c>
      <c r="N8" s="47">
        <v>0.375</v>
      </c>
      <c r="O8" s="52">
        <v>7.4999999999999997E-2</v>
      </c>
      <c r="P8" s="52">
        <v>0.32</v>
      </c>
    </row>
    <row r="9" spans="2:16" ht="45" customHeight="1">
      <c r="C9" s="65">
        <v>5</v>
      </c>
      <c r="D9" s="46">
        <v>1800000.01</v>
      </c>
      <c r="E9" s="46">
        <v>3600000</v>
      </c>
      <c r="F9" s="47">
        <v>0.14699999999999999</v>
      </c>
      <c r="G9" s="48">
        <v>85500</v>
      </c>
      <c r="I9" s="65">
        <v>5</v>
      </c>
      <c r="J9" s="47">
        <v>5.5E-2</v>
      </c>
      <c r="K9" s="47">
        <v>3.5000000000000003E-2</v>
      </c>
      <c r="L9" s="47">
        <v>0.11509999999999999</v>
      </c>
      <c r="M9" s="47">
        <v>2.4899999999999999E-2</v>
      </c>
      <c r="N9" s="47">
        <v>0.375</v>
      </c>
      <c r="O9" s="52">
        <v>7.4999999999999997E-2</v>
      </c>
      <c r="P9" s="52">
        <v>0.32</v>
      </c>
    </row>
    <row r="10" spans="2:16" ht="45" customHeight="1">
      <c r="C10" s="65">
        <v>6</v>
      </c>
      <c r="D10" s="49">
        <v>3600000.01</v>
      </c>
      <c r="E10" s="49">
        <v>4800000</v>
      </c>
      <c r="F10" s="50">
        <v>0.3</v>
      </c>
      <c r="G10" s="51">
        <v>720000</v>
      </c>
      <c r="I10" s="65">
        <v>6</v>
      </c>
      <c r="J10" s="50">
        <v>8.5000000000000006E-2</v>
      </c>
      <c r="K10" s="50">
        <v>7.4999999999999997E-2</v>
      </c>
      <c r="L10" s="50">
        <v>0.20960000000000001</v>
      </c>
      <c r="M10" s="50">
        <v>4.5400000000000003E-2</v>
      </c>
      <c r="N10" s="50">
        <v>0.23499999999999999</v>
      </c>
      <c r="O10" s="66">
        <v>0.35</v>
      </c>
      <c r="P10" s="66" t="s">
        <v>49</v>
      </c>
    </row>
  </sheetData>
  <sheetProtection sheet="1" objects="1" scenarios="1" selectLockedCells="1"/>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1">
    <tabColor rgb="FFFB5A56"/>
  </sheetPr>
  <dimension ref="B1:O10"/>
  <sheetViews>
    <sheetView showGridLines="0" showRowColHeaders="0" workbookViewId="0">
      <pane ySplit="4" topLeftCell="A5" activePane="bottomLeft" state="frozen"/>
      <selection activeCell="J3" sqref="J3"/>
      <selection pane="bottomLeft" activeCell="O5" sqref="O5"/>
    </sheetView>
  </sheetViews>
  <sheetFormatPr defaultRowHeight="45" customHeight="1"/>
  <cols>
    <col min="1" max="2" width="1.7109375" style="56" customWidth="1"/>
    <col min="3" max="3" width="6.7109375" style="56" customWidth="1"/>
    <col min="4" max="7" width="15.7109375" style="56" customWidth="1"/>
    <col min="8" max="8" width="5.7109375" style="56" customWidth="1"/>
    <col min="9" max="9" width="6.7109375" style="56" customWidth="1"/>
    <col min="10" max="16" width="13.7109375" style="56" customWidth="1"/>
    <col min="17" max="16384" width="9.140625" style="56"/>
  </cols>
  <sheetData>
    <row r="1" spans="2:15" s="54" customFormat="1" ht="35.1" customHeight="1"/>
    <row r="2" spans="2:15" s="55" customFormat="1" ht="30" customHeight="1"/>
    <row r="3" spans="2:15" ht="69.95" customHeight="1" thickBot="1">
      <c r="C3" s="57"/>
      <c r="D3" s="57"/>
      <c r="E3" s="57"/>
      <c r="F3" s="57"/>
      <c r="G3" s="57"/>
    </row>
    <row r="4" spans="2:15" ht="21.95" customHeight="1">
      <c r="B4" s="58"/>
      <c r="C4" s="59" t="s">
        <v>36</v>
      </c>
      <c r="D4" s="60" t="s">
        <v>37</v>
      </c>
      <c r="E4" s="60" t="s">
        <v>38</v>
      </c>
      <c r="F4" s="60" t="s">
        <v>39</v>
      </c>
      <c r="G4" s="61" t="s">
        <v>40</v>
      </c>
      <c r="I4" s="59" t="s">
        <v>36</v>
      </c>
      <c r="J4" s="62" t="s">
        <v>41</v>
      </c>
      <c r="K4" s="62" t="s">
        <v>42</v>
      </c>
      <c r="L4" s="62" t="s">
        <v>43</v>
      </c>
      <c r="M4" s="62" t="s">
        <v>44</v>
      </c>
      <c r="N4" s="62" t="s">
        <v>45</v>
      </c>
      <c r="O4" s="63" t="s">
        <v>48</v>
      </c>
    </row>
    <row r="5" spans="2:15" ht="45" customHeight="1">
      <c r="C5" s="64">
        <v>1</v>
      </c>
      <c r="D5" s="46">
        <v>0</v>
      </c>
      <c r="E5" s="46">
        <v>180000</v>
      </c>
      <c r="F5" s="47">
        <v>0.06</v>
      </c>
      <c r="G5" s="48">
        <v>0</v>
      </c>
      <c r="I5" s="64">
        <v>1</v>
      </c>
      <c r="J5" s="47">
        <v>0.04</v>
      </c>
      <c r="K5" s="47">
        <v>3.5000000000000003E-2</v>
      </c>
      <c r="L5" s="47">
        <v>0.12820000000000001</v>
      </c>
      <c r="M5" s="47">
        <v>2.7799999999999998E-2</v>
      </c>
      <c r="N5" s="47">
        <v>0.434</v>
      </c>
      <c r="O5" s="52">
        <v>0.33500000000000002</v>
      </c>
    </row>
    <row r="6" spans="2:15" ht="45" customHeight="1">
      <c r="C6" s="65">
        <v>2</v>
      </c>
      <c r="D6" s="46">
        <v>180000.01</v>
      </c>
      <c r="E6" s="46">
        <v>360000</v>
      </c>
      <c r="F6" s="47">
        <v>0.112</v>
      </c>
      <c r="G6" s="48">
        <v>9360</v>
      </c>
      <c r="I6" s="65">
        <v>2</v>
      </c>
      <c r="J6" s="47">
        <v>0.04</v>
      </c>
      <c r="K6" s="47">
        <v>3.5000000000000003E-2</v>
      </c>
      <c r="L6" s="47">
        <v>0.14050000000000001</v>
      </c>
      <c r="M6" s="47">
        <v>3.0499999999999999E-2</v>
      </c>
      <c r="N6" s="47">
        <v>0.434</v>
      </c>
      <c r="O6" s="52">
        <v>0.32</v>
      </c>
    </row>
    <row r="7" spans="2:15" ht="45" customHeight="1">
      <c r="C7" s="65">
        <v>3</v>
      </c>
      <c r="D7" s="46">
        <v>360000.01</v>
      </c>
      <c r="E7" s="46">
        <v>720000</v>
      </c>
      <c r="F7" s="47">
        <v>0.13500000000000001</v>
      </c>
      <c r="G7" s="48">
        <v>17640</v>
      </c>
      <c r="I7" s="65">
        <v>3</v>
      </c>
      <c r="J7" s="47">
        <v>0.04</v>
      </c>
      <c r="K7" s="47">
        <v>3.5000000000000003E-2</v>
      </c>
      <c r="L7" s="47">
        <v>0.13639999999999999</v>
      </c>
      <c r="M7" s="47">
        <v>2.9600000000000001E-2</v>
      </c>
      <c r="N7" s="47">
        <v>0.434</v>
      </c>
      <c r="O7" s="52">
        <v>0.32500000000000001</v>
      </c>
    </row>
    <row r="8" spans="2:15" ht="45" customHeight="1">
      <c r="C8" s="65">
        <v>4</v>
      </c>
      <c r="D8" s="46">
        <v>720000.01</v>
      </c>
      <c r="E8" s="46">
        <v>1800000</v>
      </c>
      <c r="F8" s="47">
        <v>0.16</v>
      </c>
      <c r="G8" s="48">
        <v>35640</v>
      </c>
      <c r="I8" s="65">
        <v>4</v>
      </c>
      <c r="J8" s="47">
        <v>0.04</v>
      </c>
      <c r="K8" s="47">
        <v>3.5000000000000003E-2</v>
      </c>
      <c r="L8" s="47">
        <v>0.13639999999999999</v>
      </c>
      <c r="M8" s="47">
        <v>2.9600000000000001E-2</v>
      </c>
      <c r="N8" s="47">
        <v>0.434</v>
      </c>
      <c r="O8" s="52">
        <v>0.32500000000000001</v>
      </c>
    </row>
    <row r="9" spans="2:15" ht="45" customHeight="1">
      <c r="C9" s="65">
        <v>5</v>
      </c>
      <c r="D9" s="46">
        <v>1800000.01</v>
      </c>
      <c r="E9" s="46">
        <v>3600000</v>
      </c>
      <c r="F9" s="47">
        <v>0.21</v>
      </c>
      <c r="G9" s="48">
        <v>125640</v>
      </c>
      <c r="I9" s="65">
        <v>5</v>
      </c>
      <c r="J9" s="47">
        <v>0.04</v>
      </c>
      <c r="K9" s="47">
        <v>3.5000000000000003E-2</v>
      </c>
      <c r="L9" s="47">
        <v>0.12820000000000001</v>
      </c>
      <c r="M9" s="47">
        <v>2.7799999999999998E-2</v>
      </c>
      <c r="N9" s="47">
        <v>0.434</v>
      </c>
      <c r="O9" s="52">
        <v>0.33500000000000002</v>
      </c>
    </row>
    <row r="10" spans="2:15" ht="45" customHeight="1">
      <c r="C10" s="65">
        <v>6</v>
      </c>
      <c r="D10" s="49">
        <v>3600000.01</v>
      </c>
      <c r="E10" s="49">
        <v>4800000</v>
      </c>
      <c r="F10" s="50">
        <v>0.33</v>
      </c>
      <c r="G10" s="51">
        <v>648000</v>
      </c>
      <c r="I10" s="65">
        <v>6</v>
      </c>
      <c r="J10" s="50">
        <v>0.35</v>
      </c>
      <c r="K10" s="50">
        <v>0.15</v>
      </c>
      <c r="L10" s="50">
        <v>0.1603</v>
      </c>
      <c r="M10" s="50">
        <v>3.4700000000000002E-2</v>
      </c>
      <c r="N10" s="50">
        <v>0.30499999999999999</v>
      </c>
      <c r="O10" s="53" t="s">
        <v>49</v>
      </c>
    </row>
  </sheetData>
  <sheetProtection sheet="1" objects="1" scenarios="1" selectLockedCells="1"/>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2">
    <tabColor rgb="FFFB5A56"/>
  </sheetPr>
  <dimension ref="B1:O10"/>
  <sheetViews>
    <sheetView showGridLines="0" showRowColHeaders="0" workbookViewId="0">
      <pane ySplit="4" topLeftCell="A5" activePane="bottomLeft" state="frozen"/>
      <selection activeCell="J3" sqref="J3"/>
      <selection pane="bottomLeft" activeCell="E7" sqref="E7"/>
    </sheetView>
  </sheetViews>
  <sheetFormatPr defaultRowHeight="45" customHeight="1"/>
  <cols>
    <col min="1" max="2" width="1.7109375" style="56" customWidth="1"/>
    <col min="3" max="3" width="6.7109375" style="56" customWidth="1"/>
    <col min="4" max="7" width="15.7109375" style="56" customWidth="1"/>
    <col min="8" max="8" width="5.7109375" style="56" customWidth="1"/>
    <col min="9" max="9" width="6.7109375" style="56" customWidth="1"/>
    <col min="10" max="16" width="13.7109375" style="56" customWidth="1"/>
    <col min="17" max="16384" width="9.140625" style="56"/>
  </cols>
  <sheetData>
    <row r="1" spans="2:15" s="54" customFormat="1" ht="35.1" customHeight="1"/>
    <row r="2" spans="2:15" s="55" customFormat="1" ht="30" customHeight="1"/>
    <row r="3" spans="2:15" ht="69.95" customHeight="1" thickBot="1">
      <c r="C3" s="57"/>
      <c r="D3" s="57"/>
      <c r="E3" s="57"/>
      <c r="F3" s="57"/>
      <c r="G3" s="57"/>
    </row>
    <row r="4" spans="2:15" ht="21.95" customHeight="1">
      <c r="B4" s="58"/>
      <c r="C4" s="59" t="s">
        <v>36</v>
      </c>
      <c r="D4" s="60" t="s">
        <v>37</v>
      </c>
      <c r="E4" s="60" t="s">
        <v>38</v>
      </c>
      <c r="F4" s="60" t="s">
        <v>39</v>
      </c>
      <c r="G4" s="61" t="s">
        <v>40</v>
      </c>
      <c r="I4" s="59" t="s">
        <v>36</v>
      </c>
      <c r="J4" s="62" t="s">
        <v>41</v>
      </c>
      <c r="K4" s="62" t="s">
        <v>42</v>
      </c>
      <c r="L4" s="62" t="s">
        <v>43</v>
      </c>
      <c r="M4" s="62" t="s">
        <v>44</v>
      </c>
      <c r="N4" s="62" t="s">
        <v>45</v>
      </c>
      <c r="O4" s="63" t="s">
        <v>48</v>
      </c>
    </row>
    <row r="5" spans="2:15" ht="45" customHeight="1">
      <c r="C5" s="64">
        <v>1</v>
      </c>
      <c r="D5" s="46">
        <v>0</v>
      </c>
      <c r="E5" s="46">
        <v>180000</v>
      </c>
      <c r="F5" s="47">
        <v>4.4999999999999998E-2</v>
      </c>
      <c r="G5" s="48">
        <v>0</v>
      </c>
      <c r="I5" s="64">
        <v>1</v>
      </c>
      <c r="J5" s="47">
        <v>0.188</v>
      </c>
      <c r="K5" s="47">
        <v>0.152</v>
      </c>
      <c r="L5" s="47">
        <v>0.1767</v>
      </c>
      <c r="M5" s="47">
        <v>3.8300000000000001E-2</v>
      </c>
      <c r="N5" s="47">
        <v>0</v>
      </c>
      <c r="O5" s="52">
        <v>0.44500000000000001</v>
      </c>
    </row>
    <row r="6" spans="2:15" ht="45" customHeight="1">
      <c r="C6" s="65">
        <v>2</v>
      </c>
      <c r="D6" s="46">
        <v>180000.01</v>
      </c>
      <c r="E6" s="46">
        <v>360000</v>
      </c>
      <c r="F6" s="47">
        <v>0.09</v>
      </c>
      <c r="G6" s="48">
        <v>8100</v>
      </c>
      <c r="I6" s="65">
        <v>2</v>
      </c>
      <c r="J6" s="47">
        <v>0.19800000000000001</v>
      </c>
      <c r="K6" s="47">
        <v>0.152</v>
      </c>
      <c r="L6" s="47">
        <v>0.20549999999999999</v>
      </c>
      <c r="M6" s="47">
        <v>4.4499999999999998E-2</v>
      </c>
      <c r="N6" s="47">
        <v>0</v>
      </c>
      <c r="O6" s="52">
        <v>0.4</v>
      </c>
    </row>
    <row r="7" spans="2:15" ht="45" customHeight="1">
      <c r="C7" s="65">
        <v>3</v>
      </c>
      <c r="D7" s="46">
        <v>360000.01</v>
      </c>
      <c r="E7" s="46">
        <v>720000</v>
      </c>
      <c r="F7" s="47">
        <v>0.10199999999999999</v>
      </c>
      <c r="G7" s="48">
        <v>12420</v>
      </c>
      <c r="I7" s="65">
        <v>3</v>
      </c>
      <c r="J7" s="47">
        <v>0.20799999999999999</v>
      </c>
      <c r="K7" s="47">
        <v>0.152</v>
      </c>
      <c r="L7" s="47">
        <v>0.1973</v>
      </c>
      <c r="M7" s="47">
        <v>4.2700000000000002E-2</v>
      </c>
      <c r="N7" s="47">
        <v>0</v>
      </c>
      <c r="O7" s="52">
        <v>0.4</v>
      </c>
    </row>
    <row r="8" spans="2:15" ht="45" customHeight="1">
      <c r="C8" s="65">
        <v>4</v>
      </c>
      <c r="D8" s="46">
        <v>720000.01</v>
      </c>
      <c r="E8" s="46">
        <v>1800000</v>
      </c>
      <c r="F8" s="47">
        <v>0.14000000000000001</v>
      </c>
      <c r="G8" s="48">
        <v>39780</v>
      </c>
      <c r="I8" s="65">
        <v>4</v>
      </c>
      <c r="J8" s="47">
        <v>0.17799999999999999</v>
      </c>
      <c r="K8" s="47">
        <v>0.192</v>
      </c>
      <c r="L8" s="47">
        <v>0.189</v>
      </c>
      <c r="M8" s="47">
        <v>4.1000000000000002E-2</v>
      </c>
      <c r="N8" s="47">
        <v>0</v>
      </c>
      <c r="O8" s="52">
        <v>0.4</v>
      </c>
    </row>
    <row r="9" spans="2:15" ht="45" customHeight="1">
      <c r="C9" s="65">
        <v>5</v>
      </c>
      <c r="D9" s="46">
        <v>1800000.01</v>
      </c>
      <c r="E9" s="46">
        <v>3600000</v>
      </c>
      <c r="F9" s="47">
        <v>0.22</v>
      </c>
      <c r="G9" s="48">
        <v>183780</v>
      </c>
      <c r="I9" s="65">
        <v>5</v>
      </c>
      <c r="J9" s="47">
        <v>0.188</v>
      </c>
      <c r="K9" s="47">
        <v>0.192</v>
      </c>
      <c r="L9" s="47">
        <v>0.18079999999999999</v>
      </c>
      <c r="M9" s="47">
        <v>3.9199999999999999E-2</v>
      </c>
      <c r="N9" s="47">
        <v>0</v>
      </c>
      <c r="O9" s="52">
        <v>0.4</v>
      </c>
    </row>
    <row r="10" spans="2:15" ht="45" customHeight="1">
      <c r="C10" s="65">
        <v>6</v>
      </c>
      <c r="D10" s="49">
        <v>3600000.01</v>
      </c>
      <c r="E10" s="49">
        <v>4800000</v>
      </c>
      <c r="F10" s="50">
        <v>0.33</v>
      </c>
      <c r="G10" s="51">
        <v>828000</v>
      </c>
      <c r="I10" s="65">
        <v>6</v>
      </c>
      <c r="J10" s="50">
        <v>0.53500000000000003</v>
      </c>
      <c r="K10" s="50">
        <v>0.215</v>
      </c>
      <c r="L10" s="50">
        <v>0.20549999999999999</v>
      </c>
      <c r="M10" s="50">
        <v>4.4499999999999998E-2</v>
      </c>
      <c r="N10" s="50">
        <v>0</v>
      </c>
      <c r="O10" s="53" t="s">
        <v>49</v>
      </c>
    </row>
  </sheetData>
  <sheetProtection sheet="1" objects="1" scenarios="1" selectLockedCells="1"/>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3">
    <tabColor rgb="FFFB5A56"/>
  </sheetPr>
  <dimension ref="B1:O10"/>
  <sheetViews>
    <sheetView showGridLines="0" showRowColHeaders="0" workbookViewId="0">
      <pane ySplit="4" topLeftCell="A5" activePane="bottomLeft" state="frozen"/>
      <selection activeCell="J3" sqref="J3"/>
      <selection pane="bottomLeft" activeCell="F6" sqref="F6"/>
    </sheetView>
  </sheetViews>
  <sheetFormatPr defaultRowHeight="45" customHeight="1"/>
  <cols>
    <col min="1" max="2" width="1.7109375" style="56" customWidth="1"/>
    <col min="3" max="3" width="6.7109375" style="56" customWidth="1"/>
    <col min="4" max="7" width="15.7109375" style="56" customWidth="1"/>
    <col min="8" max="8" width="5.7109375" style="56" customWidth="1"/>
    <col min="9" max="9" width="6.7109375" style="56" customWidth="1"/>
    <col min="10" max="15" width="13.7109375" style="56" customWidth="1"/>
    <col min="16" max="16384" width="9.140625" style="56"/>
  </cols>
  <sheetData>
    <row r="1" spans="2:15" s="54" customFormat="1" ht="35.1" customHeight="1"/>
    <row r="2" spans="2:15" s="55" customFormat="1" ht="30" customHeight="1"/>
    <row r="3" spans="2:15" ht="69.95" customHeight="1" thickBot="1">
      <c r="C3" s="57"/>
      <c r="D3" s="57"/>
      <c r="E3" s="57"/>
      <c r="F3" s="57"/>
      <c r="G3" s="57"/>
    </row>
    <row r="4" spans="2:15" ht="21.95" customHeight="1">
      <c r="B4" s="58"/>
      <c r="C4" s="59" t="s">
        <v>36</v>
      </c>
      <c r="D4" s="60" t="s">
        <v>37</v>
      </c>
      <c r="E4" s="60" t="s">
        <v>38</v>
      </c>
      <c r="F4" s="60" t="s">
        <v>39</v>
      </c>
      <c r="G4" s="61" t="s">
        <v>40</v>
      </c>
      <c r="I4" s="59" t="s">
        <v>36</v>
      </c>
      <c r="J4" s="62" t="s">
        <v>41</v>
      </c>
      <c r="K4" s="62" t="s">
        <v>42</v>
      </c>
      <c r="L4" s="62" t="s">
        <v>43</v>
      </c>
      <c r="M4" s="62" t="s">
        <v>44</v>
      </c>
      <c r="N4" s="62" t="s">
        <v>45</v>
      </c>
      <c r="O4" s="63" t="s">
        <v>48</v>
      </c>
    </row>
    <row r="5" spans="2:15" ht="45" customHeight="1">
      <c r="C5" s="64">
        <v>1</v>
      </c>
      <c r="D5" s="46">
        <v>0</v>
      </c>
      <c r="E5" s="46">
        <v>180000</v>
      </c>
      <c r="F5" s="47">
        <v>0.155</v>
      </c>
      <c r="G5" s="48">
        <v>0</v>
      </c>
      <c r="I5" s="64">
        <v>1</v>
      </c>
      <c r="J5" s="47">
        <v>0.25</v>
      </c>
      <c r="K5" s="47">
        <v>0.15</v>
      </c>
      <c r="L5" s="47">
        <v>0.14099999999999999</v>
      </c>
      <c r="M5" s="47">
        <v>3.0499999999999999E-2</v>
      </c>
      <c r="N5" s="47">
        <v>0.28849999999999998</v>
      </c>
      <c r="O5" s="52">
        <v>0.14000000000000001</v>
      </c>
    </row>
    <row r="6" spans="2:15" ht="45" customHeight="1">
      <c r="C6" s="65">
        <v>2</v>
      </c>
      <c r="D6" s="46">
        <v>180000.01</v>
      </c>
      <c r="E6" s="46">
        <v>360000</v>
      </c>
      <c r="F6" s="47">
        <v>0.18</v>
      </c>
      <c r="G6" s="48">
        <v>4500</v>
      </c>
      <c r="I6" s="65">
        <v>2</v>
      </c>
      <c r="J6" s="47">
        <v>0.23</v>
      </c>
      <c r="K6" s="47">
        <v>0.15</v>
      </c>
      <c r="L6" s="47">
        <v>0.14099999999999999</v>
      </c>
      <c r="M6" s="47">
        <v>3.0499999999999999E-2</v>
      </c>
      <c r="N6" s="47">
        <v>0.27850000000000003</v>
      </c>
      <c r="O6" s="52">
        <v>0.17</v>
      </c>
    </row>
    <row r="7" spans="2:15" ht="45" customHeight="1">
      <c r="C7" s="65">
        <v>3</v>
      </c>
      <c r="D7" s="46">
        <v>360000.01</v>
      </c>
      <c r="E7" s="46">
        <v>720000</v>
      </c>
      <c r="F7" s="47">
        <v>0.19500000000000001</v>
      </c>
      <c r="G7" s="48">
        <v>9900</v>
      </c>
      <c r="I7" s="65">
        <v>3</v>
      </c>
      <c r="J7" s="47">
        <v>0.24</v>
      </c>
      <c r="K7" s="47">
        <v>0.15</v>
      </c>
      <c r="L7" s="47">
        <v>0.1492</v>
      </c>
      <c r="M7" s="47">
        <v>3.2300000000000002E-2</v>
      </c>
      <c r="N7" s="47">
        <v>0.23849999999999999</v>
      </c>
      <c r="O7" s="52">
        <v>0.19</v>
      </c>
    </row>
    <row r="8" spans="2:15" ht="45" customHeight="1">
      <c r="C8" s="65">
        <v>4</v>
      </c>
      <c r="D8" s="46">
        <v>720000.01</v>
      </c>
      <c r="E8" s="46">
        <v>1800000</v>
      </c>
      <c r="F8" s="47">
        <v>0.20499999999999999</v>
      </c>
      <c r="G8" s="48">
        <v>17100</v>
      </c>
      <c r="I8" s="65">
        <v>4</v>
      </c>
      <c r="J8" s="47">
        <v>0.21</v>
      </c>
      <c r="K8" s="47">
        <v>0.15</v>
      </c>
      <c r="L8" s="47">
        <v>0.15740000000000001</v>
      </c>
      <c r="M8" s="47">
        <v>3.4099999999999998E-2</v>
      </c>
      <c r="N8" s="47">
        <v>0.23849999999999999</v>
      </c>
      <c r="O8" s="52">
        <v>0.21</v>
      </c>
    </row>
    <row r="9" spans="2:15" ht="45" customHeight="1">
      <c r="C9" s="65">
        <v>5</v>
      </c>
      <c r="D9" s="46">
        <v>1800000.01</v>
      </c>
      <c r="E9" s="46">
        <v>3600000</v>
      </c>
      <c r="F9" s="47">
        <v>0.23</v>
      </c>
      <c r="G9" s="48">
        <v>62100</v>
      </c>
      <c r="I9" s="65">
        <v>5</v>
      </c>
      <c r="J9" s="47">
        <v>0.23</v>
      </c>
      <c r="K9" s="47">
        <v>0.125</v>
      </c>
      <c r="L9" s="47">
        <v>0.14099999999999999</v>
      </c>
      <c r="M9" s="47">
        <v>3.0499999999999999E-2</v>
      </c>
      <c r="N9" s="47">
        <v>0.23849999999999999</v>
      </c>
      <c r="O9" s="52">
        <v>0.23499999999999999</v>
      </c>
    </row>
    <row r="10" spans="2:15" ht="45" customHeight="1">
      <c r="C10" s="65">
        <v>6</v>
      </c>
      <c r="D10" s="49">
        <v>3600000.01</v>
      </c>
      <c r="E10" s="49">
        <v>4800000</v>
      </c>
      <c r="F10" s="50">
        <v>0.30499999999999999</v>
      </c>
      <c r="G10" s="51">
        <v>540000</v>
      </c>
      <c r="I10" s="65">
        <v>6</v>
      </c>
      <c r="J10" s="50">
        <v>0.35</v>
      </c>
      <c r="K10" s="50">
        <v>0.155</v>
      </c>
      <c r="L10" s="50">
        <v>0.16439999999999999</v>
      </c>
      <c r="M10" s="50">
        <v>3.56E-2</v>
      </c>
      <c r="N10" s="50">
        <v>0.29499999999999998</v>
      </c>
      <c r="O10" s="53" t="s">
        <v>49</v>
      </c>
    </row>
  </sheetData>
  <sheetProtection sheet="1" objects="1" scenarios="1" selectLockedCells="1"/>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4">
    <tabColor rgb="FF01B8AA"/>
  </sheetPr>
  <dimension ref="B1:P28"/>
  <sheetViews>
    <sheetView showRowColHeaders="0" zoomScaleNormal="100" workbookViewId="0">
      <selection activeCell="G6" sqref="G6"/>
    </sheetView>
  </sheetViews>
  <sheetFormatPr defaultRowHeight="35.1" customHeight="1"/>
  <cols>
    <col min="1" max="2" width="1.7109375" style="107" customWidth="1"/>
    <col min="3" max="3" width="60.7109375" style="107" customWidth="1"/>
    <col min="4" max="4" width="20.7109375" style="107" customWidth="1"/>
    <col min="5" max="5" width="5.7109375" style="107" customWidth="1"/>
    <col min="6" max="6" width="46.5703125" style="107" customWidth="1"/>
    <col min="7" max="7" width="20.7109375" style="107" customWidth="1"/>
    <col min="8" max="16" width="13.140625" style="107" customWidth="1"/>
    <col min="17" max="16384" width="9.140625" style="107"/>
  </cols>
  <sheetData>
    <row r="1" spans="2:16" s="1" customFormat="1" ht="35.1" customHeight="1"/>
    <row r="2" spans="2:16" s="3" customFormat="1" ht="30" customHeight="1"/>
    <row r="3" spans="2:16" ht="30" customHeight="1" thickBot="1"/>
    <row r="4" spans="2:16" ht="21.95" customHeight="1">
      <c r="C4" s="59" t="s">
        <v>78</v>
      </c>
      <c r="D4" s="61" t="s">
        <v>77</v>
      </c>
      <c r="E4" s="58"/>
      <c r="F4" s="59" t="s">
        <v>78</v>
      </c>
      <c r="G4" s="61" t="s">
        <v>105</v>
      </c>
      <c r="H4" s="58"/>
      <c r="I4" s="58"/>
      <c r="J4" s="58"/>
      <c r="K4" s="58"/>
      <c r="L4" s="58"/>
      <c r="M4" s="58"/>
      <c r="N4" s="58"/>
      <c r="O4" s="227"/>
      <c r="P4" s="227"/>
    </row>
    <row r="5" spans="2:16" ht="45" customHeight="1">
      <c r="C5" s="80" t="s">
        <v>90</v>
      </c>
      <c r="D5" s="82">
        <v>11785.924999999999</v>
      </c>
      <c r="F5" s="80" t="s">
        <v>104</v>
      </c>
      <c r="G5" s="66">
        <v>0.03</v>
      </c>
      <c r="H5" s="170">
        <f>IFERROR(IF(D6&gt;Tabela01!E9,SUM(D7:D8)*G5,0),0)</f>
        <v>0</v>
      </c>
      <c r="I5" s="134"/>
      <c r="J5" s="133"/>
      <c r="K5" s="58"/>
      <c r="L5" s="133"/>
      <c r="M5" s="58"/>
      <c r="N5" s="228"/>
      <c r="O5" s="229"/>
      <c r="P5" s="229"/>
    </row>
    <row r="6" spans="2:16" ht="45" customHeight="1">
      <c r="C6" s="81" t="s">
        <v>91</v>
      </c>
      <c r="D6" s="82">
        <v>141431.1</v>
      </c>
      <c r="E6" s="58"/>
      <c r="F6" s="81" t="s">
        <v>125</v>
      </c>
      <c r="G6" s="82">
        <v>950000</v>
      </c>
      <c r="H6" s="58"/>
      <c r="I6" s="133"/>
      <c r="J6" s="58"/>
      <c r="K6" s="58"/>
      <c r="L6" s="133"/>
      <c r="M6" s="58"/>
      <c r="N6" s="228"/>
      <c r="O6" s="229"/>
      <c r="P6" s="229"/>
    </row>
    <row r="7" spans="2:16" ht="45" customHeight="1">
      <c r="C7" s="81" t="s">
        <v>92</v>
      </c>
      <c r="D7" s="82">
        <v>141431.1</v>
      </c>
      <c r="E7" s="58"/>
      <c r="F7" s="206" t="s">
        <v>126</v>
      </c>
      <c r="G7" s="209">
        <f>IFERROR(G6/D5,0)</f>
        <v>80.604619493166638</v>
      </c>
      <c r="H7" s="58"/>
      <c r="I7" s="58"/>
      <c r="J7" s="58"/>
      <c r="K7" s="58"/>
      <c r="L7" s="58"/>
      <c r="M7" s="58"/>
      <c r="N7" s="58"/>
      <c r="O7" s="58"/>
      <c r="P7" s="58"/>
    </row>
    <row r="8" spans="2:16" ht="45" customHeight="1">
      <c r="C8" s="81" t="s">
        <v>93</v>
      </c>
      <c r="D8" s="82">
        <v>0</v>
      </c>
      <c r="E8" s="144"/>
      <c r="F8" s="207" t="s">
        <v>127</v>
      </c>
      <c r="G8" s="208" t="str">
        <f>IF(G7&lt;=28%,"Anexo V","Anexo III")</f>
        <v>Anexo III</v>
      </c>
      <c r="H8" s="144"/>
      <c r="I8" s="144"/>
      <c r="J8" s="144"/>
      <c r="K8" s="58"/>
      <c r="L8" s="58"/>
      <c r="M8" s="58"/>
      <c r="N8" s="58"/>
      <c r="O8" s="58"/>
      <c r="P8" s="58"/>
    </row>
    <row r="9" spans="2:16" ht="45" customHeight="1">
      <c r="B9" s="58"/>
      <c r="C9" s="81" t="s">
        <v>94</v>
      </c>
      <c r="D9" s="82">
        <v>0</v>
      </c>
      <c r="E9" s="138"/>
      <c r="F9" s="137"/>
      <c r="G9" s="75"/>
      <c r="H9" s="138"/>
      <c r="I9" s="137"/>
      <c r="J9" s="139"/>
      <c r="K9" s="58"/>
      <c r="L9" s="58"/>
      <c r="M9" s="58"/>
      <c r="N9" s="58"/>
      <c r="O9" s="58"/>
      <c r="P9" s="58"/>
    </row>
    <row r="10" spans="2:16" ht="45" customHeight="1">
      <c r="B10" s="58"/>
      <c r="C10" s="146" t="s">
        <v>96</v>
      </c>
      <c r="D10" s="147">
        <f>SUM(D7:D9)</f>
        <v>141431.1</v>
      </c>
      <c r="E10" s="141"/>
      <c r="F10" s="141"/>
      <c r="G10" s="141"/>
      <c r="H10" s="141"/>
      <c r="I10" s="141"/>
      <c r="J10" s="142"/>
      <c r="K10" s="58"/>
      <c r="L10" s="58"/>
      <c r="M10" s="58"/>
      <c r="N10" s="58"/>
      <c r="O10" s="58"/>
      <c r="P10" s="58"/>
    </row>
    <row r="11" spans="2:16" ht="45" customHeight="1">
      <c r="B11" s="58"/>
      <c r="C11" s="145" t="s">
        <v>95</v>
      </c>
      <c r="D11" s="148">
        <f>IF(D6&gt;Tabela01!$E$9,D6-Tabela01!$E$9,0)</f>
        <v>0</v>
      </c>
      <c r="E11" s="141"/>
      <c r="F11" s="141"/>
      <c r="G11" s="141"/>
      <c r="H11" s="141"/>
      <c r="I11" s="141"/>
      <c r="J11" s="142"/>
      <c r="K11" s="58"/>
      <c r="L11" s="58"/>
      <c r="M11" s="58"/>
      <c r="N11" s="58"/>
      <c r="O11" s="58"/>
      <c r="P11" s="58"/>
    </row>
    <row r="12" spans="2:16" s="213" customFormat="1" ht="35.1" hidden="1" customHeight="1">
      <c r="B12" s="210"/>
      <c r="C12" s="211"/>
      <c r="D12" s="212">
        <f>IFERROR(D11/D10,0)</f>
        <v>0</v>
      </c>
      <c r="E12" s="142" t="s">
        <v>97</v>
      </c>
      <c r="F12" s="142" t="s">
        <v>98</v>
      </c>
      <c r="G12" s="142"/>
      <c r="H12" s="142"/>
      <c r="I12" s="142"/>
      <c r="J12" s="142"/>
      <c r="K12" s="210"/>
      <c r="L12" s="210"/>
      <c r="M12" s="210"/>
      <c r="N12" s="210"/>
      <c r="O12" s="210"/>
      <c r="P12" s="210"/>
    </row>
    <row r="13" spans="2:16" s="213" customFormat="1" ht="35.1" hidden="1" customHeight="1">
      <c r="B13" s="210"/>
      <c r="C13" s="211" t="s">
        <v>65</v>
      </c>
      <c r="D13" s="212">
        <f>Tabela01!O9</f>
        <v>0.33500000000000002</v>
      </c>
      <c r="E13" s="142">
        <f>IFERROR(SUM($D$7:$D$8)*D12,0)</f>
        <v>0</v>
      </c>
      <c r="F13" s="142">
        <f>IFERROR(IF(E13=0,0,D7+D8-E13),0)</f>
        <v>0</v>
      </c>
      <c r="G13" s="142"/>
      <c r="H13" s="142"/>
      <c r="I13" s="142"/>
      <c r="J13" s="142"/>
      <c r="K13" s="210"/>
      <c r="L13" s="210"/>
      <c r="M13" s="210"/>
      <c r="N13" s="210"/>
      <c r="O13" s="210"/>
      <c r="P13" s="210"/>
    </row>
    <row r="14" spans="2:16" s="213" customFormat="1" ht="35.1" hidden="1" customHeight="1">
      <c r="B14" s="210"/>
      <c r="C14" s="211" t="s">
        <v>64</v>
      </c>
      <c r="D14" s="212">
        <f>Tabela02!P9</f>
        <v>0.32</v>
      </c>
      <c r="E14" s="142">
        <f>IFERROR(SUM($D$7:$D$8)*D12,0)</f>
        <v>0</v>
      </c>
      <c r="F14" s="142">
        <f>IFERROR(IF(E14=0,0,D7+D8-E14),0)</f>
        <v>0</v>
      </c>
      <c r="G14" s="142"/>
      <c r="H14" s="142"/>
      <c r="I14" s="142"/>
      <c r="J14" s="142"/>
      <c r="K14" s="210"/>
      <c r="L14" s="210"/>
      <c r="M14" s="210"/>
      <c r="N14" s="210"/>
      <c r="O14" s="210"/>
      <c r="P14" s="210"/>
    </row>
    <row r="15" spans="2:16" s="213" customFormat="1" ht="35.1" hidden="1" customHeight="1">
      <c r="B15" s="210"/>
      <c r="C15" s="214">
        <f>D5</f>
        <v>11785.924999999999</v>
      </c>
      <c r="D15" s="215">
        <f>Tabela01!F9</f>
        <v>0.14299999999999999</v>
      </c>
      <c r="E15" s="142">
        <f>Tabela01!G9</f>
        <v>87300</v>
      </c>
      <c r="F15" s="216">
        <f>IFERROR((C15*D15)-E15,0)</f>
        <v>-85614.612724999999</v>
      </c>
      <c r="G15" s="215">
        <f>IFERROR(F15/F16,0)</f>
        <v>-7.2641402965825765</v>
      </c>
      <c r="H15" s="217">
        <f>IFERROR(G15*D13,0)</f>
        <v>-2.4334869993551633</v>
      </c>
      <c r="I15" s="142">
        <f>IFERROR(F13*H15,0)</f>
        <v>0</v>
      </c>
      <c r="J15" s="142"/>
      <c r="K15" s="210"/>
      <c r="L15" s="210"/>
      <c r="M15" s="210"/>
      <c r="N15" s="210"/>
      <c r="O15" s="210"/>
      <c r="P15" s="210"/>
    </row>
    <row r="16" spans="2:16" s="213" customFormat="1" ht="35.1" hidden="1" customHeight="1">
      <c r="C16" s="214">
        <f>C15</f>
        <v>11785.924999999999</v>
      </c>
      <c r="D16" s="210"/>
      <c r="E16" s="210"/>
      <c r="F16" s="216">
        <f>C16</f>
        <v>11785.924999999999</v>
      </c>
      <c r="G16" s="77"/>
      <c r="H16" s="218"/>
      <c r="I16" s="210"/>
      <c r="J16" s="210"/>
      <c r="K16" s="210"/>
      <c r="L16" s="210"/>
      <c r="M16" s="210"/>
      <c r="N16" s="210"/>
      <c r="O16" s="210"/>
      <c r="P16" s="210"/>
    </row>
    <row r="17" spans="2:16" s="213" customFormat="1" ht="35.1" hidden="1" customHeight="1">
      <c r="C17" s="214">
        <f>Tabela01!E9</f>
        <v>3600000</v>
      </c>
      <c r="D17" s="215">
        <f>Tabela01!F9</f>
        <v>0.14299999999999999</v>
      </c>
      <c r="E17" s="142">
        <f>Tabela01!G9</f>
        <v>87300</v>
      </c>
      <c r="F17" s="216">
        <f>IFERROR((C17*D17)-E17,0)</f>
        <v>427499.99999999994</v>
      </c>
      <c r="G17" s="215">
        <f>IFERROR(F17/F18,0)</f>
        <v>0.11874999999999998</v>
      </c>
      <c r="H17" s="217">
        <f>IFERROR(G17*D13,0)</f>
        <v>3.9781249999999997E-2</v>
      </c>
      <c r="I17" s="142">
        <f>IFERROR(E13*H17,0)</f>
        <v>0</v>
      </c>
      <c r="J17" s="135"/>
      <c r="K17" s="135"/>
      <c r="L17" s="135"/>
      <c r="M17" s="135"/>
      <c r="N17" s="135"/>
      <c r="O17" s="135"/>
      <c r="P17" s="210"/>
    </row>
    <row r="18" spans="2:16" s="213" customFormat="1" ht="35.1" hidden="1" customHeight="1">
      <c r="B18" s="210"/>
      <c r="C18" s="214">
        <f>C17</f>
        <v>3600000</v>
      </c>
      <c r="D18" s="210"/>
      <c r="E18" s="210"/>
      <c r="F18" s="216">
        <f>C18</f>
        <v>3600000</v>
      </c>
      <c r="G18" s="136"/>
      <c r="H18" s="138"/>
      <c r="I18" s="219">
        <f>SUM(I15:I17)</f>
        <v>0</v>
      </c>
      <c r="J18" s="138"/>
      <c r="K18" s="136"/>
      <c r="L18" s="138"/>
      <c r="M18" s="136"/>
      <c r="N18" s="138"/>
      <c r="O18" s="210"/>
      <c r="P18" s="210"/>
    </row>
    <row r="19" spans="2:16" s="213" customFormat="1" ht="35.1" hidden="1" customHeight="1">
      <c r="B19" s="210"/>
      <c r="C19" s="215"/>
      <c r="D19" s="143"/>
      <c r="E19" s="215"/>
      <c r="F19" s="143"/>
      <c r="G19" s="215"/>
      <c r="H19" s="143"/>
      <c r="I19" s="215"/>
      <c r="J19" s="143"/>
      <c r="K19" s="215"/>
      <c r="L19" s="143"/>
      <c r="M19" s="215"/>
      <c r="N19" s="143"/>
      <c r="O19" s="210"/>
      <c r="P19" s="210"/>
    </row>
    <row r="20" spans="2:16" s="213" customFormat="1" ht="35.1" hidden="1" customHeight="1">
      <c r="B20" s="210"/>
      <c r="C20" s="214">
        <f>C15</f>
        <v>11785.924999999999</v>
      </c>
      <c r="D20" s="215">
        <f>Tabela02!F9</f>
        <v>0.14699999999999999</v>
      </c>
      <c r="E20" s="142">
        <f>Tabela02!G9</f>
        <v>85500</v>
      </c>
      <c r="F20" s="216">
        <f>IFERROR((C20*D20)-E20,0)</f>
        <v>-83767.469024999999</v>
      </c>
      <c r="G20" s="215">
        <f>IFERROR(F20/F21,0)</f>
        <v>-7.1074157543849976</v>
      </c>
      <c r="H20" s="217">
        <f>IFERROR(G20*D14,0)</f>
        <v>-2.2743730414031993</v>
      </c>
      <c r="I20" s="142">
        <f>IFERROR(F14*H20,0)</f>
        <v>0</v>
      </c>
      <c r="J20" s="143"/>
      <c r="K20" s="215"/>
      <c r="L20" s="143"/>
      <c r="M20" s="215"/>
      <c r="N20" s="143"/>
      <c r="O20" s="210"/>
      <c r="P20" s="210"/>
    </row>
    <row r="21" spans="2:16" s="213" customFormat="1" ht="35.1" hidden="1" customHeight="1">
      <c r="B21" s="210"/>
      <c r="C21" s="214">
        <f>C20</f>
        <v>11785.924999999999</v>
      </c>
      <c r="D21" s="210"/>
      <c r="E21" s="210"/>
      <c r="F21" s="216">
        <f>C21</f>
        <v>11785.924999999999</v>
      </c>
      <c r="G21" s="77"/>
      <c r="H21" s="218"/>
      <c r="I21" s="210"/>
      <c r="J21" s="143"/>
      <c r="K21" s="215"/>
      <c r="L21" s="143"/>
      <c r="M21" s="215"/>
      <c r="N21" s="143"/>
      <c r="O21" s="210"/>
      <c r="P21" s="210"/>
    </row>
    <row r="22" spans="2:16" s="213" customFormat="1" ht="35.1" hidden="1" customHeight="1">
      <c r="B22" s="210"/>
      <c r="C22" s="214">
        <f>Tabela02!E9</f>
        <v>3600000</v>
      </c>
      <c r="D22" s="215">
        <f>D20</f>
        <v>0.14699999999999999</v>
      </c>
      <c r="E22" s="142">
        <f>E20</f>
        <v>85500</v>
      </c>
      <c r="F22" s="216">
        <f>IFERROR((C22*D22)-E22,0)</f>
        <v>443700</v>
      </c>
      <c r="G22" s="215">
        <f>IFERROR(F22/F23,0)</f>
        <v>0.12325</v>
      </c>
      <c r="H22" s="217">
        <f>IFERROR(G22*D14,0)</f>
        <v>3.9440000000000003E-2</v>
      </c>
      <c r="I22" s="142">
        <f>IFERROR(E14*H22,0)</f>
        <v>0</v>
      </c>
      <c r="J22" s="143"/>
      <c r="K22" s="215"/>
      <c r="L22" s="143"/>
      <c r="M22" s="215"/>
      <c r="N22" s="143"/>
      <c r="O22" s="210"/>
      <c r="P22" s="210"/>
    </row>
    <row r="23" spans="2:16" s="213" customFormat="1" ht="35.1" hidden="1" customHeight="1">
      <c r="B23" s="210"/>
      <c r="C23" s="214">
        <f>C22</f>
        <v>3600000</v>
      </c>
      <c r="D23" s="210"/>
      <c r="E23" s="210"/>
      <c r="F23" s="216">
        <f>C23</f>
        <v>3600000</v>
      </c>
      <c r="G23" s="136"/>
      <c r="H23" s="138"/>
      <c r="I23" s="219">
        <f>SUM(I20:I22)</f>
        <v>0</v>
      </c>
      <c r="J23" s="143"/>
      <c r="K23" s="215"/>
      <c r="L23" s="143"/>
      <c r="M23" s="215"/>
      <c r="N23" s="143"/>
      <c r="O23" s="210"/>
      <c r="P23" s="210"/>
    </row>
    <row r="24" spans="2:16" s="213" customFormat="1" ht="35.1" hidden="1" customHeight="1">
      <c r="B24" s="210"/>
      <c r="C24" s="215"/>
      <c r="D24" s="143"/>
      <c r="E24" s="215"/>
      <c r="F24" s="143"/>
      <c r="G24" s="215"/>
      <c r="H24" s="143"/>
      <c r="I24" s="215"/>
      <c r="J24" s="143"/>
      <c r="K24" s="215"/>
      <c r="L24" s="143"/>
      <c r="M24" s="215"/>
      <c r="N24" s="143"/>
      <c r="O24" s="210"/>
      <c r="P24" s="210"/>
    </row>
    <row r="25" spans="2:16" s="213" customFormat="1" ht="35.1" hidden="1" customHeight="1">
      <c r="C25" s="210"/>
      <c r="D25" s="210"/>
      <c r="E25" s="210"/>
      <c r="F25" s="210"/>
      <c r="G25" s="210"/>
      <c r="H25" s="210"/>
      <c r="I25" s="210"/>
      <c r="J25" s="210"/>
      <c r="K25" s="210"/>
      <c r="L25" s="210"/>
      <c r="M25" s="210"/>
      <c r="N25" s="210"/>
      <c r="O25" s="210"/>
      <c r="P25" s="210"/>
    </row>
    <row r="26" spans="2:16" ht="35.1" hidden="1" customHeight="1">
      <c r="C26" s="172"/>
      <c r="D26" s="171"/>
      <c r="E26" s="171"/>
      <c r="F26" s="171"/>
      <c r="G26" s="171"/>
      <c r="H26" s="172"/>
      <c r="I26" s="172"/>
      <c r="J26" s="172"/>
      <c r="K26" s="172"/>
    </row>
    <row r="27" spans="2:16" ht="35.1" hidden="1" customHeight="1">
      <c r="C27" s="172"/>
      <c r="D27" s="171"/>
      <c r="E27" s="171"/>
      <c r="F27" s="171"/>
      <c r="G27" s="171"/>
      <c r="H27" s="172"/>
      <c r="I27" s="172"/>
      <c r="J27" s="172"/>
      <c r="K27" s="172"/>
    </row>
    <row r="28" spans="2:16" ht="35.1" customHeight="1">
      <c r="C28" s="173"/>
      <c r="D28" s="172"/>
      <c r="E28" s="172"/>
      <c r="F28" s="172"/>
      <c r="G28" s="172"/>
      <c r="H28" s="172"/>
      <c r="I28" s="172"/>
      <c r="J28" s="172"/>
      <c r="K28" s="172"/>
    </row>
  </sheetData>
  <sheetProtection sheet="1" objects="1" scenarios="1" selectLockedCells="1"/>
  <mergeCells count="3">
    <mergeCell ref="O4:P4"/>
    <mergeCell ref="N5:N6"/>
    <mergeCell ref="O5:P6"/>
  </mergeCells>
  <pageMargins left="0.511811024" right="0.511811024" top="0.78740157499999996" bottom="0.78740157499999996" header="0.31496062000000002" footer="0.31496062000000002"/>
  <pageSetup paperSize="9" orientation="portrait"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2">
    <tabColor rgb="FF00B050"/>
  </sheetPr>
  <dimension ref="B1:T94"/>
  <sheetViews>
    <sheetView showRowColHeaders="0" zoomScaleNormal="100" workbookViewId="0">
      <pane ySplit="6" topLeftCell="A7" activePane="bottomLeft" state="frozen"/>
      <selection activeCell="Y13" sqref="Y13"/>
      <selection pane="bottomLeft" activeCell="O5" sqref="O5:P6"/>
    </sheetView>
  </sheetViews>
  <sheetFormatPr defaultRowHeight="35.1" customHeight="1"/>
  <cols>
    <col min="1" max="2" width="1.7109375" style="103" customWidth="1"/>
    <col min="3" max="16" width="13.140625" style="103" customWidth="1"/>
    <col min="17" max="17" width="11.7109375" style="172" customWidth="1"/>
    <col min="18" max="18" width="12.28515625" style="172" bestFit="1" customWidth="1"/>
    <col min="19" max="20" width="11.28515625" style="172" bestFit="1" customWidth="1"/>
    <col min="21" max="23" width="9.140625" style="103" customWidth="1"/>
    <col min="24" max="16384" width="9.140625" style="103"/>
  </cols>
  <sheetData>
    <row r="1" spans="2:20" s="1" customFormat="1" ht="35.1" customHeight="1">
      <c r="Q1" s="220"/>
      <c r="R1" s="220"/>
      <c r="S1" s="220"/>
      <c r="T1" s="220"/>
    </row>
    <row r="2" spans="2:20" s="3" customFormat="1" ht="30" customHeight="1">
      <c r="Q2" s="221"/>
      <c r="R2" s="221"/>
      <c r="S2" s="221"/>
      <c r="T2" s="221"/>
    </row>
    <row r="3" spans="2:20" ht="69.95" customHeight="1">
      <c r="T3" s="222">
        <f>IFERROR(SUM(T4:T6)+N24,0)</f>
        <v>5657.2440000000006</v>
      </c>
    </row>
    <row r="4" spans="2:20" ht="21.95" customHeight="1">
      <c r="C4" s="149"/>
      <c r="D4" s="74"/>
      <c r="E4" s="58"/>
      <c r="F4" s="75"/>
      <c r="G4" s="74"/>
      <c r="N4" s="103" t="s">
        <v>79</v>
      </c>
      <c r="O4" s="234" t="s">
        <v>128</v>
      </c>
      <c r="P4" s="234"/>
      <c r="Q4" s="222">
        <f>IFERROR(Lançamentos!D7*N5,0)</f>
        <v>5657.2440000000006</v>
      </c>
      <c r="R4" s="222">
        <f>Lançamentos!D7</f>
        <v>141431.1</v>
      </c>
      <c r="S4" s="222">
        <f>IFERROR(R4*$N$5,0)</f>
        <v>5657.2440000000006</v>
      </c>
      <c r="T4" s="222">
        <f>S4</f>
        <v>5657.2440000000006</v>
      </c>
    </row>
    <row r="5" spans="2:20" ht="35.1" customHeight="1">
      <c r="C5" s="237"/>
      <c r="D5" s="237"/>
      <c r="E5" s="237"/>
      <c r="F5" s="237"/>
      <c r="G5" s="237"/>
      <c r="H5" s="84">
        <f>Lançamentos!D5</f>
        <v>11785.924999999999</v>
      </c>
      <c r="I5" s="85">
        <f>IF($H$5=0,0,IF($H$5&lt;=Tabela01!$E$5,Tabela01!F5,IF($H$5&lt;=Tabela01!$E$6,Tabela01!F6,IF($H$5&lt;=Tabela01!$E$7,Tabela01!F7,IF($H$5&lt;=Tabela01!$E$8,Tabela01!F8,IF($H$5&lt;=Tabela01!$E$9,Tabela01!F9,IF($H$5&lt;=Tabela01!$E$10,Tabela01!F10,IF($H$5&gt;Tabela01!$E$10,Tabela01!F10))))))))</f>
        <v>0.04</v>
      </c>
      <c r="J5" s="84">
        <f>IF($H$5="",0,IF($H$5&lt;=Tabela01!$E$5,Tabela01!G5,IF($H$5&lt;=Tabela01!$E$6,Tabela01!G6,IF($H$5&lt;=Tabela01!$E$7,Tabela01!G7,IF($H$5&lt;=Tabela01!$E$8,Tabela01!G8,IF($H$5&lt;=Tabela01!$E$9,Tabela01!G9,IF($H$5&lt;=Tabela01!$E$10,Tabela01!G10,IF($H$5&gt;Tabela01!$E$10,Tabela01!G10))))))))</f>
        <v>0</v>
      </c>
      <c r="L5" s="84">
        <f>IFERROR((H5*I5)-J5,0)</f>
        <v>471.43699999999995</v>
      </c>
      <c r="N5" s="233">
        <f>IFERROR(L5/L6,0)</f>
        <v>0.04</v>
      </c>
      <c r="O5" s="235">
        <f>IFERROR(T3,0)</f>
        <v>5657.2440000000006</v>
      </c>
      <c r="P5" s="235"/>
      <c r="Q5" s="222">
        <f>IFERROR(Lançamentos!D8*N5,0)</f>
        <v>0</v>
      </c>
      <c r="R5" s="222">
        <f>Lançamentos!D8</f>
        <v>0</v>
      </c>
      <c r="S5" s="222">
        <f t="shared" ref="S5:S6" si="0">IFERROR(R5*$N$5,0)</f>
        <v>0</v>
      </c>
      <c r="T5" s="222">
        <f>IFERROR(S5-R34-S34,0)</f>
        <v>0</v>
      </c>
    </row>
    <row r="6" spans="2:20" ht="35.1" customHeight="1">
      <c r="C6" s="237"/>
      <c r="D6" s="237"/>
      <c r="E6" s="237"/>
      <c r="F6" s="237"/>
      <c r="G6" s="237"/>
      <c r="I6" s="83">
        <f>H5</f>
        <v>11785.924999999999</v>
      </c>
      <c r="L6" s="83">
        <f>I6</f>
        <v>11785.924999999999</v>
      </c>
      <c r="N6" s="233"/>
      <c r="O6" s="235"/>
      <c r="P6" s="235"/>
      <c r="Q6" s="223">
        <f>IFERROR(Lançamentos!D9*Anexos!N5,0)</f>
        <v>0</v>
      </c>
      <c r="R6" s="222">
        <f>Lançamentos!D9</f>
        <v>0</v>
      </c>
      <c r="S6" s="222">
        <f t="shared" si="0"/>
        <v>0</v>
      </c>
      <c r="T6" s="222">
        <f>IFERROR(S6-R41,0)</f>
        <v>0</v>
      </c>
    </row>
    <row r="7" spans="2:20" ht="15" customHeight="1" thickBot="1">
      <c r="C7" s="76"/>
      <c r="D7" s="77"/>
      <c r="E7" s="58"/>
      <c r="F7" s="76"/>
      <c r="G7" s="78"/>
    </row>
    <row r="8" spans="2:20" ht="21.95" customHeight="1">
      <c r="C8" s="231" t="s">
        <v>80</v>
      </c>
      <c r="D8" s="232"/>
      <c r="E8" s="232"/>
      <c r="F8" s="232"/>
      <c r="G8" s="232"/>
      <c r="H8" s="232"/>
      <c r="I8" s="232"/>
      <c r="J8" s="236"/>
    </row>
    <row r="9" spans="2:20" ht="21.95" customHeight="1">
      <c r="B9" s="108"/>
      <c r="C9" s="111" t="s">
        <v>81</v>
      </c>
      <c r="D9" s="112" t="str">
        <f>'BH (2)'!B5</f>
        <v>IRPJ</v>
      </c>
      <c r="E9" s="113" t="str">
        <f>'BH (2)'!D5</f>
        <v>CSLL</v>
      </c>
      <c r="F9" s="114" t="str">
        <f>'BH (2)'!F5</f>
        <v>Cofins</v>
      </c>
      <c r="G9" s="112" t="str">
        <f>'BH (2)'!H5</f>
        <v>PIS/Pasep</v>
      </c>
      <c r="H9" s="113" t="str">
        <f>'BH (2)'!J5</f>
        <v>CPP</v>
      </c>
      <c r="I9" s="115" t="str">
        <f>'BH (2)'!L5</f>
        <v>ICMS</v>
      </c>
      <c r="J9" s="116" t="s">
        <v>88</v>
      </c>
      <c r="K9" s="109"/>
    </row>
    <row r="10" spans="2:20" ht="35.1" customHeight="1">
      <c r="B10" s="108"/>
      <c r="C10" s="110" t="s">
        <v>82</v>
      </c>
      <c r="D10" s="129">
        <f>'BH (2)'!C6</f>
        <v>0.22</v>
      </c>
      <c r="E10" s="129">
        <f>'BH (2)'!E6</f>
        <v>0.14000000000000001</v>
      </c>
      <c r="F10" s="129">
        <f>'BH (2)'!G6</f>
        <v>0.50960000000000005</v>
      </c>
      <c r="G10" s="129">
        <f>'BH (2)'!I6</f>
        <v>0.1104</v>
      </c>
      <c r="H10" s="129">
        <f>'BH (2)'!K6</f>
        <v>1.66</v>
      </c>
      <c r="I10" s="130">
        <f>'BH (2)'!M6</f>
        <v>1.36</v>
      </c>
      <c r="J10" s="151">
        <f>SUM(D10:I10)</f>
        <v>4</v>
      </c>
      <c r="K10" s="109"/>
    </row>
    <row r="11" spans="2:20" ht="35.1" customHeight="1">
      <c r="B11" s="108"/>
      <c r="C11" s="110" t="s">
        <v>83</v>
      </c>
      <c r="D11" s="129">
        <f>'BH (2)'!C7</f>
        <v>0.22</v>
      </c>
      <c r="E11" s="129">
        <f>'BH (2)'!E7</f>
        <v>0.14000000000000001</v>
      </c>
      <c r="F11" s="129">
        <f>'BH (2)'!G7</f>
        <v>0.50960000000000005</v>
      </c>
      <c r="G11" s="129">
        <f>'BH (2)'!I7</f>
        <v>0.1104</v>
      </c>
      <c r="H11" s="129">
        <f>'BH (2)'!K7</f>
        <v>1.66</v>
      </c>
      <c r="I11" s="130">
        <f>'BH (2)'!M7</f>
        <v>1.36</v>
      </c>
      <c r="J11" s="152">
        <f t="shared" ref="J11:J14" si="1">SUM(D11:I11)</f>
        <v>4</v>
      </c>
      <c r="K11" s="109"/>
    </row>
    <row r="12" spans="2:20" ht="35.1" customHeight="1">
      <c r="B12" s="108"/>
      <c r="C12" s="110" t="s">
        <v>84</v>
      </c>
      <c r="D12" s="129">
        <f>'BH (2)'!C8</f>
        <v>0.22</v>
      </c>
      <c r="E12" s="129">
        <f>'BH (2)'!E8</f>
        <v>0.14000000000000001</v>
      </c>
      <c r="F12" s="129">
        <f>'BH (2)'!G8</f>
        <v>0.50960000000000005</v>
      </c>
      <c r="G12" s="129">
        <f>'BH (2)'!I8</f>
        <v>0.1104</v>
      </c>
      <c r="H12" s="129">
        <f>'BH (2)'!K8</f>
        <v>1.68</v>
      </c>
      <c r="I12" s="130">
        <f>'BH (2)'!M8</f>
        <v>1.34</v>
      </c>
      <c r="J12" s="153">
        <f t="shared" si="1"/>
        <v>4</v>
      </c>
      <c r="K12" s="109"/>
    </row>
    <row r="13" spans="2:20" ht="35.1" customHeight="1">
      <c r="B13" s="108"/>
      <c r="C13" s="110" t="s">
        <v>85</v>
      </c>
      <c r="D13" s="129">
        <f>'BH (2)'!C9</f>
        <v>0.22</v>
      </c>
      <c r="E13" s="129">
        <f>'BH (2)'!E9</f>
        <v>0.14000000000000001</v>
      </c>
      <c r="F13" s="129">
        <f>'BH (2)'!G9</f>
        <v>0.50960000000000005</v>
      </c>
      <c r="G13" s="129">
        <f>'BH (2)'!I9</f>
        <v>0.1104</v>
      </c>
      <c r="H13" s="129">
        <f>'BH (2)'!K9</f>
        <v>1.68</v>
      </c>
      <c r="I13" s="130">
        <f>'BH (2)'!M9</f>
        <v>1.34</v>
      </c>
      <c r="J13" s="154">
        <f t="shared" si="1"/>
        <v>4</v>
      </c>
      <c r="K13" s="109"/>
    </row>
    <row r="14" spans="2:20" ht="35.1" customHeight="1">
      <c r="B14" s="108"/>
      <c r="C14" s="110" t="s">
        <v>86</v>
      </c>
      <c r="D14" s="129">
        <f>'BH (2)'!C10</f>
        <v>0.22</v>
      </c>
      <c r="E14" s="129">
        <f>'BH (2)'!E10</f>
        <v>0.14000000000000001</v>
      </c>
      <c r="F14" s="129">
        <f>'BH (2)'!G10</f>
        <v>0.50960000000000005</v>
      </c>
      <c r="G14" s="129">
        <f>'BH (2)'!I10</f>
        <v>0.1104</v>
      </c>
      <c r="H14" s="129">
        <f>'BH (2)'!K10</f>
        <v>1.68</v>
      </c>
      <c r="I14" s="130">
        <f>'BH (2)'!M10</f>
        <v>1.34</v>
      </c>
      <c r="J14" s="152">
        <f t="shared" si="1"/>
        <v>4</v>
      </c>
      <c r="K14" s="109"/>
    </row>
    <row r="15" spans="2:20" ht="35.1" customHeight="1">
      <c r="B15" s="108"/>
      <c r="C15" s="110" t="s">
        <v>87</v>
      </c>
      <c r="D15" s="129">
        <f>'BH (2)'!C11</f>
        <v>0.54</v>
      </c>
      <c r="E15" s="129">
        <f>'BH (2)'!E11</f>
        <v>0.4</v>
      </c>
      <c r="F15" s="129">
        <f>'BH (2)'!G11</f>
        <v>1.1308</v>
      </c>
      <c r="G15" s="129">
        <f>'BH (2)'!I11</f>
        <v>0.2452</v>
      </c>
      <c r="H15" s="129">
        <f>'BH (2)'!K11</f>
        <v>1.6839999999999999</v>
      </c>
      <c r="I15" s="130">
        <f>'BH (2)'!M11</f>
        <v>0</v>
      </c>
      <c r="J15" s="155">
        <f>SUM(D15:I15)</f>
        <v>4</v>
      </c>
      <c r="K15" s="109"/>
    </row>
    <row r="16" spans="2:20" ht="30" customHeight="1" thickBot="1">
      <c r="C16" s="58"/>
      <c r="D16" s="58"/>
      <c r="E16" s="58"/>
      <c r="F16" s="79"/>
      <c r="G16" s="77"/>
    </row>
    <row r="17" spans="2:17" ht="21.95" customHeight="1">
      <c r="C17" s="231" t="s">
        <v>89</v>
      </c>
      <c r="D17" s="232"/>
      <c r="E17" s="232"/>
      <c r="F17" s="232"/>
      <c r="G17" s="232"/>
      <c r="H17" s="232"/>
      <c r="I17" s="232"/>
      <c r="J17" s="232"/>
      <c r="K17" s="232"/>
      <c r="L17" s="232"/>
      <c r="M17" s="232"/>
      <c r="N17" s="232"/>
      <c r="O17" s="124"/>
    </row>
    <row r="18" spans="2:17" ht="21.95" customHeight="1">
      <c r="B18" s="108"/>
      <c r="C18" s="118" t="s">
        <v>69</v>
      </c>
      <c r="D18" s="113" t="str">
        <f>D9</f>
        <v>IRPJ</v>
      </c>
      <c r="E18" s="112" t="s">
        <v>69</v>
      </c>
      <c r="F18" s="113" t="str">
        <f>E9</f>
        <v>CSLL</v>
      </c>
      <c r="G18" s="112" t="s">
        <v>69</v>
      </c>
      <c r="H18" s="113" t="str">
        <f>F9</f>
        <v>Cofins</v>
      </c>
      <c r="I18" s="112" t="s">
        <v>69</v>
      </c>
      <c r="J18" s="113" t="str">
        <f>G9</f>
        <v>PIS/Pasep</v>
      </c>
      <c r="K18" s="112" t="s">
        <v>69</v>
      </c>
      <c r="L18" s="113" t="str">
        <f>H9</f>
        <v>CPP</v>
      </c>
      <c r="M18" s="112" t="s">
        <v>69</v>
      </c>
      <c r="N18" s="123" t="str">
        <f>I9</f>
        <v>ICMS</v>
      </c>
      <c r="O18" s="109"/>
    </row>
    <row r="19" spans="2:17" ht="35.1" customHeight="1">
      <c r="B19" s="108"/>
      <c r="C19" s="119">
        <f>'BH (2)'!B6</f>
        <v>5.5E-2</v>
      </c>
      <c r="D19" s="125">
        <f>IFERROR(D26+D33+D40,0)</f>
        <v>311.14842000000004</v>
      </c>
      <c r="E19" s="117">
        <f>'BH (2)'!D6</f>
        <v>3.5000000000000003E-2</v>
      </c>
      <c r="F19" s="125">
        <f>IFERROR(F26+F33+F40,0)</f>
        <v>198.00354000000004</v>
      </c>
      <c r="G19" s="117">
        <f>'BH (2)'!F6</f>
        <v>0.12740000000000001</v>
      </c>
      <c r="H19" s="125">
        <f>IFERROR(H26+H33+H40,0)</f>
        <v>720.73288560000015</v>
      </c>
      <c r="I19" s="117">
        <f>'BH (2)'!H6</f>
        <v>2.76E-2</v>
      </c>
      <c r="J19" s="125">
        <f>IFERROR(J26+J33+J40,0)</f>
        <v>156.13993440000002</v>
      </c>
      <c r="K19" s="117">
        <f>'BH (2)'!J6</f>
        <v>0.41499999999999998</v>
      </c>
      <c r="L19" s="125">
        <f>IFERROR(L26+L33+L40,0)</f>
        <v>2347.7562600000001</v>
      </c>
      <c r="M19" s="117">
        <f>'BH (2)'!L6</f>
        <v>0.34</v>
      </c>
      <c r="N19" s="183">
        <f>IFERROR(N26+N33+N40,0)</f>
        <v>1923.4629600000003</v>
      </c>
      <c r="O19" s="109"/>
    </row>
    <row r="20" spans="2:17" ht="35.1" customHeight="1">
      <c r="B20" s="108"/>
      <c r="C20" s="119">
        <f>'BH (2)'!B7</f>
        <v>5.5E-2</v>
      </c>
      <c r="D20" s="126">
        <f t="shared" ref="D20:D24" si="2">IFERROR(D27+D34+D41,0)</f>
        <v>311.14842000000004</v>
      </c>
      <c r="E20" s="117">
        <f>'BH (2)'!D7</f>
        <v>3.5000000000000003E-2</v>
      </c>
      <c r="F20" s="126">
        <f t="shared" ref="F20:F24" si="3">IFERROR(F27+F34+F41,0)</f>
        <v>198.00354000000004</v>
      </c>
      <c r="G20" s="117">
        <f>'BH (2)'!F7</f>
        <v>0.12740000000000001</v>
      </c>
      <c r="H20" s="126">
        <f t="shared" ref="H20:H24" si="4">IFERROR(H27+H34+H41,0)</f>
        <v>720.73288560000015</v>
      </c>
      <c r="I20" s="117">
        <f>'BH (2)'!H7</f>
        <v>2.76E-2</v>
      </c>
      <c r="J20" s="126">
        <f t="shared" ref="J20:J24" si="5">IFERROR(J27+J34+J41,0)</f>
        <v>156.13993440000002</v>
      </c>
      <c r="K20" s="117">
        <f>'BH (2)'!J7</f>
        <v>0.41499999999999998</v>
      </c>
      <c r="L20" s="126">
        <f t="shared" ref="L20:L24" si="6">IFERROR(L27+L34+L41,0)</f>
        <v>2347.7562600000001</v>
      </c>
      <c r="M20" s="117">
        <f>'BH (2)'!L7</f>
        <v>0.34</v>
      </c>
      <c r="N20" s="184">
        <f t="shared" ref="N20:N23" si="7">IFERROR(N27+N34+N41,0)</f>
        <v>1923.4629600000003</v>
      </c>
      <c r="O20" s="109"/>
    </row>
    <row r="21" spans="2:17" ht="35.1" customHeight="1">
      <c r="B21" s="108"/>
      <c r="C21" s="119">
        <f>'BH (2)'!B8</f>
        <v>5.5E-2</v>
      </c>
      <c r="D21" s="126">
        <f t="shared" si="2"/>
        <v>311.14842000000004</v>
      </c>
      <c r="E21" s="117">
        <f>'BH (2)'!D8</f>
        <v>3.5000000000000003E-2</v>
      </c>
      <c r="F21" s="126">
        <f t="shared" si="3"/>
        <v>198.00354000000004</v>
      </c>
      <c r="G21" s="117">
        <f>'BH (2)'!F8</f>
        <v>0.12740000000000001</v>
      </c>
      <c r="H21" s="126">
        <f t="shared" si="4"/>
        <v>720.73288560000015</v>
      </c>
      <c r="I21" s="117">
        <f>'BH (2)'!H8</f>
        <v>2.76E-2</v>
      </c>
      <c r="J21" s="126">
        <f t="shared" si="5"/>
        <v>156.13993440000002</v>
      </c>
      <c r="K21" s="117">
        <f>'BH (2)'!J8</f>
        <v>0.42</v>
      </c>
      <c r="L21" s="126">
        <f t="shared" si="6"/>
        <v>2376.0424800000001</v>
      </c>
      <c r="M21" s="117">
        <f>'BH (2)'!L8</f>
        <v>0.33500000000000002</v>
      </c>
      <c r="N21" s="184">
        <f t="shared" si="7"/>
        <v>1895.1767400000003</v>
      </c>
      <c r="O21" s="109"/>
    </row>
    <row r="22" spans="2:17" ht="35.1" customHeight="1">
      <c r="B22" s="108"/>
      <c r="C22" s="119">
        <f>'BH (2)'!B9</f>
        <v>5.5E-2</v>
      </c>
      <c r="D22" s="126">
        <f t="shared" si="2"/>
        <v>311.14842000000004</v>
      </c>
      <c r="E22" s="117">
        <f>'BH (2)'!D9</f>
        <v>3.5000000000000003E-2</v>
      </c>
      <c r="F22" s="126">
        <f t="shared" si="3"/>
        <v>198.00354000000004</v>
      </c>
      <c r="G22" s="117">
        <f>'BH (2)'!F9</f>
        <v>0.12740000000000001</v>
      </c>
      <c r="H22" s="126">
        <f t="shared" si="4"/>
        <v>720.73288560000015</v>
      </c>
      <c r="I22" s="117">
        <f>'BH (2)'!H9</f>
        <v>2.76E-2</v>
      </c>
      <c r="J22" s="126">
        <f t="shared" si="5"/>
        <v>156.13993440000002</v>
      </c>
      <c r="K22" s="117">
        <f>'BH (2)'!J9</f>
        <v>0.42</v>
      </c>
      <c r="L22" s="126">
        <f t="shared" si="6"/>
        <v>2376.0424800000001</v>
      </c>
      <c r="M22" s="117">
        <f>'BH (2)'!L9</f>
        <v>0.33500000000000002</v>
      </c>
      <c r="N22" s="184">
        <f t="shared" si="7"/>
        <v>1895.1767400000003</v>
      </c>
      <c r="O22" s="109"/>
    </row>
    <row r="23" spans="2:17" ht="35.1" customHeight="1">
      <c r="B23" s="108"/>
      <c r="C23" s="119">
        <f>'BH (2)'!B10</f>
        <v>5.5E-2</v>
      </c>
      <c r="D23" s="126">
        <f t="shared" si="2"/>
        <v>311.14842000000004</v>
      </c>
      <c r="E23" s="117">
        <f>'BH (2)'!D10</f>
        <v>3.5000000000000003E-2</v>
      </c>
      <c r="F23" s="126">
        <f t="shared" si="3"/>
        <v>198.00354000000004</v>
      </c>
      <c r="G23" s="117">
        <f>'BH (2)'!F10</f>
        <v>0.12740000000000001</v>
      </c>
      <c r="H23" s="126">
        <f t="shared" si="4"/>
        <v>720.73288560000015</v>
      </c>
      <c r="I23" s="117">
        <f>'BH (2)'!H10</f>
        <v>2.76E-2</v>
      </c>
      <c r="J23" s="126">
        <f t="shared" si="5"/>
        <v>156.13993440000002</v>
      </c>
      <c r="K23" s="117">
        <f>'BH (2)'!J10</f>
        <v>0.42</v>
      </c>
      <c r="L23" s="126">
        <f t="shared" si="6"/>
        <v>2376.0424800000001</v>
      </c>
      <c r="M23" s="117">
        <f>'BH (2)'!L10</f>
        <v>0.33500000000000002</v>
      </c>
      <c r="N23" s="184">
        <f t="shared" si="7"/>
        <v>1895.1767400000003</v>
      </c>
      <c r="O23" s="109"/>
    </row>
    <row r="24" spans="2:17" ht="35.1" customHeight="1">
      <c r="B24" s="108"/>
      <c r="C24" s="120">
        <f>'BH (2)'!B11</f>
        <v>0.13500000000000001</v>
      </c>
      <c r="D24" s="121">
        <f t="shared" si="2"/>
        <v>763.7279400000001</v>
      </c>
      <c r="E24" s="117">
        <f>'BH (2)'!D11</f>
        <v>0.1</v>
      </c>
      <c r="F24" s="121">
        <f t="shared" si="3"/>
        <v>565.72440000000006</v>
      </c>
      <c r="G24" s="117">
        <f>'BH (2)'!F11</f>
        <v>0.28270000000000001</v>
      </c>
      <c r="H24" s="121">
        <f t="shared" si="4"/>
        <v>1599.3028788000001</v>
      </c>
      <c r="I24" s="117">
        <f>'BH (2)'!H11</f>
        <v>6.13E-2</v>
      </c>
      <c r="J24" s="121">
        <f t="shared" si="5"/>
        <v>346.78905720000006</v>
      </c>
      <c r="K24" s="117">
        <f>'BH (2)'!J11</f>
        <v>0.42099999999999999</v>
      </c>
      <c r="L24" s="121">
        <f t="shared" si="6"/>
        <v>2381.6997240000001</v>
      </c>
      <c r="M24" s="117" t="str">
        <f>'BH (2)'!L11</f>
        <v>-</v>
      </c>
      <c r="N24" s="122">
        <f>Lançamentos!I18</f>
        <v>0</v>
      </c>
      <c r="O24" s="150" t="s">
        <v>100</v>
      </c>
    </row>
    <row r="26" spans="2:17" ht="35.1" hidden="1" customHeight="1">
      <c r="C26" s="119">
        <f>C19</f>
        <v>5.5E-2</v>
      </c>
      <c r="D26" s="125">
        <f>IFERROR($Q$4*C26,0)</f>
        <v>311.14842000000004</v>
      </c>
      <c r="E26" s="119">
        <f t="shared" ref="E26" si="8">E19</f>
        <v>3.5000000000000003E-2</v>
      </c>
      <c r="F26" s="125">
        <f>IFERROR($Q$4*E26,0)</f>
        <v>198.00354000000004</v>
      </c>
      <c r="G26" s="119">
        <f t="shared" ref="G26" si="9">G19</f>
        <v>0.12740000000000001</v>
      </c>
      <c r="H26" s="125">
        <f>IFERROR($Q$4*G26,0)</f>
        <v>720.73288560000015</v>
      </c>
      <c r="I26" s="119">
        <f t="shared" ref="I26" si="10">I19</f>
        <v>2.76E-2</v>
      </c>
      <c r="J26" s="125">
        <f>IFERROR($Q$4*I26,0)</f>
        <v>156.13993440000002</v>
      </c>
      <c r="K26" s="119">
        <f t="shared" ref="K26" si="11">K19</f>
        <v>0.41499999999999998</v>
      </c>
      <c r="L26" s="125">
        <f>IFERROR($Q$4*K26,0)</f>
        <v>2347.7562600000001</v>
      </c>
      <c r="M26" s="119">
        <f t="shared" ref="M26" si="12">M19</f>
        <v>0.34</v>
      </c>
      <c r="N26" s="125">
        <f>IFERROR($Q$4*M26,0)</f>
        <v>1923.4629600000003</v>
      </c>
      <c r="O26" s="193"/>
      <c r="Q26" s="230" t="s">
        <v>122</v>
      </c>
    </row>
    <row r="27" spans="2:17" ht="35.1" hidden="1" customHeight="1">
      <c r="C27" s="119">
        <f t="shared" ref="C27:M31" si="13">C20</f>
        <v>5.5E-2</v>
      </c>
      <c r="D27" s="125">
        <f t="shared" ref="D27:F31" si="14">IFERROR($Q$4*C27,0)</f>
        <v>311.14842000000004</v>
      </c>
      <c r="E27" s="119">
        <f t="shared" si="13"/>
        <v>3.5000000000000003E-2</v>
      </c>
      <c r="F27" s="125">
        <f t="shared" si="14"/>
        <v>198.00354000000004</v>
      </c>
      <c r="G27" s="119">
        <f t="shared" si="13"/>
        <v>0.12740000000000001</v>
      </c>
      <c r="H27" s="125">
        <f t="shared" ref="H27" si="15">IFERROR($Q$4*G27,0)</f>
        <v>720.73288560000015</v>
      </c>
      <c r="I27" s="119">
        <f t="shared" si="13"/>
        <v>2.76E-2</v>
      </c>
      <c r="J27" s="125">
        <f t="shared" ref="J27" si="16">IFERROR($Q$4*I27,0)</f>
        <v>156.13993440000002</v>
      </c>
      <c r="K27" s="119">
        <f t="shared" si="13"/>
        <v>0.41499999999999998</v>
      </c>
      <c r="L27" s="125">
        <f t="shared" ref="L27" si="17">IFERROR($Q$4*K27,0)</f>
        <v>2347.7562600000001</v>
      </c>
      <c r="M27" s="119">
        <f t="shared" si="13"/>
        <v>0.34</v>
      </c>
      <c r="N27" s="125">
        <f t="shared" ref="N27" si="18">IFERROR($Q$4*M27,0)</f>
        <v>1923.4629600000003</v>
      </c>
      <c r="O27" s="193"/>
      <c r="Q27" s="230"/>
    </row>
    <row r="28" spans="2:17" ht="35.1" hidden="1" customHeight="1">
      <c r="C28" s="119">
        <f t="shared" si="13"/>
        <v>5.5E-2</v>
      </c>
      <c r="D28" s="125">
        <f t="shared" si="14"/>
        <v>311.14842000000004</v>
      </c>
      <c r="E28" s="119">
        <f t="shared" si="13"/>
        <v>3.5000000000000003E-2</v>
      </c>
      <c r="F28" s="125">
        <f t="shared" si="14"/>
        <v>198.00354000000004</v>
      </c>
      <c r="G28" s="119">
        <f t="shared" si="13"/>
        <v>0.12740000000000001</v>
      </c>
      <c r="H28" s="125">
        <f t="shared" ref="H28" si="19">IFERROR($Q$4*G28,0)</f>
        <v>720.73288560000015</v>
      </c>
      <c r="I28" s="119">
        <f t="shared" si="13"/>
        <v>2.76E-2</v>
      </c>
      <c r="J28" s="125">
        <f t="shared" ref="J28" si="20">IFERROR($Q$4*I28,0)</f>
        <v>156.13993440000002</v>
      </c>
      <c r="K28" s="119">
        <f t="shared" si="13"/>
        <v>0.42</v>
      </c>
      <c r="L28" s="125">
        <f t="shared" ref="L28" si="21">IFERROR($Q$4*K28,0)</f>
        <v>2376.0424800000001</v>
      </c>
      <c r="M28" s="119">
        <f t="shared" si="13"/>
        <v>0.33500000000000002</v>
      </c>
      <c r="N28" s="125">
        <f t="shared" ref="N28" si="22">IFERROR($Q$4*M28,0)</f>
        <v>1895.1767400000003</v>
      </c>
      <c r="O28" s="193"/>
      <c r="Q28" s="230"/>
    </row>
    <row r="29" spans="2:17" ht="35.1" hidden="1" customHeight="1">
      <c r="C29" s="119">
        <f t="shared" si="13"/>
        <v>5.5E-2</v>
      </c>
      <c r="D29" s="125">
        <f t="shared" si="14"/>
        <v>311.14842000000004</v>
      </c>
      <c r="E29" s="119">
        <f t="shared" si="13"/>
        <v>3.5000000000000003E-2</v>
      </c>
      <c r="F29" s="125">
        <f t="shared" si="14"/>
        <v>198.00354000000004</v>
      </c>
      <c r="G29" s="119">
        <f t="shared" si="13"/>
        <v>0.12740000000000001</v>
      </c>
      <c r="H29" s="125">
        <f t="shared" ref="H29" si="23">IFERROR($Q$4*G29,0)</f>
        <v>720.73288560000015</v>
      </c>
      <c r="I29" s="119">
        <f t="shared" si="13"/>
        <v>2.76E-2</v>
      </c>
      <c r="J29" s="125">
        <f t="shared" ref="J29" si="24">IFERROR($Q$4*I29,0)</f>
        <v>156.13993440000002</v>
      </c>
      <c r="K29" s="119">
        <f t="shared" si="13"/>
        <v>0.42</v>
      </c>
      <c r="L29" s="125">
        <f t="shared" ref="L29" si="25">IFERROR($Q$4*K29,0)</f>
        <v>2376.0424800000001</v>
      </c>
      <c r="M29" s="119">
        <f t="shared" si="13"/>
        <v>0.33500000000000002</v>
      </c>
      <c r="N29" s="125">
        <f t="shared" ref="N29" si="26">IFERROR($Q$4*M29,0)</f>
        <v>1895.1767400000003</v>
      </c>
      <c r="O29" s="193"/>
      <c r="Q29" s="230"/>
    </row>
    <row r="30" spans="2:17" ht="35.1" hidden="1" customHeight="1">
      <c r="C30" s="119">
        <f t="shared" si="13"/>
        <v>5.5E-2</v>
      </c>
      <c r="D30" s="125">
        <f t="shared" si="14"/>
        <v>311.14842000000004</v>
      </c>
      <c r="E30" s="119">
        <f t="shared" si="13"/>
        <v>3.5000000000000003E-2</v>
      </c>
      <c r="F30" s="125">
        <f t="shared" si="14"/>
        <v>198.00354000000004</v>
      </c>
      <c r="G30" s="119">
        <f t="shared" si="13"/>
        <v>0.12740000000000001</v>
      </c>
      <c r="H30" s="125">
        <f t="shared" ref="H30" si="27">IFERROR($Q$4*G30,0)</f>
        <v>720.73288560000015</v>
      </c>
      <c r="I30" s="119">
        <f t="shared" si="13"/>
        <v>2.76E-2</v>
      </c>
      <c r="J30" s="125">
        <f t="shared" ref="J30" si="28">IFERROR($Q$4*I30,0)</f>
        <v>156.13993440000002</v>
      </c>
      <c r="K30" s="119">
        <f t="shared" si="13"/>
        <v>0.42</v>
      </c>
      <c r="L30" s="125">
        <f t="shared" ref="L30" si="29">IFERROR($Q$4*K30,0)</f>
        <v>2376.0424800000001</v>
      </c>
      <c r="M30" s="119">
        <f t="shared" si="13"/>
        <v>0.33500000000000002</v>
      </c>
      <c r="N30" s="125">
        <f t="shared" ref="N30" si="30">IFERROR($Q$4*M30,0)</f>
        <v>1895.1767400000003</v>
      </c>
      <c r="O30" s="193"/>
      <c r="Q30" s="230"/>
    </row>
    <row r="31" spans="2:17" ht="35.1" hidden="1" customHeight="1">
      <c r="C31" s="119">
        <f t="shared" si="13"/>
        <v>0.13500000000000001</v>
      </c>
      <c r="D31" s="125">
        <f t="shared" si="14"/>
        <v>763.7279400000001</v>
      </c>
      <c r="E31" s="119">
        <f t="shared" si="13"/>
        <v>0.1</v>
      </c>
      <c r="F31" s="125">
        <f t="shared" si="14"/>
        <v>565.72440000000006</v>
      </c>
      <c r="G31" s="119">
        <f t="shared" si="13"/>
        <v>0.28270000000000001</v>
      </c>
      <c r="H31" s="125">
        <f t="shared" ref="H31" si="31">IFERROR($Q$4*G31,0)</f>
        <v>1599.3028788000001</v>
      </c>
      <c r="I31" s="119">
        <f t="shared" si="13"/>
        <v>6.13E-2</v>
      </c>
      <c r="J31" s="125">
        <f t="shared" ref="J31" si="32">IFERROR($Q$4*I31,0)</f>
        <v>346.78905720000006</v>
      </c>
      <c r="K31" s="119">
        <f t="shared" si="13"/>
        <v>0.42099999999999999</v>
      </c>
      <c r="L31" s="125">
        <f t="shared" ref="L31" si="33">IFERROR($Q$4*K31,0)</f>
        <v>2381.6997240000001</v>
      </c>
      <c r="M31" s="119" t="str">
        <f t="shared" si="13"/>
        <v>-</v>
      </c>
      <c r="N31" s="125">
        <f>Lançamentos!I18</f>
        <v>0</v>
      </c>
      <c r="O31" s="193"/>
      <c r="Q31" s="230"/>
    </row>
    <row r="32" spans="2:17" ht="35.1" hidden="1" customHeight="1"/>
    <row r="33" spans="3:19" ht="35.1" hidden="1" customHeight="1">
      <c r="C33" s="119">
        <f>C26</f>
        <v>5.5E-2</v>
      </c>
      <c r="D33" s="125">
        <f>IFERROR($Q$5*C33,0)</f>
        <v>0</v>
      </c>
      <c r="E33" s="119">
        <f t="shared" ref="E33" si="34">E26</f>
        <v>3.5000000000000003E-2</v>
      </c>
      <c r="F33" s="125">
        <f>IFERROR($Q$5*E33,0)</f>
        <v>0</v>
      </c>
      <c r="G33" s="119">
        <v>0</v>
      </c>
      <c r="H33" s="125">
        <f>IFERROR($Q$5*G33,0)</f>
        <v>0</v>
      </c>
      <c r="I33" s="119">
        <v>0</v>
      </c>
      <c r="J33" s="125">
        <f>IFERROR($Q$5*I33,0)</f>
        <v>0</v>
      </c>
      <c r="K33" s="119">
        <f t="shared" ref="K33" si="35">K26</f>
        <v>0.41499999999999998</v>
      </c>
      <c r="L33" s="125">
        <f>IFERROR($Q$5*K33,0)</f>
        <v>0</v>
      </c>
      <c r="M33" s="119">
        <f t="shared" ref="M33" si="36">M26</f>
        <v>0.34</v>
      </c>
      <c r="N33" s="125">
        <f>IFERROR($Q$5*M33,0)</f>
        <v>0</v>
      </c>
      <c r="Q33" s="230" t="s">
        <v>123</v>
      </c>
      <c r="R33" s="224">
        <f>IF($I$5=Tabela01!$F$5,Tabela01!L5,IF($I$5=Tabela01!$F$6,Tabela01!L6,IF($I$5=Tabela01!$F$7,Tabela01!L7,IF($I$5=Tabela01!$F$8,Tabela01!L8,IF($I$5=Tabela01!$F$9,Tabela01!L9,IF($I$5=Tabela01!$F$10,Tabela01!L10))))))</f>
        <v>0.12740000000000001</v>
      </c>
      <c r="S33" s="224">
        <f>IF($I$5=Tabela01!$F$5,Tabela01!M5,IF($I$5=Tabela01!$F$6,Tabela01!M6,IF($I$5=Tabela01!$F$7,Tabela01!M7,IF($I$5=Tabela01!$F$8,Tabela01!M8,IF($I$5=Tabela01!$F$9,Tabela01!M9,IF($I$5=Tabela01!$F$10,Tabela01!M10))))))</f>
        <v>2.76E-2</v>
      </c>
    </row>
    <row r="34" spans="3:19" ht="35.1" hidden="1" customHeight="1">
      <c r="C34" s="119">
        <f t="shared" ref="C34:M38" si="37">C27</f>
        <v>5.5E-2</v>
      </c>
      <c r="D34" s="125">
        <f t="shared" ref="D34:F38" si="38">IFERROR($Q$5*C34,0)</f>
        <v>0</v>
      </c>
      <c r="E34" s="119">
        <f t="shared" si="37"/>
        <v>3.5000000000000003E-2</v>
      </c>
      <c r="F34" s="125">
        <f t="shared" si="38"/>
        <v>0</v>
      </c>
      <c r="G34" s="119">
        <v>0</v>
      </c>
      <c r="H34" s="125">
        <f t="shared" ref="H34" si="39">IFERROR($Q$5*G34,0)</f>
        <v>0</v>
      </c>
      <c r="I34" s="119">
        <v>0</v>
      </c>
      <c r="J34" s="125">
        <f t="shared" ref="J34" si="40">IFERROR($Q$5*I34,0)</f>
        <v>0</v>
      </c>
      <c r="K34" s="119">
        <f t="shared" si="37"/>
        <v>0.41499999999999998</v>
      </c>
      <c r="L34" s="125">
        <f t="shared" ref="L34" si="41">IFERROR($Q$5*K34,0)</f>
        <v>0</v>
      </c>
      <c r="M34" s="119">
        <f t="shared" si="37"/>
        <v>0.34</v>
      </c>
      <c r="N34" s="125">
        <f t="shared" ref="N34" si="42">IFERROR($Q$5*M34,0)</f>
        <v>0</v>
      </c>
      <c r="Q34" s="230"/>
      <c r="R34" s="222">
        <f>IFERROR($S$5*R33,0)</f>
        <v>0</v>
      </c>
      <c r="S34" s="222">
        <f>IFERROR($S$5*S33,0)</f>
        <v>0</v>
      </c>
    </row>
    <row r="35" spans="3:19" ht="35.1" hidden="1" customHeight="1">
      <c r="C35" s="119">
        <f t="shared" si="37"/>
        <v>5.5E-2</v>
      </c>
      <c r="D35" s="125">
        <f t="shared" si="38"/>
        <v>0</v>
      </c>
      <c r="E35" s="119">
        <f t="shared" si="37"/>
        <v>3.5000000000000003E-2</v>
      </c>
      <c r="F35" s="125">
        <f t="shared" si="38"/>
        <v>0</v>
      </c>
      <c r="G35" s="119">
        <v>0</v>
      </c>
      <c r="H35" s="125">
        <f t="shared" ref="H35" si="43">IFERROR($Q$5*G35,0)</f>
        <v>0</v>
      </c>
      <c r="I35" s="119">
        <v>0</v>
      </c>
      <c r="J35" s="125">
        <f t="shared" ref="J35" si="44">IFERROR($Q$5*I35,0)</f>
        <v>0</v>
      </c>
      <c r="K35" s="119">
        <f t="shared" si="37"/>
        <v>0.42</v>
      </c>
      <c r="L35" s="125">
        <f t="shared" ref="L35" si="45">IFERROR($Q$5*K35,0)</f>
        <v>0</v>
      </c>
      <c r="M35" s="119">
        <f t="shared" si="37"/>
        <v>0.33500000000000002</v>
      </c>
      <c r="N35" s="125">
        <f t="shared" ref="N35" si="46">IFERROR($Q$5*M35,0)</f>
        <v>0</v>
      </c>
      <c r="Q35" s="230"/>
    </row>
    <row r="36" spans="3:19" ht="35.1" hidden="1" customHeight="1">
      <c r="C36" s="119">
        <f t="shared" si="37"/>
        <v>5.5E-2</v>
      </c>
      <c r="D36" s="125">
        <f t="shared" si="38"/>
        <v>0</v>
      </c>
      <c r="E36" s="119">
        <f t="shared" si="37"/>
        <v>3.5000000000000003E-2</v>
      </c>
      <c r="F36" s="125">
        <f t="shared" si="38"/>
        <v>0</v>
      </c>
      <c r="G36" s="119">
        <v>0</v>
      </c>
      <c r="H36" s="125">
        <f t="shared" ref="H36" si="47">IFERROR($Q$5*G36,0)</f>
        <v>0</v>
      </c>
      <c r="I36" s="119">
        <v>0</v>
      </c>
      <c r="J36" s="125">
        <f t="shared" ref="J36" si="48">IFERROR($Q$5*I36,0)</f>
        <v>0</v>
      </c>
      <c r="K36" s="119">
        <f t="shared" si="37"/>
        <v>0.42</v>
      </c>
      <c r="L36" s="125">
        <f t="shared" ref="L36" si="49">IFERROR($Q$5*K36,0)</f>
        <v>0</v>
      </c>
      <c r="M36" s="119">
        <f t="shared" si="37"/>
        <v>0.33500000000000002</v>
      </c>
      <c r="N36" s="125">
        <f t="shared" ref="N36" si="50">IFERROR($Q$5*M36,0)</f>
        <v>0</v>
      </c>
      <c r="Q36" s="230"/>
    </row>
    <row r="37" spans="3:19" ht="35.1" hidden="1" customHeight="1">
      <c r="C37" s="119">
        <f t="shared" si="37"/>
        <v>5.5E-2</v>
      </c>
      <c r="D37" s="125">
        <f t="shared" si="38"/>
        <v>0</v>
      </c>
      <c r="E37" s="119">
        <f t="shared" si="37"/>
        <v>3.5000000000000003E-2</v>
      </c>
      <c r="F37" s="125">
        <f t="shared" si="38"/>
        <v>0</v>
      </c>
      <c r="G37" s="119">
        <v>0</v>
      </c>
      <c r="H37" s="125">
        <f t="shared" ref="H37" si="51">IFERROR($Q$5*G37,0)</f>
        <v>0</v>
      </c>
      <c r="I37" s="119">
        <v>0</v>
      </c>
      <c r="J37" s="125">
        <f t="shared" ref="J37" si="52">IFERROR($Q$5*I37,0)</f>
        <v>0</v>
      </c>
      <c r="K37" s="119">
        <f t="shared" si="37"/>
        <v>0.42</v>
      </c>
      <c r="L37" s="125">
        <f t="shared" ref="L37" si="53">IFERROR($Q$5*K37,0)</f>
        <v>0</v>
      </c>
      <c r="M37" s="119">
        <f t="shared" si="37"/>
        <v>0.33500000000000002</v>
      </c>
      <c r="N37" s="125">
        <f t="shared" ref="N37" si="54">IFERROR($Q$5*M37,0)</f>
        <v>0</v>
      </c>
      <c r="Q37" s="230"/>
    </row>
    <row r="38" spans="3:19" ht="35.1" hidden="1" customHeight="1">
      <c r="C38" s="119">
        <f t="shared" si="37"/>
        <v>0.13500000000000001</v>
      </c>
      <c r="D38" s="125">
        <f t="shared" si="38"/>
        <v>0</v>
      </c>
      <c r="E38" s="119">
        <f t="shared" si="37"/>
        <v>0.1</v>
      </c>
      <c r="F38" s="125">
        <f t="shared" si="38"/>
        <v>0</v>
      </c>
      <c r="G38" s="119">
        <v>0</v>
      </c>
      <c r="H38" s="125">
        <f t="shared" ref="H38" si="55">IFERROR($Q$5*G38,0)</f>
        <v>0</v>
      </c>
      <c r="I38" s="119">
        <v>0</v>
      </c>
      <c r="J38" s="125">
        <f t="shared" ref="J38" si="56">IFERROR($Q$5*I38,0)</f>
        <v>0</v>
      </c>
      <c r="K38" s="119">
        <f t="shared" si="37"/>
        <v>0.42099999999999999</v>
      </c>
      <c r="L38" s="125">
        <f t="shared" ref="L38" si="57">IFERROR($Q$5*K38,0)</f>
        <v>0</v>
      </c>
      <c r="M38" s="119" t="str">
        <f t="shared" si="37"/>
        <v>-</v>
      </c>
      <c r="N38" s="125">
        <v>0</v>
      </c>
      <c r="Q38" s="230"/>
    </row>
    <row r="39" spans="3:19" ht="35.1" hidden="1" customHeight="1"/>
    <row r="40" spans="3:19" ht="35.1" hidden="1" customHeight="1">
      <c r="C40" s="119">
        <f>C33</f>
        <v>5.5E-2</v>
      </c>
      <c r="D40" s="125">
        <f>IFERROR($Q$6*C40,0)</f>
        <v>0</v>
      </c>
      <c r="E40" s="119">
        <f t="shared" ref="E40" si="58">E33</f>
        <v>3.5000000000000003E-2</v>
      </c>
      <c r="F40" s="125">
        <f>IFERROR($Q$6*E40,0)</f>
        <v>0</v>
      </c>
      <c r="G40" s="119">
        <f>G26</f>
        <v>0.12740000000000001</v>
      </c>
      <c r="H40" s="125">
        <f>IFERROR($Q$6*G40,0)</f>
        <v>0</v>
      </c>
      <c r="I40" s="119">
        <f>I26</f>
        <v>2.76E-2</v>
      </c>
      <c r="J40" s="125">
        <f>IFERROR($Q$6*I40,0)</f>
        <v>0</v>
      </c>
      <c r="K40" s="119">
        <f t="shared" ref="K40" si="59">K33</f>
        <v>0.41499999999999998</v>
      </c>
      <c r="L40" s="125">
        <f>IFERROR($Q$6*K40,0)</f>
        <v>0</v>
      </c>
      <c r="M40" s="119">
        <v>0</v>
      </c>
      <c r="N40" s="125">
        <f>IFERROR($Q$6*M40,0)</f>
        <v>0</v>
      </c>
      <c r="O40" s="193"/>
      <c r="P40" s="193"/>
      <c r="Q40" s="230" t="s">
        <v>124</v>
      </c>
      <c r="R40" s="224">
        <f>IF($I$5=Tabela01!$F$5,Tabela01!O5,IF($I$5=Tabela01!$F$6,Tabela01!O5,IF($I$5=Tabela01!$F$7,Tabela01!O7,IF($I$5=Tabela01!$F$8,Tabela01!O8,IF($I$5=Tabela01!$F$9,Tabela01!O9,IF($I$5=Tabela01!$F$10,Tabela01!O10))))))</f>
        <v>0.34</v>
      </c>
    </row>
    <row r="41" spans="3:19" ht="35.1" hidden="1" customHeight="1">
      <c r="C41" s="119">
        <f t="shared" ref="C41" si="60">C34</f>
        <v>5.5E-2</v>
      </c>
      <c r="D41" s="125">
        <f t="shared" ref="D41:F45" si="61">IFERROR($Q$6*C41,0)</f>
        <v>0</v>
      </c>
      <c r="E41" s="119">
        <f t="shared" ref="E41" si="62">E34</f>
        <v>3.5000000000000003E-2</v>
      </c>
      <c r="F41" s="125">
        <f t="shared" si="61"/>
        <v>0</v>
      </c>
      <c r="G41" s="119">
        <f t="shared" ref="G41:G45" si="63">G27</f>
        <v>0.12740000000000001</v>
      </c>
      <c r="H41" s="125">
        <f t="shared" ref="H41" si="64">IFERROR($Q$6*G41,0)</f>
        <v>0</v>
      </c>
      <c r="I41" s="119">
        <f t="shared" ref="I41:I45" si="65">I27</f>
        <v>2.76E-2</v>
      </c>
      <c r="J41" s="125">
        <f t="shared" ref="J41" si="66">IFERROR($Q$6*I41,0)</f>
        <v>0</v>
      </c>
      <c r="K41" s="119">
        <f t="shared" ref="K41" si="67">K34</f>
        <v>0.41499999999999998</v>
      </c>
      <c r="L41" s="125">
        <f t="shared" ref="L41" si="68">IFERROR($Q$6*K41,0)</f>
        <v>0</v>
      </c>
      <c r="M41" s="119">
        <v>0</v>
      </c>
      <c r="N41" s="125">
        <f t="shared" ref="N41" si="69">IFERROR($Q$6*M41,0)</f>
        <v>0</v>
      </c>
      <c r="O41" s="193"/>
      <c r="P41" s="193"/>
      <c r="Q41" s="230"/>
      <c r="R41" s="222">
        <f>IFERROR($S$6*R40,0)</f>
        <v>0</v>
      </c>
    </row>
    <row r="42" spans="3:19" ht="35.1" hidden="1" customHeight="1">
      <c r="C42" s="119">
        <f t="shared" ref="C42" si="70">C35</f>
        <v>5.5E-2</v>
      </c>
      <c r="D42" s="125">
        <f t="shared" si="61"/>
        <v>0</v>
      </c>
      <c r="E42" s="119">
        <f t="shared" ref="E42" si="71">E35</f>
        <v>3.5000000000000003E-2</v>
      </c>
      <c r="F42" s="125">
        <f t="shared" si="61"/>
        <v>0</v>
      </c>
      <c r="G42" s="119">
        <f t="shared" si="63"/>
        <v>0.12740000000000001</v>
      </c>
      <c r="H42" s="125">
        <f t="shared" ref="H42" si="72">IFERROR($Q$6*G42,0)</f>
        <v>0</v>
      </c>
      <c r="I42" s="119">
        <f t="shared" si="65"/>
        <v>2.76E-2</v>
      </c>
      <c r="J42" s="125">
        <f t="shared" ref="J42" si="73">IFERROR($Q$6*I42,0)</f>
        <v>0</v>
      </c>
      <c r="K42" s="119">
        <f t="shared" ref="K42" si="74">K35</f>
        <v>0.42</v>
      </c>
      <c r="L42" s="125">
        <f t="shared" ref="L42" si="75">IFERROR($Q$6*K42,0)</f>
        <v>0</v>
      </c>
      <c r="M42" s="119">
        <v>0</v>
      </c>
      <c r="N42" s="125">
        <f t="shared" ref="N42" si="76">IFERROR($Q$6*M42,0)</f>
        <v>0</v>
      </c>
      <c r="O42" s="193"/>
      <c r="P42" s="193"/>
      <c r="Q42" s="230"/>
    </row>
    <row r="43" spans="3:19" ht="35.1" hidden="1" customHeight="1">
      <c r="C43" s="119">
        <f t="shared" ref="C43" si="77">C36</f>
        <v>5.5E-2</v>
      </c>
      <c r="D43" s="125">
        <f t="shared" si="61"/>
        <v>0</v>
      </c>
      <c r="E43" s="119">
        <f t="shared" ref="E43" si="78">E36</f>
        <v>3.5000000000000003E-2</v>
      </c>
      <c r="F43" s="125">
        <f t="shared" si="61"/>
        <v>0</v>
      </c>
      <c r="G43" s="119">
        <f t="shared" si="63"/>
        <v>0.12740000000000001</v>
      </c>
      <c r="H43" s="125">
        <f t="shared" ref="H43" si="79">IFERROR($Q$6*G43,0)</f>
        <v>0</v>
      </c>
      <c r="I43" s="119">
        <f t="shared" si="65"/>
        <v>2.76E-2</v>
      </c>
      <c r="J43" s="125">
        <f t="shared" ref="J43" si="80">IFERROR($Q$6*I43,0)</f>
        <v>0</v>
      </c>
      <c r="K43" s="119">
        <f t="shared" ref="K43" si="81">K36</f>
        <v>0.42</v>
      </c>
      <c r="L43" s="125">
        <f t="shared" ref="L43" si="82">IFERROR($Q$6*K43,0)</f>
        <v>0</v>
      </c>
      <c r="M43" s="119">
        <v>0</v>
      </c>
      <c r="N43" s="125">
        <f t="shared" ref="N43" si="83">IFERROR($Q$6*M43,0)</f>
        <v>0</v>
      </c>
      <c r="O43" s="193"/>
      <c r="P43" s="193"/>
      <c r="Q43" s="230"/>
    </row>
    <row r="44" spans="3:19" ht="35.1" hidden="1" customHeight="1">
      <c r="C44" s="119">
        <f t="shared" ref="C44" si="84">C37</f>
        <v>5.5E-2</v>
      </c>
      <c r="D44" s="125">
        <f t="shared" si="61"/>
        <v>0</v>
      </c>
      <c r="E44" s="119">
        <f t="shared" ref="E44" si="85">E37</f>
        <v>3.5000000000000003E-2</v>
      </c>
      <c r="F44" s="125">
        <f t="shared" si="61"/>
        <v>0</v>
      </c>
      <c r="G44" s="119">
        <f t="shared" si="63"/>
        <v>0.12740000000000001</v>
      </c>
      <c r="H44" s="125">
        <f t="shared" ref="H44" si="86">IFERROR($Q$6*G44,0)</f>
        <v>0</v>
      </c>
      <c r="I44" s="119">
        <f t="shared" si="65"/>
        <v>2.76E-2</v>
      </c>
      <c r="J44" s="125">
        <f t="shared" ref="J44" si="87">IFERROR($Q$6*I44,0)</f>
        <v>0</v>
      </c>
      <c r="K44" s="119">
        <f t="shared" ref="K44" si="88">K37</f>
        <v>0.42</v>
      </c>
      <c r="L44" s="125">
        <f t="shared" ref="L44" si="89">IFERROR($Q$6*K44,0)</f>
        <v>0</v>
      </c>
      <c r="M44" s="119">
        <v>0</v>
      </c>
      <c r="N44" s="125">
        <f t="shared" ref="N44" si="90">IFERROR($Q$6*M44,0)</f>
        <v>0</v>
      </c>
      <c r="O44" s="193"/>
      <c r="P44" s="193"/>
      <c r="Q44" s="230"/>
    </row>
    <row r="45" spans="3:19" ht="35.1" hidden="1" customHeight="1">
      <c r="C45" s="119">
        <f t="shared" ref="C45" si="91">C38</f>
        <v>0.13500000000000001</v>
      </c>
      <c r="D45" s="125">
        <f t="shared" si="61"/>
        <v>0</v>
      </c>
      <c r="E45" s="119">
        <f t="shared" ref="E45" si="92">E38</f>
        <v>0.1</v>
      </c>
      <c r="F45" s="125">
        <f t="shared" si="61"/>
        <v>0</v>
      </c>
      <c r="G45" s="119">
        <f t="shared" si="63"/>
        <v>0.28270000000000001</v>
      </c>
      <c r="H45" s="125">
        <f t="shared" ref="H45" si="93">IFERROR($Q$6*G45,0)</f>
        <v>0</v>
      </c>
      <c r="I45" s="119">
        <f t="shared" si="65"/>
        <v>6.13E-2</v>
      </c>
      <c r="J45" s="125">
        <f t="shared" ref="J45" si="94">IFERROR($Q$6*I45,0)</f>
        <v>0</v>
      </c>
      <c r="K45" s="119">
        <f t="shared" ref="K45" si="95">K38</f>
        <v>0.42099999999999999</v>
      </c>
      <c r="L45" s="125">
        <f t="shared" ref="L45" si="96">IFERROR($Q$6*K45,0)</f>
        <v>0</v>
      </c>
      <c r="M45" s="119" t="str">
        <f t="shared" ref="M45" si="97">M38</f>
        <v>-</v>
      </c>
      <c r="N45" s="125">
        <v>0</v>
      </c>
      <c r="O45" s="193"/>
      <c r="P45" s="193"/>
      <c r="Q45" s="230"/>
    </row>
    <row r="46" spans="3:19" ht="35.1" hidden="1" customHeight="1"/>
    <row r="47" spans="3:19" ht="35.1" hidden="1" customHeight="1"/>
    <row r="48" spans="3:19" ht="35.1" hidden="1" customHeight="1"/>
    <row r="49" ht="35.1" hidden="1" customHeight="1"/>
    <row r="50" ht="35.1" hidden="1" customHeight="1"/>
    <row r="51" ht="35.1" hidden="1" customHeight="1"/>
    <row r="52" ht="35.1" hidden="1" customHeight="1"/>
    <row r="53" ht="35.1" hidden="1" customHeight="1"/>
    <row r="54" ht="35.1" hidden="1" customHeight="1"/>
    <row r="55" ht="35.1" hidden="1" customHeight="1"/>
    <row r="56" ht="35.1" hidden="1" customHeight="1"/>
    <row r="57" ht="35.1" hidden="1" customHeight="1"/>
    <row r="58" ht="35.1" hidden="1" customHeight="1"/>
    <row r="59" ht="35.1" hidden="1" customHeight="1"/>
    <row r="60" ht="35.1" hidden="1" customHeight="1"/>
    <row r="61" ht="35.1" hidden="1" customHeight="1"/>
    <row r="62" ht="35.1" hidden="1" customHeight="1"/>
    <row r="63" ht="35.1" hidden="1" customHeight="1"/>
    <row r="64" ht="35.1" hidden="1" customHeight="1"/>
    <row r="65" ht="35.1" hidden="1" customHeight="1"/>
    <row r="66" ht="35.1" hidden="1" customHeight="1"/>
    <row r="67" ht="35.1" hidden="1" customHeight="1"/>
    <row r="68" ht="35.1" hidden="1" customHeight="1"/>
    <row r="69" ht="35.1" hidden="1" customHeight="1"/>
    <row r="70" ht="35.1" hidden="1" customHeight="1"/>
    <row r="71" ht="35.1" hidden="1" customHeight="1"/>
    <row r="72" ht="35.1" hidden="1" customHeight="1"/>
    <row r="73" ht="35.1" hidden="1" customHeight="1"/>
    <row r="74" ht="35.1" hidden="1" customHeight="1"/>
    <row r="75" ht="35.1" hidden="1" customHeight="1"/>
    <row r="76" ht="35.1" hidden="1" customHeight="1"/>
    <row r="77" ht="35.1" hidden="1" customHeight="1"/>
    <row r="78" ht="35.1" hidden="1" customHeight="1"/>
    <row r="79" ht="35.1" hidden="1" customHeight="1"/>
    <row r="80" ht="35.1" hidden="1" customHeight="1"/>
    <row r="81" ht="35.1" hidden="1" customHeight="1"/>
    <row r="82" ht="35.1" hidden="1" customHeight="1"/>
    <row r="83" ht="35.1" hidden="1" customHeight="1"/>
    <row r="84" ht="35.1" hidden="1" customHeight="1"/>
    <row r="85" ht="35.1" hidden="1" customHeight="1"/>
    <row r="86" ht="35.1" hidden="1" customHeight="1"/>
    <row r="87" ht="35.1" hidden="1" customHeight="1"/>
    <row r="88" ht="35.1" hidden="1" customHeight="1"/>
    <row r="89" ht="35.1" hidden="1" customHeight="1"/>
    <row r="90" ht="35.1" hidden="1" customHeight="1"/>
    <row r="91" ht="35.1" hidden="1" customHeight="1"/>
    <row r="92" ht="35.1" hidden="1" customHeight="1"/>
    <row r="93" ht="35.1" hidden="1" customHeight="1"/>
    <row r="94" ht="35.1" hidden="1" customHeight="1"/>
  </sheetData>
  <sheetProtection sheet="1" objects="1" scenarios="1" selectLockedCells="1" selectUnlockedCells="1"/>
  <mergeCells count="10">
    <mergeCell ref="O4:P4"/>
    <mergeCell ref="O5:P6"/>
    <mergeCell ref="C8:J8"/>
    <mergeCell ref="C5:G5"/>
    <mergeCell ref="C6:G6"/>
    <mergeCell ref="Q26:Q31"/>
    <mergeCell ref="Q33:Q38"/>
    <mergeCell ref="Q40:Q45"/>
    <mergeCell ref="C17:N17"/>
    <mergeCell ref="N5:N6"/>
  </mergeCells>
  <phoneticPr fontId="19" type="noConversion"/>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8195" r:id="rId3" name="Group Box 3">
              <controlPr defaultSize="0" autoFill="0" autoPict="0">
                <anchor moveWithCells="1">
                  <from>
                    <xdr:col>1</xdr:col>
                    <xdr:colOff>66675</xdr:colOff>
                    <xdr:row>2</xdr:row>
                    <xdr:rowOff>876300</xdr:rowOff>
                  </from>
                  <to>
                    <xdr:col>6</xdr:col>
                    <xdr:colOff>666750</xdr:colOff>
                    <xdr:row>6</xdr:row>
                    <xdr:rowOff>9525</xdr:rowOff>
                  </to>
                </anchor>
              </controlPr>
            </control>
          </mc:Choice>
        </mc:AlternateContent>
        <mc:AlternateContent xmlns:mc="http://schemas.openxmlformats.org/markup-compatibility/2006">
          <mc:Choice Requires="x14">
            <control shapeId="8196" r:id="rId4" name="Group Box 4">
              <controlPr defaultSize="0" autoFill="0" autoPict="0">
                <anchor moveWithCells="1">
                  <from>
                    <xdr:col>6</xdr:col>
                    <xdr:colOff>752475</xdr:colOff>
                    <xdr:row>2</xdr:row>
                    <xdr:rowOff>876300</xdr:rowOff>
                  </from>
                  <to>
                    <xdr:col>16</xdr:col>
                    <xdr:colOff>85725</xdr:colOff>
                    <xdr:row>6</xdr:row>
                    <xdr:rowOff>9525</xdr:rowOff>
                  </to>
                </anchor>
              </controlPr>
            </control>
          </mc:Choice>
        </mc:AlternateContent>
        <mc:AlternateContent xmlns:mc="http://schemas.openxmlformats.org/markup-compatibility/2006">
          <mc:Choice Requires="x14">
            <control shapeId="8197" r:id="rId5" name="Group Box 5">
              <controlPr defaultSize="0" autoFill="0" autoPict="0">
                <anchor moveWithCells="1">
                  <from>
                    <xdr:col>11</xdr:col>
                    <xdr:colOff>142875</xdr:colOff>
                    <xdr:row>6</xdr:row>
                    <xdr:rowOff>180975</xdr:rowOff>
                  </from>
                  <to>
                    <xdr:col>16</xdr:col>
                    <xdr:colOff>85725</xdr:colOff>
                    <xdr:row>15</xdr:row>
                    <xdr:rowOff>0</xdr:rowOff>
                  </to>
                </anchor>
              </controlPr>
            </control>
          </mc:Choice>
        </mc:AlternateContent>
        <mc:AlternateContent xmlns:mc="http://schemas.openxmlformats.org/markup-compatibility/2006">
          <mc:Choice Requires="x14">
            <control shapeId="8198" r:id="rId6" name="Group Box 6">
              <controlPr defaultSize="0" autoFill="0" autoPict="0">
                <anchor moveWithCells="1">
                  <from>
                    <xdr:col>1</xdr:col>
                    <xdr:colOff>28575</xdr:colOff>
                    <xdr:row>15</xdr:row>
                    <xdr:rowOff>180975</xdr:rowOff>
                  </from>
                  <to>
                    <xdr:col>16</xdr:col>
                    <xdr:colOff>85725</xdr:colOff>
                    <xdr:row>24</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5">
    <tabColor rgb="FF00B050"/>
  </sheetPr>
  <dimension ref="B1:T108"/>
  <sheetViews>
    <sheetView showRowColHeaders="0" workbookViewId="0">
      <pane ySplit="6" topLeftCell="A7" activePane="bottomLeft" state="frozen"/>
      <selection activeCell="Y13" sqref="Y13"/>
      <selection pane="bottomLeft"/>
    </sheetView>
  </sheetViews>
  <sheetFormatPr defaultRowHeight="35.1" customHeight="1"/>
  <cols>
    <col min="1" max="2" width="1.7109375" style="131" customWidth="1"/>
    <col min="3" max="16" width="13.140625" style="131" customWidth="1"/>
    <col min="17" max="17" width="11.7109375" style="131" hidden="1" customWidth="1"/>
    <col min="18" max="18" width="11.28515625" style="131" hidden="1" customWidth="1"/>
    <col min="19" max="20" width="10.28515625" style="131" hidden="1" customWidth="1"/>
    <col min="21" max="23" width="0" style="131" hidden="1" customWidth="1"/>
    <col min="24" max="16384" width="9.140625" style="131"/>
  </cols>
  <sheetData>
    <row r="1" spans="2:20" s="1" customFormat="1" ht="35.1" customHeight="1"/>
    <row r="2" spans="2:20" s="3" customFormat="1" ht="30" customHeight="1"/>
    <row r="3" spans="2:20" ht="69.95" customHeight="1">
      <c r="T3" s="196">
        <f>IFERROR(SUM(T4:T6)+N24,0)</f>
        <v>6364.3995000000014</v>
      </c>
    </row>
    <row r="4" spans="2:20" ht="21.95" customHeight="1">
      <c r="C4" s="149"/>
      <c r="D4" s="74"/>
      <c r="E4" s="132"/>
      <c r="F4" s="136"/>
      <c r="G4" s="74"/>
      <c r="N4" s="131" t="s">
        <v>79</v>
      </c>
      <c r="O4" s="234" t="s">
        <v>99</v>
      </c>
      <c r="P4" s="234"/>
      <c r="Q4" s="196">
        <f>IFERROR(Lançamentos!D7*N5,0)</f>
        <v>6364.3995000000014</v>
      </c>
      <c r="R4" s="196">
        <f>Lançamentos!D7</f>
        <v>141431.1</v>
      </c>
      <c r="S4" s="196">
        <f>IFERROR(R4*$N$5,0)</f>
        <v>6364.3995000000014</v>
      </c>
      <c r="T4" s="196">
        <f>S4</f>
        <v>6364.3995000000014</v>
      </c>
    </row>
    <row r="5" spans="2:20" ht="35.1" customHeight="1">
      <c r="C5" s="237"/>
      <c r="D5" s="237"/>
      <c r="E5" s="237"/>
      <c r="F5" s="237"/>
      <c r="G5" s="237"/>
      <c r="H5" s="84">
        <f>Lançamentos!D5</f>
        <v>11785.924999999999</v>
      </c>
      <c r="I5" s="85">
        <f>IF($H$5=0,0,IF($H$5&lt;=Tabela02!$E$5,Tabela02!F5,IF($H$5&lt;=Tabela02!$E$6,Tabela02!F6,IF($H$5&lt;=Tabela02!$E$7,Tabela02!F7,IF($H$5&lt;=Tabela02!$E$8,Tabela02!F8,IF($H$5&lt;=Tabela02!$E$9,Tabela02!F9,IF($H$5&lt;=Tabela02!$E$10,Tabela02!F10,IF($H$5&gt;Tabela02!$E$10,Tabela02!F10))))))))</f>
        <v>4.4999999999999998E-2</v>
      </c>
      <c r="J5" s="84">
        <f>IF($H$5=0,0,IF($H$5&lt;=Tabela02!$E$5,Tabela02!G5,IF($H$5&lt;=Tabela02!$E$6,Tabela02!G6,IF($H$5&lt;=Tabela02!$E$7,Tabela02!G7,IF($H$5&lt;=Tabela02!$E$8,Tabela02!G8,IF($H$5&lt;=Tabela02!$E$9,Tabela02!G9,IF($H$5&lt;=Tabela02!$E$10,Tabela02!G10,IF($H$5&gt;Tabela02!$E$10,Tabela02!G10))))))))</f>
        <v>0</v>
      </c>
      <c r="L5" s="84">
        <f>IFERROR((H5*I5)-J5,0)</f>
        <v>530.366625</v>
      </c>
      <c r="N5" s="233">
        <f>IFERROR(L5/L6,0)</f>
        <v>4.5000000000000005E-2</v>
      </c>
      <c r="O5" s="235">
        <f>IFERROR(T3,0)</f>
        <v>6364.3995000000014</v>
      </c>
      <c r="P5" s="235"/>
      <c r="Q5" s="196">
        <f>IFERROR(Lançamentos!D8*N5,0)</f>
        <v>0</v>
      </c>
      <c r="R5" s="196">
        <f>Lançamentos!D8</f>
        <v>0</v>
      </c>
      <c r="S5" s="196">
        <f t="shared" ref="S5:S6" si="0">IFERROR(R5*$N$5,0)</f>
        <v>0</v>
      </c>
      <c r="T5" s="196">
        <f>IFERROR(S5-R34-S34,0)</f>
        <v>0</v>
      </c>
    </row>
    <row r="6" spans="2:20" ht="35.1" customHeight="1">
      <c r="C6" s="237"/>
      <c r="D6" s="237"/>
      <c r="E6" s="237"/>
      <c r="F6" s="237"/>
      <c r="G6" s="237"/>
      <c r="I6" s="83">
        <f>H5</f>
        <v>11785.924999999999</v>
      </c>
      <c r="L6" s="83">
        <f>I6</f>
        <v>11785.924999999999</v>
      </c>
      <c r="N6" s="233"/>
      <c r="O6" s="235"/>
      <c r="P6" s="235"/>
      <c r="Q6" s="197">
        <f>IFERROR(Lançamentos!D9*N5,0)</f>
        <v>0</v>
      </c>
      <c r="R6" s="196">
        <f>Lançamentos!D9</f>
        <v>0</v>
      </c>
      <c r="S6" s="196">
        <f t="shared" si="0"/>
        <v>0</v>
      </c>
      <c r="T6" s="196">
        <f>IFERROR(S6-R41,0)</f>
        <v>0</v>
      </c>
    </row>
    <row r="7" spans="2:20" ht="15" customHeight="1" thickBot="1">
      <c r="C7" s="76"/>
      <c r="D7" s="77"/>
      <c r="E7" s="132"/>
      <c r="F7" s="76"/>
      <c r="G7" s="78"/>
    </row>
    <row r="8" spans="2:20" ht="21.95" customHeight="1">
      <c r="C8" s="231" t="s">
        <v>80</v>
      </c>
      <c r="D8" s="232"/>
      <c r="E8" s="232"/>
      <c r="F8" s="232"/>
      <c r="G8" s="232"/>
      <c r="H8" s="232"/>
      <c r="I8" s="232"/>
      <c r="J8" s="232"/>
      <c r="K8" s="236"/>
    </row>
    <row r="9" spans="2:20" ht="21.95" customHeight="1">
      <c r="B9" s="108"/>
      <c r="C9" s="111" t="s">
        <v>81</v>
      </c>
      <c r="D9" s="112" t="str">
        <f>'BH (2)'!B5</f>
        <v>IRPJ</v>
      </c>
      <c r="E9" s="113" t="str">
        <f>'BH (2)'!D5</f>
        <v>CSLL</v>
      </c>
      <c r="F9" s="114" t="str">
        <f>'BH (2)'!F5</f>
        <v>Cofins</v>
      </c>
      <c r="G9" s="112" t="str">
        <f>'BH (2)'!H5</f>
        <v>PIS/Pasep</v>
      </c>
      <c r="H9" s="113" t="str">
        <f>'BH (2)'!J5</f>
        <v>CPP</v>
      </c>
      <c r="I9" s="115" t="str">
        <f>'BH (2)'!L5</f>
        <v>ICMS</v>
      </c>
      <c r="J9" s="115" t="s">
        <v>47</v>
      </c>
      <c r="K9" s="156" t="s">
        <v>88</v>
      </c>
    </row>
    <row r="10" spans="2:20" ht="35.1" customHeight="1">
      <c r="B10" s="108"/>
      <c r="C10" s="110" t="s">
        <v>82</v>
      </c>
      <c r="D10" s="129">
        <f>'BH (2)'!C15</f>
        <v>0.24750000000000005</v>
      </c>
      <c r="E10" s="129">
        <f>'BH (2)'!E15</f>
        <v>0.15750000000000006</v>
      </c>
      <c r="F10" s="129">
        <f>'BH (2)'!G15</f>
        <v>0.51795000000000002</v>
      </c>
      <c r="G10" s="129">
        <f>'BH (2)'!I15</f>
        <v>0.11205000000000001</v>
      </c>
      <c r="H10" s="129">
        <f>'BH (2)'!K15</f>
        <v>1.6875000000000004</v>
      </c>
      <c r="I10" s="130">
        <f>'BH (2)'!O15</f>
        <v>1.4400000000000004</v>
      </c>
      <c r="J10" s="130">
        <f>'BH (2)'!M15</f>
        <v>0.33750000000000008</v>
      </c>
      <c r="K10" s="151">
        <f>SUM(D10:J10)</f>
        <v>4.5000000000000018</v>
      </c>
    </row>
    <row r="11" spans="2:20" ht="35.1" customHeight="1">
      <c r="B11" s="108"/>
      <c r="C11" s="110" t="s">
        <v>83</v>
      </c>
      <c r="D11" s="129">
        <f>'BH (2)'!C16</f>
        <v>0.24750000000000005</v>
      </c>
      <c r="E11" s="129">
        <f>'BH (2)'!E16</f>
        <v>0.15750000000000006</v>
      </c>
      <c r="F11" s="129">
        <f>'BH (2)'!G16</f>
        <v>0.51795000000000002</v>
      </c>
      <c r="G11" s="129">
        <f>'BH (2)'!I16</f>
        <v>0.11205000000000001</v>
      </c>
      <c r="H11" s="129">
        <f>'BH (2)'!K16</f>
        <v>1.6875000000000004</v>
      </c>
      <c r="I11" s="130">
        <f>'BH (2)'!O16</f>
        <v>1.4400000000000004</v>
      </c>
      <c r="J11" s="130">
        <f>'BH (2)'!M16</f>
        <v>0.33750000000000008</v>
      </c>
      <c r="K11" s="152">
        <f t="shared" ref="K11:K15" si="1">SUM(D11:J11)</f>
        <v>4.5000000000000018</v>
      </c>
    </row>
    <row r="12" spans="2:20" ht="35.1" customHeight="1">
      <c r="B12" s="108"/>
      <c r="C12" s="110" t="s">
        <v>84</v>
      </c>
      <c r="D12" s="129">
        <f>'BH (2)'!C17</f>
        <v>0.24750000000000005</v>
      </c>
      <c r="E12" s="129">
        <f>'BH (2)'!E17</f>
        <v>0.15750000000000006</v>
      </c>
      <c r="F12" s="129">
        <f>'BH (2)'!G17</f>
        <v>0.51795000000000002</v>
      </c>
      <c r="G12" s="129">
        <f>'BH (2)'!I17</f>
        <v>0.11205000000000001</v>
      </c>
      <c r="H12" s="129">
        <f>'BH (2)'!K17</f>
        <v>1.6875000000000004</v>
      </c>
      <c r="I12" s="130">
        <f>'BH (2)'!O17</f>
        <v>1.4400000000000004</v>
      </c>
      <c r="J12" s="130">
        <f>'BH (2)'!M17</f>
        <v>0.33750000000000008</v>
      </c>
      <c r="K12" s="153">
        <f t="shared" si="1"/>
        <v>4.5000000000000018</v>
      </c>
    </row>
    <row r="13" spans="2:20" ht="35.1" customHeight="1">
      <c r="B13" s="108"/>
      <c r="C13" s="110" t="s">
        <v>85</v>
      </c>
      <c r="D13" s="129">
        <f>'BH (2)'!C18</f>
        <v>0.24750000000000005</v>
      </c>
      <c r="E13" s="129">
        <f>'BH (2)'!E18</f>
        <v>0.15750000000000006</v>
      </c>
      <c r="F13" s="129">
        <f>'BH (2)'!G18</f>
        <v>0.51795000000000002</v>
      </c>
      <c r="G13" s="129">
        <f>'BH (2)'!I18</f>
        <v>0.11205000000000001</v>
      </c>
      <c r="H13" s="129">
        <f>'BH (2)'!K18</f>
        <v>1.6875000000000004</v>
      </c>
      <c r="I13" s="130">
        <f>'BH (2)'!O18</f>
        <v>1.4400000000000004</v>
      </c>
      <c r="J13" s="130">
        <f>'BH (2)'!M18</f>
        <v>0.33750000000000008</v>
      </c>
      <c r="K13" s="154">
        <f t="shared" si="1"/>
        <v>4.5000000000000018</v>
      </c>
    </row>
    <row r="14" spans="2:20" ht="35.1" customHeight="1">
      <c r="B14" s="108"/>
      <c r="C14" s="110" t="s">
        <v>86</v>
      </c>
      <c r="D14" s="129">
        <f>'BH (2)'!C19</f>
        <v>0.24750000000000005</v>
      </c>
      <c r="E14" s="129">
        <f>'BH (2)'!E19</f>
        <v>0.15750000000000006</v>
      </c>
      <c r="F14" s="129">
        <f>'BH (2)'!G19</f>
        <v>0.51795000000000002</v>
      </c>
      <c r="G14" s="129">
        <f>'BH (2)'!I19</f>
        <v>0.11205000000000001</v>
      </c>
      <c r="H14" s="129">
        <f>'BH (2)'!K19</f>
        <v>1.6875000000000004</v>
      </c>
      <c r="I14" s="130">
        <f>'BH (2)'!O19</f>
        <v>1.4400000000000004</v>
      </c>
      <c r="J14" s="130">
        <f>'BH (2)'!M19</f>
        <v>0.33750000000000008</v>
      </c>
      <c r="K14" s="152">
        <f t="shared" si="1"/>
        <v>4.5000000000000018</v>
      </c>
    </row>
    <row r="15" spans="2:20" ht="35.1" customHeight="1">
      <c r="B15" s="108"/>
      <c r="C15" s="110" t="s">
        <v>87</v>
      </c>
      <c r="D15" s="129">
        <f>'BH (2)'!C20</f>
        <v>0.38250000000000012</v>
      </c>
      <c r="E15" s="129">
        <f>'BH (2)'!E20</f>
        <v>0.33750000000000008</v>
      </c>
      <c r="F15" s="129">
        <f>'BH (2)'!G20</f>
        <v>0.94320000000000026</v>
      </c>
      <c r="G15" s="129">
        <f>'BH (2)'!I20</f>
        <v>0.20430000000000006</v>
      </c>
      <c r="H15" s="129">
        <f>'BH (2)'!K20</f>
        <v>1.0575000000000001</v>
      </c>
      <c r="I15" s="130">
        <f>'BH (2)'!O20</f>
        <v>0</v>
      </c>
      <c r="J15" s="130">
        <f>'BH (2)'!M20</f>
        <v>1.5750000000000002</v>
      </c>
      <c r="K15" s="157">
        <f t="shared" si="1"/>
        <v>4.5000000000000009</v>
      </c>
    </row>
    <row r="16" spans="2:20" ht="30" customHeight="1" thickBot="1">
      <c r="C16" s="132"/>
      <c r="D16" s="132"/>
      <c r="E16" s="132"/>
      <c r="F16" s="79"/>
      <c r="G16" s="77"/>
    </row>
    <row r="17" spans="2:17" ht="21.95" customHeight="1">
      <c r="C17" s="231" t="s">
        <v>89</v>
      </c>
      <c r="D17" s="232"/>
      <c r="E17" s="232"/>
      <c r="F17" s="232"/>
      <c r="G17" s="232"/>
      <c r="H17" s="232"/>
      <c r="I17" s="232"/>
      <c r="J17" s="232"/>
      <c r="K17" s="232"/>
      <c r="L17" s="232"/>
      <c r="M17" s="232"/>
      <c r="N17" s="232"/>
      <c r="O17" s="239"/>
      <c r="P17" s="236"/>
    </row>
    <row r="18" spans="2:17" ht="21.95" customHeight="1">
      <c r="B18" s="108"/>
      <c r="C18" s="160" t="s">
        <v>69</v>
      </c>
      <c r="D18" s="113" t="str">
        <f>D9</f>
        <v>IRPJ</v>
      </c>
      <c r="E18" s="112" t="s">
        <v>69</v>
      </c>
      <c r="F18" s="113" t="str">
        <f>E9</f>
        <v>CSLL</v>
      </c>
      <c r="G18" s="112" t="s">
        <v>69</v>
      </c>
      <c r="H18" s="113" t="str">
        <f>F9</f>
        <v>Cofins</v>
      </c>
      <c r="I18" s="112" t="s">
        <v>69</v>
      </c>
      <c r="J18" s="113" t="str">
        <f>G9</f>
        <v>PIS/Pasep</v>
      </c>
      <c r="K18" s="112" t="s">
        <v>69</v>
      </c>
      <c r="L18" s="113" t="str">
        <f>H9</f>
        <v>CPP</v>
      </c>
      <c r="M18" s="112" t="s">
        <v>69</v>
      </c>
      <c r="N18" s="123" t="str">
        <f>I9</f>
        <v>ICMS</v>
      </c>
      <c r="O18" s="112" t="s">
        <v>69</v>
      </c>
      <c r="P18" s="159" t="s">
        <v>47</v>
      </c>
    </row>
    <row r="19" spans="2:17" ht="35.1" customHeight="1">
      <c r="B19" s="108"/>
      <c r="C19" s="161">
        <f>'BH (2)'!B15</f>
        <v>5.5E-2</v>
      </c>
      <c r="D19" s="125">
        <f>IFERROR(D26+D33+D40,0)</f>
        <v>350.0419725000001</v>
      </c>
      <c r="E19" s="117">
        <f>'BH (2)'!D15</f>
        <v>3.5000000000000003E-2</v>
      </c>
      <c r="F19" s="125">
        <f>IFERROR(F26+F33+F40,0)</f>
        <v>222.75398250000006</v>
      </c>
      <c r="G19" s="117">
        <f>'BH (2)'!F15</f>
        <v>0.11509999999999999</v>
      </c>
      <c r="H19" s="125">
        <f>IFERROR(H26+H33+H40,0)</f>
        <v>732.5423824500001</v>
      </c>
      <c r="I19" s="117">
        <f>'BH (2)'!H15</f>
        <v>2.4899999999999999E-2</v>
      </c>
      <c r="J19" s="125">
        <f>IFERROR(J26+J33+J40,0)</f>
        <v>158.47354755000003</v>
      </c>
      <c r="K19" s="117">
        <f>'BH (2)'!J15</f>
        <v>0.375</v>
      </c>
      <c r="L19" s="125">
        <f>IFERROR(L26+L33+L40,0)</f>
        <v>2386.6498125000007</v>
      </c>
      <c r="M19" s="117">
        <f>'BH (2)'!N15</f>
        <v>0.32</v>
      </c>
      <c r="N19" s="183">
        <f>IFERROR(N26+N33+N40,0)</f>
        <v>2036.6078400000006</v>
      </c>
      <c r="O19" s="205">
        <f>'BH (2)'!L15</f>
        <v>7.4999999999999997E-2</v>
      </c>
      <c r="P19" s="183">
        <f>IFERROR(P26+P33+P40,0)</f>
        <v>0</v>
      </c>
      <c r="Q19" s="109"/>
    </row>
    <row r="20" spans="2:17" ht="35.1" customHeight="1">
      <c r="B20" s="108"/>
      <c r="C20" s="161">
        <f>'BH (2)'!B16</f>
        <v>5.5E-2</v>
      </c>
      <c r="D20" s="126">
        <f t="shared" ref="D20:F24" si="2">IFERROR(D27+D34+D41,0)</f>
        <v>350.0419725000001</v>
      </c>
      <c r="E20" s="117">
        <f>'BH (2)'!D16</f>
        <v>3.5000000000000003E-2</v>
      </c>
      <c r="F20" s="126">
        <f t="shared" si="2"/>
        <v>222.75398250000006</v>
      </c>
      <c r="G20" s="117">
        <f>'BH (2)'!F16</f>
        <v>0.11509999999999999</v>
      </c>
      <c r="H20" s="126">
        <f t="shared" ref="H20" si="3">IFERROR(H27+H34+H41,0)</f>
        <v>732.5423824500001</v>
      </c>
      <c r="I20" s="117">
        <f>'BH (2)'!H16</f>
        <v>2.4899999999999999E-2</v>
      </c>
      <c r="J20" s="126">
        <f t="shared" ref="J20" si="4">IFERROR(J27+J34+J41,0)</f>
        <v>158.47354755000003</v>
      </c>
      <c r="K20" s="117">
        <f>'BH (2)'!J16</f>
        <v>0.375</v>
      </c>
      <c r="L20" s="126">
        <f t="shared" ref="L20" si="5">IFERROR(L27+L34+L41,0)</f>
        <v>2386.6498125000007</v>
      </c>
      <c r="M20" s="117">
        <f>'BH (2)'!N16</f>
        <v>0.32</v>
      </c>
      <c r="N20" s="184">
        <f t="shared" ref="N20" si="6">IFERROR(N27+N34+N41,0)</f>
        <v>2036.6078400000006</v>
      </c>
      <c r="O20" s="117">
        <f>'BH (2)'!L16</f>
        <v>7.4999999999999997E-2</v>
      </c>
      <c r="P20" s="184">
        <f t="shared" ref="P20" si="7">IFERROR(P27+P34+P41,0)</f>
        <v>0</v>
      </c>
      <c r="Q20" s="109"/>
    </row>
    <row r="21" spans="2:17" ht="35.1" customHeight="1">
      <c r="B21" s="108"/>
      <c r="C21" s="161">
        <f>'BH (2)'!B17</f>
        <v>5.5E-2</v>
      </c>
      <c r="D21" s="126">
        <f t="shared" si="2"/>
        <v>350.0419725000001</v>
      </c>
      <c r="E21" s="117">
        <f>'BH (2)'!D17</f>
        <v>3.5000000000000003E-2</v>
      </c>
      <c r="F21" s="126">
        <f t="shared" si="2"/>
        <v>222.75398250000006</v>
      </c>
      <c r="G21" s="117">
        <f>'BH (2)'!F17</f>
        <v>0.11509999999999999</v>
      </c>
      <c r="H21" s="126">
        <f t="shared" ref="H21" si="8">IFERROR(H28+H35+H42,0)</f>
        <v>732.5423824500001</v>
      </c>
      <c r="I21" s="117">
        <f>'BH (2)'!H17</f>
        <v>2.4899999999999999E-2</v>
      </c>
      <c r="J21" s="126">
        <f t="shared" ref="J21" si="9">IFERROR(J28+J35+J42,0)</f>
        <v>158.47354755000003</v>
      </c>
      <c r="K21" s="117">
        <f>'BH (2)'!J17</f>
        <v>0.375</v>
      </c>
      <c r="L21" s="126">
        <f t="shared" ref="L21" si="10">IFERROR(L28+L35+L42,0)</f>
        <v>2386.6498125000007</v>
      </c>
      <c r="M21" s="117">
        <f>'BH (2)'!N17</f>
        <v>0.32</v>
      </c>
      <c r="N21" s="184">
        <f>IFERROR(N28+N35+N42,0)</f>
        <v>2036.6078400000006</v>
      </c>
      <c r="O21" s="117">
        <f>'BH (2)'!L17</f>
        <v>7.4999999999999997E-2</v>
      </c>
      <c r="P21" s="184">
        <f>IFERROR(P28+P35+P42,0)</f>
        <v>0</v>
      </c>
      <c r="Q21" s="109"/>
    </row>
    <row r="22" spans="2:17" ht="35.1" customHeight="1">
      <c r="B22" s="108"/>
      <c r="C22" s="161">
        <f>'BH (2)'!B18</f>
        <v>5.5E-2</v>
      </c>
      <c r="D22" s="126">
        <f t="shared" si="2"/>
        <v>350.0419725000001</v>
      </c>
      <c r="E22" s="117">
        <f>'BH (2)'!D18</f>
        <v>3.5000000000000003E-2</v>
      </c>
      <c r="F22" s="126">
        <f t="shared" si="2"/>
        <v>222.75398250000006</v>
      </c>
      <c r="G22" s="117">
        <f>'BH (2)'!F18</f>
        <v>0.11509999999999999</v>
      </c>
      <c r="H22" s="126">
        <f t="shared" ref="H22" si="11">IFERROR(H29+H36+H43,0)</f>
        <v>732.5423824500001</v>
      </c>
      <c r="I22" s="117">
        <f>'BH (2)'!H18</f>
        <v>2.4899999999999999E-2</v>
      </c>
      <c r="J22" s="126">
        <f t="shared" ref="J22" si="12">IFERROR(J29+J36+J43,0)</f>
        <v>158.47354755000003</v>
      </c>
      <c r="K22" s="117">
        <f>'BH (2)'!J18</f>
        <v>0.375</v>
      </c>
      <c r="L22" s="126">
        <f t="shared" ref="L22" si="13">IFERROR(L29+L36+L43,0)</f>
        <v>2386.6498125000007</v>
      </c>
      <c r="M22" s="117">
        <f>'BH (2)'!N18</f>
        <v>0.32</v>
      </c>
      <c r="N22" s="184">
        <f t="shared" ref="N22" si="14">IFERROR(N29+N36+N43,0)</f>
        <v>2036.6078400000006</v>
      </c>
      <c r="O22" s="117">
        <f>'BH (2)'!L18</f>
        <v>7.4999999999999997E-2</v>
      </c>
      <c r="P22" s="184">
        <f t="shared" ref="P22" si="15">IFERROR(P29+P36+P43,0)</f>
        <v>0</v>
      </c>
      <c r="Q22" s="109"/>
    </row>
    <row r="23" spans="2:17" ht="35.1" customHeight="1">
      <c r="B23" s="108"/>
      <c r="C23" s="161">
        <f>'BH (2)'!B19</f>
        <v>5.5E-2</v>
      </c>
      <c r="D23" s="126">
        <f t="shared" si="2"/>
        <v>350.0419725000001</v>
      </c>
      <c r="E23" s="117">
        <f>'BH (2)'!D19</f>
        <v>3.5000000000000003E-2</v>
      </c>
      <c r="F23" s="126">
        <f t="shared" si="2"/>
        <v>222.75398250000006</v>
      </c>
      <c r="G23" s="117">
        <f>'BH (2)'!F19</f>
        <v>0.11509999999999999</v>
      </c>
      <c r="H23" s="126">
        <f t="shared" ref="H23" si="16">IFERROR(H30+H37+H44,0)</f>
        <v>732.5423824500001</v>
      </c>
      <c r="I23" s="117">
        <f>'BH (2)'!H19</f>
        <v>2.4899999999999999E-2</v>
      </c>
      <c r="J23" s="126">
        <f t="shared" ref="J23" si="17">IFERROR(J30+J37+J44,0)</f>
        <v>158.47354755000003</v>
      </c>
      <c r="K23" s="117">
        <f>'BH (2)'!J19</f>
        <v>0.375</v>
      </c>
      <c r="L23" s="126">
        <f t="shared" ref="L23" si="18">IFERROR(L30+L37+L44,0)</f>
        <v>2386.6498125000007</v>
      </c>
      <c r="M23" s="117">
        <f>'BH (2)'!N19</f>
        <v>0.32</v>
      </c>
      <c r="N23" s="184">
        <f t="shared" ref="N23" si="19">IFERROR(N30+N37+N44,0)</f>
        <v>2036.6078400000006</v>
      </c>
      <c r="O23" s="117">
        <f>'BH (2)'!L19</f>
        <v>7.4999999999999997E-2</v>
      </c>
      <c r="P23" s="184">
        <f t="shared" ref="P23" si="20">IFERROR(P30+P37+P44,0)</f>
        <v>0</v>
      </c>
      <c r="Q23" s="109"/>
    </row>
    <row r="24" spans="2:17" ht="35.1" customHeight="1">
      <c r="B24" s="108"/>
      <c r="C24" s="161">
        <f>'BH (2)'!B20</f>
        <v>8.5000000000000006E-2</v>
      </c>
      <c r="D24" s="121">
        <f t="shared" si="2"/>
        <v>540.97395750000021</v>
      </c>
      <c r="E24" s="117">
        <f>'BH (2)'!D20</f>
        <v>7.4999999999999997E-2</v>
      </c>
      <c r="F24" s="121">
        <f t="shared" si="2"/>
        <v>477.32996250000008</v>
      </c>
      <c r="G24" s="117">
        <f>'BH (2)'!F20</f>
        <v>0.20960000000000001</v>
      </c>
      <c r="H24" s="121">
        <f t="shared" ref="H24" si="21">IFERROR(H31+H38+H45,0)</f>
        <v>1333.9781352000002</v>
      </c>
      <c r="I24" s="117">
        <f>'BH (2)'!H20</f>
        <v>4.5400000000000003E-2</v>
      </c>
      <c r="J24" s="121">
        <f t="shared" ref="J24" si="22">IFERROR(J31+J38+J45,0)</f>
        <v>288.94373730000007</v>
      </c>
      <c r="K24" s="117">
        <f>'BH (2)'!J20</f>
        <v>0.23499999999999999</v>
      </c>
      <c r="L24" s="121">
        <f t="shared" ref="L24" si="23">IFERROR(L31+L38+L45,0)</f>
        <v>1495.6338825000003</v>
      </c>
      <c r="M24" s="117" t="str">
        <f>'BH (2)'!N20</f>
        <v>-</v>
      </c>
      <c r="N24" s="122">
        <f>Lançamentos!I23</f>
        <v>0</v>
      </c>
      <c r="O24" s="117">
        <f>'BH (2)'!L20</f>
        <v>0.35</v>
      </c>
      <c r="P24" s="122">
        <f t="shared" ref="P24" si="24">IFERROR(P31+P38+P45,0)</f>
        <v>0</v>
      </c>
      <c r="Q24" s="109"/>
    </row>
    <row r="25" spans="2:17" ht="35.1" hidden="1" customHeight="1"/>
    <row r="26" spans="2:17" ht="35.1" hidden="1" customHeight="1">
      <c r="C26" s="119">
        <f>C19</f>
        <v>5.5E-2</v>
      </c>
      <c r="D26" s="125">
        <f>IFERROR($Q$4*C26,0)</f>
        <v>350.0419725000001</v>
      </c>
      <c r="E26" s="119">
        <f t="shared" ref="E26" si="25">E19</f>
        <v>3.5000000000000003E-2</v>
      </c>
      <c r="F26" s="125">
        <f>IFERROR($Q$4*E26,0)</f>
        <v>222.75398250000006</v>
      </c>
      <c r="G26" s="119">
        <f t="shared" ref="G26" si="26">G19</f>
        <v>0.11509999999999999</v>
      </c>
      <c r="H26" s="125">
        <f>IFERROR($Q$4*G26,0)</f>
        <v>732.5423824500001</v>
      </c>
      <c r="I26" s="119">
        <f t="shared" ref="I26" si="27">I19</f>
        <v>2.4899999999999999E-2</v>
      </c>
      <c r="J26" s="125">
        <f>IFERROR($Q$4*I26,0)</f>
        <v>158.47354755000003</v>
      </c>
      <c r="K26" s="119">
        <f t="shared" ref="K26" si="28">K19</f>
        <v>0.375</v>
      </c>
      <c r="L26" s="125">
        <f>IFERROR($Q$4*K26,0)</f>
        <v>2386.6498125000007</v>
      </c>
      <c r="M26" s="119">
        <f t="shared" ref="M26" si="29">M19</f>
        <v>0.32</v>
      </c>
      <c r="N26" s="125">
        <f>IFERROR($Q$4*M26,0)</f>
        <v>2036.6078400000006</v>
      </c>
      <c r="O26" s="119">
        <f t="shared" ref="O26" si="30">O19</f>
        <v>7.4999999999999997E-2</v>
      </c>
      <c r="P26" s="125">
        <f>IFERROR($Q$5*O26,0)</f>
        <v>0</v>
      </c>
      <c r="Q26" s="238" t="s">
        <v>122</v>
      </c>
    </row>
    <row r="27" spans="2:17" ht="35.1" hidden="1" customHeight="1">
      <c r="C27" s="119">
        <f t="shared" ref="C27:M31" si="31">C20</f>
        <v>5.5E-2</v>
      </c>
      <c r="D27" s="125">
        <f t="shared" ref="D27:F31" si="32">IFERROR($Q$4*C27,0)</f>
        <v>350.0419725000001</v>
      </c>
      <c r="E27" s="119">
        <f t="shared" si="31"/>
        <v>3.5000000000000003E-2</v>
      </c>
      <c r="F27" s="125">
        <f t="shared" si="32"/>
        <v>222.75398250000006</v>
      </c>
      <c r="G27" s="119">
        <f t="shared" si="31"/>
        <v>0.11509999999999999</v>
      </c>
      <c r="H27" s="125">
        <f t="shared" ref="H27" si="33">IFERROR($Q$4*G27,0)</f>
        <v>732.5423824500001</v>
      </c>
      <c r="I27" s="119">
        <f t="shared" si="31"/>
        <v>2.4899999999999999E-2</v>
      </c>
      <c r="J27" s="125">
        <f t="shared" ref="J27" si="34">IFERROR($Q$4*I27,0)</f>
        <v>158.47354755000003</v>
      </c>
      <c r="K27" s="119">
        <f t="shared" si="31"/>
        <v>0.375</v>
      </c>
      <c r="L27" s="125">
        <f t="shared" ref="L27" si="35">IFERROR($Q$4*K27,0)</f>
        <v>2386.6498125000007</v>
      </c>
      <c r="M27" s="119">
        <f t="shared" si="31"/>
        <v>0.32</v>
      </c>
      <c r="N27" s="125">
        <f t="shared" ref="N27" si="36">IFERROR($Q$4*M27,0)</f>
        <v>2036.6078400000006</v>
      </c>
      <c r="O27" s="119">
        <f t="shared" ref="O27" si="37">O20</f>
        <v>7.4999999999999997E-2</v>
      </c>
      <c r="P27" s="125">
        <f>IFERROR($Q$5*O27,0)</f>
        <v>0</v>
      </c>
      <c r="Q27" s="238"/>
    </row>
    <row r="28" spans="2:17" ht="35.1" hidden="1" customHeight="1">
      <c r="C28" s="119">
        <f t="shared" si="31"/>
        <v>5.5E-2</v>
      </c>
      <c r="D28" s="125">
        <f t="shared" si="32"/>
        <v>350.0419725000001</v>
      </c>
      <c r="E28" s="119">
        <f t="shared" si="31"/>
        <v>3.5000000000000003E-2</v>
      </c>
      <c r="F28" s="125">
        <f t="shared" si="32"/>
        <v>222.75398250000006</v>
      </c>
      <c r="G28" s="119">
        <f t="shared" si="31"/>
        <v>0.11509999999999999</v>
      </c>
      <c r="H28" s="125">
        <f t="shared" ref="H28" si="38">IFERROR($Q$4*G28,0)</f>
        <v>732.5423824500001</v>
      </c>
      <c r="I28" s="119">
        <f t="shared" si="31"/>
        <v>2.4899999999999999E-2</v>
      </c>
      <c r="J28" s="125">
        <f t="shared" ref="J28" si="39">IFERROR($Q$4*I28,0)</f>
        <v>158.47354755000003</v>
      </c>
      <c r="K28" s="119">
        <f t="shared" si="31"/>
        <v>0.375</v>
      </c>
      <c r="L28" s="125">
        <f t="shared" ref="L28" si="40">IFERROR($Q$4*K28,0)</f>
        <v>2386.6498125000007</v>
      </c>
      <c r="M28" s="119">
        <f t="shared" si="31"/>
        <v>0.32</v>
      </c>
      <c r="N28" s="125">
        <f t="shared" ref="N28" si="41">IFERROR($Q$4*M28,0)</f>
        <v>2036.6078400000006</v>
      </c>
      <c r="O28" s="119">
        <f t="shared" ref="O28" si="42">O21</f>
        <v>7.4999999999999997E-2</v>
      </c>
      <c r="P28" s="125">
        <f t="shared" ref="P28:P31" si="43">IFERROR($Q$5*O28,0)</f>
        <v>0</v>
      </c>
      <c r="Q28" s="238"/>
    </row>
    <row r="29" spans="2:17" ht="35.1" hidden="1" customHeight="1">
      <c r="C29" s="119">
        <f t="shared" si="31"/>
        <v>5.5E-2</v>
      </c>
      <c r="D29" s="125">
        <f t="shared" si="32"/>
        <v>350.0419725000001</v>
      </c>
      <c r="E29" s="119">
        <f t="shared" si="31"/>
        <v>3.5000000000000003E-2</v>
      </c>
      <c r="F29" s="125">
        <f t="shared" si="32"/>
        <v>222.75398250000006</v>
      </c>
      <c r="G29" s="119">
        <f t="shared" si="31"/>
        <v>0.11509999999999999</v>
      </c>
      <c r="H29" s="125">
        <f t="shared" ref="H29" si="44">IFERROR($Q$4*G29,0)</f>
        <v>732.5423824500001</v>
      </c>
      <c r="I29" s="119">
        <f t="shared" si="31"/>
        <v>2.4899999999999999E-2</v>
      </c>
      <c r="J29" s="125">
        <f t="shared" ref="J29" si="45">IFERROR($Q$4*I29,0)</f>
        <v>158.47354755000003</v>
      </c>
      <c r="K29" s="119">
        <f t="shared" si="31"/>
        <v>0.375</v>
      </c>
      <c r="L29" s="125">
        <f t="shared" ref="L29" si="46">IFERROR($Q$4*K29,0)</f>
        <v>2386.6498125000007</v>
      </c>
      <c r="M29" s="119">
        <f t="shared" si="31"/>
        <v>0.32</v>
      </c>
      <c r="N29" s="125">
        <f t="shared" ref="N29" si="47">IFERROR($Q$4*M29,0)</f>
        <v>2036.6078400000006</v>
      </c>
      <c r="O29" s="119">
        <f t="shared" ref="O29" si="48">O22</f>
        <v>7.4999999999999997E-2</v>
      </c>
      <c r="P29" s="125">
        <f t="shared" si="43"/>
        <v>0</v>
      </c>
      <c r="Q29" s="238"/>
    </row>
    <row r="30" spans="2:17" ht="35.1" hidden="1" customHeight="1">
      <c r="C30" s="119">
        <f t="shared" si="31"/>
        <v>5.5E-2</v>
      </c>
      <c r="D30" s="125">
        <f t="shared" si="32"/>
        <v>350.0419725000001</v>
      </c>
      <c r="E30" s="119">
        <f t="shared" si="31"/>
        <v>3.5000000000000003E-2</v>
      </c>
      <c r="F30" s="125">
        <f t="shared" si="32"/>
        <v>222.75398250000006</v>
      </c>
      <c r="G30" s="119">
        <f t="shared" si="31"/>
        <v>0.11509999999999999</v>
      </c>
      <c r="H30" s="125">
        <f t="shared" ref="H30" si="49">IFERROR($Q$4*G30,0)</f>
        <v>732.5423824500001</v>
      </c>
      <c r="I30" s="119">
        <f t="shared" si="31"/>
        <v>2.4899999999999999E-2</v>
      </c>
      <c r="J30" s="125">
        <f t="shared" ref="J30" si="50">IFERROR($Q$4*I30,0)</f>
        <v>158.47354755000003</v>
      </c>
      <c r="K30" s="119">
        <f t="shared" si="31"/>
        <v>0.375</v>
      </c>
      <c r="L30" s="125">
        <f t="shared" ref="L30" si="51">IFERROR($Q$4*K30,0)</f>
        <v>2386.6498125000007</v>
      </c>
      <c r="M30" s="119">
        <f t="shared" si="31"/>
        <v>0.32</v>
      </c>
      <c r="N30" s="125">
        <f t="shared" ref="N30" si="52">IFERROR($Q$4*M30,0)</f>
        <v>2036.6078400000006</v>
      </c>
      <c r="O30" s="119">
        <f t="shared" ref="O30" si="53">O23</f>
        <v>7.4999999999999997E-2</v>
      </c>
      <c r="P30" s="125">
        <f t="shared" si="43"/>
        <v>0</v>
      </c>
      <c r="Q30" s="238"/>
    </row>
    <row r="31" spans="2:17" ht="35.1" hidden="1" customHeight="1">
      <c r="C31" s="119">
        <f t="shared" si="31"/>
        <v>8.5000000000000006E-2</v>
      </c>
      <c r="D31" s="125">
        <f t="shared" si="32"/>
        <v>540.97395750000021</v>
      </c>
      <c r="E31" s="119">
        <f t="shared" si="31"/>
        <v>7.4999999999999997E-2</v>
      </c>
      <c r="F31" s="125">
        <f t="shared" si="32"/>
        <v>477.32996250000008</v>
      </c>
      <c r="G31" s="119">
        <f t="shared" si="31"/>
        <v>0.20960000000000001</v>
      </c>
      <c r="H31" s="125">
        <f t="shared" ref="H31" si="54">IFERROR($Q$4*G31,0)</f>
        <v>1333.9781352000002</v>
      </c>
      <c r="I31" s="119">
        <f t="shared" si="31"/>
        <v>4.5400000000000003E-2</v>
      </c>
      <c r="J31" s="125">
        <f t="shared" ref="J31" si="55">IFERROR($Q$4*I31,0)</f>
        <v>288.94373730000007</v>
      </c>
      <c r="K31" s="119">
        <f t="shared" si="31"/>
        <v>0.23499999999999999</v>
      </c>
      <c r="L31" s="125">
        <f t="shared" ref="L31" si="56">IFERROR($Q$4*K31,0)</f>
        <v>1495.6338825000003</v>
      </c>
      <c r="M31" s="119" t="str">
        <f t="shared" si="31"/>
        <v>-</v>
      </c>
      <c r="N31" s="125">
        <f t="shared" ref="N31" si="57">IFERROR($Q$4*M31,0)</f>
        <v>0</v>
      </c>
      <c r="O31" s="119">
        <f t="shared" ref="O31" si="58">O24</f>
        <v>0.35</v>
      </c>
      <c r="P31" s="125">
        <f t="shared" si="43"/>
        <v>0</v>
      </c>
      <c r="Q31" s="238"/>
    </row>
    <row r="32" spans="2:17" ht="35.1" hidden="1" customHeight="1"/>
    <row r="33" spans="3:19" ht="35.1" hidden="1" customHeight="1">
      <c r="C33" s="119">
        <f>C26</f>
        <v>5.5E-2</v>
      </c>
      <c r="D33" s="125">
        <f>IFERROR($Q$5*C33,0)</f>
        <v>0</v>
      </c>
      <c r="E33" s="119">
        <f t="shared" ref="E33" si="59">E26</f>
        <v>3.5000000000000003E-2</v>
      </c>
      <c r="F33" s="125">
        <f>IFERROR($Q$5*E33,0)</f>
        <v>0</v>
      </c>
      <c r="G33" s="119">
        <v>0</v>
      </c>
      <c r="H33" s="125">
        <f>IFERROR($Q$5*G33,0)</f>
        <v>0</v>
      </c>
      <c r="I33" s="119">
        <v>0</v>
      </c>
      <c r="J33" s="125">
        <f>IFERROR($Q$5*I33,0)</f>
        <v>0</v>
      </c>
      <c r="K33" s="119">
        <f t="shared" ref="K33" si="60">K26</f>
        <v>0.375</v>
      </c>
      <c r="L33" s="125">
        <f>IFERROR($Q$5*K33,0)</f>
        <v>0</v>
      </c>
      <c r="M33" s="119">
        <f t="shared" ref="M33" si="61">M26</f>
        <v>0.32</v>
      </c>
      <c r="N33" s="125">
        <f>IFERROR($Q$5*M33,0)</f>
        <v>0</v>
      </c>
      <c r="O33" s="119">
        <f t="shared" ref="O33" si="62">O26</f>
        <v>7.4999999999999997E-2</v>
      </c>
      <c r="P33" s="125">
        <f t="shared" ref="P33" si="63">IFERROR($Q$6*O33,0)</f>
        <v>0</v>
      </c>
      <c r="Q33" s="238" t="s">
        <v>123</v>
      </c>
      <c r="R33" s="195">
        <f>IF($I$5=Tabela02!$F$5,Tabela02!L5,IF($I$5=Tabela02!$F$6,Tabela02!L6,IF($I$5=Tabela02!$F$7,Tabela02!L7,IF($I$5=Tabela02!$F$8,Tabela02!L8,IF($I$5=Tabela02!$F$9,Tabela02!L9,IF($I$5=Tabela02!$F$10,Tabela02!L10))))))</f>
        <v>0.11509999999999999</v>
      </c>
      <c r="S33" s="195">
        <f>IF($I$5=Tabela02!$F$5,Tabela02!M5,IF($I$5=Tabela02!$F$6,Tabela02!M6,IF($I$5=Tabela02!$F$7,Tabela02!M7,IF($I$5=Tabela02!$F$8,Tabela02!M8,IF($I$5=Tabela02!$F$9,Tabela02!M9,IF($I$5=Tabela02!$F$10,Tabela02!M10))))))</f>
        <v>2.4899999999999999E-2</v>
      </c>
    </row>
    <row r="34" spans="3:19" ht="35.1" hidden="1" customHeight="1">
      <c r="C34" s="119">
        <f t="shared" ref="C34:M38" si="64">C27</f>
        <v>5.5E-2</v>
      </c>
      <c r="D34" s="125">
        <f t="shared" ref="D34:F38" si="65">IFERROR($Q$5*C34,0)</f>
        <v>0</v>
      </c>
      <c r="E34" s="119">
        <f t="shared" si="64"/>
        <v>3.5000000000000003E-2</v>
      </c>
      <c r="F34" s="125">
        <f t="shared" si="65"/>
        <v>0</v>
      </c>
      <c r="G34" s="119">
        <v>0</v>
      </c>
      <c r="H34" s="125">
        <f t="shared" ref="H34:H38" si="66">IFERROR($Q$5*G34,0)</f>
        <v>0</v>
      </c>
      <c r="I34" s="119">
        <v>0</v>
      </c>
      <c r="J34" s="125">
        <f t="shared" ref="J34" si="67">IFERROR($Q$5*I34,0)</f>
        <v>0</v>
      </c>
      <c r="K34" s="119">
        <f t="shared" si="64"/>
        <v>0.375</v>
      </c>
      <c r="L34" s="125">
        <f t="shared" ref="L34" si="68">IFERROR($Q$5*K34,0)</f>
        <v>0</v>
      </c>
      <c r="M34" s="119">
        <f t="shared" si="64"/>
        <v>0.32</v>
      </c>
      <c r="N34" s="125">
        <f t="shared" ref="N34" si="69">IFERROR($Q$5*M34,0)</f>
        <v>0</v>
      </c>
      <c r="O34" s="119">
        <f t="shared" ref="O34" si="70">O27</f>
        <v>7.4999999999999997E-2</v>
      </c>
      <c r="P34" s="125">
        <f t="shared" ref="P34" si="71">IFERROR($Q$6*O34,0)</f>
        <v>0</v>
      </c>
      <c r="Q34" s="238"/>
      <c r="R34" s="196">
        <f>IFERROR($S$5*R33,0)</f>
        <v>0</v>
      </c>
      <c r="S34" s="196">
        <f>IFERROR($S$5*S33,0)</f>
        <v>0</v>
      </c>
    </row>
    <row r="35" spans="3:19" ht="35.1" hidden="1" customHeight="1">
      <c r="C35" s="119">
        <f t="shared" si="64"/>
        <v>5.5E-2</v>
      </c>
      <c r="D35" s="125">
        <f t="shared" si="65"/>
        <v>0</v>
      </c>
      <c r="E35" s="119">
        <f t="shared" si="64"/>
        <v>3.5000000000000003E-2</v>
      </c>
      <c r="F35" s="125">
        <f t="shared" si="65"/>
        <v>0</v>
      </c>
      <c r="G35" s="119">
        <v>0</v>
      </c>
      <c r="H35" s="125">
        <f t="shared" si="66"/>
        <v>0</v>
      </c>
      <c r="I35" s="119">
        <v>0</v>
      </c>
      <c r="J35" s="125">
        <f t="shared" ref="J35" si="72">IFERROR($Q$5*I35,0)</f>
        <v>0</v>
      </c>
      <c r="K35" s="119">
        <f t="shared" si="64"/>
        <v>0.375</v>
      </c>
      <c r="L35" s="125">
        <f t="shared" ref="L35" si="73">IFERROR($Q$5*K35,0)</f>
        <v>0</v>
      </c>
      <c r="M35" s="119">
        <f t="shared" si="64"/>
        <v>0.32</v>
      </c>
      <c r="N35" s="125">
        <f t="shared" ref="N35" si="74">IFERROR($Q$5*M35,0)</f>
        <v>0</v>
      </c>
      <c r="O35" s="119">
        <f t="shared" ref="O35" si="75">O28</f>
        <v>7.4999999999999997E-2</v>
      </c>
      <c r="P35" s="125">
        <f t="shared" ref="P35" si="76">IFERROR($Q$6*O35,0)</f>
        <v>0</v>
      </c>
      <c r="Q35" s="238"/>
    </row>
    <row r="36" spans="3:19" ht="35.1" hidden="1" customHeight="1">
      <c r="C36" s="119">
        <f t="shared" si="64"/>
        <v>5.5E-2</v>
      </c>
      <c r="D36" s="125">
        <f t="shared" si="65"/>
        <v>0</v>
      </c>
      <c r="E36" s="119">
        <f t="shared" si="64"/>
        <v>3.5000000000000003E-2</v>
      </c>
      <c r="F36" s="125">
        <f t="shared" si="65"/>
        <v>0</v>
      </c>
      <c r="G36" s="119">
        <v>0</v>
      </c>
      <c r="H36" s="125">
        <f t="shared" si="66"/>
        <v>0</v>
      </c>
      <c r="I36" s="119">
        <v>0</v>
      </c>
      <c r="J36" s="125">
        <f t="shared" ref="J36" si="77">IFERROR($Q$5*I36,0)</f>
        <v>0</v>
      </c>
      <c r="K36" s="119">
        <f t="shared" si="64"/>
        <v>0.375</v>
      </c>
      <c r="L36" s="125">
        <f t="shared" ref="L36" si="78">IFERROR($Q$5*K36,0)</f>
        <v>0</v>
      </c>
      <c r="M36" s="119">
        <f t="shared" si="64"/>
        <v>0.32</v>
      </c>
      <c r="N36" s="125">
        <f t="shared" ref="N36" si="79">IFERROR($Q$5*M36,0)</f>
        <v>0</v>
      </c>
      <c r="O36" s="119">
        <f t="shared" ref="O36" si="80">O29</f>
        <v>7.4999999999999997E-2</v>
      </c>
      <c r="P36" s="125">
        <f t="shared" ref="P36" si="81">IFERROR($Q$6*O36,0)</f>
        <v>0</v>
      </c>
      <c r="Q36" s="238"/>
    </row>
    <row r="37" spans="3:19" ht="35.1" hidden="1" customHeight="1">
      <c r="C37" s="119">
        <f t="shared" si="64"/>
        <v>5.5E-2</v>
      </c>
      <c r="D37" s="125">
        <f t="shared" si="65"/>
        <v>0</v>
      </c>
      <c r="E37" s="119">
        <f t="shared" si="64"/>
        <v>3.5000000000000003E-2</v>
      </c>
      <c r="F37" s="125">
        <f t="shared" si="65"/>
        <v>0</v>
      </c>
      <c r="G37" s="119">
        <v>0</v>
      </c>
      <c r="H37" s="125">
        <f t="shared" si="66"/>
        <v>0</v>
      </c>
      <c r="I37" s="119">
        <v>0</v>
      </c>
      <c r="J37" s="125">
        <f t="shared" ref="J37" si="82">IFERROR($Q$5*I37,0)</f>
        <v>0</v>
      </c>
      <c r="K37" s="119">
        <f t="shared" si="64"/>
        <v>0.375</v>
      </c>
      <c r="L37" s="125">
        <f t="shared" ref="L37" si="83">IFERROR($Q$5*K37,0)</f>
        <v>0</v>
      </c>
      <c r="M37" s="119">
        <f t="shared" si="64"/>
        <v>0.32</v>
      </c>
      <c r="N37" s="125">
        <f t="shared" ref="N37" si="84">IFERROR($Q$5*M37,0)</f>
        <v>0</v>
      </c>
      <c r="O37" s="119">
        <f t="shared" ref="O37" si="85">O30</f>
        <v>7.4999999999999997E-2</v>
      </c>
      <c r="P37" s="125">
        <f t="shared" ref="P37" si="86">IFERROR($Q$6*O37,0)</f>
        <v>0</v>
      </c>
      <c r="Q37" s="238"/>
    </row>
    <row r="38" spans="3:19" ht="35.1" hidden="1" customHeight="1">
      <c r="C38" s="119">
        <f t="shared" si="64"/>
        <v>8.5000000000000006E-2</v>
      </c>
      <c r="D38" s="125">
        <f t="shared" si="65"/>
        <v>0</v>
      </c>
      <c r="E38" s="119">
        <f t="shared" si="64"/>
        <v>7.4999999999999997E-2</v>
      </c>
      <c r="F38" s="125">
        <f t="shared" si="65"/>
        <v>0</v>
      </c>
      <c r="G38" s="119">
        <v>0</v>
      </c>
      <c r="H38" s="125">
        <f t="shared" si="66"/>
        <v>0</v>
      </c>
      <c r="I38" s="119">
        <v>0</v>
      </c>
      <c r="J38" s="125">
        <f t="shared" ref="J38" si="87">IFERROR($Q$5*I38,0)</f>
        <v>0</v>
      </c>
      <c r="K38" s="119">
        <f t="shared" si="64"/>
        <v>0.23499999999999999</v>
      </c>
      <c r="L38" s="125">
        <f t="shared" ref="L38" si="88">IFERROR($Q$5*K38,0)</f>
        <v>0</v>
      </c>
      <c r="M38" s="119" t="str">
        <f t="shared" si="64"/>
        <v>-</v>
      </c>
      <c r="N38" s="125">
        <f t="shared" ref="N38" si="89">IFERROR($Q$5*M38,0)</f>
        <v>0</v>
      </c>
      <c r="O38" s="119">
        <f t="shared" ref="O38" si="90">O31</f>
        <v>0.35</v>
      </c>
      <c r="P38" s="125">
        <f t="shared" ref="P38" si="91">IFERROR($Q$6*O38,0)</f>
        <v>0</v>
      </c>
      <c r="Q38" s="238"/>
    </row>
    <row r="39" spans="3:19" ht="35.1" hidden="1" customHeight="1">
      <c r="G39" s="194"/>
      <c r="H39" s="194"/>
      <c r="I39" s="194"/>
    </row>
    <row r="40" spans="3:19" ht="35.1" hidden="1" customHeight="1">
      <c r="C40" s="119">
        <f>C33</f>
        <v>5.5E-2</v>
      </c>
      <c r="D40" s="125">
        <f>IFERROR($Q$6*C40,0)</f>
        <v>0</v>
      </c>
      <c r="E40" s="119">
        <f t="shared" ref="E40" si="92">E33</f>
        <v>3.5000000000000003E-2</v>
      </c>
      <c r="F40" s="125">
        <f>IFERROR($Q$6*E40,0)</f>
        <v>0</v>
      </c>
      <c r="G40" s="119">
        <f>G26</f>
        <v>0.11509999999999999</v>
      </c>
      <c r="H40" s="125">
        <f>IFERROR($Q$6*G40,0)</f>
        <v>0</v>
      </c>
      <c r="I40" s="119">
        <f>I26</f>
        <v>2.4899999999999999E-2</v>
      </c>
      <c r="J40" s="125">
        <f>IFERROR($Q$6*I40,0)</f>
        <v>0</v>
      </c>
      <c r="K40" s="119">
        <f t="shared" ref="K40" si="93">K33</f>
        <v>0.375</v>
      </c>
      <c r="L40" s="125">
        <f>IFERROR($Q$6*K40,0)</f>
        <v>0</v>
      </c>
      <c r="M40" s="119">
        <v>0</v>
      </c>
      <c r="N40" s="125">
        <f>IFERROR($Q$6*M40,0)</f>
        <v>0</v>
      </c>
      <c r="O40" s="119">
        <f t="shared" ref="O40:O45" si="94">O33</f>
        <v>7.4999999999999997E-2</v>
      </c>
      <c r="P40" s="125">
        <f t="shared" ref="P40:P45" si="95">IFERROR($Q$6*O40,0)</f>
        <v>0</v>
      </c>
      <c r="Q40" s="238" t="s">
        <v>124</v>
      </c>
      <c r="R40" s="195">
        <f>IF($I$5=Tabela02!$F$5,Tabela02!P5,IF($I$5=Tabela02!$F$6,Tabela02!P6,IF($I$5=Tabela02!$F$7,Tabela02!P7,IF($I$5=Tabela02!$F$8,Tabela02!P8,IF($I$5=Tabela02!$F$9,Tabela02!P9,IF($I$5=Tabela02!$F$10,Tabela02!P10))))))</f>
        <v>0.32</v>
      </c>
    </row>
    <row r="41" spans="3:19" ht="35.1" hidden="1" customHeight="1">
      <c r="C41" s="119">
        <f t="shared" ref="C41" si="96">C34</f>
        <v>5.5E-2</v>
      </c>
      <c r="D41" s="125">
        <f t="shared" ref="D41:F45" si="97">IFERROR($Q$6*C41,0)</f>
        <v>0</v>
      </c>
      <c r="E41" s="119">
        <f t="shared" ref="E41" si="98">E34</f>
        <v>3.5000000000000003E-2</v>
      </c>
      <c r="F41" s="125">
        <f t="shared" si="97"/>
        <v>0</v>
      </c>
      <c r="G41" s="119">
        <f t="shared" ref="G41:G45" si="99">G27</f>
        <v>0.11509999999999999</v>
      </c>
      <c r="H41" s="125">
        <f t="shared" ref="H41:H45" si="100">IFERROR($Q$6*G41,0)</f>
        <v>0</v>
      </c>
      <c r="I41" s="119">
        <f t="shared" ref="I41:I45" si="101">I27</f>
        <v>2.4899999999999999E-2</v>
      </c>
      <c r="J41" s="125">
        <f t="shared" ref="J41" si="102">IFERROR($Q$6*I41,0)</f>
        <v>0</v>
      </c>
      <c r="K41" s="119">
        <f t="shared" ref="K41" si="103">K34</f>
        <v>0.375</v>
      </c>
      <c r="L41" s="125">
        <f t="shared" ref="L41" si="104">IFERROR($Q$6*K41,0)</f>
        <v>0</v>
      </c>
      <c r="M41" s="119">
        <v>0</v>
      </c>
      <c r="N41" s="125">
        <f t="shared" ref="N41" si="105">IFERROR($Q$6*M41,0)</f>
        <v>0</v>
      </c>
      <c r="O41" s="119">
        <f t="shared" si="94"/>
        <v>7.4999999999999997E-2</v>
      </c>
      <c r="P41" s="125">
        <f t="shared" si="95"/>
        <v>0</v>
      </c>
      <c r="Q41" s="238"/>
      <c r="R41" s="196">
        <f>IFERROR($S$6*R40,0)</f>
        <v>0</v>
      </c>
    </row>
    <row r="42" spans="3:19" ht="35.1" hidden="1" customHeight="1">
      <c r="C42" s="119">
        <f t="shared" ref="C42" si="106">C35</f>
        <v>5.5E-2</v>
      </c>
      <c r="D42" s="125">
        <f t="shared" si="97"/>
        <v>0</v>
      </c>
      <c r="E42" s="119">
        <f t="shared" ref="E42" si="107">E35</f>
        <v>3.5000000000000003E-2</v>
      </c>
      <c r="F42" s="125">
        <f t="shared" si="97"/>
        <v>0</v>
      </c>
      <c r="G42" s="119">
        <f t="shared" si="99"/>
        <v>0.11509999999999999</v>
      </c>
      <c r="H42" s="125">
        <f t="shared" si="100"/>
        <v>0</v>
      </c>
      <c r="I42" s="119">
        <f t="shared" si="101"/>
        <v>2.4899999999999999E-2</v>
      </c>
      <c r="J42" s="125">
        <f t="shared" ref="J42" si="108">IFERROR($Q$6*I42,0)</f>
        <v>0</v>
      </c>
      <c r="K42" s="119">
        <f t="shared" ref="K42" si="109">K35</f>
        <v>0.375</v>
      </c>
      <c r="L42" s="125">
        <f t="shared" ref="L42" si="110">IFERROR($Q$6*K42,0)</f>
        <v>0</v>
      </c>
      <c r="M42" s="119">
        <v>0</v>
      </c>
      <c r="N42" s="125">
        <f t="shared" ref="N42" si="111">IFERROR($Q$6*M42,0)</f>
        <v>0</v>
      </c>
      <c r="O42" s="119">
        <f t="shared" si="94"/>
        <v>7.4999999999999997E-2</v>
      </c>
      <c r="P42" s="125">
        <f t="shared" si="95"/>
        <v>0</v>
      </c>
      <c r="Q42" s="238"/>
    </row>
    <row r="43" spans="3:19" ht="35.1" hidden="1" customHeight="1">
      <c r="C43" s="119">
        <f t="shared" ref="C43" si="112">C36</f>
        <v>5.5E-2</v>
      </c>
      <c r="D43" s="125">
        <f t="shared" si="97"/>
        <v>0</v>
      </c>
      <c r="E43" s="119">
        <f t="shared" ref="E43" si="113">E36</f>
        <v>3.5000000000000003E-2</v>
      </c>
      <c r="F43" s="125">
        <f t="shared" si="97"/>
        <v>0</v>
      </c>
      <c r="G43" s="119">
        <f t="shared" si="99"/>
        <v>0.11509999999999999</v>
      </c>
      <c r="H43" s="125">
        <f t="shared" si="100"/>
        <v>0</v>
      </c>
      <c r="I43" s="119">
        <f t="shared" si="101"/>
        <v>2.4899999999999999E-2</v>
      </c>
      <c r="J43" s="125">
        <f t="shared" ref="J43" si="114">IFERROR($Q$6*I43,0)</f>
        <v>0</v>
      </c>
      <c r="K43" s="119">
        <f t="shared" ref="K43" si="115">K36</f>
        <v>0.375</v>
      </c>
      <c r="L43" s="125">
        <f t="shared" ref="L43" si="116">IFERROR($Q$6*K43,0)</f>
        <v>0</v>
      </c>
      <c r="M43" s="119">
        <v>0</v>
      </c>
      <c r="N43" s="125">
        <f t="shared" ref="N43" si="117">IFERROR($Q$6*M43,0)</f>
        <v>0</v>
      </c>
      <c r="O43" s="119">
        <f t="shared" si="94"/>
        <v>7.4999999999999997E-2</v>
      </c>
      <c r="P43" s="125">
        <f t="shared" si="95"/>
        <v>0</v>
      </c>
      <c r="Q43" s="238"/>
    </row>
    <row r="44" spans="3:19" ht="35.1" hidden="1" customHeight="1">
      <c r="C44" s="119">
        <f t="shared" ref="C44" si="118">C37</f>
        <v>5.5E-2</v>
      </c>
      <c r="D44" s="125">
        <f t="shared" si="97"/>
        <v>0</v>
      </c>
      <c r="E44" s="119">
        <f t="shared" ref="E44" si="119">E37</f>
        <v>3.5000000000000003E-2</v>
      </c>
      <c r="F44" s="125">
        <f t="shared" si="97"/>
        <v>0</v>
      </c>
      <c r="G44" s="119">
        <f t="shared" si="99"/>
        <v>0.11509999999999999</v>
      </c>
      <c r="H44" s="125">
        <f t="shared" si="100"/>
        <v>0</v>
      </c>
      <c r="I44" s="119">
        <f t="shared" si="101"/>
        <v>2.4899999999999999E-2</v>
      </c>
      <c r="J44" s="125">
        <f t="shared" ref="J44" si="120">IFERROR($Q$6*I44,0)</f>
        <v>0</v>
      </c>
      <c r="K44" s="119">
        <f t="shared" ref="K44" si="121">K37</f>
        <v>0.375</v>
      </c>
      <c r="L44" s="125">
        <f t="shared" ref="L44" si="122">IFERROR($Q$6*K44,0)</f>
        <v>0</v>
      </c>
      <c r="M44" s="119">
        <v>0</v>
      </c>
      <c r="N44" s="125">
        <f t="shared" ref="N44" si="123">IFERROR($Q$6*M44,0)</f>
        <v>0</v>
      </c>
      <c r="O44" s="119">
        <f t="shared" si="94"/>
        <v>7.4999999999999997E-2</v>
      </c>
      <c r="P44" s="125">
        <f t="shared" si="95"/>
        <v>0</v>
      </c>
      <c r="Q44" s="238"/>
    </row>
    <row r="45" spans="3:19" ht="35.1" hidden="1" customHeight="1">
      <c r="C45" s="119">
        <f t="shared" ref="C45" si="124">C38</f>
        <v>8.5000000000000006E-2</v>
      </c>
      <c r="D45" s="125">
        <f t="shared" si="97"/>
        <v>0</v>
      </c>
      <c r="E45" s="119">
        <f t="shared" ref="E45" si="125">E38</f>
        <v>7.4999999999999997E-2</v>
      </c>
      <c r="F45" s="125">
        <f t="shared" si="97"/>
        <v>0</v>
      </c>
      <c r="G45" s="119">
        <f t="shared" si="99"/>
        <v>0.20960000000000001</v>
      </c>
      <c r="H45" s="125">
        <f t="shared" si="100"/>
        <v>0</v>
      </c>
      <c r="I45" s="119">
        <f t="shared" si="101"/>
        <v>4.5400000000000003E-2</v>
      </c>
      <c r="J45" s="125">
        <f t="shared" ref="J45" si="126">IFERROR($Q$6*I45,0)</f>
        <v>0</v>
      </c>
      <c r="K45" s="119">
        <f t="shared" ref="K45" si="127">K38</f>
        <v>0.23499999999999999</v>
      </c>
      <c r="L45" s="125">
        <f t="shared" ref="L45" si="128">IFERROR($Q$6*K45,0)</f>
        <v>0</v>
      </c>
      <c r="M45" s="119" t="str">
        <f t="shared" ref="M45" si="129">M38</f>
        <v>-</v>
      </c>
      <c r="N45" s="125">
        <f t="shared" ref="N45" si="130">IFERROR($Q$6*M45,0)</f>
        <v>0</v>
      </c>
      <c r="O45" s="119">
        <f t="shared" si="94"/>
        <v>0.35</v>
      </c>
      <c r="P45" s="125">
        <f t="shared" si="95"/>
        <v>0</v>
      </c>
      <c r="Q45" s="238"/>
    </row>
    <row r="46" spans="3:19" ht="35.1" hidden="1" customHeight="1"/>
    <row r="47" spans="3:19" ht="35.1" hidden="1" customHeight="1"/>
    <row r="48" spans="3:19" ht="35.1" hidden="1" customHeight="1"/>
    <row r="49" ht="35.1" hidden="1" customHeight="1"/>
    <row r="50" ht="35.1" hidden="1" customHeight="1"/>
    <row r="51" ht="35.1" hidden="1" customHeight="1"/>
    <row r="52" ht="35.1" hidden="1" customHeight="1"/>
    <row r="53" ht="35.1" hidden="1" customHeight="1"/>
    <row r="54" ht="35.1" hidden="1" customHeight="1"/>
    <row r="55" ht="35.1" hidden="1" customHeight="1"/>
    <row r="56" ht="35.1" hidden="1" customHeight="1"/>
    <row r="57" ht="35.1" hidden="1" customHeight="1"/>
    <row r="58" ht="35.1" hidden="1" customHeight="1"/>
    <row r="59" ht="35.1" hidden="1" customHeight="1"/>
    <row r="60" ht="35.1" hidden="1" customHeight="1"/>
    <row r="61" ht="35.1" hidden="1" customHeight="1"/>
    <row r="62" ht="35.1" hidden="1" customHeight="1"/>
    <row r="63" ht="35.1" hidden="1" customHeight="1"/>
    <row r="64" ht="35.1" hidden="1" customHeight="1"/>
    <row r="65" ht="35.1" hidden="1" customHeight="1"/>
    <row r="66" ht="35.1" hidden="1" customHeight="1"/>
    <row r="67" ht="35.1" hidden="1" customHeight="1"/>
    <row r="68" ht="35.1" hidden="1" customHeight="1"/>
    <row r="69" ht="35.1" hidden="1" customHeight="1"/>
    <row r="70" ht="35.1" hidden="1" customHeight="1"/>
    <row r="71" ht="35.1" hidden="1" customHeight="1"/>
    <row r="72" ht="35.1" hidden="1" customHeight="1"/>
    <row r="73" ht="35.1" hidden="1" customHeight="1"/>
    <row r="74" ht="35.1" hidden="1" customHeight="1"/>
    <row r="75" ht="35.1" hidden="1" customHeight="1"/>
    <row r="76" ht="35.1" hidden="1" customHeight="1"/>
    <row r="77" ht="35.1" hidden="1" customHeight="1"/>
    <row r="78" ht="35.1" hidden="1" customHeight="1"/>
    <row r="79" ht="35.1" hidden="1" customHeight="1"/>
    <row r="80" ht="35.1" hidden="1" customHeight="1"/>
    <row r="81" ht="35.1" hidden="1" customHeight="1"/>
    <row r="82" ht="35.1" hidden="1" customHeight="1"/>
    <row r="83" ht="35.1" hidden="1" customHeight="1"/>
    <row r="84" ht="35.1" hidden="1" customHeight="1"/>
    <row r="85" ht="35.1" hidden="1" customHeight="1"/>
    <row r="86" ht="35.1" hidden="1" customHeight="1"/>
    <row r="87" ht="35.1" hidden="1" customHeight="1"/>
    <row r="88" ht="35.1" hidden="1" customHeight="1"/>
    <row r="89" ht="35.1" hidden="1" customHeight="1"/>
    <row r="90" ht="35.1" hidden="1" customHeight="1"/>
    <row r="91" ht="35.1" hidden="1" customHeight="1"/>
    <row r="92" ht="35.1" hidden="1" customHeight="1"/>
    <row r="93" ht="35.1" hidden="1" customHeight="1"/>
    <row r="94" ht="35.1" hidden="1" customHeight="1"/>
    <row r="95" ht="35.1" hidden="1" customHeight="1"/>
    <row r="96" ht="35.1" hidden="1" customHeight="1"/>
    <row r="97" ht="35.1" hidden="1" customHeight="1"/>
    <row r="98" ht="35.1" hidden="1" customHeight="1"/>
    <row r="99" ht="35.1" hidden="1" customHeight="1"/>
    <row r="100" ht="35.1" hidden="1" customHeight="1"/>
    <row r="101" ht="35.1" hidden="1" customHeight="1"/>
    <row r="102" ht="35.1" hidden="1" customHeight="1"/>
    <row r="103" ht="35.1" hidden="1" customHeight="1"/>
    <row r="104" ht="35.1" hidden="1" customHeight="1"/>
    <row r="105" ht="35.1" hidden="1" customHeight="1"/>
    <row r="106" ht="35.1" hidden="1" customHeight="1"/>
    <row r="107" ht="35.1" hidden="1" customHeight="1"/>
    <row r="108" ht="35.1" hidden="1" customHeight="1"/>
  </sheetData>
  <sheetProtection sheet="1" objects="1" scenarios="1" selectLockedCells="1" selectUnlockedCells="1"/>
  <mergeCells count="10">
    <mergeCell ref="O4:P4"/>
    <mergeCell ref="C5:G5"/>
    <mergeCell ref="N5:N6"/>
    <mergeCell ref="O5:P6"/>
    <mergeCell ref="C6:G6"/>
    <mergeCell ref="Q26:Q31"/>
    <mergeCell ref="Q33:Q38"/>
    <mergeCell ref="Q40:Q45"/>
    <mergeCell ref="C8:K8"/>
    <mergeCell ref="C17:P17"/>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0721" r:id="rId3" name="Group Box 1">
              <controlPr defaultSize="0" autoFill="0" autoPict="0">
                <anchor moveWithCells="1">
                  <from>
                    <xdr:col>1</xdr:col>
                    <xdr:colOff>66675</xdr:colOff>
                    <xdr:row>2</xdr:row>
                    <xdr:rowOff>876300</xdr:rowOff>
                  </from>
                  <to>
                    <xdr:col>6</xdr:col>
                    <xdr:colOff>666750</xdr:colOff>
                    <xdr:row>6</xdr:row>
                    <xdr:rowOff>9525</xdr:rowOff>
                  </to>
                </anchor>
              </controlPr>
            </control>
          </mc:Choice>
        </mc:AlternateContent>
        <mc:AlternateContent xmlns:mc="http://schemas.openxmlformats.org/markup-compatibility/2006">
          <mc:Choice Requires="x14">
            <control shapeId="30722" r:id="rId4" name="Group Box 2">
              <controlPr defaultSize="0" autoFill="0" autoPict="0">
                <anchor moveWithCells="1">
                  <from>
                    <xdr:col>6</xdr:col>
                    <xdr:colOff>752475</xdr:colOff>
                    <xdr:row>2</xdr:row>
                    <xdr:rowOff>876300</xdr:rowOff>
                  </from>
                  <to>
                    <xdr:col>23</xdr:col>
                    <xdr:colOff>85725</xdr:colOff>
                    <xdr:row>6</xdr:row>
                    <xdr:rowOff>9525</xdr:rowOff>
                  </to>
                </anchor>
              </controlPr>
            </control>
          </mc:Choice>
        </mc:AlternateContent>
        <mc:AlternateContent xmlns:mc="http://schemas.openxmlformats.org/markup-compatibility/2006">
          <mc:Choice Requires="x14">
            <control shapeId="30723" r:id="rId5" name="Group Box 3">
              <controlPr defaultSize="0" autoFill="0" autoPict="0">
                <anchor moveWithCells="1">
                  <from>
                    <xdr:col>11</xdr:col>
                    <xdr:colOff>142875</xdr:colOff>
                    <xdr:row>6</xdr:row>
                    <xdr:rowOff>180975</xdr:rowOff>
                  </from>
                  <to>
                    <xdr:col>23</xdr:col>
                    <xdr:colOff>85725</xdr:colOff>
                    <xdr:row>15</xdr:row>
                    <xdr:rowOff>0</xdr:rowOff>
                  </to>
                </anchor>
              </controlPr>
            </control>
          </mc:Choice>
        </mc:AlternateContent>
        <mc:AlternateContent xmlns:mc="http://schemas.openxmlformats.org/markup-compatibility/2006">
          <mc:Choice Requires="x14">
            <control shapeId="30724" r:id="rId6" name="Group Box 4">
              <controlPr defaultSize="0" autoFill="0" autoPict="0">
                <anchor moveWithCells="1">
                  <from>
                    <xdr:col>1</xdr:col>
                    <xdr:colOff>28575</xdr:colOff>
                    <xdr:row>15</xdr:row>
                    <xdr:rowOff>180975</xdr:rowOff>
                  </from>
                  <to>
                    <xdr:col>23</xdr:col>
                    <xdr:colOff>85725</xdr:colOff>
                    <xdr:row>108</xdr:row>
                    <xdr:rowOff>228600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6">
    <tabColor rgb="FF00B050"/>
  </sheetPr>
  <dimension ref="B1:V100"/>
  <sheetViews>
    <sheetView showRowColHeaders="0" workbookViewId="0">
      <pane ySplit="6" topLeftCell="A7" activePane="bottomLeft" state="frozen"/>
      <selection activeCell="Y13" sqref="Y13"/>
      <selection pane="bottomLeft"/>
    </sheetView>
  </sheetViews>
  <sheetFormatPr defaultRowHeight="35.1" customHeight="1"/>
  <cols>
    <col min="1" max="2" width="1.7109375" style="131" customWidth="1"/>
    <col min="3" max="16" width="13.140625" style="131" customWidth="1"/>
    <col min="17" max="17" width="11.28515625" style="131" hidden="1" customWidth="1"/>
    <col min="18" max="18" width="12.28515625" style="131" hidden="1" customWidth="1"/>
    <col min="19" max="20" width="11.28515625" style="131" hidden="1" customWidth="1"/>
    <col min="21" max="22" width="9.140625" style="131" hidden="1" customWidth="1"/>
    <col min="23" max="23" width="9.140625" style="131" customWidth="1"/>
    <col min="24" max="16384" width="9.140625" style="131"/>
  </cols>
  <sheetData>
    <row r="1" spans="2:20" s="1" customFormat="1" ht="35.1" customHeight="1"/>
    <row r="2" spans="2:20" s="3" customFormat="1" ht="30" customHeight="1"/>
    <row r="3" spans="2:20" ht="69.95" customHeight="1">
      <c r="T3" s="196">
        <f>IFERROR(SUM(T4:T6)+N24,0)</f>
        <v>8485.866</v>
      </c>
    </row>
    <row r="4" spans="2:20" ht="21.95" customHeight="1">
      <c r="C4" s="149"/>
      <c r="D4" s="74"/>
      <c r="E4" s="132"/>
      <c r="F4" s="136"/>
      <c r="G4" s="74"/>
      <c r="N4" s="131" t="s">
        <v>79</v>
      </c>
      <c r="O4" s="234" t="s">
        <v>102</v>
      </c>
      <c r="P4" s="234"/>
      <c r="Q4" s="196">
        <f>IFERROR(Lançamentos!D7*N5,0)</f>
        <v>8485.866</v>
      </c>
      <c r="R4" s="196">
        <f>Lançamentos!D7</f>
        <v>141431.1</v>
      </c>
      <c r="S4" s="196">
        <f>IFERROR(R4*$N$5,0)</f>
        <v>8485.866</v>
      </c>
      <c r="T4" s="196">
        <f>S4</f>
        <v>8485.866</v>
      </c>
    </row>
    <row r="5" spans="2:20" ht="35.1" customHeight="1">
      <c r="C5" s="237"/>
      <c r="D5" s="237"/>
      <c r="E5" s="237"/>
      <c r="F5" s="237"/>
      <c r="G5" s="237"/>
      <c r="H5" s="84">
        <f>Lançamentos!D5</f>
        <v>11785.924999999999</v>
      </c>
      <c r="I5" s="85">
        <f>IF($H$5=0,0,IF($H$5&lt;=Tabela03!$E$5,Tabela03!F5,IF($H$5&lt;=Tabela03!$E$6,Tabela03!F6,IF($H$5&lt;=Tabela03!$E$7,Tabela03!F7,IF($H$5&lt;=Tabela03!$E$8,Tabela03!F8,IF($H$5&lt;=Tabela03!$E$9,Tabela03!F9,IF($H$5&lt;=Tabela03!$E$10,Tabela03!F10,IF($H$5&gt;Tabela03!$E$10,Tabela03!F10))))))))</f>
        <v>0.06</v>
      </c>
      <c r="J5" s="84">
        <f>IF($H$5=0,0,IF($H$5&lt;=Tabela03!$E$5,Tabela03!G5,IF($H$5&lt;=Tabela03!$E$6,Tabela03!G6,IF($H$5&lt;=Tabela03!$E$7,Tabela03!G7,IF($H$5&lt;=Tabela03!$E$8,Tabela03!G8,IF($H$5&lt;=Tabela03!$E$9,Tabela03!G9,IF($H$5&lt;=Tabela03!$E$10,Tabela03!G10,IF($H$5&gt;Tabela03!$E$10,Tabela03!G10))))))))</f>
        <v>0</v>
      </c>
      <c r="L5" s="84">
        <f>IFERROR((H5*I5)-J5,0)</f>
        <v>707.15549999999996</v>
      </c>
      <c r="N5" s="233">
        <f>IFERROR(L5/L6,0)</f>
        <v>0.06</v>
      </c>
      <c r="O5" s="235">
        <f>IFERROR(T3,0)</f>
        <v>8485.866</v>
      </c>
      <c r="P5" s="235"/>
      <c r="Q5" s="196">
        <f>IFERROR(Lançamentos!D8*N5,0)</f>
        <v>0</v>
      </c>
      <c r="R5" s="196">
        <f>Lançamentos!D8</f>
        <v>0</v>
      </c>
      <c r="S5" s="196">
        <f t="shared" ref="S5:S6" si="0">IFERROR(R5*$N$5,0)</f>
        <v>0</v>
      </c>
      <c r="T5" s="196">
        <f>IFERROR(S5-R34-S34,0)</f>
        <v>0</v>
      </c>
    </row>
    <row r="6" spans="2:20" ht="35.1" customHeight="1">
      <c r="C6" s="237"/>
      <c r="D6" s="237"/>
      <c r="E6" s="237"/>
      <c r="F6" s="237"/>
      <c r="G6" s="237"/>
      <c r="I6" s="83">
        <f>H5</f>
        <v>11785.924999999999</v>
      </c>
      <c r="L6" s="83">
        <f>I6</f>
        <v>11785.924999999999</v>
      </c>
      <c r="N6" s="233"/>
      <c r="O6" s="235"/>
      <c r="P6" s="235"/>
      <c r="Q6" s="197">
        <f>IFERROR(Lançamentos!D9*N5,0)</f>
        <v>0</v>
      </c>
      <c r="R6" s="196">
        <f>Lançamentos!D9</f>
        <v>0</v>
      </c>
      <c r="S6" s="196">
        <f t="shared" si="0"/>
        <v>0</v>
      </c>
      <c r="T6" s="196">
        <f>IFERROR(S6-R41,0)</f>
        <v>0</v>
      </c>
    </row>
    <row r="7" spans="2:20" ht="15" customHeight="1" thickBot="1">
      <c r="C7" s="76"/>
      <c r="D7" s="77"/>
      <c r="E7" s="132"/>
      <c r="F7" s="76"/>
      <c r="G7" s="78"/>
    </row>
    <row r="8" spans="2:20" ht="21.95" customHeight="1">
      <c r="C8" s="231" t="s">
        <v>80</v>
      </c>
      <c r="D8" s="232"/>
      <c r="E8" s="232"/>
      <c r="F8" s="232"/>
      <c r="G8" s="232"/>
      <c r="H8" s="232"/>
      <c r="I8" s="232"/>
      <c r="J8" s="236"/>
    </row>
    <row r="9" spans="2:20" ht="21.95" customHeight="1">
      <c r="B9" s="108"/>
      <c r="C9" s="111" t="s">
        <v>81</v>
      </c>
      <c r="D9" s="112" t="str">
        <f>'BH (2)'!B5</f>
        <v>IRPJ</v>
      </c>
      <c r="E9" s="113" t="str">
        <f>'BH (2)'!D5</f>
        <v>CSLL</v>
      </c>
      <c r="F9" s="114" t="str">
        <f>'BH (2)'!F5</f>
        <v>Cofins</v>
      </c>
      <c r="G9" s="112" t="str">
        <f>'BH (2)'!H5</f>
        <v>PIS/Pasep</v>
      </c>
      <c r="H9" s="113" t="str">
        <f>'BH (2)'!J5</f>
        <v>CPP</v>
      </c>
      <c r="I9" s="115" t="str">
        <f>'BH (2)'!L23</f>
        <v>ISS</v>
      </c>
      <c r="J9" s="116" t="s">
        <v>88</v>
      </c>
      <c r="K9" s="109"/>
    </row>
    <row r="10" spans="2:20" ht="35.1" customHeight="1">
      <c r="B10" s="108"/>
      <c r="C10" s="110" t="s">
        <v>82</v>
      </c>
      <c r="D10" s="129">
        <f>'BH (2)'!C24</f>
        <v>0.24</v>
      </c>
      <c r="E10" s="129">
        <f>'BH (2)'!E24</f>
        <v>0.21000000000000002</v>
      </c>
      <c r="F10" s="129">
        <f>'BH (2)'!G24</f>
        <v>0.76920000000000011</v>
      </c>
      <c r="G10" s="129">
        <f>'BH (2)'!I24</f>
        <v>0.1668</v>
      </c>
      <c r="H10" s="129">
        <f>'BH (2)'!K24</f>
        <v>2.6040000000000001</v>
      </c>
      <c r="I10" s="130">
        <f>'BH (2)'!M24</f>
        <v>2.0100000000000002</v>
      </c>
      <c r="J10" s="151">
        <f>SUM(D10:I10)</f>
        <v>6</v>
      </c>
      <c r="K10" s="109"/>
    </row>
    <row r="11" spans="2:20" ht="35.1" customHeight="1">
      <c r="B11" s="108"/>
      <c r="C11" s="110" t="s">
        <v>83</v>
      </c>
      <c r="D11" s="129">
        <f>'BH (2)'!C25</f>
        <v>0.24</v>
      </c>
      <c r="E11" s="129">
        <f>'BH (2)'!E25</f>
        <v>0.21000000000000002</v>
      </c>
      <c r="F11" s="129">
        <f>'BH (2)'!G25</f>
        <v>0.84300000000000008</v>
      </c>
      <c r="G11" s="129">
        <f>'BH (2)'!I25</f>
        <v>0.183</v>
      </c>
      <c r="H11" s="129">
        <f>'BH (2)'!K25</f>
        <v>2.6040000000000001</v>
      </c>
      <c r="I11" s="130">
        <f>'BH (2)'!M25</f>
        <v>1.92</v>
      </c>
      <c r="J11" s="152">
        <f t="shared" ref="J11:J14" si="1">SUM(D11:I11)</f>
        <v>6</v>
      </c>
      <c r="K11" s="109"/>
    </row>
    <row r="12" spans="2:20" ht="35.1" customHeight="1">
      <c r="B12" s="108"/>
      <c r="C12" s="110" t="s">
        <v>84</v>
      </c>
      <c r="D12" s="129">
        <f>'BH (2)'!C26</f>
        <v>0.24</v>
      </c>
      <c r="E12" s="129">
        <f>'BH (2)'!E26</f>
        <v>0.21000000000000002</v>
      </c>
      <c r="F12" s="129">
        <f>'BH (2)'!G26</f>
        <v>0.81840000000000002</v>
      </c>
      <c r="G12" s="129">
        <f>'BH (2)'!I26</f>
        <v>0.17760000000000001</v>
      </c>
      <c r="H12" s="129">
        <f>'BH (2)'!K26</f>
        <v>2.6040000000000001</v>
      </c>
      <c r="I12" s="130">
        <f>'BH (2)'!M26</f>
        <v>1.9500000000000002</v>
      </c>
      <c r="J12" s="153">
        <f t="shared" si="1"/>
        <v>6</v>
      </c>
      <c r="K12" s="109"/>
    </row>
    <row r="13" spans="2:20" ht="35.1" customHeight="1">
      <c r="B13" s="108"/>
      <c r="C13" s="110" t="s">
        <v>85</v>
      </c>
      <c r="D13" s="129">
        <f>'BH (2)'!C27</f>
        <v>0.24</v>
      </c>
      <c r="E13" s="129">
        <f>'BH (2)'!E27</f>
        <v>0.21000000000000002</v>
      </c>
      <c r="F13" s="129">
        <f>'BH (2)'!G27</f>
        <v>0.81840000000000002</v>
      </c>
      <c r="G13" s="129">
        <f>'BH (2)'!I27</f>
        <v>0.17760000000000001</v>
      </c>
      <c r="H13" s="129">
        <f>'BH (2)'!K27</f>
        <v>2.6040000000000001</v>
      </c>
      <c r="I13" s="130">
        <f>'BH (2)'!M27</f>
        <v>1.9500000000000002</v>
      </c>
      <c r="J13" s="154">
        <f t="shared" si="1"/>
        <v>6</v>
      </c>
      <c r="K13" s="109"/>
    </row>
    <row r="14" spans="2:20" ht="35.1" customHeight="1">
      <c r="B14" s="108"/>
      <c r="C14" s="110" t="s">
        <v>86</v>
      </c>
      <c r="D14" s="129">
        <f>'BH (2)'!C28</f>
        <v>0.24</v>
      </c>
      <c r="E14" s="129">
        <f>'BH (2)'!E28</f>
        <v>0.21000000000000002</v>
      </c>
      <c r="F14" s="129">
        <f>'BH (2)'!G28</f>
        <v>0.76920000000000011</v>
      </c>
      <c r="G14" s="129">
        <f>'BH (2)'!I28</f>
        <v>0.1668</v>
      </c>
      <c r="H14" s="129">
        <f>'BH (2)'!K28</f>
        <v>2.6040000000000001</v>
      </c>
      <c r="I14" s="130">
        <f>'BH (2)'!M28</f>
        <v>2.0100000000000002</v>
      </c>
      <c r="J14" s="152">
        <f t="shared" si="1"/>
        <v>6</v>
      </c>
      <c r="K14" s="109"/>
    </row>
    <row r="15" spans="2:20" ht="35.1" customHeight="1">
      <c r="B15" s="108"/>
      <c r="C15" s="110" t="s">
        <v>87</v>
      </c>
      <c r="D15" s="129">
        <f>'BH (2)'!C29</f>
        <v>2.0999999999999996</v>
      </c>
      <c r="E15" s="129">
        <f>'BH (2)'!E29</f>
        <v>0.89999999999999991</v>
      </c>
      <c r="F15" s="129">
        <f>'BH (2)'!G29</f>
        <v>0.96179999999999999</v>
      </c>
      <c r="G15" s="129">
        <f>'BH (2)'!I29</f>
        <v>0.2082</v>
      </c>
      <c r="H15" s="129">
        <f>'BH (2)'!K29</f>
        <v>1.83</v>
      </c>
      <c r="I15" s="130">
        <f>'BH (2)'!M29</f>
        <v>0</v>
      </c>
      <c r="J15" s="155">
        <f>SUM(D15:I15)</f>
        <v>5.9999999999999991</v>
      </c>
      <c r="K15" s="109"/>
    </row>
    <row r="16" spans="2:20" ht="30" customHeight="1" thickBot="1">
      <c r="C16" s="132"/>
      <c r="D16" s="132"/>
      <c r="E16" s="132"/>
      <c r="F16" s="79"/>
      <c r="G16" s="77"/>
    </row>
    <row r="17" spans="2:17" ht="21.95" customHeight="1">
      <c r="C17" s="231" t="s">
        <v>89</v>
      </c>
      <c r="D17" s="232"/>
      <c r="E17" s="232"/>
      <c r="F17" s="232"/>
      <c r="G17" s="232"/>
      <c r="H17" s="232"/>
      <c r="I17" s="232"/>
      <c r="J17" s="232"/>
      <c r="K17" s="232"/>
      <c r="L17" s="232"/>
      <c r="M17" s="232"/>
      <c r="N17" s="232"/>
      <c r="O17" s="124"/>
    </row>
    <row r="18" spans="2:17" ht="21.95" customHeight="1">
      <c r="B18" s="108"/>
      <c r="C18" s="118" t="s">
        <v>69</v>
      </c>
      <c r="D18" s="113" t="str">
        <f>D9</f>
        <v>IRPJ</v>
      </c>
      <c r="E18" s="112" t="s">
        <v>69</v>
      </c>
      <c r="F18" s="113" t="str">
        <f>E9</f>
        <v>CSLL</v>
      </c>
      <c r="G18" s="112" t="s">
        <v>69</v>
      </c>
      <c r="H18" s="113" t="str">
        <f>F9</f>
        <v>Cofins</v>
      </c>
      <c r="I18" s="112" t="s">
        <v>69</v>
      </c>
      <c r="J18" s="113" t="str">
        <f>G9</f>
        <v>PIS/Pasep</v>
      </c>
      <c r="K18" s="112" t="s">
        <v>69</v>
      </c>
      <c r="L18" s="113" t="str">
        <f>H9</f>
        <v>CPP</v>
      </c>
      <c r="M18" s="112" t="s">
        <v>69</v>
      </c>
      <c r="N18" s="123" t="str">
        <f>I9</f>
        <v>ISS</v>
      </c>
      <c r="O18" s="109"/>
    </row>
    <row r="19" spans="2:17" ht="35.1" customHeight="1">
      <c r="B19" s="108"/>
      <c r="C19" s="119">
        <f>'BH (2)'!B24</f>
        <v>0.04</v>
      </c>
      <c r="D19" s="125">
        <f>IFERROR(D26+D33+D40,0)</f>
        <v>339.43464</v>
      </c>
      <c r="E19" s="117">
        <f>'BH (2)'!D24</f>
        <v>3.5000000000000003E-2</v>
      </c>
      <c r="F19" s="125">
        <f>IFERROR(F26+F33+F40,0)</f>
        <v>297.00531000000001</v>
      </c>
      <c r="G19" s="117">
        <f>'BH (2)'!F24</f>
        <v>0.12820000000000001</v>
      </c>
      <c r="H19" s="125">
        <f>IFERROR(H26+H33+H40,0)</f>
        <v>1087.8880212000001</v>
      </c>
      <c r="I19" s="117">
        <f>'BH (2)'!H24</f>
        <v>2.7799999999999998E-2</v>
      </c>
      <c r="J19" s="125">
        <f>IFERROR(J26+J33+J40,0)</f>
        <v>235.90707479999998</v>
      </c>
      <c r="K19" s="117">
        <f>'BH (2)'!J24</f>
        <v>0.434</v>
      </c>
      <c r="L19" s="125">
        <f>IFERROR(L26+L33+L40,0)</f>
        <v>3682.8658439999999</v>
      </c>
      <c r="M19" s="117">
        <f>'BH (2)'!L24</f>
        <v>0.33500000000000002</v>
      </c>
      <c r="N19" s="183">
        <f>IFERROR(N26+N33+N40-$R$41,0)</f>
        <v>2842.7651100000003</v>
      </c>
      <c r="O19" s="109"/>
    </row>
    <row r="20" spans="2:17" ht="35.1" customHeight="1">
      <c r="B20" s="108"/>
      <c r="C20" s="119">
        <f>'BH (2)'!B25</f>
        <v>0.04</v>
      </c>
      <c r="D20" s="126">
        <f t="shared" ref="D20:F24" si="2">IFERROR(D27+D34+D41,0)</f>
        <v>339.43464</v>
      </c>
      <c r="E20" s="117">
        <f>'BH (2)'!D25</f>
        <v>3.5000000000000003E-2</v>
      </c>
      <c r="F20" s="126">
        <f t="shared" si="2"/>
        <v>297.00531000000001</v>
      </c>
      <c r="G20" s="117">
        <f>'BH (2)'!F25</f>
        <v>0.14050000000000001</v>
      </c>
      <c r="H20" s="126">
        <f t="shared" ref="H20" si="3">IFERROR(H27+H34+H41,0)</f>
        <v>1192.264173</v>
      </c>
      <c r="I20" s="117">
        <f>'BH (2)'!H25</f>
        <v>3.0499999999999999E-2</v>
      </c>
      <c r="J20" s="126">
        <f t="shared" ref="J20" si="4">IFERROR(J27+J34+J41,0)</f>
        <v>258.81891300000001</v>
      </c>
      <c r="K20" s="117">
        <f>'BH (2)'!J25</f>
        <v>0.434</v>
      </c>
      <c r="L20" s="126">
        <f t="shared" ref="L20" si="5">IFERROR(L27+L34+L41,0)</f>
        <v>3682.8658439999999</v>
      </c>
      <c r="M20" s="117">
        <f>'BH (2)'!L25</f>
        <v>0.32</v>
      </c>
      <c r="N20" s="184">
        <f t="shared" ref="N20:N23" si="6">IFERROR(N27+N34+N41-$R$41,0)</f>
        <v>2715.47712</v>
      </c>
      <c r="O20" s="109"/>
    </row>
    <row r="21" spans="2:17" ht="35.1" customHeight="1">
      <c r="B21" s="108"/>
      <c r="C21" s="119">
        <f>'BH (2)'!B26</f>
        <v>0.04</v>
      </c>
      <c r="D21" s="126">
        <f t="shared" si="2"/>
        <v>339.43464</v>
      </c>
      <c r="E21" s="117">
        <f>'BH (2)'!D26</f>
        <v>3.5000000000000003E-2</v>
      </c>
      <c r="F21" s="126">
        <f t="shared" si="2"/>
        <v>297.00531000000001</v>
      </c>
      <c r="G21" s="117">
        <f>'BH (2)'!F26</f>
        <v>0.13639999999999999</v>
      </c>
      <c r="H21" s="126">
        <f t="shared" ref="H21" si="7">IFERROR(H28+H35+H42,0)</f>
        <v>1157.4721224</v>
      </c>
      <c r="I21" s="117">
        <f>'BH (2)'!H26</f>
        <v>2.9600000000000001E-2</v>
      </c>
      <c r="J21" s="126">
        <f t="shared" ref="J21" si="8">IFERROR(J28+J35+J42,0)</f>
        <v>251.1816336</v>
      </c>
      <c r="K21" s="117">
        <f>'BH (2)'!J26</f>
        <v>0.434</v>
      </c>
      <c r="L21" s="126">
        <f t="shared" ref="L21" si="9">IFERROR(L28+L35+L42,0)</f>
        <v>3682.8658439999999</v>
      </c>
      <c r="M21" s="117">
        <f>'BH (2)'!L26</f>
        <v>0.32500000000000001</v>
      </c>
      <c r="N21" s="184">
        <f t="shared" si="6"/>
        <v>2757.9064499999999</v>
      </c>
      <c r="O21" s="109"/>
    </row>
    <row r="22" spans="2:17" ht="35.1" customHeight="1">
      <c r="B22" s="108"/>
      <c r="C22" s="119">
        <f>'BH (2)'!B27</f>
        <v>0.04</v>
      </c>
      <c r="D22" s="126">
        <f t="shared" si="2"/>
        <v>339.43464</v>
      </c>
      <c r="E22" s="117">
        <f>'BH (2)'!D27</f>
        <v>3.5000000000000003E-2</v>
      </c>
      <c r="F22" s="126">
        <f t="shared" si="2"/>
        <v>297.00531000000001</v>
      </c>
      <c r="G22" s="117">
        <f>'BH (2)'!F27</f>
        <v>0.13639999999999999</v>
      </c>
      <c r="H22" s="126">
        <f t="shared" ref="H22" si="10">IFERROR(H29+H36+H43,0)</f>
        <v>1157.4721224</v>
      </c>
      <c r="I22" s="117">
        <f>'BH (2)'!H27</f>
        <v>2.9600000000000001E-2</v>
      </c>
      <c r="J22" s="126">
        <f t="shared" ref="J22" si="11">IFERROR(J29+J36+J43,0)</f>
        <v>251.1816336</v>
      </c>
      <c r="K22" s="117">
        <f>'BH (2)'!J27</f>
        <v>0.434</v>
      </c>
      <c r="L22" s="126">
        <f t="shared" ref="L22" si="12">IFERROR(L29+L36+L43,0)</f>
        <v>3682.8658439999999</v>
      </c>
      <c r="M22" s="117">
        <f>'BH (2)'!L27</f>
        <v>0.32500000000000001</v>
      </c>
      <c r="N22" s="184">
        <f t="shared" si="6"/>
        <v>2757.9064499999999</v>
      </c>
      <c r="O22" s="109"/>
    </row>
    <row r="23" spans="2:17" ht="35.1" customHeight="1">
      <c r="B23" s="108"/>
      <c r="C23" s="119">
        <f>'BH (2)'!B28</f>
        <v>0.04</v>
      </c>
      <c r="D23" s="126">
        <f t="shared" si="2"/>
        <v>339.43464</v>
      </c>
      <c r="E23" s="117">
        <f>'BH (2)'!D28</f>
        <v>3.5000000000000003E-2</v>
      </c>
      <c r="F23" s="126">
        <f t="shared" si="2"/>
        <v>297.00531000000001</v>
      </c>
      <c r="G23" s="117">
        <f>'BH (2)'!F28</f>
        <v>0.12820000000000001</v>
      </c>
      <c r="H23" s="126">
        <f t="shared" ref="H23" si="13">IFERROR(H30+H37+H44,0)</f>
        <v>1087.8880212000001</v>
      </c>
      <c r="I23" s="117">
        <f>'BH (2)'!H28</f>
        <v>2.7799999999999998E-2</v>
      </c>
      <c r="J23" s="126">
        <f t="shared" ref="J23" si="14">IFERROR(J30+J37+J44,0)</f>
        <v>235.90707479999998</v>
      </c>
      <c r="K23" s="117">
        <f>'BH (2)'!J28</f>
        <v>0.434</v>
      </c>
      <c r="L23" s="126">
        <f t="shared" ref="L23" si="15">IFERROR(L30+L37+L44,0)</f>
        <v>3682.8658439999999</v>
      </c>
      <c r="M23" s="117">
        <f>'BH (2)'!L28</f>
        <v>0.33500000000000002</v>
      </c>
      <c r="N23" s="184">
        <f t="shared" si="6"/>
        <v>2842.7651100000003</v>
      </c>
      <c r="O23" s="109"/>
    </row>
    <row r="24" spans="2:17" ht="35.1" customHeight="1">
      <c r="B24" s="108"/>
      <c r="C24" s="119">
        <f>'BH (2)'!B29</f>
        <v>0.35</v>
      </c>
      <c r="D24" s="121">
        <f t="shared" si="2"/>
        <v>2970.0530999999996</v>
      </c>
      <c r="E24" s="117">
        <f>'BH (2)'!D29</f>
        <v>0.15</v>
      </c>
      <c r="F24" s="121">
        <f t="shared" si="2"/>
        <v>1272.8798999999999</v>
      </c>
      <c r="G24" s="117">
        <f>'BH (2)'!F29</f>
        <v>0.1603</v>
      </c>
      <c r="H24" s="121">
        <f t="shared" ref="H24" si="16">IFERROR(H31+H38+H45,0)</f>
        <v>1360.2843198</v>
      </c>
      <c r="I24" s="117">
        <f>'BH (2)'!H29</f>
        <v>3.4700000000000002E-2</v>
      </c>
      <c r="J24" s="121">
        <f t="shared" ref="J24" si="17">IFERROR(J31+J38+J45,0)</f>
        <v>294.45955020000002</v>
      </c>
      <c r="K24" s="117">
        <f>'BH (2)'!J29</f>
        <v>0.30499999999999999</v>
      </c>
      <c r="L24" s="121">
        <f t="shared" ref="L24" si="18">IFERROR(L31+L38+L45,0)</f>
        <v>2588.1891299999997</v>
      </c>
      <c r="M24" s="117" t="s">
        <v>49</v>
      </c>
      <c r="N24" s="122">
        <f>Lançamentos!H5</f>
        <v>0</v>
      </c>
      <c r="O24" s="150" t="s">
        <v>101</v>
      </c>
    </row>
    <row r="26" spans="2:17" ht="35.1" hidden="1" customHeight="1">
      <c r="C26" s="119">
        <f>C19</f>
        <v>0.04</v>
      </c>
      <c r="D26" s="125">
        <f>IFERROR($Q$4*C26,0)</f>
        <v>339.43464</v>
      </c>
      <c r="E26" s="119">
        <f t="shared" ref="E26" si="19">E19</f>
        <v>3.5000000000000003E-2</v>
      </c>
      <c r="F26" s="125">
        <f>IFERROR($Q$4*E26,0)</f>
        <v>297.00531000000001</v>
      </c>
      <c r="G26" s="119">
        <f t="shared" ref="G26" si="20">G19</f>
        <v>0.12820000000000001</v>
      </c>
      <c r="H26" s="125">
        <f>IFERROR($Q$4*G26,0)</f>
        <v>1087.8880212000001</v>
      </c>
      <c r="I26" s="119">
        <f t="shared" ref="I26" si="21">I19</f>
        <v>2.7799999999999998E-2</v>
      </c>
      <c r="J26" s="125">
        <f>IFERROR($Q$4*I26,0)</f>
        <v>235.90707479999998</v>
      </c>
      <c r="K26" s="119">
        <f t="shared" ref="K26" si="22">K19</f>
        <v>0.434</v>
      </c>
      <c r="L26" s="125">
        <f>IFERROR($Q$4*K26,0)</f>
        <v>3682.8658439999999</v>
      </c>
      <c r="M26" s="119">
        <f t="shared" ref="M26" si="23">M19</f>
        <v>0.33500000000000002</v>
      </c>
      <c r="N26" s="125">
        <f>IFERROR($Q$4*M26,0)</f>
        <v>2842.7651100000003</v>
      </c>
      <c r="O26" s="193"/>
      <c r="Q26" s="240" t="s">
        <v>122</v>
      </c>
    </row>
    <row r="27" spans="2:17" ht="35.1" hidden="1" customHeight="1">
      <c r="C27" s="119">
        <f t="shared" ref="C27:M31" si="24">C20</f>
        <v>0.04</v>
      </c>
      <c r="D27" s="125">
        <f t="shared" ref="D27:F31" si="25">IFERROR($Q$4*C27,0)</f>
        <v>339.43464</v>
      </c>
      <c r="E27" s="119">
        <f t="shared" si="24"/>
        <v>3.5000000000000003E-2</v>
      </c>
      <c r="F27" s="125">
        <f t="shared" si="25"/>
        <v>297.00531000000001</v>
      </c>
      <c r="G27" s="119">
        <f t="shared" si="24"/>
        <v>0.14050000000000001</v>
      </c>
      <c r="H27" s="125">
        <f t="shared" ref="H27" si="26">IFERROR($Q$4*G27,0)</f>
        <v>1192.264173</v>
      </c>
      <c r="I27" s="119">
        <f t="shared" si="24"/>
        <v>3.0499999999999999E-2</v>
      </c>
      <c r="J27" s="125">
        <f t="shared" ref="J27" si="27">IFERROR($Q$4*I27,0)</f>
        <v>258.81891300000001</v>
      </c>
      <c r="K27" s="119">
        <f t="shared" si="24"/>
        <v>0.434</v>
      </c>
      <c r="L27" s="125">
        <f t="shared" ref="L27" si="28">IFERROR($Q$4*K27,0)</f>
        <v>3682.8658439999999</v>
      </c>
      <c r="M27" s="119">
        <f t="shared" si="24"/>
        <v>0.32</v>
      </c>
      <c r="N27" s="125">
        <f t="shared" ref="N27" si="29">IFERROR($Q$4*M27,0)</f>
        <v>2715.47712</v>
      </c>
      <c r="O27" s="193"/>
      <c r="Q27" s="240"/>
    </row>
    <row r="28" spans="2:17" ht="35.1" hidden="1" customHeight="1">
      <c r="C28" s="119">
        <f t="shared" si="24"/>
        <v>0.04</v>
      </c>
      <c r="D28" s="125">
        <f t="shared" si="25"/>
        <v>339.43464</v>
      </c>
      <c r="E28" s="119">
        <f t="shared" si="24"/>
        <v>3.5000000000000003E-2</v>
      </c>
      <c r="F28" s="125">
        <f t="shared" si="25"/>
        <v>297.00531000000001</v>
      </c>
      <c r="G28" s="119">
        <f t="shared" si="24"/>
        <v>0.13639999999999999</v>
      </c>
      <c r="H28" s="125">
        <f t="shared" ref="H28" si="30">IFERROR($Q$4*G28,0)</f>
        <v>1157.4721224</v>
      </c>
      <c r="I28" s="119">
        <f t="shared" si="24"/>
        <v>2.9600000000000001E-2</v>
      </c>
      <c r="J28" s="125">
        <f t="shared" ref="J28" si="31">IFERROR($Q$4*I28,0)</f>
        <v>251.1816336</v>
      </c>
      <c r="K28" s="119">
        <f t="shared" si="24"/>
        <v>0.434</v>
      </c>
      <c r="L28" s="125">
        <f t="shared" ref="L28" si="32">IFERROR($Q$4*K28,0)</f>
        <v>3682.8658439999999</v>
      </c>
      <c r="M28" s="119">
        <f t="shared" si="24"/>
        <v>0.32500000000000001</v>
      </c>
      <c r="N28" s="125">
        <f t="shared" ref="N28" si="33">IFERROR($Q$4*M28,0)</f>
        <v>2757.9064499999999</v>
      </c>
      <c r="O28" s="193"/>
      <c r="Q28" s="240"/>
    </row>
    <row r="29" spans="2:17" ht="35.1" hidden="1" customHeight="1">
      <c r="C29" s="119">
        <f t="shared" si="24"/>
        <v>0.04</v>
      </c>
      <c r="D29" s="125">
        <f t="shared" si="25"/>
        <v>339.43464</v>
      </c>
      <c r="E29" s="119">
        <f t="shared" si="24"/>
        <v>3.5000000000000003E-2</v>
      </c>
      <c r="F29" s="125">
        <f t="shared" si="25"/>
        <v>297.00531000000001</v>
      </c>
      <c r="G29" s="119">
        <f t="shared" si="24"/>
        <v>0.13639999999999999</v>
      </c>
      <c r="H29" s="125">
        <f t="shared" ref="H29" si="34">IFERROR($Q$4*G29,0)</f>
        <v>1157.4721224</v>
      </c>
      <c r="I29" s="119">
        <f t="shared" si="24"/>
        <v>2.9600000000000001E-2</v>
      </c>
      <c r="J29" s="125">
        <f t="shared" ref="J29" si="35">IFERROR($Q$4*I29,0)</f>
        <v>251.1816336</v>
      </c>
      <c r="K29" s="119">
        <f t="shared" si="24"/>
        <v>0.434</v>
      </c>
      <c r="L29" s="125">
        <f t="shared" ref="L29" si="36">IFERROR($Q$4*K29,0)</f>
        <v>3682.8658439999999</v>
      </c>
      <c r="M29" s="119">
        <f t="shared" si="24"/>
        <v>0.32500000000000001</v>
      </c>
      <c r="N29" s="125">
        <f t="shared" ref="N29" si="37">IFERROR($Q$4*M29,0)</f>
        <v>2757.9064499999999</v>
      </c>
      <c r="O29" s="193"/>
      <c r="Q29" s="240"/>
    </row>
    <row r="30" spans="2:17" ht="35.1" hidden="1" customHeight="1">
      <c r="C30" s="119">
        <f t="shared" si="24"/>
        <v>0.04</v>
      </c>
      <c r="D30" s="125">
        <f t="shared" si="25"/>
        <v>339.43464</v>
      </c>
      <c r="E30" s="119">
        <f t="shared" si="24"/>
        <v>3.5000000000000003E-2</v>
      </c>
      <c r="F30" s="125">
        <f t="shared" si="25"/>
        <v>297.00531000000001</v>
      </c>
      <c r="G30" s="119">
        <f t="shared" si="24"/>
        <v>0.12820000000000001</v>
      </c>
      <c r="H30" s="125">
        <f t="shared" ref="H30" si="38">IFERROR($Q$4*G30,0)</f>
        <v>1087.8880212000001</v>
      </c>
      <c r="I30" s="119">
        <f t="shared" si="24"/>
        <v>2.7799999999999998E-2</v>
      </c>
      <c r="J30" s="125">
        <f t="shared" ref="J30" si="39">IFERROR($Q$4*I30,0)</f>
        <v>235.90707479999998</v>
      </c>
      <c r="K30" s="119">
        <f t="shared" si="24"/>
        <v>0.434</v>
      </c>
      <c r="L30" s="125">
        <f t="shared" ref="L30" si="40">IFERROR($Q$4*K30,0)</f>
        <v>3682.8658439999999</v>
      </c>
      <c r="M30" s="119">
        <f t="shared" si="24"/>
        <v>0.33500000000000002</v>
      </c>
      <c r="N30" s="125">
        <f t="shared" ref="N30" si="41">IFERROR($Q$4*M30,0)</f>
        <v>2842.7651100000003</v>
      </c>
      <c r="O30" s="193"/>
      <c r="Q30" s="240"/>
    </row>
    <row r="31" spans="2:17" ht="35.1" hidden="1" customHeight="1">
      <c r="C31" s="119">
        <f t="shared" si="24"/>
        <v>0.35</v>
      </c>
      <c r="D31" s="125">
        <f t="shared" si="25"/>
        <v>2970.0530999999996</v>
      </c>
      <c r="E31" s="119">
        <f t="shared" si="24"/>
        <v>0.15</v>
      </c>
      <c r="F31" s="125">
        <f t="shared" si="25"/>
        <v>1272.8798999999999</v>
      </c>
      <c r="G31" s="119">
        <f t="shared" si="24"/>
        <v>0.1603</v>
      </c>
      <c r="H31" s="125">
        <f t="shared" ref="H31" si="42">IFERROR($Q$4*G31,0)</f>
        <v>1360.2843198</v>
      </c>
      <c r="I31" s="119">
        <f t="shared" si="24"/>
        <v>3.4700000000000002E-2</v>
      </c>
      <c r="J31" s="125">
        <f t="shared" ref="J31" si="43">IFERROR($Q$4*I31,0)</f>
        <v>294.45955020000002</v>
      </c>
      <c r="K31" s="119">
        <f t="shared" si="24"/>
        <v>0.30499999999999999</v>
      </c>
      <c r="L31" s="125">
        <f t="shared" ref="L31" si="44">IFERROR($Q$4*K31,0)</f>
        <v>2588.1891299999997</v>
      </c>
      <c r="M31" s="119" t="str">
        <f t="shared" si="24"/>
        <v>-</v>
      </c>
      <c r="N31" s="125">
        <f>IFERROR($Q$4*M31,0)</f>
        <v>0</v>
      </c>
      <c r="O31" s="193"/>
      <c r="Q31" s="240"/>
    </row>
    <row r="32" spans="2:17" ht="35.1" hidden="1" customHeight="1"/>
    <row r="33" spans="3:19" ht="35.1" hidden="1" customHeight="1">
      <c r="C33" s="119">
        <f>C26</f>
        <v>0.04</v>
      </c>
      <c r="D33" s="125">
        <f>IFERROR($Q$5*C33,0)</f>
        <v>0</v>
      </c>
      <c r="E33" s="119">
        <f t="shared" ref="E33" si="45">E26</f>
        <v>3.5000000000000003E-2</v>
      </c>
      <c r="F33" s="125">
        <f>IFERROR($Q$5*E33,0)</f>
        <v>0</v>
      </c>
      <c r="G33" s="119">
        <v>0</v>
      </c>
      <c r="H33" s="125">
        <f>IFERROR($Q$5*G33,0)</f>
        <v>0</v>
      </c>
      <c r="I33" s="119">
        <v>0</v>
      </c>
      <c r="J33" s="125">
        <f>IFERROR($Q$5*I33,0)</f>
        <v>0</v>
      </c>
      <c r="K33" s="119">
        <f t="shared" ref="K33" si="46">K26</f>
        <v>0.434</v>
      </c>
      <c r="L33" s="125">
        <f>IFERROR($Q$5*K33,0)</f>
        <v>0</v>
      </c>
      <c r="M33" s="119">
        <f t="shared" ref="M33" si="47">M26</f>
        <v>0.33500000000000002</v>
      </c>
      <c r="N33" s="125">
        <f>IFERROR($Q$5*M33,0)</f>
        <v>0</v>
      </c>
      <c r="Q33" s="240" t="s">
        <v>123</v>
      </c>
      <c r="R33" s="195">
        <f>IF($I$5=Tabela03!$F$5,Tabela03!L5,IF($I$5=Tabela03!$F$6,Tabela03!L6,IF($I$5=Tabela03!$F$7,Tabela03!L7,IF($I$5=Tabela03!$F$8,Tabela03!L8,IF($I$5=Tabela03!$F$9,Tabela03!L9,IF($I$5=Tabela03!$F$10,Tabela03!L10))))))</f>
        <v>0.12820000000000001</v>
      </c>
      <c r="S33" s="195">
        <f>IF($I$5=Tabela03!$F$5,Tabela03!M5,IF($I$5=Tabela03!$F$6,Tabela03!M6,IF($I$5=Tabela03!$F$7,Tabela03!M7,IF($I$5=Tabela03!$F$8,Tabela03!M8,IF($I$5=Tabela03!$F$9,Tabela03!M9,IF($I$5=Tabela03!$F$10,Tabela03!M10))))))</f>
        <v>2.7799999999999998E-2</v>
      </c>
    </row>
    <row r="34" spans="3:19" ht="35.1" hidden="1" customHeight="1">
      <c r="C34" s="119">
        <f t="shared" ref="C34:M38" si="48">C27</f>
        <v>0.04</v>
      </c>
      <c r="D34" s="125">
        <f t="shared" ref="D34:F38" si="49">IFERROR($Q$5*C34,0)</f>
        <v>0</v>
      </c>
      <c r="E34" s="119">
        <f t="shared" si="48"/>
        <v>3.5000000000000003E-2</v>
      </c>
      <c r="F34" s="125">
        <f t="shared" si="49"/>
        <v>0</v>
      </c>
      <c r="G34" s="119">
        <v>0</v>
      </c>
      <c r="H34" s="125">
        <f t="shared" ref="H34:H38" si="50">IFERROR($Q$5*G34,0)</f>
        <v>0</v>
      </c>
      <c r="I34" s="119">
        <v>0</v>
      </c>
      <c r="J34" s="125">
        <f t="shared" ref="J34" si="51">IFERROR($Q$5*I34,0)</f>
        <v>0</v>
      </c>
      <c r="K34" s="119">
        <f t="shared" si="48"/>
        <v>0.434</v>
      </c>
      <c r="L34" s="125">
        <f t="shared" ref="L34" si="52">IFERROR($Q$5*K34,0)</f>
        <v>0</v>
      </c>
      <c r="M34" s="119">
        <f t="shared" si="48"/>
        <v>0.32</v>
      </c>
      <c r="N34" s="125">
        <f t="shared" ref="N34" si="53">IFERROR($Q$5*M34,0)</f>
        <v>0</v>
      </c>
      <c r="Q34" s="240"/>
      <c r="R34" s="196">
        <f>IFERROR($S$5*R33,0)</f>
        <v>0</v>
      </c>
      <c r="S34" s="196">
        <f>IFERROR($S$5*S33,0)</f>
        <v>0</v>
      </c>
    </row>
    <row r="35" spans="3:19" ht="35.1" hidden="1" customHeight="1">
      <c r="C35" s="119">
        <f t="shared" si="48"/>
        <v>0.04</v>
      </c>
      <c r="D35" s="125">
        <f t="shared" si="49"/>
        <v>0</v>
      </c>
      <c r="E35" s="119">
        <f t="shared" si="48"/>
        <v>3.5000000000000003E-2</v>
      </c>
      <c r="F35" s="125">
        <f t="shared" si="49"/>
        <v>0</v>
      </c>
      <c r="G35" s="119">
        <v>0</v>
      </c>
      <c r="H35" s="125">
        <f t="shared" si="50"/>
        <v>0</v>
      </c>
      <c r="I35" s="119">
        <v>0</v>
      </c>
      <c r="J35" s="125">
        <f t="shared" ref="J35" si="54">IFERROR($Q$5*I35,0)</f>
        <v>0</v>
      </c>
      <c r="K35" s="119">
        <f t="shared" si="48"/>
        <v>0.434</v>
      </c>
      <c r="L35" s="125">
        <f t="shared" ref="L35" si="55">IFERROR($Q$5*K35,0)</f>
        <v>0</v>
      </c>
      <c r="M35" s="119">
        <f t="shared" si="48"/>
        <v>0.32500000000000001</v>
      </c>
      <c r="N35" s="125">
        <f t="shared" ref="N35" si="56">IFERROR($Q$5*M35,0)</f>
        <v>0</v>
      </c>
      <c r="Q35" s="240"/>
    </row>
    <row r="36" spans="3:19" ht="35.1" hidden="1" customHeight="1">
      <c r="C36" s="119">
        <f t="shared" si="48"/>
        <v>0.04</v>
      </c>
      <c r="D36" s="125">
        <f t="shared" si="49"/>
        <v>0</v>
      </c>
      <c r="E36" s="119">
        <f t="shared" si="48"/>
        <v>3.5000000000000003E-2</v>
      </c>
      <c r="F36" s="125">
        <f t="shared" si="49"/>
        <v>0</v>
      </c>
      <c r="G36" s="119">
        <v>0</v>
      </c>
      <c r="H36" s="125">
        <f t="shared" si="50"/>
        <v>0</v>
      </c>
      <c r="I36" s="119">
        <v>0</v>
      </c>
      <c r="J36" s="125">
        <f t="shared" ref="J36" si="57">IFERROR($Q$5*I36,0)</f>
        <v>0</v>
      </c>
      <c r="K36" s="119">
        <f t="shared" si="48"/>
        <v>0.434</v>
      </c>
      <c r="L36" s="125">
        <f t="shared" ref="L36" si="58">IFERROR($Q$5*K36,0)</f>
        <v>0</v>
      </c>
      <c r="M36" s="119">
        <f t="shared" si="48"/>
        <v>0.32500000000000001</v>
      </c>
      <c r="N36" s="125">
        <f t="shared" ref="N36" si="59">IFERROR($Q$5*M36,0)</f>
        <v>0</v>
      </c>
      <c r="Q36" s="240"/>
    </row>
    <row r="37" spans="3:19" ht="35.1" hidden="1" customHeight="1">
      <c r="C37" s="119">
        <f t="shared" si="48"/>
        <v>0.04</v>
      </c>
      <c r="D37" s="125">
        <f t="shared" si="49"/>
        <v>0</v>
      </c>
      <c r="E37" s="119">
        <f t="shared" si="48"/>
        <v>3.5000000000000003E-2</v>
      </c>
      <c r="F37" s="125">
        <f t="shared" si="49"/>
        <v>0</v>
      </c>
      <c r="G37" s="119">
        <v>0</v>
      </c>
      <c r="H37" s="125">
        <f t="shared" si="50"/>
        <v>0</v>
      </c>
      <c r="I37" s="119">
        <v>0</v>
      </c>
      <c r="J37" s="125">
        <f t="shared" ref="J37" si="60">IFERROR($Q$5*I37,0)</f>
        <v>0</v>
      </c>
      <c r="K37" s="119">
        <f t="shared" si="48"/>
        <v>0.434</v>
      </c>
      <c r="L37" s="125">
        <f t="shared" ref="L37" si="61">IFERROR($Q$5*K37,0)</f>
        <v>0</v>
      </c>
      <c r="M37" s="119">
        <f t="shared" si="48"/>
        <v>0.33500000000000002</v>
      </c>
      <c r="N37" s="125">
        <f t="shared" ref="N37" si="62">IFERROR($Q$5*M37,0)</f>
        <v>0</v>
      </c>
      <c r="Q37" s="240"/>
    </row>
    <row r="38" spans="3:19" ht="35.1" hidden="1" customHeight="1">
      <c r="C38" s="119">
        <f t="shared" si="48"/>
        <v>0.35</v>
      </c>
      <c r="D38" s="125">
        <f t="shared" si="49"/>
        <v>0</v>
      </c>
      <c r="E38" s="119">
        <f t="shared" si="48"/>
        <v>0.15</v>
      </c>
      <c r="F38" s="125">
        <f t="shared" si="49"/>
        <v>0</v>
      </c>
      <c r="G38" s="119">
        <v>0</v>
      </c>
      <c r="H38" s="125">
        <f t="shared" si="50"/>
        <v>0</v>
      </c>
      <c r="I38" s="119">
        <v>0</v>
      </c>
      <c r="J38" s="125">
        <f t="shared" ref="J38" si="63">IFERROR($Q$5*I38,0)</f>
        <v>0</v>
      </c>
      <c r="K38" s="119">
        <f t="shared" si="48"/>
        <v>0.30499999999999999</v>
      </c>
      <c r="L38" s="125">
        <f t="shared" ref="L38" si="64">IFERROR($Q$5*K38,0)</f>
        <v>0</v>
      </c>
      <c r="M38" s="119" t="str">
        <f t="shared" si="48"/>
        <v>-</v>
      </c>
      <c r="N38" s="125">
        <f>IFERROR($Q$5*M38,0)</f>
        <v>0</v>
      </c>
      <c r="Q38" s="240"/>
    </row>
    <row r="39" spans="3:19" ht="35.1" hidden="1" customHeight="1">
      <c r="G39" s="194"/>
      <c r="H39" s="194"/>
      <c r="I39" s="194"/>
    </row>
    <row r="40" spans="3:19" ht="35.1" hidden="1" customHeight="1">
      <c r="C40" s="119">
        <f>C33</f>
        <v>0.04</v>
      </c>
      <c r="D40" s="125">
        <f>IFERROR($Q$6*C40,0)</f>
        <v>0</v>
      </c>
      <c r="E40" s="119">
        <f t="shared" ref="E40" si="65">E33</f>
        <v>3.5000000000000003E-2</v>
      </c>
      <c r="F40" s="125">
        <f>IFERROR($Q$6*E40,0)</f>
        <v>0</v>
      </c>
      <c r="G40" s="119">
        <f>G26</f>
        <v>0.12820000000000001</v>
      </c>
      <c r="H40" s="125">
        <f>IFERROR($Q$6*G40,0)</f>
        <v>0</v>
      </c>
      <c r="I40" s="119">
        <f>I26</f>
        <v>2.7799999999999998E-2</v>
      </c>
      <c r="J40" s="125">
        <f>IFERROR($Q$6*I40,0)</f>
        <v>0</v>
      </c>
      <c r="K40" s="119">
        <f t="shared" ref="K40" si="66">K33</f>
        <v>0.434</v>
      </c>
      <c r="L40" s="125">
        <f>IFERROR($Q$6*K40,0)</f>
        <v>0</v>
      </c>
      <c r="M40" s="119">
        <f t="shared" ref="M40" si="67">M33</f>
        <v>0.33500000000000002</v>
      </c>
      <c r="N40" s="125">
        <f>IFERROR($Q$6*M40,0)</f>
        <v>0</v>
      </c>
      <c r="O40" s="193"/>
      <c r="P40" s="193"/>
      <c r="Q40" s="240" t="s">
        <v>124</v>
      </c>
      <c r="R40" s="195">
        <f>IF($I$5=Tabela03!$F$5,Tabela03!O5,IF($I$5=Tabela03!$F$6,Tabela03!O6,IF($I$5=Tabela03!$F$7,Tabela03!O7,IF($I$5=Tabela03!$F$8,Tabela03!O8,IF($I$5=Tabela03!$F$9,Tabela03!O9,IF($I$5=Tabela03!$F$10,Tabela03!O10))))))</f>
        <v>0.33500000000000002</v>
      </c>
    </row>
    <row r="41" spans="3:19" ht="35.1" hidden="1" customHeight="1">
      <c r="C41" s="119">
        <f t="shared" ref="C41" si="68">C34</f>
        <v>0.04</v>
      </c>
      <c r="D41" s="125">
        <f t="shared" ref="D41:F45" si="69">IFERROR($Q$6*C41,0)</f>
        <v>0</v>
      </c>
      <c r="E41" s="119">
        <f t="shared" ref="E41" si="70">E34</f>
        <v>3.5000000000000003E-2</v>
      </c>
      <c r="F41" s="125">
        <f t="shared" si="69"/>
        <v>0</v>
      </c>
      <c r="G41" s="119">
        <f t="shared" ref="G41:G45" si="71">G27</f>
        <v>0.14050000000000001</v>
      </c>
      <c r="H41" s="125">
        <f t="shared" ref="H41:H45" si="72">IFERROR($Q$6*G41,0)</f>
        <v>0</v>
      </c>
      <c r="I41" s="119">
        <f t="shared" ref="I41:I45" si="73">I27</f>
        <v>3.0499999999999999E-2</v>
      </c>
      <c r="J41" s="125">
        <f t="shared" ref="J41" si="74">IFERROR($Q$6*I41,0)</f>
        <v>0</v>
      </c>
      <c r="K41" s="119">
        <f t="shared" ref="K41" si="75">K34</f>
        <v>0.434</v>
      </c>
      <c r="L41" s="125">
        <f t="shared" ref="L41" si="76">IFERROR($Q$6*K41,0)</f>
        <v>0</v>
      </c>
      <c r="M41" s="119">
        <f t="shared" ref="M41" si="77">M34</f>
        <v>0.32</v>
      </c>
      <c r="N41" s="125">
        <f t="shared" ref="N41" si="78">IFERROR($Q$6*M41,0)</f>
        <v>0</v>
      </c>
      <c r="O41" s="193"/>
      <c r="P41" s="193"/>
      <c r="Q41" s="240"/>
      <c r="R41" s="196">
        <f>IFERROR($S$6*R40,0)</f>
        <v>0</v>
      </c>
    </row>
    <row r="42" spans="3:19" ht="35.1" hidden="1" customHeight="1">
      <c r="C42" s="119">
        <f t="shared" ref="C42" si="79">C35</f>
        <v>0.04</v>
      </c>
      <c r="D42" s="125">
        <f t="shared" si="69"/>
        <v>0</v>
      </c>
      <c r="E42" s="119">
        <f t="shared" ref="E42" si="80">E35</f>
        <v>3.5000000000000003E-2</v>
      </c>
      <c r="F42" s="125">
        <f t="shared" si="69"/>
        <v>0</v>
      </c>
      <c r="G42" s="119">
        <f t="shared" si="71"/>
        <v>0.13639999999999999</v>
      </c>
      <c r="H42" s="125">
        <f t="shared" si="72"/>
        <v>0</v>
      </c>
      <c r="I42" s="119">
        <f t="shared" si="73"/>
        <v>2.9600000000000001E-2</v>
      </c>
      <c r="J42" s="125">
        <f t="shared" ref="J42" si="81">IFERROR($Q$6*I42,0)</f>
        <v>0</v>
      </c>
      <c r="K42" s="119">
        <f t="shared" ref="K42" si="82">K35</f>
        <v>0.434</v>
      </c>
      <c r="L42" s="125">
        <f t="shared" ref="L42" si="83">IFERROR($Q$6*K42,0)</f>
        <v>0</v>
      </c>
      <c r="M42" s="119">
        <f t="shared" ref="M42" si="84">M35</f>
        <v>0.32500000000000001</v>
      </c>
      <c r="N42" s="125">
        <f t="shared" ref="N42" si="85">IFERROR($Q$6*M42,0)</f>
        <v>0</v>
      </c>
      <c r="O42" s="193"/>
      <c r="P42" s="193"/>
      <c r="Q42" s="240"/>
    </row>
    <row r="43" spans="3:19" ht="35.1" hidden="1" customHeight="1">
      <c r="C43" s="119">
        <f t="shared" ref="C43" si="86">C36</f>
        <v>0.04</v>
      </c>
      <c r="D43" s="125">
        <f t="shared" si="69"/>
        <v>0</v>
      </c>
      <c r="E43" s="119">
        <f t="shared" ref="E43" si="87">E36</f>
        <v>3.5000000000000003E-2</v>
      </c>
      <c r="F43" s="125">
        <f t="shared" si="69"/>
        <v>0</v>
      </c>
      <c r="G43" s="119">
        <f t="shared" si="71"/>
        <v>0.13639999999999999</v>
      </c>
      <c r="H43" s="125">
        <f t="shared" si="72"/>
        <v>0</v>
      </c>
      <c r="I43" s="119">
        <f t="shared" si="73"/>
        <v>2.9600000000000001E-2</v>
      </c>
      <c r="J43" s="125">
        <f t="shared" ref="J43" si="88">IFERROR($Q$6*I43,0)</f>
        <v>0</v>
      </c>
      <c r="K43" s="119">
        <f t="shared" ref="K43" si="89">K36</f>
        <v>0.434</v>
      </c>
      <c r="L43" s="125">
        <f t="shared" ref="L43" si="90">IFERROR($Q$6*K43,0)</f>
        <v>0</v>
      </c>
      <c r="M43" s="119">
        <f t="shared" ref="M43" si="91">M36</f>
        <v>0.32500000000000001</v>
      </c>
      <c r="N43" s="125">
        <f t="shared" ref="N43" si="92">IFERROR($Q$6*M43,0)</f>
        <v>0</v>
      </c>
      <c r="O43" s="193"/>
      <c r="P43" s="193"/>
      <c r="Q43" s="240"/>
    </row>
    <row r="44" spans="3:19" ht="35.1" hidden="1" customHeight="1">
      <c r="C44" s="119">
        <f t="shared" ref="C44" si="93">C37</f>
        <v>0.04</v>
      </c>
      <c r="D44" s="125">
        <f t="shared" si="69"/>
        <v>0</v>
      </c>
      <c r="E44" s="119">
        <f t="shared" ref="E44" si="94">E37</f>
        <v>3.5000000000000003E-2</v>
      </c>
      <c r="F44" s="125">
        <f t="shared" si="69"/>
        <v>0</v>
      </c>
      <c r="G44" s="119">
        <f t="shared" si="71"/>
        <v>0.12820000000000001</v>
      </c>
      <c r="H44" s="125">
        <f t="shared" si="72"/>
        <v>0</v>
      </c>
      <c r="I44" s="119">
        <f t="shared" si="73"/>
        <v>2.7799999999999998E-2</v>
      </c>
      <c r="J44" s="125">
        <f t="shared" ref="J44" si="95">IFERROR($Q$6*I44,0)</f>
        <v>0</v>
      </c>
      <c r="K44" s="119">
        <f t="shared" ref="K44" si="96">K37</f>
        <v>0.434</v>
      </c>
      <c r="L44" s="125">
        <f t="shared" ref="L44" si="97">IFERROR($Q$6*K44,0)</f>
        <v>0</v>
      </c>
      <c r="M44" s="119">
        <f t="shared" ref="M44" si="98">M37</f>
        <v>0.33500000000000002</v>
      </c>
      <c r="N44" s="125">
        <f t="shared" ref="N44" si="99">IFERROR($Q$6*M44,0)</f>
        <v>0</v>
      </c>
      <c r="O44" s="193"/>
      <c r="P44" s="193"/>
      <c r="Q44" s="240"/>
    </row>
    <row r="45" spans="3:19" ht="35.1" hidden="1" customHeight="1">
      <c r="C45" s="119">
        <f t="shared" ref="C45" si="100">C38</f>
        <v>0.35</v>
      </c>
      <c r="D45" s="125">
        <f t="shared" si="69"/>
        <v>0</v>
      </c>
      <c r="E45" s="119">
        <f t="shared" ref="E45" si="101">E38</f>
        <v>0.15</v>
      </c>
      <c r="F45" s="125">
        <f t="shared" si="69"/>
        <v>0</v>
      </c>
      <c r="G45" s="119">
        <f t="shared" si="71"/>
        <v>0.1603</v>
      </c>
      <c r="H45" s="125">
        <f t="shared" si="72"/>
        <v>0</v>
      </c>
      <c r="I45" s="119">
        <f t="shared" si="73"/>
        <v>3.4700000000000002E-2</v>
      </c>
      <c r="J45" s="125">
        <f t="shared" ref="J45" si="102">IFERROR($Q$6*I45,0)</f>
        <v>0</v>
      </c>
      <c r="K45" s="119">
        <f t="shared" ref="K45" si="103">K38</f>
        <v>0.30499999999999999</v>
      </c>
      <c r="L45" s="125">
        <f t="shared" ref="L45" si="104">IFERROR($Q$6*K45,0)</f>
        <v>0</v>
      </c>
      <c r="M45" s="119" t="str">
        <f t="shared" ref="M45" si="105">M38</f>
        <v>-</v>
      </c>
      <c r="N45" s="125">
        <f t="shared" ref="N45" si="106">IFERROR($Q$6*M45,0)</f>
        <v>0</v>
      </c>
      <c r="O45" s="193"/>
      <c r="P45" s="193"/>
      <c r="Q45" s="240"/>
    </row>
    <row r="46" spans="3:19" ht="35.1" hidden="1" customHeight="1"/>
    <row r="47" spans="3:19" ht="35.1" hidden="1" customHeight="1">
      <c r="C47" s="198" t="s">
        <v>81</v>
      </c>
      <c r="D47" s="199" t="str">
        <f>D9</f>
        <v>IRPJ</v>
      </c>
      <c r="E47" s="199" t="str">
        <f t="shared" ref="E47:I47" si="107">E9</f>
        <v>CSLL</v>
      </c>
      <c r="F47" s="199" t="str">
        <f t="shared" si="107"/>
        <v>Cofins</v>
      </c>
      <c r="G47" s="199" t="str">
        <f t="shared" si="107"/>
        <v>PIS/Pasep</v>
      </c>
      <c r="H47" s="199" t="str">
        <f t="shared" si="107"/>
        <v>CPP</v>
      </c>
      <c r="I47" s="199" t="str">
        <f t="shared" si="107"/>
        <v>ISS</v>
      </c>
      <c r="J47" s="26"/>
      <c r="K47" s="26"/>
      <c r="L47" s="26"/>
    </row>
    <row r="48" spans="3:19" ht="35.1" hidden="1" customHeight="1">
      <c r="C48" s="200" t="s">
        <v>69</v>
      </c>
      <c r="D48" s="117">
        <f>Tabela03!J9</f>
        <v>0.04</v>
      </c>
      <c r="E48" s="117">
        <f>Tabela03!K9</f>
        <v>3.5000000000000003E-2</v>
      </c>
      <c r="F48" s="117">
        <f>Tabela03!L9</f>
        <v>0.12820000000000001</v>
      </c>
      <c r="G48" s="117">
        <f>Tabela03!M9</f>
        <v>2.7799999999999998E-2</v>
      </c>
      <c r="H48" s="117">
        <f>Tabela03!N9</f>
        <v>0.434</v>
      </c>
      <c r="I48" s="117">
        <f>Tabela03!O9</f>
        <v>0.33500000000000002</v>
      </c>
      <c r="J48" s="26"/>
      <c r="K48" s="26"/>
      <c r="L48" s="26"/>
    </row>
    <row r="49" spans="3:12" ht="35.1" hidden="1" customHeight="1">
      <c r="C49" s="200" t="s">
        <v>103</v>
      </c>
      <c r="D49" s="117">
        <f>IFERROR($J$49*D48,0)</f>
        <v>2.3999999999999998E-3</v>
      </c>
      <c r="E49" s="117">
        <f t="shared" ref="E49:I49" si="108">IFERROR($J$49*E48,0)</f>
        <v>2.1000000000000003E-3</v>
      </c>
      <c r="F49" s="117">
        <f t="shared" si="108"/>
        <v>7.6920000000000001E-3</v>
      </c>
      <c r="G49" s="117">
        <f t="shared" si="108"/>
        <v>1.6679999999999998E-3</v>
      </c>
      <c r="H49" s="117">
        <f t="shared" si="108"/>
        <v>2.6039999999999997E-2</v>
      </c>
      <c r="I49" s="117">
        <f t="shared" si="108"/>
        <v>2.01E-2</v>
      </c>
      <c r="J49" s="201">
        <f>N5</f>
        <v>0.06</v>
      </c>
      <c r="K49" s="26"/>
      <c r="L49" s="26"/>
    </row>
    <row r="50" spans="3:12" ht="35.1" hidden="1" customHeight="1">
      <c r="C50" s="26"/>
      <c r="D50" s="26"/>
      <c r="E50" s="26"/>
      <c r="F50" s="26"/>
      <c r="G50" s="26"/>
      <c r="H50" s="26"/>
      <c r="I50" s="26"/>
      <c r="J50" s="26"/>
      <c r="K50" s="26"/>
      <c r="L50" s="26"/>
    </row>
    <row r="51" spans="3:12" ht="35.1" hidden="1" customHeight="1">
      <c r="C51" s="198" t="s">
        <v>81</v>
      </c>
      <c r="D51" s="199" t="str">
        <f>D47</f>
        <v>IRPJ</v>
      </c>
      <c r="E51" s="199" t="str">
        <f t="shared" ref="E51:I51" si="109">E47</f>
        <v>CSLL</v>
      </c>
      <c r="F51" s="199" t="str">
        <f t="shared" si="109"/>
        <v>Cofins</v>
      </c>
      <c r="G51" s="199" t="str">
        <f t="shared" si="109"/>
        <v>PIS/Pasep</v>
      </c>
      <c r="H51" s="199" t="str">
        <f t="shared" si="109"/>
        <v>CPP</v>
      </c>
      <c r="I51" s="199" t="str">
        <f t="shared" si="109"/>
        <v>ISS</v>
      </c>
      <c r="J51" s="26"/>
      <c r="K51" s="26"/>
      <c r="L51" s="26"/>
    </row>
    <row r="52" spans="3:12" ht="35.1" hidden="1" customHeight="1">
      <c r="C52" s="200" t="s">
        <v>69</v>
      </c>
      <c r="D52" s="117">
        <f>'BH (2)'!C34</f>
        <v>6.0199999999999997E-2</v>
      </c>
      <c r="E52" s="117">
        <f>'BH (2)'!D34</f>
        <v>5.2600000000000001E-2</v>
      </c>
      <c r="F52" s="117">
        <f>'BH (2)'!E34</f>
        <v>0.1928</v>
      </c>
      <c r="G52" s="117">
        <f>'BH (2)'!F34</f>
        <v>4.1799999999999997E-2</v>
      </c>
      <c r="H52" s="117">
        <f>'BH (2)'!G34</f>
        <v>0.65259999999999996</v>
      </c>
      <c r="I52" s="117">
        <f>'BH (2)'!H34</f>
        <v>0</v>
      </c>
      <c r="J52" s="26"/>
      <c r="K52" s="26"/>
      <c r="L52" s="26"/>
    </row>
    <row r="53" spans="3:12" ht="35.1" hidden="1" customHeight="1">
      <c r="C53" s="200" t="s">
        <v>103</v>
      </c>
      <c r="D53" s="117">
        <f>IFERROR($J$53*D52,0)</f>
        <v>6.0199999999999967E-4</v>
      </c>
      <c r="E53" s="117">
        <f t="shared" ref="E53:H53" si="110">IFERROR($J$53*E52,0)</f>
        <v>5.2599999999999978E-4</v>
      </c>
      <c r="F53" s="117">
        <f t="shared" si="110"/>
        <v>1.9279999999999989E-3</v>
      </c>
      <c r="G53" s="117">
        <f t="shared" si="110"/>
        <v>4.1799999999999975E-4</v>
      </c>
      <c r="H53" s="117">
        <f t="shared" si="110"/>
        <v>6.5259999999999962E-3</v>
      </c>
      <c r="I53" s="117">
        <v>0.05</v>
      </c>
      <c r="J53" s="165">
        <f>IFERROR(J49-I53,0)</f>
        <v>9.999999999999995E-3</v>
      </c>
      <c r="K53" s="202">
        <f>SUM(D53:I53)</f>
        <v>0.06</v>
      </c>
      <c r="L53" s="26"/>
    </row>
    <row r="54" spans="3:12" ht="35.1" hidden="1" customHeight="1">
      <c r="C54" s="26"/>
      <c r="D54" s="26"/>
      <c r="E54" s="26"/>
      <c r="F54" s="26"/>
      <c r="G54" s="26"/>
      <c r="H54" s="26"/>
      <c r="I54" s="26"/>
      <c r="J54" s="26"/>
      <c r="K54" s="26"/>
      <c r="L54" s="26"/>
    </row>
    <row r="55" spans="3:12" ht="35.1" hidden="1" customHeight="1">
      <c r="C55" s="203">
        <f>SUM(Lançamentos!D7:D8)</f>
        <v>141431.1</v>
      </c>
      <c r="D55" s="26"/>
      <c r="E55" s="26"/>
      <c r="F55" s="26"/>
      <c r="G55" s="26"/>
      <c r="H55" s="26"/>
      <c r="I55" s="26"/>
      <c r="J55" s="26"/>
      <c r="K55" s="26"/>
      <c r="L55" s="26"/>
    </row>
    <row r="56" spans="3:12" ht="35.1" hidden="1" customHeight="1">
      <c r="C56" s="200" t="s">
        <v>103</v>
      </c>
      <c r="D56" s="166">
        <f>IFERROR($C$55*D53,0)</f>
        <v>85.141522199999955</v>
      </c>
      <c r="E56" s="166">
        <f t="shared" ref="E56:I56" si="111">IFERROR($C$55*E53,0)</f>
        <v>74.392758599999965</v>
      </c>
      <c r="F56" s="166">
        <f t="shared" si="111"/>
        <v>272.67916079999986</v>
      </c>
      <c r="G56" s="166">
        <f t="shared" si="111"/>
        <v>59.118199799999971</v>
      </c>
      <c r="H56" s="166">
        <f t="shared" si="111"/>
        <v>922.9793585999995</v>
      </c>
      <c r="I56" s="166">
        <f t="shared" si="111"/>
        <v>7071.5550000000003</v>
      </c>
      <c r="J56" s="204">
        <f>SUM(D56:I56)</f>
        <v>8485.866</v>
      </c>
      <c r="K56" s="26"/>
      <c r="L56" s="26"/>
    </row>
    <row r="57" spans="3:12" ht="35.1" hidden="1" customHeight="1">
      <c r="C57" s="203">
        <f>Lançamentos!D9</f>
        <v>0</v>
      </c>
      <c r="D57" s="26"/>
      <c r="E57" s="26"/>
      <c r="F57" s="26"/>
      <c r="G57" s="26"/>
      <c r="H57" s="26"/>
      <c r="I57" s="26"/>
      <c r="J57" s="26"/>
      <c r="K57" s="26"/>
      <c r="L57" s="26"/>
    </row>
    <row r="58" spans="3:12" ht="35.1" hidden="1" customHeight="1">
      <c r="C58" s="200" t="s">
        <v>103</v>
      </c>
      <c r="D58" s="166">
        <f>IFERROR($C$57*D53,0)</f>
        <v>0</v>
      </c>
      <c r="E58" s="166">
        <f t="shared" ref="E58:I58" si="112">IFERROR($C$57*E53,0)</f>
        <v>0</v>
      </c>
      <c r="F58" s="166">
        <f t="shared" si="112"/>
        <v>0</v>
      </c>
      <c r="G58" s="166">
        <f t="shared" si="112"/>
        <v>0</v>
      </c>
      <c r="H58" s="166">
        <f t="shared" si="112"/>
        <v>0</v>
      </c>
      <c r="I58" s="166">
        <f t="shared" si="112"/>
        <v>0</v>
      </c>
      <c r="J58" s="204">
        <f>SUM(D58:I58)</f>
        <v>0</v>
      </c>
      <c r="K58" s="26"/>
      <c r="L58" s="26"/>
    </row>
    <row r="59" spans="3:12" ht="35.1" hidden="1" customHeight="1"/>
    <row r="60" spans="3:12" ht="35.1" hidden="1" customHeight="1"/>
    <row r="61" spans="3:12" ht="35.1" hidden="1" customHeight="1"/>
    <row r="62" spans="3:12" ht="35.1" hidden="1" customHeight="1"/>
    <row r="63" spans="3:12" ht="35.1" hidden="1" customHeight="1"/>
    <row r="64" spans="3:12" ht="35.1" hidden="1" customHeight="1"/>
    <row r="65" ht="35.1" hidden="1" customHeight="1"/>
    <row r="66" ht="35.1" hidden="1" customHeight="1"/>
    <row r="67" ht="35.1" hidden="1" customHeight="1"/>
    <row r="68" ht="35.1" hidden="1" customHeight="1"/>
    <row r="69" ht="35.1" hidden="1" customHeight="1"/>
    <row r="70" ht="35.1" hidden="1" customHeight="1"/>
    <row r="71" ht="35.1" hidden="1" customHeight="1"/>
    <row r="72" ht="35.1" hidden="1" customHeight="1"/>
    <row r="73" ht="35.1" hidden="1" customHeight="1"/>
    <row r="74" ht="35.1" hidden="1" customHeight="1"/>
    <row r="75" ht="35.1" hidden="1" customHeight="1"/>
    <row r="76" ht="35.1" hidden="1" customHeight="1"/>
    <row r="77" ht="35.1" hidden="1" customHeight="1"/>
    <row r="78" ht="35.1" hidden="1" customHeight="1"/>
    <row r="79" ht="35.1" hidden="1" customHeight="1"/>
    <row r="80" ht="35.1" hidden="1" customHeight="1"/>
    <row r="81" ht="35.1" hidden="1" customHeight="1"/>
    <row r="82" ht="35.1" hidden="1" customHeight="1"/>
    <row r="83" ht="35.1" hidden="1" customHeight="1"/>
    <row r="84" ht="35.1" hidden="1" customHeight="1"/>
    <row r="85" ht="35.1" hidden="1" customHeight="1"/>
    <row r="86" ht="35.1" hidden="1" customHeight="1"/>
    <row r="87" ht="35.1" hidden="1" customHeight="1"/>
    <row r="88" ht="35.1" hidden="1" customHeight="1"/>
    <row r="89" ht="35.1" hidden="1" customHeight="1"/>
    <row r="90" ht="35.1" hidden="1" customHeight="1"/>
    <row r="91" ht="35.1" hidden="1" customHeight="1"/>
    <row r="92" ht="35.1" hidden="1" customHeight="1"/>
    <row r="93" ht="35.1" hidden="1" customHeight="1"/>
    <row r="94" ht="35.1" hidden="1" customHeight="1"/>
    <row r="95" ht="35.1" hidden="1" customHeight="1"/>
    <row r="96" ht="35.1" hidden="1" customHeight="1"/>
    <row r="97" ht="35.1" hidden="1" customHeight="1"/>
    <row r="98" ht="35.1" hidden="1" customHeight="1"/>
    <row r="99" ht="35.1" hidden="1" customHeight="1"/>
    <row r="100" ht="35.1" hidden="1" customHeight="1"/>
  </sheetData>
  <sheetProtection sheet="1" objects="1" scenarios="1" selectLockedCells="1" selectUnlockedCells="1"/>
  <mergeCells count="10">
    <mergeCell ref="Q26:Q31"/>
    <mergeCell ref="Q33:Q38"/>
    <mergeCell ref="Q40:Q45"/>
    <mergeCell ref="C17:N17"/>
    <mergeCell ref="O4:P4"/>
    <mergeCell ref="C5:G5"/>
    <mergeCell ref="N5:N6"/>
    <mergeCell ref="O5:P6"/>
    <mergeCell ref="C6:G6"/>
    <mergeCell ref="C8:J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Group Box 1">
              <controlPr defaultSize="0" autoFill="0" autoPict="0">
                <anchor moveWithCells="1">
                  <from>
                    <xdr:col>1</xdr:col>
                    <xdr:colOff>66675</xdr:colOff>
                    <xdr:row>2</xdr:row>
                    <xdr:rowOff>876300</xdr:rowOff>
                  </from>
                  <to>
                    <xdr:col>6</xdr:col>
                    <xdr:colOff>666750</xdr:colOff>
                    <xdr:row>6</xdr:row>
                    <xdr:rowOff>9525</xdr:rowOff>
                  </to>
                </anchor>
              </controlPr>
            </control>
          </mc:Choice>
        </mc:AlternateContent>
        <mc:AlternateContent xmlns:mc="http://schemas.openxmlformats.org/markup-compatibility/2006">
          <mc:Choice Requires="x14">
            <control shapeId="31746" r:id="rId4" name="Group Box 2">
              <controlPr defaultSize="0" autoFill="0" autoPict="0">
                <anchor moveWithCells="1">
                  <from>
                    <xdr:col>6</xdr:col>
                    <xdr:colOff>752475</xdr:colOff>
                    <xdr:row>2</xdr:row>
                    <xdr:rowOff>876300</xdr:rowOff>
                  </from>
                  <to>
                    <xdr:col>22</xdr:col>
                    <xdr:colOff>85725</xdr:colOff>
                    <xdr:row>6</xdr:row>
                    <xdr:rowOff>9525</xdr:rowOff>
                  </to>
                </anchor>
              </controlPr>
            </control>
          </mc:Choice>
        </mc:AlternateContent>
        <mc:AlternateContent xmlns:mc="http://schemas.openxmlformats.org/markup-compatibility/2006">
          <mc:Choice Requires="x14">
            <control shapeId="31747" r:id="rId5" name="Group Box 3">
              <controlPr defaultSize="0" autoFill="0" autoPict="0">
                <anchor moveWithCells="1">
                  <from>
                    <xdr:col>11</xdr:col>
                    <xdr:colOff>142875</xdr:colOff>
                    <xdr:row>6</xdr:row>
                    <xdr:rowOff>180975</xdr:rowOff>
                  </from>
                  <to>
                    <xdr:col>22</xdr:col>
                    <xdr:colOff>85725</xdr:colOff>
                    <xdr:row>15</xdr:row>
                    <xdr:rowOff>0</xdr:rowOff>
                  </to>
                </anchor>
              </controlPr>
            </control>
          </mc:Choice>
        </mc:AlternateContent>
        <mc:AlternateContent xmlns:mc="http://schemas.openxmlformats.org/markup-compatibility/2006">
          <mc:Choice Requires="x14">
            <control shapeId="31748" r:id="rId6" name="Group Box 4">
              <controlPr defaultSize="0" autoFill="0" autoPict="0">
                <anchor moveWithCells="1">
                  <from>
                    <xdr:col>1</xdr:col>
                    <xdr:colOff>28575</xdr:colOff>
                    <xdr:row>15</xdr:row>
                    <xdr:rowOff>180975</xdr:rowOff>
                  </from>
                  <to>
                    <xdr:col>22</xdr:col>
                    <xdr:colOff>85725</xdr:colOff>
                    <xdr:row>24</xdr:row>
                    <xdr:rowOff>228600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7">
    <tabColor rgb="FF00B050"/>
  </sheetPr>
  <dimension ref="B1:T108"/>
  <sheetViews>
    <sheetView showRowColHeaders="0" workbookViewId="0">
      <pane ySplit="6" topLeftCell="A7" activePane="bottomLeft" state="frozen"/>
      <selection activeCell="A25" sqref="A25:XFD108"/>
      <selection pane="bottomLeft"/>
    </sheetView>
  </sheetViews>
  <sheetFormatPr defaultRowHeight="35.1" customHeight="1"/>
  <cols>
    <col min="1" max="2" width="1.7109375" style="131" customWidth="1"/>
    <col min="3" max="16" width="13.140625" style="131" customWidth="1"/>
    <col min="17" max="17" width="11.7109375" style="131" hidden="1" customWidth="1"/>
    <col min="18" max="18" width="11.28515625" style="131" hidden="1" customWidth="1"/>
    <col min="19" max="20" width="10.28515625" style="131" hidden="1" customWidth="1"/>
    <col min="21" max="23" width="0" style="131" hidden="1" customWidth="1"/>
    <col min="24" max="16384" width="9.140625" style="131"/>
  </cols>
  <sheetData>
    <row r="1" spans="2:20" s="1" customFormat="1" ht="35.1" customHeight="1"/>
    <row r="2" spans="2:20" s="3" customFormat="1" ht="30" customHeight="1"/>
    <row r="3" spans="2:20" ht="69.95" customHeight="1">
      <c r="T3" s="196">
        <f>IFERROR(SUM(T4:T6)+N24,0)</f>
        <v>6364.3995000000014</v>
      </c>
    </row>
    <row r="4" spans="2:20" ht="21.95" customHeight="1">
      <c r="C4" s="149"/>
      <c r="D4" s="74"/>
      <c r="E4" s="132"/>
      <c r="F4" s="136"/>
      <c r="G4" s="74"/>
      <c r="N4" s="131" t="s">
        <v>79</v>
      </c>
      <c r="O4" s="234" t="s">
        <v>102</v>
      </c>
      <c r="P4" s="234"/>
      <c r="Q4" s="196">
        <f>IFERROR(Lançamentos!D7*N5,0)</f>
        <v>6364.3995000000014</v>
      </c>
      <c r="R4" s="196">
        <f>Lançamentos!D7</f>
        <v>141431.1</v>
      </c>
      <c r="S4" s="196">
        <f>IFERROR(R4*$N$5,0)</f>
        <v>6364.3995000000014</v>
      </c>
      <c r="T4" s="196">
        <f>S4</f>
        <v>6364.3995000000014</v>
      </c>
    </row>
    <row r="5" spans="2:20" ht="35.1" customHeight="1">
      <c r="C5" s="237"/>
      <c r="D5" s="237"/>
      <c r="E5" s="237"/>
      <c r="F5" s="237"/>
      <c r="G5" s="237"/>
      <c r="H5" s="84">
        <f>Lançamentos!D5</f>
        <v>11785.924999999999</v>
      </c>
      <c r="I5" s="85">
        <f>IF($H$5=0,0,IF($H$5&lt;=Tabela04!$E$5,Tabela04!F5,IF($H$5&lt;=Tabela04!$E$6,Tabela04!F6,IF($H$5&lt;=Tabela04!$E$7,Tabela04!F7,IF($H$5&lt;=Tabela04!$E$8,Tabela04!F8,IF($H$5&lt;=Tabela04!$E$9,Tabela04!F9,IF($H$5&lt;=Tabela04!$E$10,Tabela04!F10,IF($H$5&gt;Tabela04!$E$10,Tabela04!F10))))))))</f>
        <v>4.4999999999999998E-2</v>
      </c>
      <c r="J5" s="84">
        <f>IF($H$5=0,0,IF($H$5&lt;=Tabela04!$E$5,Tabela04!G5,IF($H$5&lt;=Tabela04!$E$6,Tabela04!G6,IF($H$5&lt;=Tabela04!$E$7,Tabela04!G7,IF($H$5&lt;=Tabela04!$E$8,Tabela04!G8,IF($H$5&lt;=Tabela04!$E$9,Tabela04!G9,IF($H$5&lt;=Tabela04!$E$10,Tabela04!G10,IF($H$5&gt;Tabela04!$E$10,Tabela04!G10))))))))</f>
        <v>0</v>
      </c>
      <c r="L5" s="84">
        <f>IFERROR((H5*I5)-J5,0)</f>
        <v>530.366625</v>
      </c>
      <c r="N5" s="233">
        <f>IFERROR(L5/L6,0)</f>
        <v>4.5000000000000005E-2</v>
      </c>
      <c r="O5" s="235">
        <f>IFERROR(T3,0)</f>
        <v>6364.3995000000014</v>
      </c>
      <c r="P5" s="235"/>
      <c r="Q5" s="196">
        <f>IFERROR(Lançamentos!D8*N5,0)</f>
        <v>0</v>
      </c>
      <c r="R5" s="196">
        <f>Lançamentos!D8</f>
        <v>0</v>
      </c>
      <c r="S5" s="196">
        <f t="shared" ref="S5:S6" si="0">IFERROR(R5*$N$5,0)</f>
        <v>0</v>
      </c>
      <c r="T5" s="196">
        <f>IFERROR(S5-R34-S34,0)</f>
        <v>0</v>
      </c>
    </row>
    <row r="6" spans="2:20" ht="35.1" customHeight="1">
      <c r="C6" s="237"/>
      <c r="D6" s="237"/>
      <c r="E6" s="237"/>
      <c r="F6" s="237"/>
      <c r="G6" s="237"/>
      <c r="I6" s="83">
        <f>H5</f>
        <v>11785.924999999999</v>
      </c>
      <c r="L6" s="83">
        <f>I6</f>
        <v>11785.924999999999</v>
      </c>
      <c r="N6" s="233"/>
      <c r="O6" s="235"/>
      <c r="P6" s="235"/>
      <c r="Q6" s="197">
        <f>IFERROR(Lançamentos!D9*N5,0)</f>
        <v>0</v>
      </c>
      <c r="R6" s="196">
        <f>Lançamentos!D9</f>
        <v>0</v>
      </c>
      <c r="S6" s="196">
        <f t="shared" si="0"/>
        <v>0</v>
      </c>
      <c r="T6" s="196">
        <f>IFERROR(S6-R41,0)</f>
        <v>0</v>
      </c>
    </row>
    <row r="7" spans="2:20" ht="15" customHeight="1" thickBot="1">
      <c r="C7" s="76"/>
      <c r="D7" s="77"/>
      <c r="E7" s="132"/>
      <c r="F7" s="76"/>
      <c r="G7" s="78"/>
    </row>
    <row r="8" spans="2:20" ht="21.95" customHeight="1">
      <c r="C8" s="231" t="s">
        <v>80</v>
      </c>
      <c r="D8" s="232"/>
      <c r="E8" s="232"/>
      <c r="F8" s="232"/>
      <c r="G8" s="232"/>
      <c r="H8" s="232"/>
      <c r="I8" s="232"/>
      <c r="J8" s="236"/>
    </row>
    <row r="9" spans="2:20" ht="21.95" customHeight="1">
      <c r="B9" s="108"/>
      <c r="C9" s="111" t="s">
        <v>81</v>
      </c>
      <c r="D9" s="112" t="str">
        <f>'BH (2)'!B5</f>
        <v>IRPJ</v>
      </c>
      <c r="E9" s="113" t="str">
        <f>'BH (2)'!D5</f>
        <v>CSLL</v>
      </c>
      <c r="F9" s="114" t="str">
        <f>'BH (2)'!F5</f>
        <v>Cofins</v>
      </c>
      <c r="G9" s="112" t="str">
        <f>'BH (2)'!H5</f>
        <v>PIS/Pasep</v>
      </c>
      <c r="H9" s="113" t="str">
        <f>'BH (2)'!J5</f>
        <v>CPP</v>
      </c>
      <c r="I9" s="115" t="str">
        <f>'BH (2)'!L23</f>
        <v>ISS</v>
      </c>
      <c r="J9" s="116" t="s">
        <v>88</v>
      </c>
      <c r="K9" s="109"/>
    </row>
    <row r="10" spans="2:20" ht="35.1" customHeight="1">
      <c r="B10" s="108"/>
      <c r="C10" s="110" t="s">
        <v>82</v>
      </c>
      <c r="D10" s="129">
        <f>'BH (2)'!C39</f>
        <v>0.8460000000000002</v>
      </c>
      <c r="E10" s="129">
        <f>'BH (2)'!E39</f>
        <v>0.68400000000000016</v>
      </c>
      <c r="F10" s="129">
        <f>'BH (2)'!G39</f>
        <v>0.79515000000000013</v>
      </c>
      <c r="G10" s="129">
        <f>'BH (2)'!I39</f>
        <v>0.17235000000000003</v>
      </c>
      <c r="H10" s="129">
        <f>'BH (2)'!K39</f>
        <v>0</v>
      </c>
      <c r="I10" s="130">
        <f>'BH (2)'!M39</f>
        <v>2.0025000000000004</v>
      </c>
      <c r="J10" s="151">
        <f>SUM(D10:I10)</f>
        <v>4.5000000000000009</v>
      </c>
      <c r="K10" s="109"/>
    </row>
    <row r="11" spans="2:20" ht="35.1" customHeight="1">
      <c r="B11" s="108"/>
      <c r="C11" s="110" t="s">
        <v>83</v>
      </c>
      <c r="D11" s="129">
        <f>'BH (2)'!C40</f>
        <v>0.89100000000000024</v>
      </c>
      <c r="E11" s="129">
        <f>'BH (2)'!E40</f>
        <v>0.68400000000000016</v>
      </c>
      <c r="F11" s="129">
        <f>'BH (2)'!G40</f>
        <v>0.92475000000000018</v>
      </c>
      <c r="G11" s="129">
        <f>'BH (2)'!I40</f>
        <v>0.20025000000000004</v>
      </c>
      <c r="H11" s="129">
        <f>'BH (2)'!K40</f>
        <v>0</v>
      </c>
      <c r="I11" s="130">
        <f>'BH (2)'!M40</f>
        <v>1.8000000000000005</v>
      </c>
      <c r="J11" s="152">
        <f t="shared" ref="J11:J14" si="1">SUM(D11:I11)</f>
        <v>4.5000000000000009</v>
      </c>
      <c r="K11" s="109"/>
    </row>
    <row r="12" spans="2:20" ht="35.1" customHeight="1">
      <c r="B12" s="108"/>
      <c r="C12" s="110" t="s">
        <v>84</v>
      </c>
      <c r="D12" s="129">
        <f>'BH (2)'!C41</f>
        <v>0.93600000000000017</v>
      </c>
      <c r="E12" s="129">
        <f>'BH (2)'!E41</f>
        <v>0.68400000000000016</v>
      </c>
      <c r="F12" s="129">
        <f>'BH (2)'!G41</f>
        <v>0.88785000000000014</v>
      </c>
      <c r="G12" s="129">
        <f>'BH (2)'!I41</f>
        <v>0.19215000000000004</v>
      </c>
      <c r="H12" s="129">
        <f>'BH (2)'!K41</f>
        <v>0</v>
      </c>
      <c r="I12" s="130">
        <f>'BH (2)'!M41</f>
        <v>1.8000000000000005</v>
      </c>
      <c r="J12" s="153">
        <f t="shared" si="1"/>
        <v>4.5000000000000009</v>
      </c>
      <c r="K12" s="109"/>
    </row>
    <row r="13" spans="2:20" ht="35.1" customHeight="1">
      <c r="B13" s="108"/>
      <c r="C13" s="110" t="s">
        <v>85</v>
      </c>
      <c r="D13" s="129">
        <f>'BH (2)'!C42</f>
        <v>0.80100000000000016</v>
      </c>
      <c r="E13" s="129">
        <f>'BH (2)'!E42</f>
        <v>0.86400000000000021</v>
      </c>
      <c r="F13" s="129">
        <f>'BH (2)'!G42</f>
        <v>0.85050000000000014</v>
      </c>
      <c r="G13" s="129">
        <f>'BH (2)'!I42</f>
        <v>0.18450000000000005</v>
      </c>
      <c r="H13" s="129">
        <f>'BH (2)'!K42</f>
        <v>0</v>
      </c>
      <c r="I13" s="130">
        <f>'BH (2)'!M42</f>
        <v>1.8000000000000005</v>
      </c>
      <c r="J13" s="154">
        <f t="shared" si="1"/>
        <v>4.5000000000000009</v>
      </c>
      <c r="K13" s="109"/>
    </row>
    <row r="14" spans="2:20" ht="35.1" customHeight="1">
      <c r="B14" s="108"/>
      <c r="C14" s="110" t="s">
        <v>86</v>
      </c>
      <c r="D14" s="129">
        <f>'BH (2)'!C43</f>
        <v>0.8460000000000002</v>
      </c>
      <c r="E14" s="129">
        <f>'BH (2)'!E43</f>
        <v>0.86400000000000021</v>
      </c>
      <c r="F14" s="129">
        <f>'BH (2)'!G43</f>
        <v>0.8136000000000001</v>
      </c>
      <c r="G14" s="129">
        <f>'BH (2)'!I43</f>
        <v>0.17640000000000003</v>
      </c>
      <c r="H14" s="129">
        <f>'BH (2)'!K43</f>
        <v>0</v>
      </c>
      <c r="I14" s="130">
        <f>'BH (2)'!M43</f>
        <v>1.8000000000000005</v>
      </c>
      <c r="J14" s="152">
        <f t="shared" si="1"/>
        <v>4.5000000000000009</v>
      </c>
      <c r="K14" s="109"/>
    </row>
    <row r="15" spans="2:20" ht="35.1" customHeight="1">
      <c r="B15" s="108"/>
      <c r="C15" s="110" t="s">
        <v>87</v>
      </c>
      <c r="D15" s="129">
        <f>'BH (2)'!C44</f>
        <v>2.4075000000000006</v>
      </c>
      <c r="E15" s="129">
        <f>'BH (2)'!E44</f>
        <v>0.96750000000000014</v>
      </c>
      <c r="F15" s="129">
        <f>'BH (2)'!G44</f>
        <v>0.92475000000000018</v>
      </c>
      <c r="G15" s="129">
        <f>'BH (2)'!I44</f>
        <v>0.20025000000000004</v>
      </c>
      <c r="H15" s="129">
        <f>'BH (2)'!K44</f>
        <v>0</v>
      </c>
      <c r="I15" s="130">
        <f>'BH (2)'!M44</f>
        <v>0</v>
      </c>
      <c r="J15" s="155">
        <f>SUM(D15:I15)</f>
        <v>4.5000000000000018</v>
      </c>
      <c r="K15" s="109"/>
    </row>
    <row r="16" spans="2:20" ht="30" customHeight="1" thickBot="1">
      <c r="C16" s="132"/>
      <c r="D16" s="132"/>
      <c r="E16" s="132"/>
      <c r="F16" s="79"/>
      <c r="G16" s="77"/>
    </row>
    <row r="17" spans="2:17" ht="21.95" customHeight="1">
      <c r="C17" s="231" t="s">
        <v>89</v>
      </c>
      <c r="D17" s="232"/>
      <c r="E17" s="232"/>
      <c r="F17" s="232"/>
      <c r="G17" s="232"/>
      <c r="H17" s="232"/>
      <c r="I17" s="232"/>
      <c r="J17" s="232"/>
      <c r="K17" s="232"/>
      <c r="L17" s="232"/>
      <c r="M17" s="232"/>
      <c r="N17" s="232"/>
      <c r="O17" s="124"/>
    </row>
    <row r="18" spans="2:17" ht="21.95" customHeight="1">
      <c r="B18" s="108"/>
      <c r="C18" s="118" t="s">
        <v>69</v>
      </c>
      <c r="D18" s="113" t="str">
        <f>D9</f>
        <v>IRPJ</v>
      </c>
      <c r="E18" s="112" t="s">
        <v>69</v>
      </c>
      <c r="F18" s="113" t="str">
        <f>E9</f>
        <v>CSLL</v>
      </c>
      <c r="G18" s="112" t="s">
        <v>69</v>
      </c>
      <c r="H18" s="113" t="str">
        <f>F9</f>
        <v>Cofins</v>
      </c>
      <c r="I18" s="112" t="s">
        <v>69</v>
      </c>
      <c r="J18" s="113" t="str">
        <f>G9</f>
        <v>PIS/Pasep</v>
      </c>
      <c r="K18" s="112" t="s">
        <v>69</v>
      </c>
      <c r="L18" s="113" t="str">
        <f>H9</f>
        <v>CPP</v>
      </c>
      <c r="M18" s="112" t="s">
        <v>69</v>
      </c>
      <c r="N18" s="123" t="str">
        <f>I9</f>
        <v>ISS</v>
      </c>
      <c r="O18" s="109"/>
    </row>
    <row r="19" spans="2:17" ht="35.1" customHeight="1">
      <c r="B19" s="108"/>
      <c r="C19" s="119">
        <f>'BH (2)'!B39</f>
        <v>0.188</v>
      </c>
      <c r="D19" s="125">
        <f>IFERROR(D26+D33+D40,0)</f>
        <v>1196.5071060000002</v>
      </c>
      <c r="E19" s="117">
        <f>'BH (2)'!D39</f>
        <v>0.152</v>
      </c>
      <c r="F19" s="125">
        <f>IFERROR(F26+F33+F40,0)</f>
        <v>967.38872400000014</v>
      </c>
      <c r="G19" s="117">
        <f>'BH (2)'!F39</f>
        <v>0.1767</v>
      </c>
      <c r="H19" s="125">
        <f>IFERROR(H26+H33+H40,0)</f>
        <v>1124.5893916500002</v>
      </c>
      <c r="I19" s="117">
        <f>'BH (2)'!H39</f>
        <v>3.8300000000000001E-2</v>
      </c>
      <c r="J19" s="125">
        <f>IFERROR(J26+J33+J40,0)</f>
        <v>243.75650085000007</v>
      </c>
      <c r="K19" s="117">
        <f>'BH (2)'!J39</f>
        <v>0</v>
      </c>
      <c r="L19" s="125">
        <f>IFERROR(L26+L33+L40,0)</f>
        <v>0</v>
      </c>
      <c r="M19" s="117">
        <f>'BH (2)'!L39</f>
        <v>0.44500000000000001</v>
      </c>
      <c r="N19" s="183">
        <f>IFERROR(N26+N33+N40-$R$41,0)</f>
        <v>2832.1577775000005</v>
      </c>
      <c r="O19" s="109"/>
    </row>
    <row r="20" spans="2:17" ht="35.1" customHeight="1">
      <c r="B20" s="108"/>
      <c r="C20" s="119">
        <f>'BH (2)'!B40</f>
        <v>0.19800000000000001</v>
      </c>
      <c r="D20" s="126">
        <f t="shared" ref="D20:D24" si="2">IFERROR(D27+D34+D41,0)</f>
        <v>1260.1511010000004</v>
      </c>
      <c r="E20" s="117">
        <f>'BH (2)'!D40</f>
        <v>0.152</v>
      </c>
      <c r="F20" s="126">
        <f t="shared" ref="F20" si="3">IFERROR(F27+F34+F41,0)</f>
        <v>967.38872400000014</v>
      </c>
      <c r="G20" s="117">
        <f>'BH (2)'!F40</f>
        <v>0.20549999999999999</v>
      </c>
      <c r="H20" s="126">
        <f t="shared" ref="H20" si="4">IFERROR(H27+H34+H41,0)</f>
        <v>1307.8840972500002</v>
      </c>
      <c r="I20" s="117">
        <f>'BH (2)'!H40</f>
        <v>4.4499999999999998E-2</v>
      </c>
      <c r="J20" s="126">
        <f t="shared" ref="J20" si="5">IFERROR(J27+J34+J41,0)</f>
        <v>283.21577775000003</v>
      </c>
      <c r="K20" s="117">
        <f>'BH (2)'!J40</f>
        <v>0</v>
      </c>
      <c r="L20" s="126">
        <f t="shared" ref="L20" si="6">IFERROR(L27+L34+L41,0)</f>
        <v>0</v>
      </c>
      <c r="M20" s="117">
        <f>'BH (2)'!L40</f>
        <v>0.4</v>
      </c>
      <c r="N20" s="184">
        <f t="shared" ref="N20:N23" si="7">IFERROR(N27+N34+N41-$R$41,0)</f>
        <v>2545.7598000000007</v>
      </c>
      <c r="O20" s="109"/>
    </row>
    <row r="21" spans="2:17" ht="35.1" customHeight="1">
      <c r="B21" s="108"/>
      <c r="C21" s="119">
        <f>'BH (2)'!B41</f>
        <v>0.20799999999999999</v>
      </c>
      <c r="D21" s="126">
        <f t="shared" si="2"/>
        <v>1323.7950960000003</v>
      </c>
      <c r="E21" s="117">
        <f>'BH (2)'!D41</f>
        <v>0.152</v>
      </c>
      <c r="F21" s="126">
        <f t="shared" ref="F21" si="8">IFERROR(F28+F35+F42,0)</f>
        <v>967.38872400000014</v>
      </c>
      <c r="G21" s="117">
        <f>'BH (2)'!F41</f>
        <v>0.1973</v>
      </c>
      <c r="H21" s="126">
        <f t="shared" ref="H21" si="9">IFERROR(H28+H35+H42,0)</f>
        <v>1255.6960213500004</v>
      </c>
      <c r="I21" s="117">
        <f>'BH (2)'!H41</f>
        <v>4.2700000000000002E-2</v>
      </c>
      <c r="J21" s="126">
        <f t="shared" ref="J21" si="10">IFERROR(J28+J35+J42,0)</f>
        <v>271.75985865000007</v>
      </c>
      <c r="K21" s="117">
        <f>'BH (2)'!J41</f>
        <v>0</v>
      </c>
      <c r="L21" s="126">
        <f t="shared" ref="L21" si="11">IFERROR(L28+L35+L42,0)</f>
        <v>0</v>
      </c>
      <c r="M21" s="117">
        <f>'BH (2)'!L41</f>
        <v>0.4</v>
      </c>
      <c r="N21" s="184">
        <f t="shared" si="7"/>
        <v>2545.7598000000007</v>
      </c>
      <c r="O21" s="109"/>
    </row>
    <row r="22" spans="2:17" ht="35.1" customHeight="1">
      <c r="B22" s="108"/>
      <c r="C22" s="119">
        <f>'BH (2)'!B42</f>
        <v>0.17799999999999999</v>
      </c>
      <c r="D22" s="126">
        <f t="shared" si="2"/>
        <v>1132.8631110000001</v>
      </c>
      <c r="E22" s="117">
        <f>'BH (2)'!D42</f>
        <v>0.192</v>
      </c>
      <c r="F22" s="126">
        <f t="shared" ref="F22" si="12">IFERROR(F29+F36+F43,0)</f>
        <v>1221.9647040000002</v>
      </c>
      <c r="G22" s="117">
        <f>'BH (2)'!F42</f>
        <v>0.189</v>
      </c>
      <c r="H22" s="126">
        <f t="shared" ref="H22" si="13">IFERROR(H29+H36+H43,0)</f>
        <v>1202.8715055000002</v>
      </c>
      <c r="I22" s="117">
        <f>'BH (2)'!H42</f>
        <v>4.1000000000000002E-2</v>
      </c>
      <c r="J22" s="126">
        <f t="shared" ref="J22" si="14">IFERROR(J29+J36+J43,0)</f>
        <v>260.94037950000006</v>
      </c>
      <c r="K22" s="117">
        <f>'BH (2)'!J42</f>
        <v>0</v>
      </c>
      <c r="L22" s="126">
        <f t="shared" ref="L22" si="15">IFERROR(L29+L36+L43,0)</f>
        <v>0</v>
      </c>
      <c r="M22" s="117">
        <f>'BH (2)'!L42</f>
        <v>0.4</v>
      </c>
      <c r="N22" s="184">
        <f t="shared" si="7"/>
        <v>2545.7598000000007</v>
      </c>
      <c r="O22" s="109"/>
    </row>
    <row r="23" spans="2:17" ht="35.1" customHeight="1">
      <c r="B23" s="108"/>
      <c r="C23" s="119">
        <f>'BH (2)'!B43</f>
        <v>0.188</v>
      </c>
      <c r="D23" s="126">
        <f t="shared" si="2"/>
        <v>1196.5071060000002</v>
      </c>
      <c r="E23" s="117">
        <f>'BH (2)'!D43</f>
        <v>0.192</v>
      </c>
      <c r="F23" s="126">
        <f t="shared" ref="F23" si="16">IFERROR(F30+F37+F44,0)</f>
        <v>1221.9647040000002</v>
      </c>
      <c r="G23" s="117">
        <f>'BH (2)'!F43</f>
        <v>0.18079999999999999</v>
      </c>
      <c r="H23" s="126">
        <f t="shared" ref="H23" si="17">IFERROR(H30+H37+H44,0)</f>
        <v>1150.6834296000002</v>
      </c>
      <c r="I23" s="117">
        <f>'BH (2)'!H43</f>
        <v>3.9199999999999999E-2</v>
      </c>
      <c r="J23" s="126">
        <f t="shared" ref="J23" si="18">IFERROR(J30+J37+J44,0)</f>
        <v>249.48446040000005</v>
      </c>
      <c r="K23" s="117">
        <f>'BH (2)'!J43</f>
        <v>0</v>
      </c>
      <c r="L23" s="126">
        <f t="shared" ref="L23" si="19">IFERROR(L30+L37+L44,0)</f>
        <v>0</v>
      </c>
      <c r="M23" s="117">
        <f>'BH (2)'!L43</f>
        <v>0.4</v>
      </c>
      <c r="N23" s="184">
        <f t="shared" si="7"/>
        <v>2545.7598000000007</v>
      </c>
      <c r="O23" s="109"/>
    </row>
    <row r="24" spans="2:17" ht="35.1" customHeight="1">
      <c r="B24" s="108"/>
      <c r="C24" s="119">
        <f>'BH (2)'!B44</f>
        <v>0.53500000000000003</v>
      </c>
      <c r="D24" s="121">
        <f t="shared" si="2"/>
        <v>3404.953732500001</v>
      </c>
      <c r="E24" s="117">
        <f>'BH (2)'!D44</f>
        <v>0.215</v>
      </c>
      <c r="F24" s="121">
        <f t="shared" ref="F24" si="20">IFERROR(F31+F38+F45,0)</f>
        <v>1368.3458925000002</v>
      </c>
      <c r="G24" s="117">
        <f>'BH (2)'!F44</f>
        <v>0.20549999999999999</v>
      </c>
      <c r="H24" s="121">
        <f t="shared" ref="H24" si="21">IFERROR(H31+H38+H45,0)</f>
        <v>1307.8840972500002</v>
      </c>
      <c r="I24" s="117">
        <f>'BH (2)'!H44</f>
        <v>4.4499999999999998E-2</v>
      </c>
      <c r="J24" s="121">
        <f t="shared" ref="J24" si="22">IFERROR(J31+J38+J45,0)</f>
        <v>283.21577775000003</v>
      </c>
      <c r="K24" s="117">
        <f>'BH (2)'!J44</f>
        <v>0</v>
      </c>
      <c r="L24" s="121">
        <f t="shared" ref="L24" si="23">IFERROR(L31+L38+L45,0)</f>
        <v>0</v>
      </c>
      <c r="M24" s="117">
        <f>'BH (2)'!L44</f>
        <v>0</v>
      </c>
      <c r="N24" s="122">
        <f>Lançamentos!H5</f>
        <v>0</v>
      </c>
      <c r="O24" s="150" t="s">
        <v>101</v>
      </c>
    </row>
    <row r="25" spans="2:17" ht="35.1" hidden="1" customHeight="1"/>
    <row r="26" spans="2:17" ht="35.1" hidden="1" customHeight="1">
      <c r="C26" s="119">
        <f>C19</f>
        <v>0.188</v>
      </c>
      <c r="D26" s="125">
        <f>IFERROR($Q$4*C26,0)</f>
        <v>1196.5071060000002</v>
      </c>
      <c r="E26" s="119">
        <f t="shared" ref="E26" si="24">E19</f>
        <v>0.152</v>
      </c>
      <c r="F26" s="125">
        <f>IFERROR($Q$4*E26,0)</f>
        <v>967.38872400000014</v>
      </c>
      <c r="G26" s="119">
        <f t="shared" ref="G26" si="25">G19</f>
        <v>0.1767</v>
      </c>
      <c r="H26" s="125">
        <f>IFERROR($Q$4*G26,0)</f>
        <v>1124.5893916500002</v>
      </c>
      <c r="I26" s="119">
        <f t="shared" ref="I26" si="26">I19</f>
        <v>3.8300000000000001E-2</v>
      </c>
      <c r="J26" s="125">
        <f>IFERROR($Q$4*I26,0)</f>
        <v>243.75650085000007</v>
      </c>
      <c r="K26" s="119">
        <f t="shared" ref="K26" si="27">K19</f>
        <v>0</v>
      </c>
      <c r="L26" s="125">
        <f>IFERROR($Q$4*K26,0)</f>
        <v>0</v>
      </c>
      <c r="M26" s="119">
        <f t="shared" ref="M26" si="28">M19</f>
        <v>0.44500000000000001</v>
      </c>
      <c r="N26" s="125">
        <f>IFERROR($Q$4*M26,0)</f>
        <v>2832.1577775000005</v>
      </c>
      <c r="O26" s="193"/>
      <c r="Q26" s="240" t="s">
        <v>122</v>
      </c>
    </row>
    <row r="27" spans="2:17" ht="35.1" hidden="1" customHeight="1">
      <c r="C27" s="119">
        <f t="shared" ref="C27:M31" si="29">C20</f>
        <v>0.19800000000000001</v>
      </c>
      <c r="D27" s="125">
        <f t="shared" ref="D27:F31" si="30">IFERROR($Q$4*C27,0)</f>
        <v>1260.1511010000004</v>
      </c>
      <c r="E27" s="119">
        <f t="shared" si="29"/>
        <v>0.152</v>
      </c>
      <c r="F27" s="125">
        <f t="shared" si="30"/>
        <v>967.38872400000014</v>
      </c>
      <c r="G27" s="119">
        <f t="shared" si="29"/>
        <v>0.20549999999999999</v>
      </c>
      <c r="H27" s="125">
        <f t="shared" ref="H27" si="31">IFERROR($Q$4*G27,0)</f>
        <v>1307.8840972500002</v>
      </c>
      <c r="I27" s="119">
        <f t="shared" si="29"/>
        <v>4.4499999999999998E-2</v>
      </c>
      <c r="J27" s="125">
        <f t="shared" ref="J27" si="32">IFERROR($Q$4*I27,0)</f>
        <v>283.21577775000003</v>
      </c>
      <c r="K27" s="119">
        <f t="shared" si="29"/>
        <v>0</v>
      </c>
      <c r="L27" s="125">
        <f t="shared" ref="L27" si="33">IFERROR($Q$4*K27,0)</f>
        <v>0</v>
      </c>
      <c r="M27" s="119">
        <f t="shared" si="29"/>
        <v>0.4</v>
      </c>
      <c r="N27" s="125">
        <f t="shared" ref="N27" si="34">IFERROR($Q$4*M27,0)</f>
        <v>2545.7598000000007</v>
      </c>
      <c r="O27" s="193"/>
      <c r="Q27" s="240"/>
    </row>
    <row r="28" spans="2:17" ht="35.1" hidden="1" customHeight="1">
      <c r="C28" s="119">
        <f t="shared" si="29"/>
        <v>0.20799999999999999</v>
      </c>
      <c r="D28" s="125">
        <f t="shared" si="30"/>
        <v>1323.7950960000003</v>
      </c>
      <c r="E28" s="119">
        <f t="shared" si="29"/>
        <v>0.152</v>
      </c>
      <c r="F28" s="125">
        <f t="shared" si="30"/>
        <v>967.38872400000014</v>
      </c>
      <c r="G28" s="119">
        <f t="shared" si="29"/>
        <v>0.1973</v>
      </c>
      <c r="H28" s="125">
        <f t="shared" ref="H28" si="35">IFERROR($Q$4*G28,0)</f>
        <v>1255.6960213500004</v>
      </c>
      <c r="I28" s="119">
        <f t="shared" si="29"/>
        <v>4.2700000000000002E-2</v>
      </c>
      <c r="J28" s="125">
        <f t="shared" ref="J28" si="36">IFERROR($Q$4*I28,0)</f>
        <v>271.75985865000007</v>
      </c>
      <c r="K28" s="119">
        <f t="shared" si="29"/>
        <v>0</v>
      </c>
      <c r="L28" s="125">
        <f t="shared" ref="L28" si="37">IFERROR($Q$4*K28,0)</f>
        <v>0</v>
      </c>
      <c r="M28" s="119">
        <f t="shared" si="29"/>
        <v>0.4</v>
      </c>
      <c r="N28" s="125">
        <f t="shared" ref="N28" si="38">IFERROR($Q$4*M28,0)</f>
        <v>2545.7598000000007</v>
      </c>
      <c r="O28" s="193"/>
      <c r="Q28" s="240"/>
    </row>
    <row r="29" spans="2:17" ht="35.1" hidden="1" customHeight="1">
      <c r="C29" s="119">
        <f t="shared" si="29"/>
        <v>0.17799999999999999</v>
      </c>
      <c r="D29" s="125">
        <f t="shared" si="30"/>
        <v>1132.8631110000001</v>
      </c>
      <c r="E29" s="119">
        <f t="shared" si="29"/>
        <v>0.192</v>
      </c>
      <c r="F29" s="125">
        <f t="shared" si="30"/>
        <v>1221.9647040000002</v>
      </c>
      <c r="G29" s="119">
        <f t="shared" si="29"/>
        <v>0.189</v>
      </c>
      <c r="H29" s="125">
        <f t="shared" ref="H29" si="39">IFERROR($Q$4*G29,0)</f>
        <v>1202.8715055000002</v>
      </c>
      <c r="I29" s="119">
        <f t="shared" si="29"/>
        <v>4.1000000000000002E-2</v>
      </c>
      <c r="J29" s="125">
        <f t="shared" ref="J29" si="40">IFERROR($Q$4*I29,0)</f>
        <v>260.94037950000006</v>
      </c>
      <c r="K29" s="119">
        <f t="shared" si="29"/>
        <v>0</v>
      </c>
      <c r="L29" s="125">
        <f t="shared" ref="L29" si="41">IFERROR($Q$4*K29,0)</f>
        <v>0</v>
      </c>
      <c r="M29" s="119">
        <f t="shared" si="29"/>
        <v>0.4</v>
      </c>
      <c r="N29" s="125">
        <f t="shared" ref="N29" si="42">IFERROR($Q$4*M29,0)</f>
        <v>2545.7598000000007</v>
      </c>
      <c r="O29" s="193"/>
      <c r="Q29" s="240"/>
    </row>
    <row r="30" spans="2:17" ht="35.1" hidden="1" customHeight="1">
      <c r="C30" s="119">
        <f t="shared" si="29"/>
        <v>0.188</v>
      </c>
      <c r="D30" s="125">
        <f t="shared" si="30"/>
        <v>1196.5071060000002</v>
      </c>
      <c r="E30" s="119">
        <f t="shared" si="29"/>
        <v>0.192</v>
      </c>
      <c r="F30" s="125">
        <f t="shared" si="30"/>
        <v>1221.9647040000002</v>
      </c>
      <c r="G30" s="119">
        <f t="shared" si="29"/>
        <v>0.18079999999999999</v>
      </c>
      <c r="H30" s="125">
        <f t="shared" ref="H30" si="43">IFERROR($Q$4*G30,0)</f>
        <v>1150.6834296000002</v>
      </c>
      <c r="I30" s="119">
        <f t="shared" si="29"/>
        <v>3.9199999999999999E-2</v>
      </c>
      <c r="J30" s="125">
        <f t="shared" ref="J30" si="44">IFERROR($Q$4*I30,0)</f>
        <v>249.48446040000005</v>
      </c>
      <c r="K30" s="119">
        <f t="shared" si="29"/>
        <v>0</v>
      </c>
      <c r="L30" s="125">
        <f t="shared" ref="L30" si="45">IFERROR($Q$4*K30,0)</f>
        <v>0</v>
      </c>
      <c r="M30" s="119">
        <f t="shared" si="29"/>
        <v>0.4</v>
      </c>
      <c r="N30" s="125">
        <f t="shared" ref="N30" si="46">IFERROR($Q$4*M30,0)</f>
        <v>2545.7598000000007</v>
      </c>
      <c r="O30" s="193"/>
      <c r="Q30" s="240"/>
    </row>
    <row r="31" spans="2:17" ht="35.1" hidden="1" customHeight="1">
      <c r="C31" s="119">
        <f t="shared" si="29"/>
        <v>0.53500000000000003</v>
      </c>
      <c r="D31" s="125">
        <f t="shared" si="30"/>
        <v>3404.953732500001</v>
      </c>
      <c r="E31" s="119">
        <f t="shared" si="29"/>
        <v>0.215</v>
      </c>
      <c r="F31" s="125">
        <f t="shared" si="30"/>
        <v>1368.3458925000002</v>
      </c>
      <c r="G31" s="119">
        <f t="shared" si="29"/>
        <v>0.20549999999999999</v>
      </c>
      <c r="H31" s="125">
        <f t="shared" ref="H31" si="47">IFERROR($Q$4*G31,0)</f>
        <v>1307.8840972500002</v>
      </c>
      <c r="I31" s="119">
        <f t="shared" si="29"/>
        <v>4.4499999999999998E-2</v>
      </c>
      <c r="J31" s="125">
        <f t="shared" ref="J31" si="48">IFERROR($Q$4*I31,0)</f>
        <v>283.21577775000003</v>
      </c>
      <c r="K31" s="119">
        <f t="shared" si="29"/>
        <v>0</v>
      </c>
      <c r="L31" s="125">
        <f t="shared" ref="L31" si="49">IFERROR($Q$4*K31,0)</f>
        <v>0</v>
      </c>
      <c r="M31" s="119">
        <f t="shared" si="29"/>
        <v>0</v>
      </c>
      <c r="N31" s="125">
        <f t="shared" ref="N31" si="50">IFERROR($Q$4*M31,0)</f>
        <v>0</v>
      </c>
      <c r="O31" s="193"/>
      <c r="Q31" s="240"/>
    </row>
    <row r="32" spans="2:17" ht="35.1" hidden="1" customHeight="1"/>
    <row r="33" spans="3:19" ht="35.1" hidden="1" customHeight="1">
      <c r="C33" s="119">
        <f>C26</f>
        <v>0.188</v>
      </c>
      <c r="D33" s="125">
        <f>IFERROR($Q$5*C33,0)</f>
        <v>0</v>
      </c>
      <c r="E33" s="119">
        <f t="shared" ref="E33" si="51">E26</f>
        <v>0.152</v>
      </c>
      <c r="F33" s="125">
        <f>IFERROR($Q$5*E33,0)</f>
        <v>0</v>
      </c>
      <c r="G33" s="119">
        <v>0</v>
      </c>
      <c r="H33" s="125">
        <f>IFERROR($Q$5*G33,0)</f>
        <v>0</v>
      </c>
      <c r="I33" s="119">
        <v>0</v>
      </c>
      <c r="J33" s="125">
        <f>IFERROR($Q$5*I33,0)</f>
        <v>0</v>
      </c>
      <c r="K33" s="119">
        <f t="shared" ref="K33" si="52">K26</f>
        <v>0</v>
      </c>
      <c r="L33" s="125">
        <f>IFERROR($Q$5*K33,0)</f>
        <v>0</v>
      </c>
      <c r="M33" s="119">
        <f t="shared" ref="M33" si="53">M26</f>
        <v>0.44500000000000001</v>
      </c>
      <c r="N33" s="125">
        <f>IFERROR($Q$5*M33,0)</f>
        <v>0</v>
      </c>
      <c r="Q33" s="240" t="s">
        <v>123</v>
      </c>
      <c r="R33" s="195">
        <f>IF($I$5=Tabela04!$F$5,Tabela04!L5,IF($I$5=Tabela04!$F$6,Tabela04!L6,IF($I$5=Tabela04!$F$7,Tabela04!L7,IF($I$5=Tabela04!$F$8,Tabela04!L8,IF($I$5=Tabela04!$F$9,Tabela04!L9,IF($I$5=Tabela04!$F$10,Tabela04!L10))))))</f>
        <v>0.1767</v>
      </c>
      <c r="S33" s="195">
        <f>IF($I$5=Tabela04!$F$5,Tabela04!M5,IF($I$5=Tabela04!$F$6,Tabela04!M6,IF($I$5=Tabela04!$F$7,Tabela04!M7,IF($I$5=Tabela04!$F$8,Tabela04!M8,IF($I$5=Tabela04!$F$9,Tabela04!M9,IF($I$5=Tabela04!$F$10,Tabela04!M10))))))</f>
        <v>3.8300000000000001E-2</v>
      </c>
    </row>
    <row r="34" spans="3:19" ht="35.1" hidden="1" customHeight="1">
      <c r="C34" s="119">
        <f t="shared" ref="C34:M38" si="54">C27</f>
        <v>0.19800000000000001</v>
      </c>
      <c r="D34" s="125">
        <f t="shared" ref="D34:F38" si="55">IFERROR($Q$5*C34,0)</f>
        <v>0</v>
      </c>
      <c r="E34" s="119">
        <f t="shared" si="54"/>
        <v>0.152</v>
      </c>
      <c r="F34" s="125">
        <f t="shared" si="55"/>
        <v>0</v>
      </c>
      <c r="G34" s="119">
        <v>0</v>
      </c>
      <c r="H34" s="125">
        <f t="shared" ref="H34:H38" si="56">IFERROR($Q$5*G34,0)</f>
        <v>0</v>
      </c>
      <c r="I34" s="119">
        <v>0</v>
      </c>
      <c r="J34" s="125">
        <f t="shared" ref="J34" si="57">IFERROR($Q$5*I34,0)</f>
        <v>0</v>
      </c>
      <c r="K34" s="119">
        <f t="shared" si="54"/>
        <v>0</v>
      </c>
      <c r="L34" s="125">
        <f t="shared" ref="L34" si="58">IFERROR($Q$5*K34,0)</f>
        <v>0</v>
      </c>
      <c r="M34" s="119">
        <f t="shared" si="54"/>
        <v>0.4</v>
      </c>
      <c r="N34" s="125">
        <f t="shared" ref="N34" si="59">IFERROR($Q$5*M34,0)</f>
        <v>0</v>
      </c>
      <c r="Q34" s="240"/>
      <c r="R34" s="196">
        <f>IFERROR($S$5*R33,0)</f>
        <v>0</v>
      </c>
      <c r="S34" s="196">
        <f>IFERROR($S$5*S33,0)</f>
        <v>0</v>
      </c>
    </row>
    <row r="35" spans="3:19" ht="35.1" hidden="1" customHeight="1">
      <c r="C35" s="119">
        <f t="shared" si="54"/>
        <v>0.20799999999999999</v>
      </c>
      <c r="D35" s="125">
        <f t="shared" si="55"/>
        <v>0</v>
      </c>
      <c r="E35" s="119">
        <f t="shared" si="54"/>
        <v>0.152</v>
      </c>
      <c r="F35" s="125">
        <f t="shared" si="55"/>
        <v>0</v>
      </c>
      <c r="G35" s="119">
        <v>0</v>
      </c>
      <c r="H35" s="125">
        <f t="shared" si="56"/>
        <v>0</v>
      </c>
      <c r="I35" s="119">
        <v>0</v>
      </c>
      <c r="J35" s="125">
        <f t="shared" ref="J35" si="60">IFERROR($Q$5*I35,0)</f>
        <v>0</v>
      </c>
      <c r="K35" s="119">
        <f t="shared" si="54"/>
        <v>0</v>
      </c>
      <c r="L35" s="125">
        <f t="shared" ref="L35" si="61">IFERROR($Q$5*K35,0)</f>
        <v>0</v>
      </c>
      <c r="M35" s="119">
        <f t="shared" si="54"/>
        <v>0.4</v>
      </c>
      <c r="N35" s="125">
        <f t="shared" ref="N35" si="62">IFERROR($Q$5*M35,0)</f>
        <v>0</v>
      </c>
      <c r="Q35" s="240"/>
    </row>
    <row r="36" spans="3:19" ht="35.1" hidden="1" customHeight="1">
      <c r="C36" s="119">
        <f t="shared" si="54"/>
        <v>0.17799999999999999</v>
      </c>
      <c r="D36" s="125">
        <f t="shared" si="55"/>
        <v>0</v>
      </c>
      <c r="E36" s="119">
        <f t="shared" si="54"/>
        <v>0.192</v>
      </c>
      <c r="F36" s="125">
        <f t="shared" si="55"/>
        <v>0</v>
      </c>
      <c r="G36" s="119">
        <v>0</v>
      </c>
      <c r="H36" s="125">
        <f t="shared" si="56"/>
        <v>0</v>
      </c>
      <c r="I36" s="119">
        <v>0</v>
      </c>
      <c r="J36" s="125">
        <f t="shared" ref="J36" si="63">IFERROR($Q$5*I36,0)</f>
        <v>0</v>
      </c>
      <c r="K36" s="119">
        <f t="shared" si="54"/>
        <v>0</v>
      </c>
      <c r="L36" s="125">
        <f t="shared" ref="L36" si="64">IFERROR($Q$5*K36,0)</f>
        <v>0</v>
      </c>
      <c r="M36" s="119">
        <f t="shared" si="54"/>
        <v>0.4</v>
      </c>
      <c r="N36" s="125">
        <f t="shared" ref="N36" si="65">IFERROR($Q$5*M36,0)</f>
        <v>0</v>
      </c>
      <c r="Q36" s="240"/>
    </row>
    <row r="37" spans="3:19" ht="35.1" hidden="1" customHeight="1">
      <c r="C37" s="119">
        <f t="shared" si="54"/>
        <v>0.188</v>
      </c>
      <c r="D37" s="125">
        <f t="shared" si="55"/>
        <v>0</v>
      </c>
      <c r="E37" s="119">
        <f t="shared" si="54"/>
        <v>0.192</v>
      </c>
      <c r="F37" s="125">
        <f t="shared" si="55"/>
        <v>0</v>
      </c>
      <c r="G37" s="119">
        <v>0</v>
      </c>
      <c r="H37" s="125">
        <f t="shared" si="56"/>
        <v>0</v>
      </c>
      <c r="I37" s="119">
        <v>0</v>
      </c>
      <c r="J37" s="125">
        <f t="shared" ref="J37" si="66">IFERROR($Q$5*I37,0)</f>
        <v>0</v>
      </c>
      <c r="K37" s="119">
        <f t="shared" si="54"/>
        <v>0</v>
      </c>
      <c r="L37" s="125">
        <f t="shared" ref="L37" si="67">IFERROR($Q$5*K37,0)</f>
        <v>0</v>
      </c>
      <c r="M37" s="119">
        <f t="shared" si="54"/>
        <v>0.4</v>
      </c>
      <c r="N37" s="125">
        <f t="shared" ref="N37" si="68">IFERROR($Q$5*M37,0)</f>
        <v>0</v>
      </c>
      <c r="Q37" s="240"/>
    </row>
    <row r="38" spans="3:19" ht="35.1" hidden="1" customHeight="1">
      <c r="C38" s="119">
        <f t="shared" si="54"/>
        <v>0.53500000000000003</v>
      </c>
      <c r="D38" s="125">
        <f t="shared" si="55"/>
        <v>0</v>
      </c>
      <c r="E38" s="119">
        <f t="shared" si="54"/>
        <v>0.215</v>
      </c>
      <c r="F38" s="125">
        <f t="shared" si="55"/>
        <v>0</v>
      </c>
      <c r="G38" s="119">
        <v>0</v>
      </c>
      <c r="H38" s="125">
        <f t="shared" si="56"/>
        <v>0</v>
      </c>
      <c r="I38" s="119">
        <v>0</v>
      </c>
      <c r="J38" s="125">
        <f t="shared" ref="J38" si="69">IFERROR($Q$5*I38,0)</f>
        <v>0</v>
      </c>
      <c r="K38" s="119">
        <f t="shared" si="54"/>
        <v>0</v>
      </c>
      <c r="L38" s="125">
        <f t="shared" ref="L38" si="70">IFERROR($Q$5*K38,0)</f>
        <v>0</v>
      </c>
      <c r="M38" s="119">
        <f t="shared" si="54"/>
        <v>0</v>
      </c>
      <c r="N38" s="125">
        <f t="shared" ref="N38" si="71">IFERROR($Q$5*M38,0)</f>
        <v>0</v>
      </c>
      <c r="Q38" s="240"/>
    </row>
    <row r="39" spans="3:19" ht="35.1" hidden="1" customHeight="1">
      <c r="G39" s="194"/>
      <c r="H39" s="194"/>
      <c r="I39" s="194"/>
    </row>
    <row r="40" spans="3:19" ht="35.1" hidden="1" customHeight="1">
      <c r="C40" s="119">
        <f>C33</f>
        <v>0.188</v>
      </c>
      <c r="D40" s="125">
        <f>IFERROR($Q$6*C40,0)</f>
        <v>0</v>
      </c>
      <c r="E40" s="119">
        <f t="shared" ref="E40" si="72">E33</f>
        <v>0.152</v>
      </c>
      <c r="F40" s="125">
        <f>IFERROR($Q$6*E40,0)</f>
        <v>0</v>
      </c>
      <c r="G40" s="119">
        <f>G26</f>
        <v>0.1767</v>
      </c>
      <c r="H40" s="125">
        <f>IFERROR($Q$6*G40,0)</f>
        <v>0</v>
      </c>
      <c r="I40" s="119">
        <f>I26</f>
        <v>3.8300000000000001E-2</v>
      </c>
      <c r="J40" s="125">
        <f>IFERROR($Q$6*I40,0)</f>
        <v>0</v>
      </c>
      <c r="K40" s="119">
        <f t="shared" ref="K40" si="73">K33</f>
        <v>0</v>
      </c>
      <c r="L40" s="125">
        <f>IFERROR($Q$6*K40,0)</f>
        <v>0</v>
      </c>
      <c r="M40" s="119">
        <f t="shared" ref="M40" si="74">M33</f>
        <v>0.44500000000000001</v>
      </c>
      <c r="N40" s="125">
        <f>IFERROR($Q$6*M40,0)</f>
        <v>0</v>
      </c>
      <c r="O40" s="193"/>
      <c r="P40" s="193"/>
      <c r="Q40" s="240" t="s">
        <v>124</v>
      </c>
      <c r="R40" s="195">
        <f>IF($I$5=Tabela04!$F$5,Tabela04!O5,IF($I$5=Tabela04!$F$6,Tabela04!O6,IF($I$5=Tabela04!$F$7,Tabela04!O7,IF($I$5=Tabela04!$F$8,Tabela04!O8,IF($I$5=Tabela04!$F$9,Tabela04!O9,IF($I$5=Tabela04!$F$10,Tabela04!O10))))))</f>
        <v>0.44500000000000001</v>
      </c>
    </row>
    <row r="41" spans="3:19" ht="35.1" hidden="1" customHeight="1">
      <c r="C41" s="119">
        <f t="shared" ref="C41" si="75">C34</f>
        <v>0.19800000000000001</v>
      </c>
      <c r="D41" s="125">
        <f t="shared" ref="D41:F45" si="76">IFERROR($Q$6*C41,0)</f>
        <v>0</v>
      </c>
      <c r="E41" s="119">
        <f t="shared" ref="E41" si="77">E34</f>
        <v>0.152</v>
      </c>
      <c r="F41" s="125">
        <f t="shared" si="76"/>
        <v>0</v>
      </c>
      <c r="G41" s="119">
        <f t="shared" ref="G41:G45" si="78">G27</f>
        <v>0.20549999999999999</v>
      </c>
      <c r="H41" s="125">
        <f t="shared" ref="H41:H45" si="79">IFERROR($Q$6*G41,0)</f>
        <v>0</v>
      </c>
      <c r="I41" s="119">
        <f t="shared" ref="I41:I45" si="80">I27</f>
        <v>4.4499999999999998E-2</v>
      </c>
      <c r="J41" s="125">
        <f t="shared" ref="J41" si="81">IFERROR($Q$6*I41,0)</f>
        <v>0</v>
      </c>
      <c r="K41" s="119">
        <f t="shared" ref="K41" si="82">K34</f>
        <v>0</v>
      </c>
      <c r="L41" s="125">
        <f t="shared" ref="L41" si="83">IFERROR($Q$6*K41,0)</f>
        <v>0</v>
      </c>
      <c r="M41" s="119">
        <f t="shared" ref="M41" si="84">M34</f>
        <v>0.4</v>
      </c>
      <c r="N41" s="125">
        <f t="shared" ref="N41" si="85">IFERROR($Q$6*M41,0)</f>
        <v>0</v>
      </c>
      <c r="O41" s="193"/>
      <c r="P41" s="193"/>
      <c r="Q41" s="240"/>
      <c r="R41" s="196">
        <f>IFERROR($S$6*R40,0)</f>
        <v>0</v>
      </c>
    </row>
    <row r="42" spans="3:19" ht="35.1" hidden="1" customHeight="1">
      <c r="C42" s="119">
        <f t="shared" ref="C42" si="86">C35</f>
        <v>0.20799999999999999</v>
      </c>
      <c r="D42" s="125">
        <f t="shared" si="76"/>
        <v>0</v>
      </c>
      <c r="E42" s="119">
        <f t="shared" ref="E42" si="87">E35</f>
        <v>0.152</v>
      </c>
      <c r="F42" s="125">
        <f t="shared" si="76"/>
        <v>0</v>
      </c>
      <c r="G42" s="119">
        <f t="shared" si="78"/>
        <v>0.1973</v>
      </c>
      <c r="H42" s="125">
        <f t="shared" si="79"/>
        <v>0</v>
      </c>
      <c r="I42" s="119">
        <f t="shared" si="80"/>
        <v>4.2700000000000002E-2</v>
      </c>
      <c r="J42" s="125">
        <f t="shared" ref="J42" si="88">IFERROR($Q$6*I42,0)</f>
        <v>0</v>
      </c>
      <c r="K42" s="119">
        <f t="shared" ref="K42" si="89">K35</f>
        <v>0</v>
      </c>
      <c r="L42" s="125">
        <f t="shared" ref="L42" si="90">IFERROR($Q$6*K42,0)</f>
        <v>0</v>
      </c>
      <c r="M42" s="119">
        <f t="shared" ref="M42" si="91">M35</f>
        <v>0.4</v>
      </c>
      <c r="N42" s="125">
        <f t="shared" ref="N42" si="92">IFERROR($Q$6*M42,0)</f>
        <v>0</v>
      </c>
      <c r="O42" s="193"/>
      <c r="P42" s="193"/>
      <c r="Q42" s="240"/>
    </row>
    <row r="43" spans="3:19" ht="35.1" hidden="1" customHeight="1">
      <c r="C43" s="119">
        <f t="shared" ref="C43" si="93">C36</f>
        <v>0.17799999999999999</v>
      </c>
      <c r="D43" s="125">
        <f t="shared" si="76"/>
        <v>0</v>
      </c>
      <c r="E43" s="119">
        <f t="shared" ref="E43" si="94">E36</f>
        <v>0.192</v>
      </c>
      <c r="F43" s="125">
        <f t="shared" si="76"/>
        <v>0</v>
      </c>
      <c r="G43" s="119">
        <f t="shared" si="78"/>
        <v>0.189</v>
      </c>
      <c r="H43" s="125">
        <f t="shared" si="79"/>
        <v>0</v>
      </c>
      <c r="I43" s="119">
        <f t="shared" si="80"/>
        <v>4.1000000000000002E-2</v>
      </c>
      <c r="J43" s="125">
        <f t="shared" ref="J43" si="95">IFERROR($Q$6*I43,0)</f>
        <v>0</v>
      </c>
      <c r="K43" s="119">
        <f t="shared" ref="K43" si="96">K36</f>
        <v>0</v>
      </c>
      <c r="L43" s="125">
        <f t="shared" ref="L43" si="97">IFERROR($Q$6*K43,0)</f>
        <v>0</v>
      </c>
      <c r="M43" s="119">
        <f t="shared" ref="M43" si="98">M36</f>
        <v>0.4</v>
      </c>
      <c r="N43" s="125">
        <f t="shared" ref="N43" si="99">IFERROR($Q$6*M43,0)</f>
        <v>0</v>
      </c>
      <c r="O43" s="193"/>
      <c r="P43" s="193"/>
      <c r="Q43" s="240"/>
    </row>
    <row r="44" spans="3:19" ht="35.1" hidden="1" customHeight="1">
      <c r="C44" s="119">
        <f t="shared" ref="C44" si="100">C37</f>
        <v>0.188</v>
      </c>
      <c r="D44" s="125">
        <f t="shared" si="76"/>
        <v>0</v>
      </c>
      <c r="E44" s="119">
        <f t="shared" ref="E44" si="101">E37</f>
        <v>0.192</v>
      </c>
      <c r="F44" s="125">
        <f t="shared" si="76"/>
        <v>0</v>
      </c>
      <c r="G44" s="119">
        <f t="shared" si="78"/>
        <v>0.18079999999999999</v>
      </c>
      <c r="H44" s="125">
        <f t="shared" si="79"/>
        <v>0</v>
      </c>
      <c r="I44" s="119">
        <f t="shared" si="80"/>
        <v>3.9199999999999999E-2</v>
      </c>
      <c r="J44" s="125">
        <f t="shared" ref="J44" si="102">IFERROR($Q$6*I44,0)</f>
        <v>0</v>
      </c>
      <c r="K44" s="119">
        <f t="shared" ref="K44" si="103">K37</f>
        <v>0</v>
      </c>
      <c r="L44" s="125">
        <f t="shared" ref="L44" si="104">IFERROR($Q$6*K44,0)</f>
        <v>0</v>
      </c>
      <c r="M44" s="119">
        <f t="shared" ref="M44" si="105">M37</f>
        <v>0.4</v>
      </c>
      <c r="N44" s="125">
        <f t="shared" ref="N44" si="106">IFERROR($Q$6*M44,0)</f>
        <v>0</v>
      </c>
      <c r="O44" s="193"/>
      <c r="P44" s="193"/>
      <c r="Q44" s="240"/>
    </row>
    <row r="45" spans="3:19" ht="35.1" hidden="1" customHeight="1">
      <c r="C45" s="119">
        <f t="shared" ref="C45" si="107">C38</f>
        <v>0.53500000000000003</v>
      </c>
      <c r="D45" s="125">
        <f t="shared" si="76"/>
        <v>0</v>
      </c>
      <c r="E45" s="119">
        <f t="shared" ref="E45" si="108">E38</f>
        <v>0.215</v>
      </c>
      <c r="F45" s="125">
        <f t="shared" si="76"/>
        <v>0</v>
      </c>
      <c r="G45" s="119">
        <f t="shared" si="78"/>
        <v>0.20549999999999999</v>
      </c>
      <c r="H45" s="125">
        <f t="shared" si="79"/>
        <v>0</v>
      </c>
      <c r="I45" s="119">
        <f t="shared" si="80"/>
        <v>4.4499999999999998E-2</v>
      </c>
      <c r="J45" s="125">
        <f t="shared" ref="J45" si="109">IFERROR($Q$6*I45,0)</f>
        <v>0</v>
      </c>
      <c r="K45" s="119">
        <f t="shared" ref="K45" si="110">K38</f>
        <v>0</v>
      </c>
      <c r="L45" s="125">
        <f t="shared" ref="L45" si="111">IFERROR($Q$6*K45,0)</f>
        <v>0</v>
      </c>
      <c r="M45" s="119">
        <f t="shared" ref="M45" si="112">M38</f>
        <v>0</v>
      </c>
      <c r="N45" s="125">
        <f t="shared" ref="N45" si="113">IFERROR($Q$6*M45,0)</f>
        <v>0</v>
      </c>
      <c r="O45" s="193"/>
      <c r="P45" s="193"/>
      <c r="Q45" s="240"/>
    </row>
    <row r="46" spans="3:19" ht="35.1" hidden="1" customHeight="1"/>
    <row r="47" spans="3:19" ht="35.1" hidden="1" customHeight="1">
      <c r="C47" s="198" t="s">
        <v>81</v>
      </c>
      <c r="D47" s="199" t="str">
        <f>D9</f>
        <v>IRPJ</v>
      </c>
      <c r="E47" s="199" t="str">
        <f t="shared" ref="E47:I47" si="114">E9</f>
        <v>CSLL</v>
      </c>
      <c r="F47" s="199" t="str">
        <f t="shared" si="114"/>
        <v>Cofins</v>
      </c>
      <c r="G47" s="199" t="str">
        <f t="shared" si="114"/>
        <v>PIS/Pasep</v>
      </c>
      <c r="H47" s="199" t="str">
        <f t="shared" si="114"/>
        <v>CPP</v>
      </c>
      <c r="I47" s="199" t="str">
        <f t="shared" si="114"/>
        <v>ISS</v>
      </c>
      <c r="J47" s="26"/>
      <c r="K47" s="26"/>
      <c r="L47" s="26"/>
    </row>
    <row r="48" spans="3:19" ht="35.1" hidden="1" customHeight="1">
      <c r="C48" s="200" t="s">
        <v>69</v>
      </c>
      <c r="D48" s="117">
        <f>Tabela04!J9</f>
        <v>0.188</v>
      </c>
      <c r="E48" s="117">
        <f>Tabela04!K9</f>
        <v>0.192</v>
      </c>
      <c r="F48" s="117">
        <f>Tabela04!L9</f>
        <v>0.18079999999999999</v>
      </c>
      <c r="G48" s="117">
        <f>Tabela04!M9</f>
        <v>3.9199999999999999E-2</v>
      </c>
      <c r="H48" s="117">
        <f>Tabela04!N9</f>
        <v>0</v>
      </c>
      <c r="I48" s="117">
        <f>Tabela04!O9</f>
        <v>0.4</v>
      </c>
      <c r="J48" s="26"/>
      <c r="K48" s="26"/>
      <c r="L48" s="26"/>
    </row>
    <row r="49" spans="3:12" ht="35.1" hidden="1" customHeight="1">
      <c r="C49" s="200" t="s">
        <v>103</v>
      </c>
      <c r="D49" s="117">
        <f>IFERROR($J$49*D48,0)</f>
        <v>8.4600000000000005E-3</v>
      </c>
      <c r="E49" s="117">
        <f t="shared" ref="E49:H49" si="115">IFERROR($J$49*E48,0)</f>
        <v>8.6400000000000018E-3</v>
      </c>
      <c r="F49" s="117">
        <f t="shared" si="115"/>
        <v>8.1360000000000009E-3</v>
      </c>
      <c r="G49" s="117">
        <f t="shared" si="115"/>
        <v>1.7640000000000002E-3</v>
      </c>
      <c r="H49" s="117">
        <f t="shared" si="115"/>
        <v>0</v>
      </c>
      <c r="I49" s="117">
        <f>IFERROR($J$49*I48,0)</f>
        <v>1.8000000000000002E-2</v>
      </c>
      <c r="J49" s="201">
        <f>N5</f>
        <v>4.5000000000000005E-2</v>
      </c>
      <c r="K49" s="26"/>
      <c r="L49" s="26"/>
    </row>
    <row r="50" spans="3:12" ht="35.1" hidden="1" customHeight="1">
      <c r="C50" s="26"/>
      <c r="D50" s="26"/>
      <c r="E50" s="26"/>
      <c r="F50" s="26"/>
      <c r="G50" s="26"/>
      <c r="H50" s="26"/>
      <c r="I50" s="26"/>
      <c r="J50" s="26"/>
      <c r="K50" s="26"/>
      <c r="L50" s="26"/>
    </row>
    <row r="51" spans="3:12" ht="35.1" hidden="1" customHeight="1">
      <c r="C51" s="198" t="s">
        <v>81</v>
      </c>
      <c r="D51" s="199" t="str">
        <f>D47</f>
        <v>IRPJ</v>
      </c>
      <c r="E51" s="199" t="str">
        <f t="shared" ref="E51:I51" si="116">E47</f>
        <v>CSLL</v>
      </c>
      <c r="F51" s="199" t="str">
        <f t="shared" si="116"/>
        <v>Cofins</v>
      </c>
      <c r="G51" s="199" t="str">
        <f t="shared" si="116"/>
        <v>PIS/Pasep</v>
      </c>
      <c r="H51" s="199" t="str">
        <f t="shared" si="116"/>
        <v>CPP</v>
      </c>
      <c r="I51" s="199" t="str">
        <f t="shared" si="116"/>
        <v>ISS</v>
      </c>
      <c r="J51" s="26"/>
      <c r="K51" s="26"/>
      <c r="L51" s="26"/>
    </row>
    <row r="52" spans="3:12" ht="35.1" hidden="1" customHeight="1">
      <c r="C52" s="200" t="s">
        <v>69</v>
      </c>
      <c r="D52" s="117">
        <f>'BH (2)'!C49</f>
        <v>0.31330000000000002</v>
      </c>
      <c r="E52" s="117">
        <f>'BH (2)'!D49</f>
        <v>0.32</v>
      </c>
      <c r="F52" s="117">
        <f>'BH (2)'!E49</f>
        <v>0.30130000000000001</v>
      </c>
      <c r="G52" s="117">
        <f>'BH (2)'!F49</f>
        <v>6.54E-2</v>
      </c>
      <c r="H52" s="117">
        <f>'BH (2)'!G49</f>
        <v>0</v>
      </c>
      <c r="I52" s="117">
        <f>'BH (2)'!H49</f>
        <v>0</v>
      </c>
      <c r="J52" s="26"/>
      <c r="K52" s="26"/>
      <c r="L52" s="26"/>
    </row>
    <row r="53" spans="3:12" ht="35.1" hidden="1" customHeight="1">
      <c r="C53" s="200" t="s">
        <v>103</v>
      </c>
      <c r="D53" s="117">
        <f>IFERROR($J$53*D52,0)</f>
        <v>-1.5664999999999993E-3</v>
      </c>
      <c r="E53" s="117">
        <f t="shared" ref="E53:H53" si="117">IFERROR($J$53*E52,0)</f>
        <v>-1.5999999999999992E-3</v>
      </c>
      <c r="F53" s="117">
        <f t="shared" si="117"/>
        <v>-1.5064999999999994E-3</v>
      </c>
      <c r="G53" s="117">
        <f t="shared" si="117"/>
        <v>-3.2699999999999982E-4</v>
      </c>
      <c r="H53" s="117">
        <f t="shared" si="117"/>
        <v>0</v>
      </c>
      <c r="I53" s="117">
        <v>0.05</v>
      </c>
      <c r="J53" s="165">
        <f>IFERROR(J49-I53,0)</f>
        <v>-4.9999999999999975E-3</v>
      </c>
      <c r="K53" s="202">
        <f>SUM(D53:I53)</f>
        <v>4.5000000000000005E-2</v>
      </c>
      <c r="L53" s="26"/>
    </row>
    <row r="54" spans="3:12" ht="35.1" hidden="1" customHeight="1">
      <c r="C54" s="26"/>
      <c r="D54" s="26"/>
      <c r="E54" s="26"/>
      <c r="F54" s="26"/>
      <c r="G54" s="26"/>
      <c r="H54" s="26"/>
      <c r="I54" s="26"/>
      <c r="J54" s="26"/>
      <c r="K54" s="26"/>
      <c r="L54" s="26"/>
    </row>
    <row r="55" spans="3:12" ht="35.1" hidden="1" customHeight="1">
      <c r="C55" s="203">
        <f>SUM(Lançamentos!D7:D8)</f>
        <v>141431.1</v>
      </c>
      <c r="D55" s="26"/>
      <c r="E55" s="26"/>
      <c r="F55" s="26"/>
      <c r="G55" s="26"/>
      <c r="H55" s="26"/>
      <c r="I55" s="26"/>
      <c r="J55" s="26"/>
      <c r="K55" s="26"/>
      <c r="L55" s="26"/>
    </row>
    <row r="56" spans="3:12" ht="35.1" hidden="1" customHeight="1">
      <c r="C56" s="200" t="s">
        <v>103</v>
      </c>
      <c r="D56" s="166">
        <f>IFERROR($C$55*D53,0)</f>
        <v>-221.55181814999992</v>
      </c>
      <c r="E56" s="166">
        <f>IFERROR($C$55*E53,0)</f>
        <v>-226.28975999999989</v>
      </c>
      <c r="F56" s="166">
        <f t="shared" ref="F56:I56" si="118">IFERROR($C$55*F53,0)</f>
        <v>-213.06595214999993</v>
      </c>
      <c r="G56" s="166">
        <f t="shared" si="118"/>
        <v>-46.247969699999977</v>
      </c>
      <c r="H56" s="166">
        <f t="shared" si="118"/>
        <v>0</v>
      </c>
      <c r="I56" s="166">
        <f t="shared" si="118"/>
        <v>7071.5550000000003</v>
      </c>
      <c r="J56" s="204">
        <f>SUM(D56:I56)</f>
        <v>6364.3995000000004</v>
      </c>
      <c r="K56" s="26"/>
      <c r="L56" s="26"/>
    </row>
    <row r="57" spans="3:12" ht="35.1" hidden="1" customHeight="1">
      <c r="C57" s="203">
        <f>Lançamentos!D9</f>
        <v>0</v>
      </c>
      <c r="D57" s="26"/>
      <c r="E57" s="26"/>
      <c r="F57" s="26"/>
      <c r="G57" s="26"/>
      <c r="H57" s="26"/>
      <c r="I57" s="26"/>
      <c r="J57" s="26"/>
      <c r="K57" s="26"/>
      <c r="L57" s="26"/>
    </row>
    <row r="58" spans="3:12" ht="35.1" hidden="1" customHeight="1">
      <c r="C58" s="200" t="s">
        <v>103</v>
      </c>
      <c r="D58" s="166">
        <f>IFERROR($C$57*D53,0)</f>
        <v>0</v>
      </c>
      <c r="E58" s="166">
        <f t="shared" ref="E58:I58" si="119">IFERROR($C$57*E53,0)</f>
        <v>0</v>
      </c>
      <c r="F58" s="166">
        <f t="shared" si="119"/>
        <v>0</v>
      </c>
      <c r="G58" s="166">
        <f t="shared" si="119"/>
        <v>0</v>
      </c>
      <c r="H58" s="166">
        <f t="shared" si="119"/>
        <v>0</v>
      </c>
      <c r="I58" s="166">
        <f t="shared" si="119"/>
        <v>0</v>
      </c>
      <c r="J58" s="204">
        <f>SUM(D58:I58)</f>
        <v>0</v>
      </c>
      <c r="K58" s="26"/>
      <c r="L58" s="26"/>
    </row>
    <row r="59" spans="3:12" ht="35.1" hidden="1" customHeight="1"/>
    <row r="60" spans="3:12" ht="35.1" hidden="1" customHeight="1"/>
    <row r="61" spans="3:12" ht="35.1" hidden="1" customHeight="1"/>
    <row r="62" spans="3:12" ht="35.1" hidden="1" customHeight="1"/>
    <row r="63" spans="3:12" ht="35.1" hidden="1" customHeight="1"/>
    <row r="64" spans="3:12" ht="35.1" hidden="1" customHeight="1"/>
    <row r="65" ht="35.1" hidden="1" customHeight="1"/>
    <row r="66" ht="35.1" hidden="1" customHeight="1"/>
    <row r="67" ht="35.1" hidden="1" customHeight="1"/>
    <row r="68" ht="35.1" hidden="1" customHeight="1"/>
    <row r="69" ht="35.1" hidden="1" customHeight="1"/>
    <row r="70" ht="35.1" hidden="1" customHeight="1"/>
    <row r="71" ht="35.1" hidden="1" customHeight="1"/>
    <row r="72" ht="35.1" hidden="1" customHeight="1"/>
    <row r="73" ht="35.1" hidden="1" customHeight="1"/>
    <row r="74" ht="35.1" hidden="1" customHeight="1"/>
    <row r="75" ht="35.1" hidden="1" customHeight="1"/>
    <row r="76" ht="35.1" hidden="1" customHeight="1"/>
    <row r="77" ht="35.1" hidden="1" customHeight="1"/>
    <row r="78" ht="35.1" hidden="1" customHeight="1"/>
    <row r="79" ht="35.1" hidden="1" customHeight="1"/>
    <row r="80" ht="35.1" hidden="1" customHeight="1"/>
    <row r="81" ht="35.1" hidden="1" customHeight="1"/>
    <row r="82" ht="35.1" hidden="1" customHeight="1"/>
    <row r="83" ht="35.1" hidden="1" customHeight="1"/>
    <row r="84" ht="35.1" hidden="1" customHeight="1"/>
    <row r="85" ht="35.1" hidden="1" customHeight="1"/>
    <row r="86" ht="35.1" hidden="1" customHeight="1"/>
    <row r="87" ht="35.1" hidden="1" customHeight="1"/>
    <row r="88" ht="35.1" hidden="1" customHeight="1"/>
    <row r="89" ht="35.1" hidden="1" customHeight="1"/>
    <row r="90" ht="35.1" hidden="1" customHeight="1"/>
    <row r="91" ht="35.1" hidden="1" customHeight="1"/>
    <row r="92" ht="35.1" hidden="1" customHeight="1"/>
    <row r="93" ht="35.1" hidden="1" customHeight="1"/>
    <row r="94" ht="35.1" hidden="1" customHeight="1"/>
    <row r="95" ht="35.1" hidden="1" customHeight="1"/>
    <row r="96" ht="35.1" hidden="1" customHeight="1"/>
    <row r="97" ht="35.1" hidden="1" customHeight="1"/>
    <row r="98" ht="35.1" hidden="1" customHeight="1"/>
    <row r="99" ht="35.1" hidden="1" customHeight="1"/>
    <row r="100" ht="35.1" hidden="1" customHeight="1"/>
    <row r="101" ht="35.1" hidden="1" customHeight="1"/>
    <row r="102" ht="35.1" hidden="1" customHeight="1"/>
    <row r="103" ht="35.1" hidden="1" customHeight="1"/>
    <row r="104" ht="35.1" hidden="1" customHeight="1"/>
    <row r="105" ht="35.1" hidden="1" customHeight="1"/>
    <row r="106" ht="35.1" hidden="1" customHeight="1"/>
    <row r="107" ht="35.1" hidden="1" customHeight="1"/>
    <row r="108" ht="35.1" hidden="1" customHeight="1"/>
  </sheetData>
  <sheetProtection sheet="1" objects="1" scenarios="1" selectLockedCells="1" selectUnlockedCells="1"/>
  <mergeCells count="10">
    <mergeCell ref="Q26:Q31"/>
    <mergeCell ref="Q33:Q38"/>
    <mergeCell ref="Q40:Q45"/>
    <mergeCell ref="C17:N17"/>
    <mergeCell ref="O4:P4"/>
    <mergeCell ref="C5:G5"/>
    <mergeCell ref="N5:N6"/>
    <mergeCell ref="O5:P6"/>
    <mergeCell ref="C6:G6"/>
    <mergeCell ref="C8:J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2769" r:id="rId3" name="Group Box 1">
              <controlPr defaultSize="0" autoFill="0" autoPict="0">
                <anchor moveWithCells="1">
                  <from>
                    <xdr:col>1</xdr:col>
                    <xdr:colOff>66675</xdr:colOff>
                    <xdr:row>2</xdr:row>
                    <xdr:rowOff>876300</xdr:rowOff>
                  </from>
                  <to>
                    <xdr:col>6</xdr:col>
                    <xdr:colOff>666750</xdr:colOff>
                    <xdr:row>6</xdr:row>
                    <xdr:rowOff>9525</xdr:rowOff>
                  </to>
                </anchor>
              </controlPr>
            </control>
          </mc:Choice>
        </mc:AlternateContent>
        <mc:AlternateContent xmlns:mc="http://schemas.openxmlformats.org/markup-compatibility/2006">
          <mc:Choice Requires="x14">
            <control shapeId="32770" r:id="rId4" name="Group Box 2">
              <controlPr defaultSize="0" autoFill="0" autoPict="0">
                <anchor moveWithCells="1">
                  <from>
                    <xdr:col>6</xdr:col>
                    <xdr:colOff>752475</xdr:colOff>
                    <xdr:row>2</xdr:row>
                    <xdr:rowOff>876300</xdr:rowOff>
                  </from>
                  <to>
                    <xdr:col>23</xdr:col>
                    <xdr:colOff>85725</xdr:colOff>
                    <xdr:row>6</xdr:row>
                    <xdr:rowOff>9525</xdr:rowOff>
                  </to>
                </anchor>
              </controlPr>
            </control>
          </mc:Choice>
        </mc:AlternateContent>
        <mc:AlternateContent xmlns:mc="http://schemas.openxmlformats.org/markup-compatibility/2006">
          <mc:Choice Requires="x14">
            <control shapeId="32771" r:id="rId5" name="Group Box 3">
              <controlPr defaultSize="0" autoFill="0" autoPict="0">
                <anchor moveWithCells="1">
                  <from>
                    <xdr:col>11</xdr:col>
                    <xdr:colOff>142875</xdr:colOff>
                    <xdr:row>6</xdr:row>
                    <xdr:rowOff>180975</xdr:rowOff>
                  </from>
                  <to>
                    <xdr:col>23</xdr:col>
                    <xdr:colOff>85725</xdr:colOff>
                    <xdr:row>15</xdr:row>
                    <xdr:rowOff>0</xdr:rowOff>
                  </to>
                </anchor>
              </controlPr>
            </control>
          </mc:Choice>
        </mc:AlternateContent>
        <mc:AlternateContent xmlns:mc="http://schemas.openxmlformats.org/markup-compatibility/2006">
          <mc:Choice Requires="x14">
            <control shapeId="32772" r:id="rId6" name="Group Box 4">
              <controlPr defaultSize="0" autoFill="0" autoPict="0">
                <anchor moveWithCells="1">
                  <from>
                    <xdr:col>1</xdr:col>
                    <xdr:colOff>28575</xdr:colOff>
                    <xdr:row>15</xdr:row>
                    <xdr:rowOff>180975</xdr:rowOff>
                  </from>
                  <to>
                    <xdr:col>23</xdr:col>
                    <xdr:colOff>85725</xdr:colOff>
                    <xdr:row>108</xdr:row>
                    <xdr:rowOff>228600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8">
    <tabColor rgb="FF00B050"/>
  </sheetPr>
  <dimension ref="B1:T108"/>
  <sheetViews>
    <sheetView showRowColHeaders="0" workbookViewId="0">
      <pane ySplit="6" topLeftCell="A7" activePane="bottomLeft" state="frozen"/>
      <selection activeCell="Y13" sqref="Y13"/>
      <selection pane="bottomLeft"/>
    </sheetView>
  </sheetViews>
  <sheetFormatPr defaultRowHeight="35.1" customHeight="1"/>
  <cols>
    <col min="1" max="2" width="1.7109375" style="131" customWidth="1"/>
    <col min="3" max="16" width="13.140625" style="131" customWidth="1"/>
    <col min="17" max="17" width="11.7109375" style="131" hidden="1" customWidth="1"/>
    <col min="18" max="18" width="11.28515625" style="131" hidden="1" customWidth="1"/>
    <col min="19" max="19" width="10.28515625" style="131" hidden="1" customWidth="1"/>
    <col min="20" max="20" width="11.28515625" style="131" hidden="1" customWidth="1"/>
    <col min="21" max="23" width="0" style="131" hidden="1" customWidth="1"/>
    <col min="24" max="16384" width="9.140625" style="131"/>
  </cols>
  <sheetData>
    <row r="1" spans="2:20" s="1" customFormat="1" ht="35.1" customHeight="1"/>
    <row r="2" spans="2:20" s="3" customFormat="1" ht="30" customHeight="1"/>
    <row r="3" spans="2:20" ht="69.95" customHeight="1">
      <c r="T3" s="196">
        <f>IFERROR(SUM(T4:T6)+N24,0)</f>
        <v>21921.820500000002</v>
      </c>
    </row>
    <row r="4" spans="2:20" ht="21.95" customHeight="1">
      <c r="C4" s="149"/>
      <c r="D4" s="74"/>
      <c r="E4" s="132"/>
      <c r="F4" s="136"/>
      <c r="G4" s="74"/>
      <c r="N4" s="131" t="s">
        <v>79</v>
      </c>
      <c r="O4" s="234" t="s">
        <v>102</v>
      </c>
      <c r="P4" s="234"/>
      <c r="Q4" s="196">
        <f>IFERROR(Lançamentos!D7*N5,0)</f>
        <v>21921.820500000002</v>
      </c>
      <c r="R4" s="196">
        <f>Lançamentos!D7</f>
        <v>141431.1</v>
      </c>
      <c r="S4" s="196">
        <f>IFERROR(R4*$N$5,0)</f>
        <v>21921.820500000002</v>
      </c>
      <c r="T4" s="196">
        <f>S4</f>
        <v>21921.820500000002</v>
      </c>
    </row>
    <row r="5" spans="2:20" ht="35.1" customHeight="1">
      <c r="C5" s="237"/>
      <c r="D5" s="237"/>
      <c r="E5" s="237"/>
      <c r="F5" s="237"/>
      <c r="G5" s="237"/>
      <c r="H5" s="84">
        <f>Lançamentos!D5</f>
        <v>11785.924999999999</v>
      </c>
      <c r="I5" s="85">
        <f>IF($H$5=0,0,IF($H$5&lt;=Tabela05!$E$5,Tabela05!F5,IF($H$5&lt;=Tabela05!$E$6,Tabela05!F6,IF($H$5&lt;=Tabela05!$E$7,Tabela05!F7,IF($H$5&lt;=Tabela05!$E$8,Tabela05!F8,IF($H$5&lt;=Tabela05!$E$9,Tabela05!F9,IF($H$5&lt;=Tabela05!$E$10,Tabela05!F10,IF($H$5&gt;Tabela05!$E$10,Tabela05!F10))))))))</f>
        <v>0.155</v>
      </c>
      <c r="J5" s="84">
        <f>IF($H$5=0,0,IF($H$5&lt;=Tabela05!$E$5,Tabela05!G5,IF($H$5&lt;=Tabela05!$E$6,Tabela05!G6,IF($H$5&lt;=Tabela05!$E$7,Tabela05!G7,IF($H$5&lt;=Tabela05!$E$8,Tabela05!G8,IF($H$5&lt;=Tabela05!$E$9,Tabela05!G9,IF($H$5&lt;=Tabela05!$E$10,Tabela05!G10)))))))</f>
        <v>0</v>
      </c>
      <c r="L5" s="84">
        <f>IFERROR((H5*I5)-J5,0)</f>
        <v>1826.8183749999998</v>
      </c>
      <c r="N5" s="233">
        <f>IFERROR(L5/L6,0)</f>
        <v>0.155</v>
      </c>
      <c r="O5" s="235">
        <f>IFERROR(T3,0)</f>
        <v>21921.820500000002</v>
      </c>
      <c r="P5" s="235"/>
      <c r="Q5" s="196">
        <f>IFERROR(Lançamentos!D8*N5,0)</f>
        <v>0</v>
      </c>
      <c r="R5" s="196">
        <f>Lançamentos!D8</f>
        <v>0</v>
      </c>
      <c r="S5" s="196">
        <f t="shared" ref="S5:S6" si="0">IFERROR(R5*$N$5,0)</f>
        <v>0</v>
      </c>
      <c r="T5" s="196">
        <f>IFERROR(S5-R34-S34,0)</f>
        <v>0</v>
      </c>
    </row>
    <row r="6" spans="2:20" ht="35.1" customHeight="1">
      <c r="C6" s="237"/>
      <c r="D6" s="237"/>
      <c r="E6" s="237"/>
      <c r="F6" s="237"/>
      <c r="G6" s="237"/>
      <c r="I6" s="83">
        <f>H5</f>
        <v>11785.924999999999</v>
      </c>
      <c r="L6" s="83">
        <f>I6</f>
        <v>11785.924999999999</v>
      </c>
      <c r="N6" s="233"/>
      <c r="O6" s="235"/>
      <c r="P6" s="235"/>
      <c r="Q6" s="197">
        <f>IFERROR(Lançamentos!D9*N5,0)</f>
        <v>0</v>
      </c>
      <c r="R6" s="196">
        <f>Lançamentos!D9</f>
        <v>0</v>
      </c>
      <c r="S6" s="196">
        <f t="shared" si="0"/>
        <v>0</v>
      </c>
      <c r="T6" s="196">
        <f>IFERROR(S6-R41,0)</f>
        <v>0</v>
      </c>
    </row>
    <row r="7" spans="2:20" ht="15" customHeight="1" thickBot="1">
      <c r="C7" s="76"/>
      <c r="D7" s="77"/>
      <c r="E7" s="132"/>
      <c r="F7" s="76"/>
      <c r="G7" s="78"/>
    </row>
    <row r="8" spans="2:20" ht="21.95" customHeight="1">
      <c r="C8" s="231" t="s">
        <v>80</v>
      </c>
      <c r="D8" s="232"/>
      <c r="E8" s="232"/>
      <c r="F8" s="232"/>
      <c r="G8" s="232"/>
      <c r="H8" s="232"/>
      <c r="I8" s="232"/>
      <c r="J8" s="236"/>
    </row>
    <row r="9" spans="2:20" ht="21.95" customHeight="1">
      <c r="B9" s="108"/>
      <c r="C9" s="111" t="s">
        <v>81</v>
      </c>
      <c r="D9" s="112" t="str">
        <f>'BH (2)'!B5</f>
        <v>IRPJ</v>
      </c>
      <c r="E9" s="113" t="str">
        <f>'BH (2)'!D5</f>
        <v>CSLL</v>
      </c>
      <c r="F9" s="114" t="str">
        <f>'BH (2)'!F5</f>
        <v>Cofins</v>
      </c>
      <c r="G9" s="112" t="str">
        <f>'BH (2)'!H5</f>
        <v>PIS/Pasep</v>
      </c>
      <c r="H9" s="113" t="str">
        <f>'BH (2)'!J5</f>
        <v>CPP</v>
      </c>
      <c r="I9" s="115" t="str">
        <f>'BH (2)'!L23</f>
        <v>ISS</v>
      </c>
      <c r="J9" s="116" t="s">
        <v>88</v>
      </c>
      <c r="K9" s="109"/>
    </row>
    <row r="10" spans="2:20" ht="35.1" customHeight="1">
      <c r="B10" s="108"/>
      <c r="C10" s="110" t="s">
        <v>82</v>
      </c>
      <c r="D10" s="129">
        <f>'BH (2)'!C54</f>
        <v>3.875</v>
      </c>
      <c r="E10" s="129">
        <f>'BH (2)'!E54</f>
        <v>2.3249999999999997</v>
      </c>
      <c r="F10" s="129">
        <f>'BH (2)'!G54</f>
        <v>2.1854999999999998</v>
      </c>
      <c r="G10" s="129">
        <f>'BH (2)'!I54</f>
        <v>0.47275</v>
      </c>
      <c r="H10" s="129">
        <f>'BH (2)'!K54</f>
        <v>4.4717500000000001</v>
      </c>
      <c r="I10" s="130">
        <f>'BH (2)'!M54</f>
        <v>2.1700000000000004</v>
      </c>
      <c r="J10" s="151">
        <f>SUM(D10:I10)</f>
        <v>15.499999999999998</v>
      </c>
      <c r="K10" s="109"/>
    </row>
    <row r="11" spans="2:20" ht="35.1" customHeight="1">
      <c r="B11" s="108"/>
      <c r="C11" s="110" t="s">
        <v>83</v>
      </c>
      <c r="D11" s="129">
        <f>'BH (2)'!C55</f>
        <v>3.5649999999999999</v>
      </c>
      <c r="E11" s="129">
        <f>'BH (2)'!E55</f>
        <v>2.3249999999999997</v>
      </c>
      <c r="F11" s="129">
        <f>'BH (2)'!G55</f>
        <v>2.1854999999999998</v>
      </c>
      <c r="G11" s="129">
        <f>'BH (2)'!I55</f>
        <v>0.47275</v>
      </c>
      <c r="H11" s="129">
        <f>'BH (2)'!K55</f>
        <v>4.3167500000000008</v>
      </c>
      <c r="I11" s="130">
        <f>'BH (2)'!M55</f>
        <v>2.6350000000000002</v>
      </c>
      <c r="J11" s="152">
        <f t="shared" ref="J11:J14" si="1">SUM(D11:I11)</f>
        <v>15.5</v>
      </c>
      <c r="K11" s="109"/>
    </row>
    <row r="12" spans="2:20" ht="35.1" customHeight="1">
      <c r="B12" s="108"/>
      <c r="C12" s="110" t="s">
        <v>84</v>
      </c>
      <c r="D12" s="129">
        <f>'BH (2)'!C56</f>
        <v>3.7199999999999998</v>
      </c>
      <c r="E12" s="129">
        <f>'BH (2)'!E56</f>
        <v>2.3249999999999997</v>
      </c>
      <c r="F12" s="129">
        <f>'BH (2)'!G56</f>
        <v>2.3125999999999998</v>
      </c>
      <c r="G12" s="129">
        <f>'BH (2)'!I56</f>
        <v>0.50065000000000004</v>
      </c>
      <c r="H12" s="129">
        <f>'BH (2)'!K56</f>
        <v>3.6967499999999998</v>
      </c>
      <c r="I12" s="130">
        <f>'BH (2)'!M56</f>
        <v>2.9449999999999998</v>
      </c>
      <c r="J12" s="153">
        <f t="shared" si="1"/>
        <v>15.5</v>
      </c>
      <c r="K12" s="109"/>
    </row>
    <row r="13" spans="2:20" ht="35.1" customHeight="1">
      <c r="B13" s="108"/>
      <c r="C13" s="110" t="s">
        <v>85</v>
      </c>
      <c r="D13" s="129">
        <f>'BH (2)'!C57</f>
        <v>3.2549999999999999</v>
      </c>
      <c r="E13" s="129">
        <f>'BH (2)'!E57</f>
        <v>2.3249999999999997</v>
      </c>
      <c r="F13" s="129">
        <f>'BH (2)'!G57</f>
        <v>2.4397000000000002</v>
      </c>
      <c r="G13" s="129">
        <f>'BH (2)'!I57</f>
        <v>0.52854999999999996</v>
      </c>
      <c r="H13" s="129">
        <f>'BH (2)'!K57</f>
        <v>3.6967499999999998</v>
      </c>
      <c r="I13" s="130">
        <f>'BH (2)'!M57</f>
        <v>3.2549999999999999</v>
      </c>
      <c r="J13" s="154">
        <f t="shared" si="1"/>
        <v>15.5</v>
      </c>
      <c r="K13" s="109"/>
    </row>
    <row r="14" spans="2:20" ht="35.1" customHeight="1">
      <c r="B14" s="108"/>
      <c r="C14" s="110" t="s">
        <v>86</v>
      </c>
      <c r="D14" s="129">
        <f>'BH (2)'!C58</f>
        <v>3.5649999999999999</v>
      </c>
      <c r="E14" s="129">
        <f>'BH (2)'!E58</f>
        <v>1.9375</v>
      </c>
      <c r="F14" s="129">
        <f>'BH (2)'!G58</f>
        <v>2.1854999999999998</v>
      </c>
      <c r="G14" s="129">
        <f>'BH (2)'!I58</f>
        <v>0.47275</v>
      </c>
      <c r="H14" s="129">
        <f>'BH (2)'!K58</f>
        <v>3.6967499999999998</v>
      </c>
      <c r="I14" s="130">
        <f>'BH (2)'!M58</f>
        <v>3.6424999999999996</v>
      </c>
      <c r="J14" s="152">
        <f t="shared" si="1"/>
        <v>15.499999999999998</v>
      </c>
      <c r="K14" s="109"/>
    </row>
    <row r="15" spans="2:20" ht="35.1" customHeight="1">
      <c r="B15" s="108"/>
      <c r="C15" s="110" t="s">
        <v>87</v>
      </c>
      <c r="D15" s="129">
        <f>'BH (2)'!C59</f>
        <v>5.4249999999999998</v>
      </c>
      <c r="E15" s="129">
        <f>'BH (2)'!E59</f>
        <v>2.4024999999999999</v>
      </c>
      <c r="F15" s="129">
        <f>'BH (2)'!G59</f>
        <v>2.5482</v>
      </c>
      <c r="G15" s="129">
        <f>'BH (2)'!I59</f>
        <v>0.55179999999999996</v>
      </c>
      <c r="H15" s="129">
        <f>'BH (2)'!K59</f>
        <v>4.5724999999999998</v>
      </c>
      <c r="I15" s="130">
        <f>'BH (2)'!M59</f>
        <v>0</v>
      </c>
      <c r="J15" s="155">
        <f>SUM(D15:I15)</f>
        <v>15.5</v>
      </c>
      <c r="K15" s="109"/>
    </row>
    <row r="16" spans="2:20" ht="30" customHeight="1" thickBot="1">
      <c r="C16" s="132"/>
      <c r="D16" s="132"/>
      <c r="E16" s="132"/>
      <c r="F16" s="79"/>
      <c r="G16" s="77"/>
    </row>
    <row r="17" spans="2:17" ht="21.95" customHeight="1">
      <c r="C17" s="231" t="s">
        <v>89</v>
      </c>
      <c r="D17" s="232"/>
      <c r="E17" s="232"/>
      <c r="F17" s="232"/>
      <c r="G17" s="232"/>
      <c r="H17" s="232"/>
      <c r="I17" s="232"/>
      <c r="J17" s="232"/>
      <c r="K17" s="232"/>
      <c r="L17" s="232"/>
      <c r="M17" s="232"/>
      <c r="N17" s="232"/>
      <c r="O17" s="124"/>
    </row>
    <row r="18" spans="2:17" ht="21.95" customHeight="1">
      <c r="B18" s="108"/>
      <c r="C18" s="118" t="s">
        <v>69</v>
      </c>
      <c r="D18" s="113" t="str">
        <f>D9</f>
        <v>IRPJ</v>
      </c>
      <c r="E18" s="112" t="s">
        <v>69</v>
      </c>
      <c r="F18" s="113" t="str">
        <f>E9</f>
        <v>CSLL</v>
      </c>
      <c r="G18" s="112" t="s">
        <v>69</v>
      </c>
      <c r="H18" s="113" t="str">
        <f>F9</f>
        <v>Cofins</v>
      </c>
      <c r="I18" s="112" t="s">
        <v>69</v>
      </c>
      <c r="J18" s="113" t="str">
        <f>G9</f>
        <v>PIS/Pasep</v>
      </c>
      <c r="K18" s="112" t="s">
        <v>69</v>
      </c>
      <c r="L18" s="113" t="str">
        <f>H9</f>
        <v>CPP</v>
      </c>
      <c r="M18" s="112" t="s">
        <v>69</v>
      </c>
      <c r="N18" s="123" t="str">
        <f>I9</f>
        <v>ISS</v>
      </c>
      <c r="O18" s="109"/>
    </row>
    <row r="19" spans="2:17" ht="35.1" customHeight="1">
      <c r="B19" s="108"/>
      <c r="C19" s="119">
        <f>'BH (2)'!B54</f>
        <v>0.25</v>
      </c>
      <c r="D19" s="125">
        <f>IFERROR(D26+D33+D40,0)</f>
        <v>5480.4551250000004</v>
      </c>
      <c r="E19" s="117">
        <f>'BH (2)'!D54</f>
        <v>0.15</v>
      </c>
      <c r="F19" s="125">
        <f>IFERROR(F26+F33+F40,0)</f>
        <v>3288.2730750000001</v>
      </c>
      <c r="G19" s="117">
        <f>'BH (2)'!F54</f>
        <v>0.14099999999999999</v>
      </c>
      <c r="H19" s="125">
        <f>IFERROR(H26+H33+H40,0)</f>
        <v>3090.9766905000001</v>
      </c>
      <c r="I19" s="117">
        <f>'BH (2)'!H54</f>
        <v>3.0499999999999999E-2</v>
      </c>
      <c r="J19" s="125">
        <f>IFERROR(J26+J33+J40,0)</f>
        <v>668.61552525000002</v>
      </c>
      <c r="K19" s="117">
        <f>'BH (2)'!J54</f>
        <v>0.28849999999999998</v>
      </c>
      <c r="L19" s="125">
        <f>IFERROR(L26+L33+L40,0)</f>
        <v>6324.4452142500004</v>
      </c>
      <c r="M19" s="117">
        <f>'BH (2)'!L54</f>
        <v>0.14000000000000001</v>
      </c>
      <c r="N19" s="183">
        <f>IFERROR(N26+N33+N40-$R$41,0)</f>
        <v>3069.0548700000004</v>
      </c>
      <c r="O19" s="109"/>
    </row>
    <row r="20" spans="2:17" ht="35.1" customHeight="1">
      <c r="B20" s="108"/>
      <c r="C20" s="119">
        <f>'BH (2)'!B55</f>
        <v>0.23</v>
      </c>
      <c r="D20" s="126">
        <f t="shared" ref="D20:D24" si="2">IFERROR(D27+D34+D41,0)</f>
        <v>5042.0187150000002</v>
      </c>
      <c r="E20" s="117">
        <f>'BH (2)'!D55</f>
        <v>0.15</v>
      </c>
      <c r="F20" s="126">
        <f t="shared" ref="F20:F24" si="3">IFERROR(F27+F34+F41,0)</f>
        <v>3288.2730750000001</v>
      </c>
      <c r="G20" s="117">
        <f>'BH (2)'!F55</f>
        <v>0.14099999999999999</v>
      </c>
      <c r="H20" s="126">
        <f t="shared" ref="H20:H24" si="4">IFERROR(H27+H34+H41,0)</f>
        <v>3090.9766905000001</v>
      </c>
      <c r="I20" s="117">
        <f>'BH (2)'!H55</f>
        <v>3.0499999999999999E-2</v>
      </c>
      <c r="J20" s="126">
        <f t="shared" ref="J20:J24" si="5">IFERROR(J27+J34+J41,0)</f>
        <v>668.61552525000002</v>
      </c>
      <c r="K20" s="117">
        <f>'BH (2)'!J55</f>
        <v>0.27850000000000003</v>
      </c>
      <c r="L20" s="126">
        <f t="shared" ref="L20:L24" si="6">IFERROR(L27+L34+L41,0)</f>
        <v>6105.2270092500012</v>
      </c>
      <c r="M20" s="117">
        <f>'BH (2)'!L55</f>
        <v>0.17</v>
      </c>
      <c r="N20" s="184">
        <f t="shared" ref="N20:N23" si="7">IFERROR(N27+N34+N41-$R$41,0)</f>
        <v>3726.7094850000008</v>
      </c>
      <c r="O20" s="109"/>
    </row>
    <row r="21" spans="2:17" ht="35.1" customHeight="1">
      <c r="B21" s="108"/>
      <c r="C21" s="119">
        <f>'BH (2)'!B56</f>
        <v>0.24</v>
      </c>
      <c r="D21" s="126">
        <f t="shared" si="2"/>
        <v>5261.2369200000003</v>
      </c>
      <c r="E21" s="117">
        <f>'BH (2)'!D56</f>
        <v>0.15</v>
      </c>
      <c r="F21" s="126">
        <f t="shared" si="3"/>
        <v>3288.2730750000001</v>
      </c>
      <c r="G21" s="117">
        <f>'BH (2)'!F56</f>
        <v>0.1492</v>
      </c>
      <c r="H21" s="126">
        <f t="shared" si="4"/>
        <v>3270.7356186000002</v>
      </c>
      <c r="I21" s="117">
        <f>'BH (2)'!H56</f>
        <v>3.2300000000000002E-2</v>
      </c>
      <c r="J21" s="126">
        <f t="shared" si="5"/>
        <v>708.0748021500001</v>
      </c>
      <c r="K21" s="117">
        <f>'BH (2)'!J56</f>
        <v>0.23849999999999999</v>
      </c>
      <c r="L21" s="126">
        <f t="shared" si="6"/>
        <v>5228.3541892499998</v>
      </c>
      <c r="M21" s="117">
        <f>'BH (2)'!L56</f>
        <v>0.19</v>
      </c>
      <c r="N21" s="184">
        <f t="shared" si="7"/>
        <v>4165.1458950000006</v>
      </c>
      <c r="O21" s="109"/>
    </row>
    <row r="22" spans="2:17" ht="35.1" customHeight="1">
      <c r="B22" s="108"/>
      <c r="C22" s="119">
        <f>'BH (2)'!B57</f>
        <v>0.21</v>
      </c>
      <c r="D22" s="126">
        <f t="shared" si="2"/>
        <v>4603.5823049999999</v>
      </c>
      <c r="E22" s="117">
        <f>'BH (2)'!D57</f>
        <v>0.15</v>
      </c>
      <c r="F22" s="126">
        <f t="shared" si="3"/>
        <v>3288.2730750000001</v>
      </c>
      <c r="G22" s="117">
        <f>'BH (2)'!F57</f>
        <v>0.15740000000000001</v>
      </c>
      <c r="H22" s="126">
        <f t="shared" si="4"/>
        <v>3450.4945467000007</v>
      </c>
      <c r="I22" s="117">
        <f>'BH (2)'!H57</f>
        <v>3.4099999999999998E-2</v>
      </c>
      <c r="J22" s="126">
        <f t="shared" si="5"/>
        <v>747.53407905000006</v>
      </c>
      <c r="K22" s="117">
        <f>'BH (2)'!J57</f>
        <v>0.23849999999999999</v>
      </c>
      <c r="L22" s="126">
        <f t="shared" si="6"/>
        <v>5228.3541892499998</v>
      </c>
      <c r="M22" s="117">
        <f>'BH (2)'!L57</f>
        <v>0.21</v>
      </c>
      <c r="N22" s="184">
        <f t="shared" si="7"/>
        <v>4603.5823049999999</v>
      </c>
      <c r="O22" s="109"/>
    </row>
    <row r="23" spans="2:17" ht="35.1" customHeight="1">
      <c r="B23" s="108"/>
      <c r="C23" s="119">
        <f>'BH (2)'!B58</f>
        <v>0.23</v>
      </c>
      <c r="D23" s="126">
        <f t="shared" si="2"/>
        <v>5042.0187150000002</v>
      </c>
      <c r="E23" s="117">
        <f>'BH (2)'!D58</f>
        <v>0.125</v>
      </c>
      <c r="F23" s="126">
        <f t="shared" si="3"/>
        <v>2740.2275625000002</v>
      </c>
      <c r="G23" s="117">
        <f>'BH (2)'!F58</f>
        <v>0.14099999999999999</v>
      </c>
      <c r="H23" s="126">
        <f t="shared" si="4"/>
        <v>3090.9766905000001</v>
      </c>
      <c r="I23" s="117">
        <f>'BH (2)'!H58</f>
        <v>3.0499999999999999E-2</v>
      </c>
      <c r="J23" s="126">
        <f t="shared" si="5"/>
        <v>668.61552525000002</v>
      </c>
      <c r="K23" s="117">
        <f>'BH (2)'!J58</f>
        <v>0.23849999999999999</v>
      </c>
      <c r="L23" s="126">
        <f t="shared" si="6"/>
        <v>5228.3541892499998</v>
      </c>
      <c r="M23" s="117">
        <f>'BH (2)'!L58</f>
        <v>0.23499999999999999</v>
      </c>
      <c r="N23" s="184">
        <f t="shared" si="7"/>
        <v>5151.6278174999998</v>
      </c>
      <c r="O23" s="109"/>
    </row>
    <row r="24" spans="2:17" ht="35.1" customHeight="1">
      <c r="B24" s="108"/>
      <c r="C24" s="119">
        <f>'BH (2)'!B59</f>
        <v>0.35</v>
      </c>
      <c r="D24" s="121">
        <f t="shared" si="2"/>
        <v>7672.6371749999998</v>
      </c>
      <c r="E24" s="117">
        <f>'BH (2)'!D59</f>
        <v>0.155</v>
      </c>
      <c r="F24" s="121">
        <f t="shared" si="3"/>
        <v>3397.8821775000001</v>
      </c>
      <c r="G24" s="117">
        <f>'BH (2)'!F59</f>
        <v>0.16439999999999999</v>
      </c>
      <c r="H24" s="121">
        <f t="shared" si="4"/>
        <v>3603.9472902000002</v>
      </c>
      <c r="I24" s="117">
        <f>'BH (2)'!H59</f>
        <v>3.56E-2</v>
      </c>
      <c r="J24" s="121">
        <f t="shared" si="5"/>
        <v>780.41680980000001</v>
      </c>
      <c r="K24" s="117">
        <f>'BH (2)'!J59</f>
        <v>0.29499999999999998</v>
      </c>
      <c r="L24" s="121">
        <f t="shared" si="6"/>
        <v>6466.9370475000005</v>
      </c>
      <c r="M24" s="117">
        <f>'BH (2)'!L59</f>
        <v>0</v>
      </c>
      <c r="N24" s="122">
        <f>Lançamentos!H5</f>
        <v>0</v>
      </c>
      <c r="O24" s="150" t="s">
        <v>101</v>
      </c>
    </row>
    <row r="25" spans="2:17" ht="35.1" hidden="1" customHeight="1"/>
    <row r="26" spans="2:17" ht="35.1" hidden="1" customHeight="1">
      <c r="C26" s="119">
        <f>C19</f>
        <v>0.25</v>
      </c>
      <c r="D26" s="125">
        <f>IFERROR($Q$4*C26,0)</f>
        <v>5480.4551250000004</v>
      </c>
      <c r="E26" s="119">
        <f t="shared" ref="E26" si="8">E19</f>
        <v>0.15</v>
      </c>
      <c r="F26" s="125">
        <f>IFERROR($Q$4*E26,0)</f>
        <v>3288.2730750000001</v>
      </c>
      <c r="G26" s="119">
        <f t="shared" ref="G26" si="9">G19</f>
        <v>0.14099999999999999</v>
      </c>
      <c r="H26" s="125">
        <f>IFERROR($Q$4*G26,0)</f>
        <v>3090.9766905000001</v>
      </c>
      <c r="I26" s="119">
        <f t="shared" ref="I26" si="10">I19</f>
        <v>3.0499999999999999E-2</v>
      </c>
      <c r="J26" s="125">
        <f>IFERROR($Q$4*I26,0)</f>
        <v>668.61552525000002</v>
      </c>
      <c r="K26" s="119">
        <f t="shared" ref="K26" si="11">K19</f>
        <v>0.28849999999999998</v>
      </c>
      <c r="L26" s="125">
        <f>IFERROR($Q$4*K26,0)</f>
        <v>6324.4452142500004</v>
      </c>
      <c r="M26" s="119">
        <f t="shared" ref="M26" si="12">M19</f>
        <v>0.14000000000000001</v>
      </c>
      <c r="N26" s="125">
        <f>IFERROR($Q$4*M26,0)</f>
        <v>3069.0548700000004</v>
      </c>
      <c r="O26" s="193"/>
      <c r="Q26" s="240" t="s">
        <v>122</v>
      </c>
    </row>
    <row r="27" spans="2:17" ht="35.1" hidden="1" customHeight="1">
      <c r="C27" s="119">
        <f t="shared" ref="C27:M31" si="13">C20</f>
        <v>0.23</v>
      </c>
      <c r="D27" s="125">
        <f t="shared" ref="D27:F31" si="14">IFERROR($Q$4*C27,0)</f>
        <v>5042.0187150000002</v>
      </c>
      <c r="E27" s="119">
        <f t="shared" si="13"/>
        <v>0.15</v>
      </c>
      <c r="F27" s="125">
        <f t="shared" si="14"/>
        <v>3288.2730750000001</v>
      </c>
      <c r="G27" s="119">
        <f t="shared" si="13"/>
        <v>0.14099999999999999</v>
      </c>
      <c r="H27" s="125">
        <f t="shared" ref="H27" si="15">IFERROR($Q$4*G27,0)</f>
        <v>3090.9766905000001</v>
      </c>
      <c r="I27" s="119">
        <f t="shared" si="13"/>
        <v>3.0499999999999999E-2</v>
      </c>
      <c r="J27" s="125">
        <f t="shared" ref="J27" si="16">IFERROR($Q$4*I27,0)</f>
        <v>668.61552525000002</v>
      </c>
      <c r="K27" s="119">
        <f t="shared" si="13"/>
        <v>0.27850000000000003</v>
      </c>
      <c r="L27" s="125">
        <f t="shared" ref="L27" si="17">IFERROR($Q$4*K27,0)</f>
        <v>6105.2270092500012</v>
      </c>
      <c r="M27" s="119">
        <f t="shared" si="13"/>
        <v>0.17</v>
      </c>
      <c r="N27" s="125">
        <f t="shared" ref="N27" si="18">IFERROR($Q$4*M27,0)</f>
        <v>3726.7094850000008</v>
      </c>
      <c r="O27" s="193"/>
      <c r="Q27" s="240"/>
    </row>
    <row r="28" spans="2:17" ht="35.1" hidden="1" customHeight="1">
      <c r="C28" s="119">
        <f t="shared" si="13"/>
        <v>0.24</v>
      </c>
      <c r="D28" s="125">
        <f t="shared" si="14"/>
        <v>5261.2369200000003</v>
      </c>
      <c r="E28" s="119">
        <f t="shared" si="13"/>
        <v>0.15</v>
      </c>
      <c r="F28" s="125">
        <f t="shared" si="14"/>
        <v>3288.2730750000001</v>
      </c>
      <c r="G28" s="119">
        <f t="shared" si="13"/>
        <v>0.1492</v>
      </c>
      <c r="H28" s="125">
        <f t="shared" ref="H28" si="19">IFERROR($Q$4*G28,0)</f>
        <v>3270.7356186000002</v>
      </c>
      <c r="I28" s="119">
        <f t="shared" si="13"/>
        <v>3.2300000000000002E-2</v>
      </c>
      <c r="J28" s="125">
        <f t="shared" ref="J28" si="20">IFERROR($Q$4*I28,0)</f>
        <v>708.0748021500001</v>
      </c>
      <c r="K28" s="119">
        <f t="shared" si="13"/>
        <v>0.23849999999999999</v>
      </c>
      <c r="L28" s="125">
        <f t="shared" ref="L28" si="21">IFERROR($Q$4*K28,0)</f>
        <v>5228.3541892499998</v>
      </c>
      <c r="M28" s="119">
        <f t="shared" si="13"/>
        <v>0.19</v>
      </c>
      <c r="N28" s="125">
        <f t="shared" ref="N28" si="22">IFERROR($Q$4*M28,0)</f>
        <v>4165.1458950000006</v>
      </c>
      <c r="O28" s="193"/>
      <c r="Q28" s="240"/>
    </row>
    <row r="29" spans="2:17" ht="35.1" hidden="1" customHeight="1">
      <c r="C29" s="119">
        <f t="shared" si="13"/>
        <v>0.21</v>
      </c>
      <c r="D29" s="125">
        <f t="shared" si="14"/>
        <v>4603.5823049999999</v>
      </c>
      <c r="E29" s="119">
        <f t="shared" si="13"/>
        <v>0.15</v>
      </c>
      <c r="F29" s="125">
        <f t="shared" si="14"/>
        <v>3288.2730750000001</v>
      </c>
      <c r="G29" s="119">
        <f t="shared" si="13"/>
        <v>0.15740000000000001</v>
      </c>
      <c r="H29" s="125">
        <f t="shared" ref="H29" si="23">IFERROR($Q$4*G29,0)</f>
        <v>3450.4945467000007</v>
      </c>
      <c r="I29" s="119">
        <f t="shared" si="13"/>
        <v>3.4099999999999998E-2</v>
      </c>
      <c r="J29" s="125">
        <f t="shared" ref="J29" si="24">IFERROR($Q$4*I29,0)</f>
        <v>747.53407905000006</v>
      </c>
      <c r="K29" s="119">
        <f t="shared" si="13"/>
        <v>0.23849999999999999</v>
      </c>
      <c r="L29" s="125">
        <f t="shared" ref="L29" si="25">IFERROR($Q$4*K29,0)</f>
        <v>5228.3541892499998</v>
      </c>
      <c r="M29" s="119">
        <f t="shared" si="13"/>
        <v>0.21</v>
      </c>
      <c r="N29" s="125">
        <f t="shared" ref="N29" si="26">IFERROR($Q$4*M29,0)</f>
        <v>4603.5823049999999</v>
      </c>
      <c r="O29" s="193"/>
      <c r="Q29" s="240"/>
    </row>
    <row r="30" spans="2:17" ht="35.1" hidden="1" customHeight="1">
      <c r="C30" s="119">
        <f t="shared" si="13"/>
        <v>0.23</v>
      </c>
      <c r="D30" s="125">
        <f t="shared" si="14"/>
        <v>5042.0187150000002</v>
      </c>
      <c r="E30" s="119">
        <f t="shared" si="13"/>
        <v>0.125</v>
      </c>
      <c r="F30" s="125">
        <f t="shared" si="14"/>
        <v>2740.2275625000002</v>
      </c>
      <c r="G30" s="119">
        <f t="shared" si="13"/>
        <v>0.14099999999999999</v>
      </c>
      <c r="H30" s="125">
        <f t="shared" ref="H30" si="27">IFERROR($Q$4*G30,0)</f>
        <v>3090.9766905000001</v>
      </c>
      <c r="I30" s="119">
        <f t="shared" si="13"/>
        <v>3.0499999999999999E-2</v>
      </c>
      <c r="J30" s="125">
        <f t="shared" ref="J30" si="28">IFERROR($Q$4*I30,0)</f>
        <v>668.61552525000002</v>
      </c>
      <c r="K30" s="119">
        <f t="shared" si="13"/>
        <v>0.23849999999999999</v>
      </c>
      <c r="L30" s="125">
        <f t="shared" ref="L30" si="29">IFERROR($Q$4*K30,0)</f>
        <v>5228.3541892499998</v>
      </c>
      <c r="M30" s="119">
        <f t="shared" si="13"/>
        <v>0.23499999999999999</v>
      </c>
      <c r="N30" s="125">
        <f t="shared" ref="N30" si="30">IFERROR($Q$4*M30,0)</f>
        <v>5151.6278174999998</v>
      </c>
      <c r="O30" s="193"/>
      <c r="Q30" s="240"/>
    </row>
    <row r="31" spans="2:17" ht="35.1" hidden="1" customHeight="1">
      <c r="C31" s="119">
        <f t="shared" si="13"/>
        <v>0.35</v>
      </c>
      <c r="D31" s="125">
        <f t="shared" si="14"/>
        <v>7672.6371749999998</v>
      </c>
      <c r="E31" s="119">
        <f t="shared" si="13"/>
        <v>0.155</v>
      </c>
      <c r="F31" s="125">
        <f t="shared" si="14"/>
        <v>3397.8821775000001</v>
      </c>
      <c r="G31" s="119">
        <f t="shared" si="13"/>
        <v>0.16439999999999999</v>
      </c>
      <c r="H31" s="125">
        <f t="shared" ref="H31" si="31">IFERROR($Q$4*G31,0)</f>
        <v>3603.9472902000002</v>
      </c>
      <c r="I31" s="119">
        <f t="shared" si="13"/>
        <v>3.56E-2</v>
      </c>
      <c r="J31" s="125">
        <f t="shared" ref="J31" si="32">IFERROR($Q$4*I31,0)</f>
        <v>780.41680980000001</v>
      </c>
      <c r="K31" s="119">
        <f t="shared" si="13"/>
        <v>0.29499999999999998</v>
      </c>
      <c r="L31" s="125">
        <f t="shared" ref="L31" si="33">IFERROR($Q$4*K31,0)</f>
        <v>6466.9370475000005</v>
      </c>
      <c r="M31" s="119">
        <f t="shared" si="13"/>
        <v>0</v>
      </c>
      <c r="N31" s="125">
        <f t="shared" ref="N31" si="34">IFERROR($Q$4*M31,0)</f>
        <v>0</v>
      </c>
      <c r="O31" s="193"/>
      <c r="Q31" s="240"/>
    </row>
    <row r="32" spans="2:17" ht="35.1" hidden="1" customHeight="1"/>
    <row r="33" spans="3:19" ht="35.1" hidden="1" customHeight="1">
      <c r="C33" s="119">
        <f>C26</f>
        <v>0.25</v>
      </c>
      <c r="D33" s="125">
        <f>IFERROR($Q$5*C33,0)</f>
        <v>0</v>
      </c>
      <c r="E33" s="119">
        <f t="shared" ref="E33" si="35">E26</f>
        <v>0.15</v>
      </c>
      <c r="F33" s="125">
        <f>IFERROR($Q$5*E33,0)</f>
        <v>0</v>
      </c>
      <c r="G33" s="119">
        <v>0</v>
      </c>
      <c r="H33" s="125">
        <f>IFERROR($Q$5*G33,0)</f>
        <v>0</v>
      </c>
      <c r="I33" s="119">
        <v>0</v>
      </c>
      <c r="J33" s="125">
        <f>IFERROR($Q$5*I33,0)</f>
        <v>0</v>
      </c>
      <c r="K33" s="119">
        <f t="shared" ref="K33" si="36">K26</f>
        <v>0.28849999999999998</v>
      </c>
      <c r="L33" s="125">
        <f>IFERROR($Q$5*K33,0)</f>
        <v>0</v>
      </c>
      <c r="M33" s="119">
        <f t="shared" ref="M33" si="37">M26</f>
        <v>0.14000000000000001</v>
      </c>
      <c r="N33" s="125">
        <f>IFERROR($Q$5*M33,0)</f>
        <v>0</v>
      </c>
      <c r="Q33" s="240" t="s">
        <v>123</v>
      </c>
      <c r="R33" s="195">
        <f>IF($I$5=Tabela05!$F$5,Tabela05!L5,IF($I$5=Tabela05!$F$6,Tabela05!L6,IF($I$5=Tabela05!$F$7,Tabela05!L7,IF($I$5=Tabela05!$F$8,Tabela05!L8,IF($I$5=Tabela05!$F$9,Tabela05!L9,IF($I$5=Tabela05!$F$10,Tabela05!L10))))))</f>
        <v>0.14099999999999999</v>
      </c>
      <c r="S33" s="195">
        <f>IF($I$5=Tabela05!$F$5,Tabela05!M5,IF($I$5=Tabela05!$F$6,Tabela05!M6,IF($I$5=Tabela05!$F$7,Tabela05!M7,IF($I$5=Tabela05!$F$8,Tabela05!M8,IF($I$5=Tabela05!$F$9,Tabela05!M9,IF($I$5=Tabela05!$F$10,Tabela05!M10))))))</f>
        <v>3.0499999999999999E-2</v>
      </c>
    </row>
    <row r="34" spans="3:19" ht="35.1" hidden="1" customHeight="1">
      <c r="C34" s="119">
        <f t="shared" ref="C34:M38" si="38">C27</f>
        <v>0.23</v>
      </c>
      <c r="D34" s="125">
        <f t="shared" ref="D34:F38" si="39">IFERROR($Q$5*C34,0)</f>
        <v>0</v>
      </c>
      <c r="E34" s="119">
        <f t="shared" si="38"/>
        <v>0.15</v>
      </c>
      <c r="F34" s="125">
        <f t="shared" si="39"/>
        <v>0</v>
      </c>
      <c r="G34" s="119">
        <v>0</v>
      </c>
      <c r="H34" s="125">
        <f t="shared" ref="H34:H38" si="40">IFERROR($Q$5*G34,0)</f>
        <v>0</v>
      </c>
      <c r="I34" s="119">
        <v>0</v>
      </c>
      <c r="J34" s="125">
        <f t="shared" ref="J34" si="41">IFERROR($Q$5*I34,0)</f>
        <v>0</v>
      </c>
      <c r="K34" s="119">
        <f t="shared" si="38"/>
        <v>0.27850000000000003</v>
      </c>
      <c r="L34" s="125">
        <f t="shared" ref="L34" si="42">IFERROR($Q$5*K34,0)</f>
        <v>0</v>
      </c>
      <c r="M34" s="119">
        <f t="shared" si="38"/>
        <v>0.17</v>
      </c>
      <c r="N34" s="125">
        <f t="shared" ref="N34" si="43">IFERROR($Q$5*M34,0)</f>
        <v>0</v>
      </c>
      <c r="Q34" s="240"/>
      <c r="R34" s="196">
        <f>IFERROR($S$5*R33,0)</f>
        <v>0</v>
      </c>
      <c r="S34" s="196">
        <f>IFERROR($S$5*S33,0)</f>
        <v>0</v>
      </c>
    </row>
    <row r="35" spans="3:19" ht="35.1" hidden="1" customHeight="1">
      <c r="C35" s="119">
        <f t="shared" si="38"/>
        <v>0.24</v>
      </c>
      <c r="D35" s="125">
        <f t="shared" si="39"/>
        <v>0</v>
      </c>
      <c r="E35" s="119">
        <f t="shared" si="38"/>
        <v>0.15</v>
      </c>
      <c r="F35" s="125">
        <f t="shared" si="39"/>
        <v>0</v>
      </c>
      <c r="G35" s="119">
        <v>0</v>
      </c>
      <c r="H35" s="125">
        <f t="shared" si="40"/>
        <v>0</v>
      </c>
      <c r="I35" s="119">
        <v>0</v>
      </c>
      <c r="J35" s="125">
        <f t="shared" ref="J35" si="44">IFERROR($Q$5*I35,0)</f>
        <v>0</v>
      </c>
      <c r="K35" s="119">
        <f t="shared" si="38"/>
        <v>0.23849999999999999</v>
      </c>
      <c r="L35" s="125">
        <f t="shared" ref="L35" si="45">IFERROR($Q$5*K35,0)</f>
        <v>0</v>
      </c>
      <c r="M35" s="119">
        <f t="shared" si="38"/>
        <v>0.19</v>
      </c>
      <c r="N35" s="125">
        <f t="shared" ref="N35" si="46">IFERROR($Q$5*M35,0)</f>
        <v>0</v>
      </c>
      <c r="Q35" s="240"/>
    </row>
    <row r="36" spans="3:19" ht="35.1" hidden="1" customHeight="1">
      <c r="C36" s="119">
        <f t="shared" si="38"/>
        <v>0.21</v>
      </c>
      <c r="D36" s="125">
        <f t="shared" si="39"/>
        <v>0</v>
      </c>
      <c r="E36" s="119">
        <f t="shared" si="38"/>
        <v>0.15</v>
      </c>
      <c r="F36" s="125">
        <f t="shared" si="39"/>
        <v>0</v>
      </c>
      <c r="G36" s="119">
        <v>0</v>
      </c>
      <c r="H36" s="125">
        <f t="shared" si="40"/>
        <v>0</v>
      </c>
      <c r="I36" s="119">
        <v>0</v>
      </c>
      <c r="J36" s="125">
        <f t="shared" ref="J36" si="47">IFERROR($Q$5*I36,0)</f>
        <v>0</v>
      </c>
      <c r="K36" s="119">
        <f t="shared" si="38"/>
        <v>0.23849999999999999</v>
      </c>
      <c r="L36" s="125">
        <f t="shared" ref="L36" si="48">IFERROR($Q$5*K36,0)</f>
        <v>0</v>
      </c>
      <c r="M36" s="119">
        <f t="shared" si="38"/>
        <v>0.21</v>
      </c>
      <c r="N36" s="125">
        <f t="shared" ref="N36" si="49">IFERROR($Q$5*M36,0)</f>
        <v>0</v>
      </c>
      <c r="Q36" s="240"/>
    </row>
    <row r="37" spans="3:19" ht="35.1" hidden="1" customHeight="1">
      <c r="C37" s="119">
        <f t="shared" si="38"/>
        <v>0.23</v>
      </c>
      <c r="D37" s="125">
        <f t="shared" si="39"/>
        <v>0</v>
      </c>
      <c r="E37" s="119">
        <f t="shared" si="38"/>
        <v>0.125</v>
      </c>
      <c r="F37" s="125">
        <f t="shared" si="39"/>
        <v>0</v>
      </c>
      <c r="G37" s="119">
        <v>0</v>
      </c>
      <c r="H37" s="125">
        <f t="shared" si="40"/>
        <v>0</v>
      </c>
      <c r="I37" s="119">
        <v>0</v>
      </c>
      <c r="J37" s="125">
        <f t="shared" ref="J37" si="50">IFERROR($Q$5*I37,0)</f>
        <v>0</v>
      </c>
      <c r="K37" s="119">
        <f t="shared" si="38"/>
        <v>0.23849999999999999</v>
      </c>
      <c r="L37" s="125">
        <f t="shared" ref="L37" si="51">IFERROR($Q$5*K37,0)</f>
        <v>0</v>
      </c>
      <c r="M37" s="119">
        <f t="shared" si="38"/>
        <v>0.23499999999999999</v>
      </c>
      <c r="N37" s="125">
        <f t="shared" ref="N37" si="52">IFERROR($Q$5*M37,0)</f>
        <v>0</v>
      </c>
      <c r="Q37" s="240"/>
    </row>
    <row r="38" spans="3:19" ht="35.1" hidden="1" customHeight="1">
      <c r="C38" s="119">
        <f t="shared" si="38"/>
        <v>0.35</v>
      </c>
      <c r="D38" s="125">
        <f t="shared" si="39"/>
        <v>0</v>
      </c>
      <c r="E38" s="119">
        <f t="shared" si="38"/>
        <v>0.155</v>
      </c>
      <c r="F38" s="125">
        <f t="shared" si="39"/>
        <v>0</v>
      </c>
      <c r="G38" s="119">
        <v>0</v>
      </c>
      <c r="H38" s="125">
        <f t="shared" si="40"/>
        <v>0</v>
      </c>
      <c r="I38" s="119">
        <v>0</v>
      </c>
      <c r="J38" s="125">
        <f t="shared" ref="J38" si="53">IFERROR($Q$5*I38,0)</f>
        <v>0</v>
      </c>
      <c r="K38" s="119">
        <f t="shared" si="38"/>
        <v>0.29499999999999998</v>
      </c>
      <c r="L38" s="125">
        <f t="shared" ref="L38" si="54">IFERROR($Q$5*K38,0)</f>
        <v>0</v>
      </c>
      <c r="M38" s="119">
        <f t="shared" si="38"/>
        <v>0</v>
      </c>
      <c r="N38" s="125">
        <f t="shared" ref="N38" si="55">IFERROR($Q$5*M38,0)</f>
        <v>0</v>
      </c>
      <c r="Q38" s="240"/>
    </row>
    <row r="39" spans="3:19" ht="35.1" hidden="1" customHeight="1">
      <c r="G39" s="194"/>
      <c r="H39" s="194"/>
      <c r="I39" s="194"/>
    </row>
    <row r="40" spans="3:19" ht="35.1" hidden="1" customHeight="1">
      <c r="C40" s="119">
        <f>C33</f>
        <v>0.25</v>
      </c>
      <c r="D40" s="125">
        <f>IFERROR($Q$6*C40,0)</f>
        <v>0</v>
      </c>
      <c r="E40" s="119">
        <f t="shared" ref="E40" si="56">E33</f>
        <v>0.15</v>
      </c>
      <c r="F40" s="125">
        <f>IFERROR($Q$6*E40,0)</f>
        <v>0</v>
      </c>
      <c r="G40" s="119">
        <f>G26</f>
        <v>0.14099999999999999</v>
      </c>
      <c r="H40" s="125">
        <f>IFERROR($Q$6*G40,0)</f>
        <v>0</v>
      </c>
      <c r="I40" s="119">
        <f>I26</f>
        <v>3.0499999999999999E-2</v>
      </c>
      <c r="J40" s="125">
        <f>IFERROR($Q$6*I40,0)</f>
        <v>0</v>
      </c>
      <c r="K40" s="119">
        <f t="shared" ref="K40" si="57">K33</f>
        <v>0.28849999999999998</v>
      </c>
      <c r="L40" s="125">
        <f>IFERROR($Q$6*K40,0)</f>
        <v>0</v>
      </c>
      <c r="M40" s="119">
        <f t="shared" ref="M40" si="58">M33</f>
        <v>0.14000000000000001</v>
      </c>
      <c r="N40" s="125">
        <f>IFERROR($Q$6*M40,0)</f>
        <v>0</v>
      </c>
      <c r="O40" s="193"/>
      <c r="P40" s="193"/>
      <c r="Q40" s="240" t="s">
        <v>124</v>
      </c>
      <c r="R40" s="195">
        <f>IF($I$5=Tabela05!$F$5,Tabela05!O5,IF($I$5=Tabela05!$F$6,Tabela05!O6,IF($I$5=Tabela05!$F$7,Tabela05!O7,IF($I$5=Tabela05!$F$8,Tabela05!O8,IF($I$5=Tabela05!$F$9,Tabela05!O9,IF($I$5=Tabela05!$F$10,Tabela05!O10))))))</f>
        <v>0.14000000000000001</v>
      </c>
    </row>
    <row r="41" spans="3:19" ht="35.1" hidden="1" customHeight="1">
      <c r="C41" s="119">
        <f t="shared" ref="C41" si="59">C34</f>
        <v>0.23</v>
      </c>
      <c r="D41" s="125">
        <f t="shared" ref="D41:F45" si="60">IFERROR($Q$6*C41,0)</f>
        <v>0</v>
      </c>
      <c r="E41" s="119">
        <f t="shared" ref="E41" si="61">E34</f>
        <v>0.15</v>
      </c>
      <c r="F41" s="125">
        <f t="shared" si="60"/>
        <v>0</v>
      </c>
      <c r="G41" s="119">
        <f t="shared" ref="G41:G45" si="62">G27</f>
        <v>0.14099999999999999</v>
      </c>
      <c r="H41" s="125">
        <f t="shared" ref="H41:H45" si="63">IFERROR($Q$6*G41,0)</f>
        <v>0</v>
      </c>
      <c r="I41" s="119">
        <f t="shared" ref="I41:I45" si="64">I27</f>
        <v>3.0499999999999999E-2</v>
      </c>
      <c r="J41" s="125">
        <f t="shared" ref="J41" si="65">IFERROR($Q$6*I41,0)</f>
        <v>0</v>
      </c>
      <c r="K41" s="119">
        <f t="shared" ref="K41" si="66">K34</f>
        <v>0.27850000000000003</v>
      </c>
      <c r="L41" s="125">
        <f t="shared" ref="L41" si="67">IFERROR($Q$6*K41,0)</f>
        <v>0</v>
      </c>
      <c r="M41" s="119">
        <f t="shared" ref="M41" si="68">M34</f>
        <v>0.17</v>
      </c>
      <c r="N41" s="125">
        <f t="shared" ref="N41" si="69">IFERROR($Q$6*M41,0)</f>
        <v>0</v>
      </c>
      <c r="O41" s="193"/>
      <c r="P41" s="193"/>
      <c r="Q41" s="240"/>
      <c r="R41" s="196">
        <f>IFERROR($S$6*R40,0)</f>
        <v>0</v>
      </c>
    </row>
    <row r="42" spans="3:19" ht="35.1" hidden="1" customHeight="1">
      <c r="C42" s="119">
        <f t="shared" ref="C42" si="70">C35</f>
        <v>0.24</v>
      </c>
      <c r="D42" s="125">
        <f t="shared" si="60"/>
        <v>0</v>
      </c>
      <c r="E42" s="119">
        <f t="shared" ref="E42" si="71">E35</f>
        <v>0.15</v>
      </c>
      <c r="F42" s="125">
        <f t="shared" si="60"/>
        <v>0</v>
      </c>
      <c r="G42" s="119">
        <f t="shared" si="62"/>
        <v>0.1492</v>
      </c>
      <c r="H42" s="125">
        <f t="shared" si="63"/>
        <v>0</v>
      </c>
      <c r="I42" s="119">
        <f t="shared" si="64"/>
        <v>3.2300000000000002E-2</v>
      </c>
      <c r="J42" s="125">
        <f t="shared" ref="J42" si="72">IFERROR($Q$6*I42,0)</f>
        <v>0</v>
      </c>
      <c r="K42" s="119">
        <f t="shared" ref="K42" si="73">K35</f>
        <v>0.23849999999999999</v>
      </c>
      <c r="L42" s="125">
        <f t="shared" ref="L42" si="74">IFERROR($Q$6*K42,0)</f>
        <v>0</v>
      </c>
      <c r="M42" s="119">
        <f t="shared" ref="M42" si="75">M35</f>
        <v>0.19</v>
      </c>
      <c r="N42" s="125">
        <f t="shared" ref="N42" si="76">IFERROR($Q$6*M42,0)</f>
        <v>0</v>
      </c>
      <c r="O42" s="193"/>
      <c r="P42" s="193"/>
      <c r="Q42" s="240"/>
    </row>
    <row r="43" spans="3:19" ht="35.1" hidden="1" customHeight="1">
      <c r="C43" s="119">
        <f t="shared" ref="C43" si="77">C36</f>
        <v>0.21</v>
      </c>
      <c r="D43" s="125">
        <f t="shared" si="60"/>
        <v>0</v>
      </c>
      <c r="E43" s="119">
        <f t="shared" ref="E43" si="78">E36</f>
        <v>0.15</v>
      </c>
      <c r="F43" s="125">
        <f t="shared" si="60"/>
        <v>0</v>
      </c>
      <c r="G43" s="119">
        <f t="shared" si="62"/>
        <v>0.15740000000000001</v>
      </c>
      <c r="H43" s="125">
        <f t="shared" si="63"/>
        <v>0</v>
      </c>
      <c r="I43" s="119">
        <f t="shared" si="64"/>
        <v>3.4099999999999998E-2</v>
      </c>
      <c r="J43" s="125">
        <f t="shared" ref="J43" si="79">IFERROR($Q$6*I43,0)</f>
        <v>0</v>
      </c>
      <c r="K43" s="119">
        <f t="shared" ref="K43" si="80">K36</f>
        <v>0.23849999999999999</v>
      </c>
      <c r="L43" s="125">
        <f t="shared" ref="L43" si="81">IFERROR($Q$6*K43,0)</f>
        <v>0</v>
      </c>
      <c r="M43" s="119">
        <f t="shared" ref="M43" si="82">M36</f>
        <v>0.21</v>
      </c>
      <c r="N43" s="125">
        <f t="shared" ref="N43" si="83">IFERROR($Q$6*M43,0)</f>
        <v>0</v>
      </c>
      <c r="O43" s="193"/>
      <c r="P43" s="193"/>
      <c r="Q43" s="240"/>
    </row>
    <row r="44" spans="3:19" ht="35.1" hidden="1" customHeight="1">
      <c r="C44" s="119">
        <f t="shared" ref="C44" si="84">C37</f>
        <v>0.23</v>
      </c>
      <c r="D44" s="125">
        <f t="shared" si="60"/>
        <v>0</v>
      </c>
      <c r="E44" s="119">
        <f t="shared" ref="E44" si="85">E37</f>
        <v>0.125</v>
      </c>
      <c r="F44" s="125">
        <f t="shared" si="60"/>
        <v>0</v>
      </c>
      <c r="G44" s="119">
        <f t="shared" si="62"/>
        <v>0.14099999999999999</v>
      </c>
      <c r="H44" s="125">
        <f t="shared" si="63"/>
        <v>0</v>
      </c>
      <c r="I44" s="119">
        <f t="shared" si="64"/>
        <v>3.0499999999999999E-2</v>
      </c>
      <c r="J44" s="125">
        <f t="shared" ref="J44" si="86">IFERROR($Q$6*I44,0)</f>
        <v>0</v>
      </c>
      <c r="K44" s="119">
        <f t="shared" ref="K44" si="87">K37</f>
        <v>0.23849999999999999</v>
      </c>
      <c r="L44" s="125">
        <f t="shared" ref="L44" si="88">IFERROR($Q$6*K44,0)</f>
        <v>0</v>
      </c>
      <c r="M44" s="119">
        <f t="shared" ref="M44" si="89">M37</f>
        <v>0.23499999999999999</v>
      </c>
      <c r="N44" s="125">
        <f t="shared" ref="N44" si="90">IFERROR($Q$6*M44,0)</f>
        <v>0</v>
      </c>
      <c r="O44" s="193"/>
      <c r="P44" s="193"/>
      <c r="Q44" s="240"/>
    </row>
    <row r="45" spans="3:19" ht="35.1" hidden="1" customHeight="1">
      <c r="C45" s="119">
        <f t="shared" ref="C45" si="91">C38</f>
        <v>0.35</v>
      </c>
      <c r="D45" s="125">
        <f t="shared" si="60"/>
        <v>0</v>
      </c>
      <c r="E45" s="119">
        <f t="shared" ref="E45" si="92">E38</f>
        <v>0.155</v>
      </c>
      <c r="F45" s="125">
        <f t="shared" si="60"/>
        <v>0</v>
      </c>
      <c r="G45" s="119">
        <f t="shared" si="62"/>
        <v>0.16439999999999999</v>
      </c>
      <c r="H45" s="125">
        <f t="shared" si="63"/>
        <v>0</v>
      </c>
      <c r="I45" s="119">
        <f t="shared" si="64"/>
        <v>3.56E-2</v>
      </c>
      <c r="J45" s="125">
        <f t="shared" ref="J45" si="93">IFERROR($Q$6*I45,0)</f>
        <v>0</v>
      </c>
      <c r="K45" s="119">
        <f t="shared" ref="K45" si="94">K38</f>
        <v>0.29499999999999998</v>
      </c>
      <c r="L45" s="125">
        <f t="shared" ref="L45" si="95">IFERROR($Q$6*K45,0)</f>
        <v>0</v>
      </c>
      <c r="M45" s="119">
        <f t="shared" ref="M45" si="96">M38</f>
        <v>0</v>
      </c>
      <c r="N45" s="125">
        <f t="shared" ref="N45" si="97">IFERROR($Q$6*M45,0)</f>
        <v>0</v>
      </c>
      <c r="O45" s="193"/>
      <c r="P45" s="193"/>
      <c r="Q45" s="240"/>
    </row>
    <row r="46" spans="3:19" ht="35.1" hidden="1" customHeight="1">
      <c r="C46" s="140"/>
      <c r="D46" s="134"/>
      <c r="E46" s="134"/>
      <c r="F46" s="134"/>
      <c r="G46" s="134"/>
      <c r="H46" s="134"/>
      <c r="I46" s="134"/>
      <c r="J46" s="134"/>
      <c r="K46" s="167"/>
      <c r="L46" s="132"/>
    </row>
    <row r="47" spans="3:19" ht="35.1" hidden="1" customHeight="1">
      <c r="C47" s="132"/>
      <c r="D47" s="132"/>
      <c r="E47" s="132"/>
      <c r="F47" s="132"/>
      <c r="G47" s="132"/>
      <c r="H47" s="132"/>
      <c r="I47" s="132"/>
      <c r="J47" s="132"/>
      <c r="K47" s="132"/>
      <c r="L47" s="132"/>
    </row>
    <row r="48" spans="3:19" ht="35.1" hidden="1" customHeight="1">
      <c r="C48" s="133"/>
      <c r="D48" s="132"/>
      <c r="E48" s="132"/>
      <c r="F48" s="132"/>
      <c r="G48" s="132"/>
      <c r="H48" s="132"/>
      <c r="I48" s="132"/>
      <c r="J48" s="132"/>
      <c r="K48" s="132"/>
      <c r="L48" s="132"/>
    </row>
    <row r="49" spans="3:12" ht="35.1" hidden="1" customHeight="1">
      <c r="C49" s="140"/>
      <c r="D49" s="168"/>
      <c r="E49" s="168"/>
      <c r="F49" s="168"/>
      <c r="G49" s="168"/>
      <c r="H49" s="168"/>
      <c r="I49" s="168"/>
      <c r="J49" s="169"/>
      <c r="K49" s="132"/>
      <c r="L49" s="132"/>
    </row>
    <row r="50" spans="3:12" ht="35.1" hidden="1" customHeight="1">
      <c r="C50" s="133"/>
      <c r="D50" s="132"/>
      <c r="E50" s="132"/>
      <c r="F50" s="132"/>
      <c r="G50" s="132"/>
      <c r="H50" s="132"/>
      <c r="I50" s="132"/>
      <c r="J50" s="132"/>
      <c r="K50" s="132"/>
      <c r="L50" s="132"/>
    </row>
    <row r="51" spans="3:12" ht="35.1" hidden="1" customHeight="1">
      <c r="C51" s="140"/>
      <c r="D51" s="168"/>
      <c r="E51" s="168"/>
      <c r="F51" s="168"/>
      <c r="G51" s="168"/>
      <c r="H51" s="168"/>
      <c r="I51" s="168"/>
      <c r="J51" s="169"/>
      <c r="K51" s="132"/>
      <c r="L51" s="132"/>
    </row>
    <row r="52" spans="3:12" ht="35.1" hidden="1" customHeight="1"/>
    <row r="53" spans="3:12" ht="35.1" hidden="1" customHeight="1"/>
    <row r="54" spans="3:12" ht="35.1" hidden="1" customHeight="1"/>
    <row r="55" spans="3:12" ht="35.1" hidden="1" customHeight="1"/>
    <row r="56" spans="3:12" ht="35.1" hidden="1" customHeight="1"/>
    <row r="57" spans="3:12" ht="35.1" hidden="1" customHeight="1"/>
    <row r="58" spans="3:12" ht="35.1" hidden="1" customHeight="1"/>
    <row r="59" spans="3:12" ht="35.1" hidden="1" customHeight="1"/>
    <row r="60" spans="3:12" ht="35.1" hidden="1" customHeight="1"/>
    <row r="61" spans="3:12" ht="35.1" hidden="1" customHeight="1"/>
    <row r="62" spans="3:12" ht="35.1" hidden="1" customHeight="1"/>
    <row r="63" spans="3:12" ht="35.1" hidden="1" customHeight="1"/>
    <row r="64" spans="3:12" ht="35.1" hidden="1" customHeight="1"/>
    <row r="65" ht="35.1" hidden="1" customHeight="1"/>
    <row r="66" ht="35.1" hidden="1" customHeight="1"/>
    <row r="67" ht="35.1" hidden="1" customHeight="1"/>
    <row r="68" ht="35.1" hidden="1" customHeight="1"/>
    <row r="69" ht="35.1" hidden="1" customHeight="1"/>
    <row r="70" ht="35.1" hidden="1" customHeight="1"/>
    <row r="71" ht="35.1" hidden="1" customHeight="1"/>
    <row r="72" ht="35.1" hidden="1" customHeight="1"/>
    <row r="73" ht="35.1" hidden="1" customHeight="1"/>
    <row r="74" ht="35.1" hidden="1" customHeight="1"/>
    <row r="75" ht="35.1" hidden="1" customHeight="1"/>
    <row r="76" ht="35.1" hidden="1" customHeight="1"/>
    <row r="77" ht="35.1" hidden="1" customHeight="1"/>
    <row r="78" ht="35.1" hidden="1" customHeight="1"/>
    <row r="79" ht="35.1" hidden="1" customHeight="1"/>
    <row r="80" ht="35.1" hidden="1" customHeight="1"/>
    <row r="81" ht="35.1" hidden="1" customHeight="1"/>
    <row r="82" ht="35.1" hidden="1" customHeight="1"/>
    <row r="83" ht="35.1" hidden="1" customHeight="1"/>
    <row r="84" ht="35.1" hidden="1" customHeight="1"/>
    <row r="85" ht="35.1" hidden="1" customHeight="1"/>
    <row r="86" ht="35.1" hidden="1" customHeight="1"/>
    <row r="87" ht="35.1" hidden="1" customHeight="1"/>
    <row r="88" ht="35.1" hidden="1" customHeight="1"/>
    <row r="89" ht="35.1" hidden="1" customHeight="1"/>
    <row r="90" ht="35.1" hidden="1" customHeight="1"/>
    <row r="91" ht="35.1" hidden="1" customHeight="1"/>
    <row r="92" ht="35.1" hidden="1" customHeight="1"/>
    <row r="93" ht="35.1" hidden="1" customHeight="1"/>
    <row r="94" ht="35.1" hidden="1" customHeight="1"/>
    <row r="95" ht="35.1" hidden="1" customHeight="1"/>
    <row r="96" ht="35.1" hidden="1" customHeight="1"/>
    <row r="97" ht="35.1" hidden="1" customHeight="1"/>
    <row r="98" ht="35.1" hidden="1" customHeight="1"/>
    <row r="99" ht="35.1" hidden="1" customHeight="1"/>
    <row r="100" ht="35.1" hidden="1" customHeight="1"/>
    <row r="101" ht="35.1" hidden="1" customHeight="1"/>
    <row r="102" ht="35.1" hidden="1" customHeight="1"/>
    <row r="103" ht="35.1" hidden="1" customHeight="1"/>
    <row r="104" ht="35.1" hidden="1" customHeight="1"/>
    <row r="105" ht="35.1" hidden="1" customHeight="1"/>
    <row r="106" ht="35.1" hidden="1" customHeight="1"/>
    <row r="107" ht="35.1" hidden="1" customHeight="1"/>
    <row r="108" ht="35.1" hidden="1" customHeight="1"/>
  </sheetData>
  <sheetProtection sheet="1" objects="1" scenarios="1" selectLockedCells="1" selectUnlockedCells="1"/>
  <mergeCells count="10">
    <mergeCell ref="Q26:Q31"/>
    <mergeCell ref="Q33:Q38"/>
    <mergeCell ref="Q40:Q45"/>
    <mergeCell ref="C17:N17"/>
    <mergeCell ref="O4:P4"/>
    <mergeCell ref="C5:G5"/>
    <mergeCell ref="N5:N6"/>
    <mergeCell ref="O5:P6"/>
    <mergeCell ref="C6:G6"/>
    <mergeCell ref="C8:J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3793" r:id="rId3" name="Group Box 1">
              <controlPr defaultSize="0" autoFill="0" autoPict="0">
                <anchor moveWithCells="1">
                  <from>
                    <xdr:col>1</xdr:col>
                    <xdr:colOff>66675</xdr:colOff>
                    <xdr:row>2</xdr:row>
                    <xdr:rowOff>876300</xdr:rowOff>
                  </from>
                  <to>
                    <xdr:col>6</xdr:col>
                    <xdr:colOff>666750</xdr:colOff>
                    <xdr:row>6</xdr:row>
                    <xdr:rowOff>9525</xdr:rowOff>
                  </to>
                </anchor>
              </controlPr>
            </control>
          </mc:Choice>
        </mc:AlternateContent>
        <mc:AlternateContent xmlns:mc="http://schemas.openxmlformats.org/markup-compatibility/2006">
          <mc:Choice Requires="x14">
            <control shapeId="33794" r:id="rId4" name="Group Box 2">
              <controlPr defaultSize="0" autoFill="0" autoPict="0">
                <anchor moveWithCells="1">
                  <from>
                    <xdr:col>6</xdr:col>
                    <xdr:colOff>752475</xdr:colOff>
                    <xdr:row>2</xdr:row>
                    <xdr:rowOff>876300</xdr:rowOff>
                  </from>
                  <to>
                    <xdr:col>23</xdr:col>
                    <xdr:colOff>85725</xdr:colOff>
                    <xdr:row>6</xdr:row>
                    <xdr:rowOff>9525</xdr:rowOff>
                  </to>
                </anchor>
              </controlPr>
            </control>
          </mc:Choice>
        </mc:AlternateContent>
        <mc:AlternateContent xmlns:mc="http://schemas.openxmlformats.org/markup-compatibility/2006">
          <mc:Choice Requires="x14">
            <control shapeId="33795" r:id="rId5" name="Group Box 3">
              <controlPr defaultSize="0" autoFill="0" autoPict="0">
                <anchor moveWithCells="1">
                  <from>
                    <xdr:col>11</xdr:col>
                    <xdr:colOff>142875</xdr:colOff>
                    <xdr:row>6</xdr:row>
                    <xdr:rowOff>180975</xdr:rowOff>
                  </from>
                  <to>
                    <xdr:col>23</xdr:col>
                    <xdr:colOff>85725</xdr:colOff>
                    <xdr:row>15</xdr:row>
                    <xdr:rowOff>0</xdr:rowOff>
                  </to>
                </anchor>
              </controlPr>
            </control>
          </mc:Choice>
        </mc:AlternateContent>
        <mc:AlternateContent xmlns:mc="http://schemas.openxmlformats.org/markup-compatibility/2006">
          <mc:Choice Requires="x14">
            <control shapeId="33796" r:id="rId6" name="Group Box 4">
              <controlPr defaultSize="0" autoFill="0" autoPict="0">
                <anchor moveWithCells="1">
                  <from>
                    <xdr:col>1</xdr:col>
                    <xdr:colOff>28575</xdr:colOff>
                    <xdr:row>15</xdr:row>
                    <xdr:rowOff>180975</xdr:rowOff>
                  </from>
                  <to>
                    <xdr:col>23</xdr:col>
                    <xdr:colOff>85725</xdr:colOff>
                    <xdr:row>108</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3">
    <tabColor rgb="FFFFC000"/>
  </sheetPr>
  <dimension ref="C1:H10"/>
  <sheetViews>
    <sheetView showGridLines="0" showRowColHeaders="0" workbookViewId="0">
      <pane ySplit="4" topLeftCell="A5" activePane="bottomLeft" state="frozen"/>
      <selection pane="bottomLeft"/>
    </sheetView>
  </sheetViews>
  <sheetFormatPr defaultRowHeight="35.1" customHeight="1"/>
  <cols>
    <col min="1" max="2" width="1.7109375" style="26" customWidth="1"/>
    <col min="3" max="3" width="35.7109375" style="26" customWidth="1"/>
    <col min="4" max="5" width="20.7109375" style="26" customWidth="1"/>
    <col min="6" max="6" width="5.7109375" style="26" customWidth="1"/>
    <col min="7" max="7" width="35.7109375" style="26" customWidth="1"/>
    <col min="8" max="9" width="20.7109375" style="26" customWidth="1"/>
    <col min="10" max="16384" width="9.140625" style="26"/>
  </cols>
  <sheetData>
    <row r="1" spans="3:8" s="1" customFormat="1" ht="35.1" customHeight="1"/>
    <row r="2" spans="3:8" s="3" customFormat="1" ht="30" customHeight="1"/>
    <row r="3" spans="3:8" ht="30" customHeight="1" thickBot="1"/>
    <row r="4" spans="3:8" ht="21.95" customHeight="1">
      <c r="C4" s="59" t="s">
        <v>78</v>
      </c>
      <c r="D4" s="61" t="s">
        <v>79</v>
      </c>
      <c r="E4" s="61" t="s">
        <v>77</v>
      </c>
      <c r="G4" s="59" t="s">
        <v>78</v>
      </c>
      <c r="H4" s="61" t="s">
        <v>77</v>
      </c>
    </row>
    <row r="5" spans="3:8" ht="45" customHeight="1">
      <c r="C5" s="80" t="s">
        <v>106</v>
      </c>
      <c r="D5" s="174">
        <f>Anexos!N5</f>
        <v>0.04</v>
      </c>
      <c r="E5" s="176">
        <f>Anexos!O5</f>
        <v>5657.2440000000006</v>
      </c>
      <c r="G5" s="80" t="str">
        <f>Lançamentos!C6</f>
        <v>RBA - Receita Bruta Acumulada no Ano Corrente</v>
      </c>
      <c r="H5" s="179">
        <f>Lançamentos!D6</f>
        <v>141431.1</v>
      </c>
    </row>
    <row r="6" spans="3:8" ht="45" customHeight="1">
      <c r="C6" s="81" t="s">
        <v>107</v>
      </c>
      <c r="D6" s="174">
        <f>Indústria!N5</f>
        <v>4.5000000000000005E-2</v>
      </c>
      <c r="E6" s="177">
        <f>Indústria!O5</f>
        <v>6364.3995000000014</v>
      </c>
      <c r="G6" s="81" t="str">
        <f>Lançamentos!C10</f>
        <v>Receita Bruta do Período de Apuração</v>
      </c>
      <c r="H6" s="179">
        <f>Lançamentos!D10</f>
        <v>141431.1</v>
      </c>
    </row>
    <row r="7" spans="3:8" ht="45" customHeight="1">
      <c r="C7" s="81" t="s">
        <v>108</v>
      </c>
      <c r="D7" s="174">
        <f>'Anexo III'!N5</f>
        <v>0.06</v>
      </c>
      <c r="E7" s="177">
        <f>'Anexo III'!O5</f>
        <v>8485.866</v>
      </c>
      <c r="G7" s="180" t="s">
        <v>111</v>
      </c>
      <c r="H7" s="181">
        <f>IFERROR(H6/H5,0)</f>
        <v>1</v>
      </c>
    </row>
    <row r="8" spans="3:8" ht="45" customHeight="1">
      <c r="C8" s="81" t="s">
        <v>109</v>
      </c>
      <c r="D8" s="174">
        <f>'Anexo IV'!N5</f>
        <v>4.5000000000000005E-2</v>
      </c>
      <c r="E8" s="177">
        <f>'Anexo IV'!O5</f>
        <v>6364.3995000000014</v>
      </c>
    </row>
    <row r="9" spans="3:8" ht="45" customHeight="1">
      <c r="C9" s="81" t="s">
        <v>110</v>
      </c>
      <c r="D9" s="174">
        <f>'Anexo V'!N5</f>
        <v>0.155</v>
      </c>
      <c r="E9" s="178">
        <f>'Anexo V'!O5</f>
        <v>21921.820500000002</v>
      </c>
    </row>
    <row r="10" spans="3:8" ht="45" customHeight="1"/>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4">
    <tabColor rgb="FFFFC000"/>
    <pageSetUpPr fitToPage="1"/>
  </sheetPr>
  <dimension ref="C1:Q52"/>
  <sheetViews>
    <sheetView showGridLines="0" showRowColHeaders="0" workbookViewId="0">
      <pane ySplit="2" topLeftCell="A3" activePane="bottomLeft" state="frozen"/>
      <selection pane="bottomLeft" activeCell="U19" sqref="U19"/>
    </sheetView>
  </sheetViews>
  <sheetFormatPr defaultRowHeight="35.1" customHeight="1"/>
  <cols>
    <col min="1" max="2" width="1.7109375" style="26" customWidth="1"/>
    <col min="3" max="16" width="13.140625" style="26" customWidth="1"/>
    <col min="17" max="16384" width="9.140625" style="26"/>
  </cols>
  <sheetData>
    <row r="1" spans="3:17" s="1" customFormat="1" ht="35.1" customHeight="1"/>
    <row r="2" spans="3:17" s="3" customFormat="1" ht="30" customHeight="1"/>
    <row r="3" spans="3:17" ht="50.1" customHeight="1"/>
    <row r="4" spans="3:17" ht="35.1" customHeight="1" thickBot="1">
      <c r="C4" s="241" t="s">
        <v>65</v>
      </c>
      <c r="D4" s="241"/>
      <c r="P4" s="188" t="str">
        <f>Empresa!D5</f>
        <v>Empresa Exemplo LTDA</v>
      </c>
    </row>
    <row r="5" spans="3:17" ht="21.95" customHeight="1">
      <c r="C5" s="231" t="s">
        <v>89</v>
      </c>
      <c r="D5" s="232"/>
      <c r="E5" s="232"/>
      <c r="F5" s="232"/>
      <c r="G5" s="232"/>
      <c r="H5" s="232"/>
      <c r="I5" s="232"/>
      <c r="J5" s="232"/>
      <c r="K5" s="232"/>
      <c r="L5" s="232"/>
      <c r="M5" s="232"/>
      <c r="N5" s="236"/>
      <c r="O5" s="182"/>
      <c r="P5" s="192">
        <f>IFERROR('BH (1)'!F3,"")</f>
        <v>44607</v>
      </c>
    </row>
    <row r="6" spans="3:17" ht="21.95" customHeight="1">
      <c r="C6" s="160" t="str">
        <f>Anexos!C18</f>
        <v>%</v>
      </c>
      <c r="D6" s="118" t="str">
        <f>Anexos!D18</f>
        <v>IRPJ</v>
      </c>
      <c r="E6" s="118" t="str">
        <f>Anexos!E18</f>
        <v>%</v>
      </c>
      <c r="F6" s="118" t="str">
        <f>Anexos!F18</f>
        <v>CSLL</v>
      </c>
      <c r="G6" s="118" t="str">
        <f>Anexos!G18</f>
        <v>%</v>
      </c>
      <c r="H6" s="118" t="str">
        <f>Anexos!H18</f>
        <v>Cofins</v>
      </c>
      <c r="I6" s="118" t="str">
        <f>Anexos!I18</f>
        <v>%</v>
      </c>
      <c r="J6" s="118" t="str">
        <f>Anexos!J18</f>
        <v>PIS/Pasep</v>
      </c>
      <c r="K6" s="118" t="str">
        <f>Anexos!K18</f>
        <v>%</v>
      </c>
      <c r="L6" s="118" t="str">
        <f>Anexos!L18</f>
        <v>CPP</v>
      </c>
      <c r="M6" s="118" t="str">
        <f>Anexos!M18</f>
        <v>%</v>
      </c>
      <c r="N6" s="185" t="str">
        <f>Anexos!N18</f>
        <v>ICMS</v>
      </c>
      <c r="O6" s="182"/>
      <c r="P6" s="188" t="str">
        <f>Empresa!D6</f>
        <v>00.000.000/0001-00</v>
      </c>
    </row>
    <row r="7" spans="3:17" ht="35.1" customHeight="1">
      <c r="C7" s="161">
        <f>Anexos!C19</f>
        <v>5.5E-2</v>
      </c>
      <c r="D7" s="125">
        <f>Anexos!D19</f>
        <v>311.14842000000004</v>
      </c>
      <c r="E7" s="119">
        <f>Anexos!E19</f>
        <v>3.5000000000000003E-2</v>
      </c>
      <c r="F7" s="125">
        <f>Anexos!F19</f>
        <v>198.00354000000004</v>
      </c>
      <c r="G7" s="119">
        <f>Anexos!G19</f>
        <v>0.12740000000000001</v>
      </c>
      <c r="H7" s="125">
        <f>Anexos!H19</f>
        <v>720.73288560000015</v>
      </c>
      <c r="I7" s="119">
        <f>Anexos!I19</f>
        <v>2.76E-2</v>
      </c>
      <c r="J7" s="125">
        <f>Anexos!J19</f>
        <v>156.13993440000002</v>
      </c>
      <c r="K7" s="119">
        <f>Anexos!K19</f>
        <v>0.41499999999999998</v>
      </c>
      <c r="L7" s="125">
        <f>Anexos!L19</f>
        <v>2347.7562600000001</v>
      </c>
      <c r="M7" s="119">
        <f>Anexos!M19</f>
        <v>0.34</v>
      </c>
      <c r="N7" s="127">
        <f>Anexos!N19</f>
        <v>1923.4629600000003</v>
      </c>
      <c r="O7" s="182"/>
      <c r="P7" s="188" t="str">
        <f>'BH (1)'!H9</f>
        <v>Anexo I</v>
      </c>
    </row>
    <row r="8" spans="3:17" ht="35.1" customHeight="1">
      <c r="C8" s="161">
        <f>Anexos!C20</f>
        <v>5.5E-2</v>
      </c>
      <c r="D8" s="126">
        <f>Anexos!D20</f>
        <v>311.14842000000004</v>
      </c>
      <c r="E8" s="119">
        <f>Anexos!E20</f>
        <v>3.5000000000000003E-2</v>
      </c>
      <c r="F8" s="126">
        <f>Anexos!F20</f>
        <v>198.00354000000004</v>
      </c>
      <c r="G8" s="119">
        <f>Anexos!G20</f>
        <v>0.12740000000000001</v>
      </c>
      <c r="H8" s="126">
        <f>Anexos!H20</f>
        <v>720.73288560000015</v>
      </c>
      <c r="I8" s="119">
        <f>Anexos!I20</f>
        <v>2.76E-2</v>
      </c>
      <c r="J8" s="126">
        <f>Anexos!J20</f>
        <v>156.13993440000002</v>
      </c>
      <c r="K8" s="119">
        <f>Anexos!K20</f>
        <v>0.41499999999999998</v>
      </c>
      <c r="L8" s="126">
        <f>Anexos!L20</f>
        <v>2347.7562600000001</v>
      </c>
      <c r="M8" s="119">
        <f>Anexos!M20</f>
        <v>0.34</v>
      </c>
      <c r="N8" s="128">
        <f>Anexos!N20</f>
        <v>1923.4629600000003</v>
      </c>
      <c r="O8" s="182"/>
    </row>
    <row r="9" spans="3:17" ht="35.1" customHeight="1">
      <c r="C9" s="161">
        <f>Anexos!C21</f>
        <v>5.5E-2</v>
      </c>
      <c r="D9" s="126">
        <f>Anexos!D21</f>
        <v>311.14842000000004</v>
      </c>
      <c r="E9" s="119">
        <f>Anexos!E21</f>
        <v>3.5000000000000003E-2</v>
      </c>
      <c r="F9" s="126">
        <f>Anexos!F21</f>
        <v>198.00354000000004</v>
      </c>
      <c r="G9" s="119">
        <f>Anexos!G21</f>
        <v>0.12740000000000001</v>
      </c>
      <c r="H9" s="126">
        <f>Anexos!H21</f>
        <v>720.73288560000015</v>
      </c>
      <c r="I9" s="119">
        <f>Anexos!I21</f>
        <v>2.76E-2</v>
      </c>
      <c r="J9" s="126">
        <f>Anexos!J21</f>
        <v>156.13993440000002</v>
      </c>
      <c r="K9" s="119">
        <f>Anexos!K21</f>
        <v>0.42</v>
      </c>
      <c r="L9" s="126">
        <f>Anexos!L21</f>
        <v>2376.0424800000001</v>
      </c>
      <c r="M9" s="119">
        <f>Anexos!M21</f>
        <v>0.33500000000000002</v>
      </c>
      <c r="N9" s="128">
        <f>Anexos!N21</f>
        <v>1895.1767400000003</v>
      </c>
      <c r="O9" s="182"/>
    </row>
    <row r="10" spans="3:17" ht="35.1" customHeight="1">
      <c r="C10" s="161">
        <f>Anexos!C22</f>
        <v>5.5E-2</v>
      </c>
      <c r="D10" s="126">
        <f>Anexos!D22</f>
        <v>311.14842000000004</v>
      </c>
      <c r="E10" s="119">
        <f>Anexos!E22</f>
        <v>3.5000000000000003E-2</v>
      </c>
      <c r="F10" s="126">
        <f>Anexos!F22</f>
        <v>198.00354000000004</v>
      </c>
      <c r="G10" s="119">
        <f>Anexos!G22</f>
        <v>0.12740000000000001</v>
      </c>
      <c r="H10" s="126">
        <f>Anexos!H22</f>
        <v>720.73288560000015</v>
      </c>
      <c r="I10" s="119">
        <f>Anexos!I22</f>
        <v>2.76E-2</v>
      </c>
      <c r="J10" s="126">
        <f>Anexos!J22</f>
        <v>156.13993440000002</v>
      </c>
      <c r="K10" s="119">
        <f>Anexos!K22</f>
        <v>0.42</v>
      </c>
      <c r="L10" s="126">
        <f>Anexos!L22</f>
        <v>2376.0424800000001</v>
      </c>
      <c r="M10" s="119">
        <f>Anexos!M22</f>
        <v>0.33500000000000002</v>
      </c>
      <c r="N10" s="128">
        <f>Anexos!N22</f>
        <v>1895.1767400000003</v>
      </c>
      <c r="O10" s="182"/>
    </row>
    <row r="11" spans="3:17" ht="35.1" customHeight="1">
      <c r="C11" s="161">
        <f>Anexos!C23</f>
        <v>5.5E-2</v>
      </c>
      <c r="D11" s="126">
        <f>Anexos!D23</f>
        <v>311.14842000000004</v>
      </c>
      <c r="E11" s="119">
        <f>Anexos!E23</f>
        <v>3.5000000000000003E-2</v>
      </c>
      <c r="F11" s="126">
        <f>Anexos!F23</f>
        <v>198.00354000000004</v>
      </c>
      <c r="G11" s="119">
        <f>Anexos!G23</f>
        <v>0.12740000000000001</v>
      </c>
      <c r="H11" s="126">
        <f>Anexos!H23</f>
        <v>720.73288560000015</v>
      </c>
      <c r="I11" s="119">
        <f>Anexos!I23</f>
        <v>2.76E-2</v>
      </c>
      <c r="J11" s="126">
        <f>Anexos!J23</f>
        <v>156.13993440000002</v>
      </c>
      <c r="K11" s="119">
        <f>Anexos!K23</f>
        <v>0.42</v>
      </c>
      <c r="L11" s="126">
        <f>Anexos!L23</f>
        <v>2376.0424800000001</v>
      </c>
      <c r="M11" s="119">
        <f>Anexos!M23</f>
        <v>0.33500000000000002</v>
      </c>
      <c r="N11" s="128">
        <f>Anexos!N23</f>
        <v>1895.1767400000003</v>
      </c>
      <c r="O11" s="182"/>
    </row>
    <row r="12" spans="3:17" ht="35.1" customHeight="1">
      <c r="C12" s="120">
        <f>Anexos!C24</f>
        <v>0.13500000000000001</v>
      </c>
      <c r="D12" s="121">
        <f>Anexos!D24</f>
        <v>763.7279400000001</v>
      </c>
      <c r="E12" s="119">
        <f>Anexos!E24</f>
        <v>0.1</v>
      </c>
      <c r="F12" s="121">
        <f>Anexos!F24</f>
        <v>565.72440000000006</v>
      </c>
      <c r="G12" s="119">
        <f>Anexos!G24</f>
        <v>0.28270000000000001</v>
      </c>
      <c r="H12" s="121">
        <f>Anexos!H24</f>
        <v>1599.3028788000001</v>
      </c>
      <c r="I12" s="119">
        <f>Anexos!I24</f>
        <v>6.13E-2</v>
      </c>
      <c r="J12" s="121">
        <f>Anexos!J24</f>
        <v>346.78905720000006</v>
      </c>
      <c r="K12" s="119">
        <f>Anexos!K24</f>
        <v>0.42099999999999999</v>
      </c>
      <c r="L12" s="121">
        <f>Anexos!L24</f>
        <v>2381.6997240000001</v>
      </c>
      <c r="M12" s="119" t="str">
        <f>Anexos!M24</f>
        <v>-</v>
      </c>
      <c r="N12" s="175">
        <f>Anexos!N24</f>
        <v>0</v>
      </c>
      <c r="O12" s="182"/>
    </row>
    <row r="14" spans="3:17" ht="35.1" customHeight="1" thickBot="1">
      <c r="C14" s="241" t="s">
        <v>64</v>
      </c>
      <c r="D14" s="241"/>
    </row>
    <row r="15" spans="3:17" ht="21.95" customHeight="1">
      <c r="C15" s="231" t="s">
        <v>89</v>
      </c>
      <c r="D15" s="232"/>
      <c r="E15" s="232"/>
      <c r="F15" s="232"/>
      <c r="G15" s="232"/>
      <c r="H15" s="232"/>
      <c r="I15" s="232"/>
      <c r="J15" s="232"/>
      <c r="K15" s="232"/>
      <c r="L15" s="232"/>
      <c r="M15" s="232"/>
      <c r="N15" s="232"/>
      <c r="O15" s="232"/>
      <c r="P15" s="232"/>
      <c r="Q15" s="182"/>
    </row>
    <row r="16" spans="3:17" ht="21.95" customHeight="1">
      <c r="C16" s="186" t="str">
        <f>Indústria!C18</f>
        <v>%</v>
      </c>
      <c r="D16" s="187" t="str">
        <f>Indústria!D18</f>
        <v>IRPJ</v>
      </c>
      <c r="E16" s="187" t="str">
        <f>Indústria!E18</f>
        <v>%</v>
      </c>
      <c r="F16" s="187" t="str">
        <f>Indústria!F18</f>
        <v>CSLL</v>
      </c>
      <c r="G16" s="187" t="str">
        <f>Indústria!G18</f>
        <v>%</v>
      </c>
      <c r="H16" s="187" t="str">
        <f>Indústria!H18</f>
        <v>Cofins</v>
      </c>
      <c r="I16" s="187" t="str">
        <f>Indústria!I18</f>
        <v>%</v>
      </c>
      <c r="J16" s="187" t="str">
        <f>Indústria!J18</f>
        <v>PIS/Pasep</v>
      </c>
      <c r="K16" s="187" t="str">
        <f>Indústria!K18</f>
        <v>%</v>
      </c>
      <c r="L16" s="187" t="str">
        <f>Indústria!L18</f>
        <v>CPP</v>
      </c>
      <c r="M16" s="187" t="str">
        <f>Indústria!M18</f>
        <v>%</v>
      </c>
      <c r="N16" s="112" t="str">
        <f>Indústria!N18</f>
        <v>ICMS</v>
      </c>
      <c r="O16" s="187" t="str">
        <f>Indústria!O18</f>
        <v>%</v>
      </c>
      <c r="P16" s="187" t="str">
        <f>Indústria!P18</f>
        <v>IPI</v>
      </c>
      <c r="Q16" s="182"/>
    </row>
    <row r="17" spans="3:17" ht="35.1" customHeight="1">
      <c r="C17" s="161">
        <f>Indústria!C19</f>
        <v>5.5E-2</v>
      </c>
      <c r="D17" s="125">
        <f>Indústria!D19</f>
        <v>350.0419725000001</v>
      </c>
      <c r="E17" s="119">
        <f>Indústria!E19</f>
        <v>3.5000000000000003E-2</v>
      </c>
      <c r="F17" s="125">
        <f>Indústria!F19</f>
        <v>222.75398250000006</v>
      </c>
      <c r="G17" s="119">
        <f>Indústria!G19</f>
        <v>0.11509999999999999</v>
      </c>
      <c r="H17" s="125">
        <f>Indústria!H19</f>
        <v>732.5423824500001</v>
      </c>
      <c r="I17" s="119">
        <f>Indústria!I19</f>
        <v>2.4899999999999999E-2</v>
      </c>
      <c r="J17" s="125">
        <f>Indústria!J19</f>
        <v>158.47354755000003</v>
      </c>
      <c r="K17" s="119">
        <f>Indústria!K19</f>
        <v>0.375</v>
      </c>
      <c r="L17" s="125">
        <f>Indústria!L19</f>
        <v>2386.6498125000007</v>
      </c>
      <c r="M17" s="119">
        <f>Indústria!M19</f>
        <v>0.32</v>
      </c>
      <c r="N17" s="183">
        <f>Indústria!N19</f>
        <v>2036.6078400000006</v>
      </c>
      <c r="O17" s="117">
        <f>Indústria!O19</f>
        <v>7.4999999999999997E-2</v>
      </c>
      <c r="P17" s="183">
        <f>Indústria!P19</f>
        <v>0</v>
      </c>
      <c r="Q17" s="182"/>
    </row>
    <row r="18" spans="3:17" ht="35.1" customHeight="1">
      <c r="C18" s="161">
        <f>Indústria!C20</f>
        <v>5.5E-2</v>
      </c>
      <c r="D18" s="126">
        <f>Indústria!D20</f>
        <v>350.0419725000001</v>
      </c>
      <c r="E18" s="119">
        <f>Indústria!E20</f>
        <v>3.5000000000000003E-2</v>
      </c>
      <c r="F18" s="126">
        <f>Indústria!F20</f>
        <v>222.75398250000006</v>
      </c>
      <c r="G18" s="119">
        <f>Indústria!G20</f>
        <v>0.11509999999999999</v>
      </c>
      <c r="H18" s="126">
        <f>Indústria!H20</f>
        <v>732.5423824500001</v>
      </c>
      <c r="I18" s="119">
        <f>Indústria!I20</f>
        <v>2.4899999999999999E-2</v>
      </c>
      <c r="J18" s="126">
        <f>Indústria!J20</f>
        <v>158.47354755000003</v>
      </c>
      <c r="K18" s="119">
        <f>Indústria!K20</f>
        <v>0.375</v>
      </c>
      <c r="L18" s="126">
        <f>Indústria!L20</f>
        <v>2386.6498125000007</v>
      </c>
      <c r="M18" s="119">
        <f>Indústria!M20</f>
        <v>0.32</v>
      </c>
      <c r="N18" s="184">
        <f>Indústria!N20</f>
        <v>2036.6078400000006</v>
      </c>
      <c r="O18" s="117">
        <f>Indústria!O20</f>
        <v>7.4999999999999997E-2</v>
      </c>
      <c r="P18" s="184">
        <f>Indústria!P20</f>
        <v>0</v>
      </c>
      <c r="Q18" s="182"/>
    </row>
    <row r="19" spans="3:17" ht="35.1" customHeight="1">
      <c r="C19" s="161">
        <f>Indústria!C21</f>
        <v>5.5E-2</v>
      </c>
      <c r="D19" s="126">
        <f>Indústria!D21</f>
        <v>350.0419725000001</v>
      </c>
      <c r="E19" s="119">
        <f>Indústria!E21</f>
        <v>3.5000000000000003E-2</v>
      </c>
      <c r="F19" s="126">
        <f>Indústria!F21</f>
        <v>222.75398250000006</v>
      </c>
      <c r="G19" s="119">
        <f>Indústria!G21</f>
        <v>0.11509999999999999</v>
      </c>
      <c r="H19" s="126">
        <f>Indústria!H21</f>
        <v>732.5423824500001</v>
      </c>
      <c r="I19" s="119">
        <f>Indústria!I21</f>
        <v>2.4899999999999999E-2</v>
      </c>
      <c r="J19" s="126">
        <f>Indústria!J21</f>
        <v>158.47354755000003</v>
      </c>
      <c r="K19" s="119">
        <f>Indústria!K21</f>
        <v>0.375</v>
      </c>
      <c r="L19" s="126">
        <f>Indústria!L21</f>
        <v>2386.6498125000007</v>
      </c>
      <c r="M19" s="119">
        <f>Indústria!M21</f>
        <v>0.32</v>
      </c>
      <c r="N19" s="184">
        <f>Indústria!N21</f>
        <v>2036.6078400000006</v>
      </c>
      <c r="O19" s="117">
        <f>Indústria!O21</f>
        <v>7.4999999999999997E-2</v>
      </c>
      <c r="P19" s="184">
        <f>Indústria!P21</f>
        <v>0</v>
      </c>
      <c r="Q19" s="182"/>
    </row>
    <row r="20" spans="3:17" ht="35.1" customHeight="1">
      <c r="C20" s="161">
        <f>Indústria!C22</f>
        <v>5.5E-2</v>
      </c>
      <c r="D20" s="126">
        <f>Indústria!D22</f>
        <v>350.0419725000001</v>
      </c>
      <c r="E20" s="119">
        <f>Indústria!E22</f>
        <v>3.5000000000000003E-2</v>
      </c>
      <c r="F20" s="126">
        <f>Indústria!F22</f>
        <v>222.75398250000006</v>
      </c>
      <c r="G20" s="119">
        <f>Indústria!G22</f>
        <v>0.11509999999999999</v>
      </c>
      <c r="H20" s="126">
        <f>Indústria!H22</f>
        <v>732.5423824500001</v>
      </c>
      <c r="I20" s="119">
        <f>Indústria!I22</f>
        <v>2.4899999999999999E-2</v>
      </c>
      <c r="J20" s="126">
        <f>Indústria!J22</f>
        <v>158.47354755000003</v>
      </c>
      <c r="K20" s="119">
        <f>Indústria!K22</f>
        <v>0.375</v>
      </c>
      <c r="L20" s="126">
        <f>Indústria!L22</f>
        <v>2386.6498125000007</v>
      </c>
      <c r="M20" s="119">
        <f>Indústria!M22</f>
        <v>0.32</v>
      </c>
      <c r="N20" s="184">
        <f>Indústria!N22</f>
        <v>2036.6078400000006</v>
      </c>
      <c r="O20" s="117">
        <f>Indústria!O22</f>
        <v>7.4999999999999997E-2</v>
      </c>
      <c r="P20" s="184">
        <f>Indústria!P22</f>
        <v>0</v>
      </c>
      <c r="Q20" s="182"/>
    </row>
    <row r="21" spans="3:17" ht="35.1" customHeight="1">
      <c r="C21" s="161">
        <f>Indústria!C23</f>
        <v>5.5E-2</v>
      </c>
      <c r="D21" s="126">
        <f>Indústria!D23</f>
        <v>350.0419725000001</v>
      </c>
      <c r="E21" s="119">
        <f>Indústria!E23</f>
        <v>3.5000000000000003E-2</v>
      </c>
      <c r="F21" s="126">
        <f>Indústria!F23</f>
        <v>222.75398250000006</v>
      </c>
      <c r="G21" s="119">
        <f>Indústria!G23</f>
        <v>0.11509999999999999</v>
      </c>
      <c r="H21" s="126">
        <f>Indústria!H23</f>
        <v>732.5423824500001</v>
      </c>
      <c r="I21" s="119">
        <f>Indústria!I23</f>
        <v>2.4899999999999999E-2</v>
      </c>
      <c r="J21" s="126">
        <f>Indústria!J23</f>
        <v>158.47354755000003</v>
      </c>
      <c r="K21" s="119">
        <f>Indústria!K23</f>
        <v>0.375</v>
      </c>
      <c r="L21" s="126">
        <f>Indústria!L23</f>
        <v>2386.6498125000007</v>
      </c>
      <c r="M21" s="119">
        <f>Indústria!M23</f>
        <v>0.32</v>
      </c>
      <c r="N21" s="184">
        <f>Indústria!N23</f>
        <v>2036.6078400000006</v>
      </c>
      <c r="O21" s="117">
        <f>Indústria!O23</f>
        <v>7.4999999999999997E-2</v>
      </c>
      <c r="P21" s="184">
        <f>Indústria!P23</f>
        <v>0</v>
      </c>
      <c r="Q21" s="182"/>
    </row>
    <row r="22" spans="3:17" ht="35.1" customHeight="1">
      <c r="C22" s="120">
        <f>Indústria!C24</f>
        <v>8.5000000000000006E-2</v>
      </c>
      <c r="D22" s="121">
        <f>Indústria!D24</f>
        <v>540.97395750000021</v>
      </c>
      <c r="E22" s="119">
        <f>Indústria!E24</f>
        <v>7.4999999999999997E-2</v>
      </c>
      <c r="F22" s="121">
        <f>Indústria!F24</f>
        <v>477.32996250000008</v>
      </c>
      <c r="G22" s="119">
        <f>Indústria!G24</f>
        <v>0.20960000000000001</v>
      </c>
      <c r="H22" s="121">
        <f>Indústria!H24</f>
        <v>1333.9781352000002</v>
      </c>
      <c r="I22" s="119">
        <f>Indústria!I24</f>
        <v>4.5400000000000003E-2</v>
      </c>
      <c r="J22" s="121">
        <f>Indústria!J24</f>
        <v>288.94373730000007</v>
      </c>
      <c r="K22" s="119">
        <f>Indústria!K24</f>
        <v>0.23499999999999999</v>
      </c>
      <c r="L22" s="121">
        <f>Indústria!L24</f>
        <v>1495.6338825000003</v>
      </c>
      <c r="M22" s="119" t="str">
        <f>Indústria!M24</f>
        <v>-</v>
      </c>
      <c r="N22" s="122">
        <f>Indústria!N24</f>
        <v>0</v>
      </c>
      <c r="O22" s="117">
        <f>Indústria!O24</f>
        <v>0.35</v>
      </c>
      <c r="P22" s="122">
        <f>Indústria!P24</f>
        <v>0</v>
      </c>
      <c r="Q22" s="182"/>
    </row>
    <row r="24" spans="3:17" ht="35.1" customHeight="1" thickBot="1">
      <c r="C24" s="241" t="s">
        <v>66</v>
      </c>
      <c r="D24" s="241"/>
    </row>
    <row r="25" spans="3:17" ht="21.95" customHeight="1">
      <c r="C25" s="231" t="s">
        <v>89</v>
      </c>
      <c r="D25" s="232"/>
      <c r="E25" s="232"/>
      <c r="F25" s="232"/>
      <c r="G25" s="232"/>
      <c r="H25" s="232"/>
      <c r="I25" s="232"/>
      <c r="J25" s="232"/>
      <c r="K25" s="232"/>
      <c r="L25" s="232"/>
      <c r="M25" s="232"/>
      <c r="N25" s="232"/>
      <c r="O25" s="182"/>
    </row>
    <row r="26" spans="3:17" ht="21.95" customHeight="1">
      <c r="C26" s="186" t="str">
        <f>'Anexo III'!C18</f>
        <v>%</v>
      </c>
      <c r="D26" s="187" t="str">
        <f>'Anexo III'!D18</f>
        <v>IRPJ</v>
      </c>
      <c r="E26" s="187" t="str">
        <f>'Anexo III'!E18</f>
        <v>%</v>
      </c>
      <c r="F26" s="187" t="str">
        <f>'Anexo III'!F18</f>
        <v>CSLL</v>
      </c>
      <c r="G26" s="187" t="str">
        <f>'Anexo III'!G18</f>
        <v>%</v>
      </c>
      <c r="H26" s="187" t="str">
        <f>'Anexo III'!H18</f>
        <v>Cofins</v>
      </c>
      <c r="I26" s="187" t="str">
        <f>'Anexo III'!I18</f>
        <v>%</v>
      </c>
      <c r="J26" s="187" t="str">
        <f>'Anexo III'!J18</f>
        <v>PIS/Pasep</v>
      </c>
      <c r="K26" s="187" t="str">
        <f>'Anexo III'!K18</f>
        <v>%</v>
      </c>
      <c r="L26" s="187" t="str">
        <f>'Anexo III'!L18</f>
        <v>CPP</v>
      </c>
      <c r="M26" s="187" t="str">
        <f>'Anexo III'!M18</f>
        <v>%</v>
      </c>
      <c r="N26" s="187" t="str">
        <f>'Anexo III'!N18</f>
        <v>ISS</v>
      </c>
      <c r="O26" s="182"/>
    </row>
    <row r="27" spans="3:17" ht="35.1" customHeight="1">
      <c r="C27" s="161">
        <f>'Anexo III'!C19</f>
        <v>0.04</v>
      </c>
      <c r="D27" s="125">
        <f>'Anexo III'!D19</f>
        <v>339.43464</v>
      </c>
      <c r="E27" s="119">
        <f>'Anexo III'!E19</f>
        <v>3.5000000000000003E-2</v>
      </c>
      <c r="F27" s="125">
        <f>'Anexo III'!F19</f>
        <v>297.00531000000001</v>
      </c>
      <c r="G27" s="119">
        <f>'Anexo III'!G19</f>
        <v>0.12820000000000001</v>
      </c>
      <c r="H27" s="125">
        <f>'Anexo III'!H19</f>
        <v>1087.8880212000001</v>
      </c>
      <c r="I27" s="119">
        <f>'Anexo III'!I19</f>
        <v>2.7799999999999998E-2</v>
      </c>
      <c r="J27" s="125">
        <f>'Anexo III'!J19</f>
        <v>235.90707479999998</v>
      </c>
      <c r="K27" s="119">
        <f>'Anexo III'!K19</f>
        <v>0.434</v>
      </c>
      <c r="L27" s="125">
        <f>'Anexo III'!L19</f>
        <v>3682.8658439999999</v>
      </c>
      <c r="M27" s="119">
        <f>'Anexo III'!M19</f>
        <v>0.33500000000000002</v>
      </c>
      <c r="N27" s="183">
        <f>'Anexo III'!N19</f>
        <v>2842.7651100000003</v>
      </c>
      <c r="O27" s="182"/>
    </row>
    <row r="28" spans="3:17" ht="35.1" customHeight="1">
      <c r="C28" s="161">
        <f>'Anexo III'!C20</f>
        <v>0.04</v>
      </c>
      <c r="D28" s="126">
        <f>'Anexo III'!D20</f>
        <v>339.43464</v>
      </c>
      <c r="E28" s="119">
        <f>'Anexo III'!E20</f>
        <v>3.5000000000000003E-2</v>
      </c>
      <c r="F28" s="126">
        <f>'Anexo III'!F20</f>
        <v>297.00531000000001</v>
      </c>
      <c r="G28" s="119">
        <f>'Anexo III'!G20</f>
        <v>0.14050000000000001</v>
      </c>
      <c r="H28" s="126">
        <f>'Anexo III'!H20</f>
        <v>1192.264173</v>
      </c>
      <c r="I28" s="119">
        <f>'Anexo III'!I20</f>
        <v>3.0499999999999999E-2</v>
      </c>
      <c r="J28" s="126">
        <f>'Anexo III'!J20</f>
        <v>258.81891300000001</v>
      </c>
      <c r="K28" s="119">
        <f>'Anexo III'!K20</f>
        <v>0.434</v>
      </c>
      <c r="L28" s="126">
        <f>'Anexo III'!L20</f>
        <v>3682.8658439999999</v>
      </c>
      <c r="M28" s="119">
        <f>'Anexo III'!M20</f>
        <v>0.32</v>
      </c>
      <c r="N28" s="184">
        <f>'Anexo III'!N20</f>
        <v>2715.47712</v>
      </c>
      <c r="O28" s="182"/>
    </row>
    <row r="29" spans="3:17" ht="35.1" customHeight="1">
      <c r="C29" s="161">
        <f>'Anexo III'!C21</f>
        <v>0.04</v>
      </c>
      <c r="D29" s="126">
        <f>'Anexo III'!D21</f>
        <v>339.43464</v>
      </c>
      <c r="E29" s="119">
        <f>'Anexo III'!E21</f>
        <v>3.5000000000000003E-2</v>
      </c>
      <c r="F29" s="126">
        <f>'Anexo III'!F21</f>
        <v>297.00531000000001</v>
      </c>
      <c r="G29" s="119">
        <f>'Anexo III'!G21</f>
        <v>0.13639999999999999</v>
      </c>
      <c r="H29" s="126">
        <f>'Anexo III'!H21</f>
        <v>1157.4721224</v>
      </c>
      <c r="I29" s="119">
        <f>'Anexo III'!I21</f>
        <v>2.9600000000000001E-2</v>
      </c>
      <c r="J29" s="126">
        <f>'Anexo III'!J21</f>
        <v>251.1816336</v>
      </c>
      <c r="K29" s="119">
        <f>'Anexo III'!K21</f>
        <v>0.434</v>
      </c>
      <c r="L29" s="126">
        <f>'Anexo III'!L21</f>
        <v>3682.8658439999999</v>
      </c>
      <c r="M29" s="119">
        <f>'Anexo III'!M21</f>
        <v>0.32500000000000001</v>
      </c>
      <c r="N29" s="184">
        <f>'Anexo III'!N21</f>
        <v>2757.9064499999999</v>
      </c>
      <c r="O29" s="182"/>
    </row>
    <row r="30" spans="3:17" ht="35.1" customHeight="1">
      <c r="C30" s="161">
        <f>'Anexo III'!C22</f>
        <v>0.04</v>
      </c>
      <c r="D30" s="126">
        <f>'Anexo III'!D22</f>
        <v>339.43464</v>
      </c>
      <c r="E30" s="119">
        <f>'Anexo III'!E22</f>
        <v>3.5000000000000003E-2</v>
      </c>
      <c r="F30" s="126">
        <f>'Anexo III'!F22</f>
        <v>297.00531000000001</v>
      </c>
      <c r="G30" s="119">
        <f>'Anexo III'!G22</f>
        <v>0.13639999999999999</v>
      </c>
      <c r="H30" s="126">
        <f>'Anexo III'!H22</f>
        <v>1157.4721224</v>
      </c>
      <c r="I30" s="119">
        <f>'Anexo III'!I22</f>
        <v>2.9600000000000001E-2</v>
      </c>
      <c r="J30" s="126">
        <f>'Anexo III'!J22</f>
        <v>251.1816336</v>
      </c>
      <c r="K30" s="119">
        <f>'Anexo III'!K22</f>
        <v>0.434</v>
      </c>
      <c r="L30" s="126">
        <f>'Anexo III'!L22</f>
        <v>3682.8658439999999</v>
      </c>
      <c r="M30" s="119">
        <f>'Anexo III'!M22</f>
        <v>0.32500000000000001</v>
      </c>
      <c r="N30" s="184">
        <f>'Anexo III'!N22</f>
        <v>2757.9064499999999</v>
      </c>
      <c r="O30" s="182"/>
    </row>
    <row r="31" spans="3:17" ht="35.1" customHeight="1">
      <c r="C31" s="161">
        <f>'Anexo III'!C23</f>
        <v>0.04</v>
      </c>
      <c r="D31" s="126">
        <f>'Anexo III'!D23</f>
        <v>339.43464</v>
      </c>
      <c r="E31" s="119">
        <f>'Anexo III'!E23</f>
        <v>3.5000000000000003E-2</v>
      </c>
      <c r="F31" s="126">
        <f>'Anexo III'!F23</f>
        <v>297.00531000000001</v>
      </c>
      <c r="G31" s="119">
        <f>'Anexo III'!G23</f>
        <v>0.12820000000000001</v>
      </c>
      <c r="H31" s="126">
        <f>'Anexo III'!H23</f>
        <v>1087.8880212000001</v>
      </c>
      <c r="I31" s="119">
        <f>'Anexo III'!I23</f>
        <v>2.7799999999999998E-2</v>
      </c>
      <c r="J31" s="126">
        <f>'Anexo III'!J23</f>
        <v>235.90707479999998</v>
      </c>
      <c r="K31" s="119">
        <f>'Anexo III'!K23</f>
        <v>0.434</v>
      </c>
      <c r="L31" s="126">
        <f>'Anexo III'!L23</f>
        <v>3682.8658439999999</v>
      </c>
      <c r="M31" s="119">
        <f>'Anexo III'!M23</f>
        <v>0.33500000000000002</v>
      </c>
      <c r="N31" s="184">
        <f>'Anexo III'!N23</f>
        <v>2842.7651100000003</v>
      </c>
      <c r="O31" s="182"/>
    </row>
    <row r="32" spans="3:17" ht="35.1" customHeight="1">
      <c r="C32" s="120">
        <f>'Anexo III'!C24</f>
        <v>0.35</v>
      </c>
      <c r="D32" s="121">
        <f>'Anexo III'!D24</f>
        <v>2970.0530999999996</v>
      </c>
      <c r="E32" s="119">
        <f>'Anexo III'!E24</f>
        <v>0.15</v>
      </c>
      <c r="F32" s="121">
        <f>'Anexo III'!F24</f>
        <v>1272.8798999999999</v>
      </c>
      <c r="G32" s="119">
        <f>'Anexo III'!G24</f>
        <v>0.1603</v>
      </c>
      <c r="H32" s="121">
        <f>'Anexo III'!H24</f>
        <v>1360.2843198</v>
      </c>
      <c r="I32" s="119">
        <f>'Anexo III'!I24</f>
        <v>3.4700000000000002E-2</v>
      </c>
      <c r="J32" s="121">
        <f>'Anexo III'!J24</f>
        <v>294.45955020000002</v>
      </c>
      <c r="K32" s="119">
        <f>'Anexo III'!K24</f>
        <v>0.30499999999999999</v>
      </c>
      <c r="L32" s="121">
        <f>'Anexo III'!L24</f>
        <v>2588.1891299999997</v>
      </c>
      <c r="M32" s="119" t="str">
        <f>'Anexo III'!M24</f>
        <v>-</v>
      </c>
      <c r="N32" s="122">
        <f>'Anexo III'!N24</f>
        <v>0</v>
      </c>
      <c r="O32" s="182"/>
    </row>
    <row r="34" spans="3:15" ht="35.1" customHeight="1" thickBot="1">
      <c r="C34" s="241" t="s">
        <v>67</v>
      </c>
      <c r="D34" s="241"/>
    </row>
    <row r="35" spans="3:15" ht="21.95" customHeight="1">
      <c r="C35" s="231" t="s">
        <v>89</v>
      </c>
      <c r="D35" s="232"/>
      <c r="E35" s="232"/>
      <c r="F35" s="232"/>
      <c r="G35" s="232"/>
      <c r="H35" s="232"/>
      <c r="I35" s="232"/>
      <c r="J35" s="232"/>
      <c r="K35" s="232"/>
      <c r="L35" s="232"/>
      <c r="M35" s="232"/>
      <c r="N35" s="232"/>
      <c r="O35" s="182"/>
    </row>
    <row r="36" spans="3:15" ht="21.95" customHeight="1">
      <c r="C36" s="186" t="str">
        <f>'Anexo IV'!C18</f>
        <v>%</v>
      </c>
      <c r="D36" s="187" t="str">
        <f>'Anexo IV'!D18</f>
        <v>IRPJ</v>
      </c>
      <c r="E36" s="187" t="str">
        <f>'Anexo IV'!E18</f>
        <v>%</v>
      </c>
      <c r="F36" s="187" t="str">
        <f>'Anexo IV'!F18</f>
        <v>CSLL</v>
      </c>
      <c r="G36" s="187" t="str">
        <f>'Anexo IV'!G18</f>
        <v>%</v>
      </c>
      <c r="H36" s="187" t="str">
        <f>'Anexo IV'!H18</f>
        <v>Cofins</v>
      </c>
      <c r="I36" s="187" t="str">
        <f>'Anexo IV'!I18</f>
        <v>%</v>
      </c>
      <c r="J36" s="187" t="str">
        <f>'Anexo IV'!J18</f>
        <v>PIS/Pasep</v>
      </c>
      <c r="K36" s="187" t="str">
        <f>'Anexo IV'!K18</f>
        <v>%</v>
      </c>
      <c r="L36" s="187" t="str">
        <f>'Anexo IV'!L18</f>
        <v>CPP</v>
      </c>
      <c r="M36" s="187" t="str">
        <f>'Anexo IV'!M18</f>
        <v>%</v>
      </c>
      <c r="N36" s="187" t="str">
        <f>'Anexo IV'!N18</f>
        <v>ISS</v>
      </c>
      <c r="O36" s="182"/>
    </row>
    <row r="37" spans="3:15" ht="35.1" customHeight="1">
      <c r="C37" s="161">
        <f>'Anexo IV'!C19</f>
        <v>0.188</v>
      </c>
      <c r="D37" s="125">
        <f>'Anexo IV'!D19</f>
        <v>1196.5071060000002</v>
      </c>
      <c r="E37" s="119">
        <f>'Anexo IV'!E19</f>
        <v>0.152</v>
      </c>
      <c r="F37" s="125">
        <f>'Anexo IV'!F19</f>
        <v>967.38872400000014</v>
      </c>
      <c r="G37" s="119">
        <f>'Anexo IV'!G19</f>
        <v>0.1767</v>
      </c>
      <c r="H37" s="125">
        <f>'Anexo IV'!H19</f>
        <v>1124.5893916500002</v>
      </c>
      <c r="I37" s="119">
        <f>'Anexo IV'!I19</f>
        <v>3.8300000000000001E-2</v>
      </c>
      <c r="J37" s="125">
        <f>'Anexo IV'!J19</f>
        <v>243.75650085000007</v>
      </c>
      <c r="K37" s="119">
        <f>'Anexo IV'!K19</f>
        <v>0</v>
      </c>
      <c r="L37" s="125">
        <f>'Anexo IV'!L19</f>
        <v>0</v>
      </c>
      <c r="M37" s="119">
        <f>'Anexo IV'!M19</f>
        <v>0.44500000000000001</v>
      </c>
      <c r="N37" s="183">
        <f>'Anexo IV'!N19</f>
        <v>2832.1577775000005</v>
      </c>
      <c r="O37" s="182"/>
    </row>
    <row r="38" spans="3:15" ht="35.1" customHeight="1">
      <c r="C38" s="161">
        <f>'Anexo IV'!C20</f>
        <v>0.19800000000000001</v>
      </c>
      <c r="D38" s="126">
        <f>'Anexo IV'!D20</f>
        <v>1260.1511010000004</v>
      </c>
      <c r="E38" s="119">
        <f>'Anexo IV'!E20</f>
        <v>0.152</v>
      </c>
      <c r="F38" s="126">
        <f>'Anexo IV'!F20</f>
        <v>967.38872400000014</v>
      </c>
      <c r="G38" s="119">
        <f>'Anexo IV'!G20</f>
        <v>0.20549999999999999</v>
      </c>
      <c r="H38" s="126">
        <f>'Anexo IV'!H20</f>
        <v>1307.8840972500002</v>
      </c>
      <c r="I38" s="119">
        <f>'Anexo IV'!I20</f>
        <v>4.4499999999999998E-2</v>
      </c>
      <c r="J38" s="126">
        <f>'Anexo IV'!J20</f>
        <v>283.21577775000003</v>
      </c>
      <c r="K38" s="119">
        <f>'Anexo IV'!K20</f>
        <v>0</v>
      </c>
      <c r="L38" s="126">
        <f>'Anexo IV'!L20</f>
        <v>0</v>
      </c>
      <c r="M38" s="119">
        <f>'Anexo IV'!M20</f>
        <v>0.4</v>
      </c>
      <c r="N38" s="184">
        <f>'Anexo IV'!N20</f>
        <v>2545.7598000000007</v>
      </c>
      <c r="O38" s="182"/>
    </row>
    <row r="39" spans="3:15" ht="35.1" customHeight="1">
      <c r="C39" s="161">
        <f>'Anexo IV'!C21</f>
        <v>0.20799999999999999</v>
      </c>
      <c r="D39" s="126">
        <f>'Anexo IV'!D21</f>
        <v>1323.7950960000003</v>
      </c>
      <c r="E39" s="119">
        <f>'Anexo IV'!E21</f>
        <v>0.152</v>
      </c>
      <c r="F39" s="126">
        <f>'Anexo IV'!F21</f>
        <v>967.38872400000014</v>
      </c>
      <c r="G39" s="119">
        <f>'Anexo IV'!G21</f>
        <v>0.1973</v>
      </c>
      <c r="H39" s="126">
        <f>'Anexo IV'!H21</f>
        <v>1255.6960213500004</v>
      </c>
      <c r="I39" s="119">
        <f>'Anexo IV'!I21</f>
        <v>4.2700000000000002E-2</v>
      </c>
      <c r="J39" s="126">
        <f>'Anexo IV'!J21</f>
        <v>271.75985865000007</v>
      </c>
      <c r="K39" s="119">
        <f>'Anexo IV'!K21</f>
        <v>0</v>
      </c>
      <c r="L39" s="126">
        <f>'Anexo IV'!L21</f>
        <v>0</v>
      </c>
      <c r="M39" s="119">
        <f>'Anexo IV'!M21</f>
        <v>0.4</v>
      </c>
      <c r="N39" s="184">
        <f>'Anexo IV'!N21</f>
        <v>2545.7598000000007</v>
      </c>
      <c r="O39" s="182"/>
    </row>
    <row r="40" spans="3:15" ht="35.1" customHeight="1">
      <c r="C40" s="161">
        <f>'Anexo IV'!C22</f>
        <v>0.17799999999999999</v>
      </c>
      <c r="D40" s="126">
        <f>'Anexo IV'!D22</f>
        <v>1132.8631110000001</v>
      </c>
      <c r="E40" s="119">
        <f>'Anexo IV'!E22</f>
        <v>0.192</v>
      </c>
      <c r="F40" s="126">
        <f>'Anexo IV'!F22</f>
        <v>1221.9647040000002</v>
      </c>
      <c r="G40" s="119">
        <f>'Anexo IV'!G22</f>
        <v>0.189</v>
      </c>
      <c r="H40" s="126">
        <f>'Anexo IV'!H22</f>
        <v>1202.8715055000002</v>
      </c>
      <c r="I40" s="119">
        <f>'Anexo IV'!I22</f>
        <v>4.1000000000000002E-2</v>
      </c>
      <c r="J40" s="126">
        <f>'Anexo IV'!J22</f>
        <v>260.94037950000006</v>
      </c>
      <c r="K40" s="119">
        <f>'Anexo IV'!K22</f>
        <v>0</v>
      </c>
      <c r="L40" s="126">
        <f>'Anexo IV'!L22</f>
        <v>0</v>
      </c>
      <c r="M40" s="119">
        <f>'Anexo IV'!M22</f>
        <v>0.4</v>
      </c>
      <c r="N40" s="184">
        <f>'Anexo IV'!N22</f>
        <v>2545.7598000000007</v>
      </c>
      <c r="O40" s="182"/>
    </row>
    <row r="41" spans="3:15" ht="35.1" customHeight="1">
      <c r="C41" s="161">
        <f>'Anexo IV'!C23</f>
        <v>0.188</v>
      </c>
      <c r="D41" s="126">
        <f>'Anexo IV'!D23</f>
        <v>1196.5071060000002</v>
      </c>
      <c r="E41" s="119">
        <f>'Anexo IV'!E23</f>
        <v>0.192</v>
      </c>
      <c r="F41" s="126">
        <f>'Anexo IV'!F23</f>
        <v>1221.9647040000002</v>
      </c>
      <c r="G41" s="119">
        <f>'Anexo IV'!G23</f>
        <v>0.18079999999999999</v>
      </c>
      <c r="H41" s="126">
        <f>'Anexo IV'!H23</f>
        <v>1150.6834296000002</v>
      </c>
      <c r="I41" s="119">
        <f>'Anexo IV'!I23</f>
        <v>3.9199999999999999E-2</v>
      </c>
      <c r="J41" s="126">
        <f>'Anexo IV'!J23</f>
        <v>249.48446040000005</v>
      </c>
      <c r="K41" s="119">
        <f>'Anexo IV'!K23</f>
        <v>0</v>
      </c>
      <c r="L41" s="126">
        <f>'Anexo IV'!L23</f>
        <v>0</v>
      </c>
      <c r="M41" s="119">
        <f>'Anexo IV'!M23</f>
        <v>0.4</v>
      </c>
      <c r="N41" s="184">
        <f>'Anexo IV'!N23</f>
        <v>2545.7598000000007</v>
      </c>
      <c r="O41" s="182"/>
    </row>
    <row r="42" spans="3:15" ht="35.1" customHeight="1">
      <c r="C42" s="120">
        <f>'Anexo IV'!C24</f>
        <v>0.53500000000000003</v>
      </c>
      <c r="D42" s="121">
        <f>'Anexo IV'!D24</f>
        <v>3404.953732500001</v>
      </c>
      <c r="E42" s="119">
        <f>'Anexo IV'!E24</f>
        <v>0.215</v>
      </c>
      <c r="F42" s="121">
        <f>'Anexo IV'!F24</f>
        <v>1368.3458925000002</v>
      </c>
      <c r="G42" s="119">
        <f>'Anexo IV'!G24</f>
        <v>0.20549999999999999</v>
      </c>
      <c r="H42" s="121">
        <f>'Anexo IV'!H24</f>
        <v>1307.8840972500002</v>
      </c>
      <c r="I42" s="119">
        <f>'Anexo IV'!I24</f>
        <v>4.4499999999999998E-2</v>
      </c>
      <c r="J42" s="121">
        <f>'Anexo IV'!J24</f>
        <v>283.21577775000003</v>
      </c>
      <c r="K42" s="119">
        <f>'Anexo IV'!K24</f>
        <v>0</v>
      </c>
      <c r="L42" s="121">
        <f>'Anexo IV'!L24</f>
        <v>0</v>
      </c>
      <c r="M42" s="119">
        <f>'Anexo IV'!M24</f>
        <v>0</v>
      </c>
      <c r="N42" s="122">
        <f>'Anexo IV'!N24</f>
        <v>0</v>
      </c>
      <c r="O42" s="182"/>
    </row>
    <row r="44" spans="3:15" ht="35.1" customHeight="1" thickBot="1">
      <c r="C44" s="241" t="s">
        <v>68</v>
      </c>
      <c r="D44" s="241"/>
    </row>
    <row r="45" spans="3:15" ht="21.95" customHeight="1">
      <c r="C45" s="231" t="s">
        <v>89</v>
      </c>
      <c r="D45" s="232"/>
      <c r="E45" s="232"/>
      <c r="F45" s="232"/>
      <c r="G45" s="232"/>
      <c r="H45" s="232"/>
      <c r="I45" s="232"/>
      <c r="J45" s="232"/>
      <c r="K45" s="232"/>
      <c r="L45" s="232"/>
      <c r="M45" s="232"/>
      <c r="N45" s="232"/>
      <c r="O45" s="182"/>
    </row>
    <row r="46" spans="3:15" ht="21.95" customHeight="1">
      <c r="C46" s="186" t="str">
        <f>'Anexo V'!C18</f>
        <v>%</v>
      </c>
      <c r="D46" s="187" t="str">
        <f>'Anexo V'!D18</f>
        <v>IRPJ</v>
      </c>
      <c r="E46" s="187" t="str">
        <f>'Anexo V'!E18</f>
        <v>%</v>
      </c>
      <c r="F46" s="187" t="str">
        <f>'Anexo V'!F18</f>
        <v>CSLL</v>
      </c>
      <c r="G46" s="187" t="str">
        <f>'Anexo V'!G18</f>
        <v>%</v>
      </c>
      <c r="H46" s="187" t="str">
        <f>'Anexo V'!H18</f>
        <v>Cofins</v>
      </c>
      <c r="I46" s="187" t="str">
        <f>'Anexo V'!I18</f>
        <v>%</v>
      </c>
      <c r="J46" s="187" t="str">
        <f>'Anexo V'!J18</f>
        <v>PIS/Pasep</v>
      </c>
      <c r="K46" s="187" t="str">
        <f>'Anexo V'!K18</f>
        <v>%</v>
      </c>
      <c r="L46" s="187" t="str">
        <f>'Anexo V'!L18</f>
        <v>CPP</v>
      </c>
      <c r="M46" s="187" t="str">
        <f>'Anexo V'!M18</f>
        <v>%</v>
      </c>
      <c r="N46" s="187" t="str">
        <f>'Anexo V'!N18</f>
        <v>ISS</v>
      </c>
      <c r="O46" s="182"/>
    </row>
    <row r="47" spans="3:15" ht="35.1" customHeight="1">
      <c r="C47" s="161">
        <f>'Anexo V'!C19</f>
        <v>0.25</v>
      </c>
      <c r="D47" s="125">
        <f>'Anexo V'!D19</f>
        <v>5480.4551250000004</v>
      </c>
      <c r="E47" s="119">
        <f>'Anexo V'!E19</f>
        <v>0.15</v>
      </c>
      <c r="F47" s="125">
        <f>'Anexo V'!F19</f>
        <v>3288.2730750000001</v>
      </c>
      <c r="G47" s="119">
        <f>'Anexo V'!G19</f>
        <v>0.14099999999999999</v>
      </c>
      <c r="H47" s="125">
        <f>'Anexo V'!H19</f>
        <v>3090.9766905000001</v>
      </c>
      <c r="I47" s="119">
        <f>'Anexo V'!I19</f>
        <v>3.0499999999999999E-2</v>
      </c>
      <c r="J47" s="125">
        <f>'Anexo V'!J19</f>
        <v>668.61552525000002</v>
      </c>
      <c r="K47" s="119">
        <f>'Anexo V'!K19</f>
        <v>0.28849999999999998</v>
      </c>
      <c r="L47" s="125">
        <f>'Anexo V'!L19</f>
        <v>6324.4452142500004</v>
      </c>
      <c r="M47" s="119">
        <f>'Anexo V'!M19</f>
        <v>0.14000000000000001</v>
      </c>
      <c r="N47" s="183">
        <f>'Anexo V'!N19</f>
        <v>3069.0548700000004</v>
      </c>
      <c r="O47" s="182"/>
    </row>
    <row r="48" spans="3:15" ht="35.1" customHeight="1">
      <c r="C48" s="161">
        <f>'Anexo V'!C20</f>
        <v>0.23</v>
      </c>
      <c r="D48" s="126">
        <f>'Anexo V'!D20</f>
        <v>5042.0187150000002</v>
      </c>
      <c r="E48" s="119">
        <f>'Anexo V'!E20</f>
        <v>0.15</v>
      </c>
      <c r="F48" s="126">
        <f>'Anexo V'!F20</f>
        <v>3288.2730750000001</v>
      </c>
      <c r="G48" s="119">
        <f>'Anexo V'!G20</f>
        <v>0.14099999999999999</v>
      </c>
      <c r="H48" s="126">
        <f>'Anexo V'!H20</f>
        <v>3090.9766905000001</v>
      </c>
      <c r="I48" s="119">
        <f>'Anexo V'!I20</f>
        <v>3.0499999999999999E-2</v>
      </c>
      <c r="J48" s="126">
        <f>'Anexo V'!J20</f>
        <v>668.61552525000002</v>
      </c>
      <c r="K48" s="119">
        <f>'Anexo V'!K20</f>
        <v>0.27850000000000003</v>
      </c>
      <c r="L48" s="126">
        <f>'Anexo V'!L20</f>
        <v>6105.2270092500012</v>
      </c>
      <c r="M48" s="119">
        <f>'Anexo V'!M20</f>
        <v>0.17</v>
      </c>
      <c r="N48" s="184">
        <f>'Anexo V'!N20</f>
        <v>3726.7094850000008</v>
      </c>
      <c r="O48" s="182"/>
    </row>
    <row r="49" spans="3:15" ht="35.1" customHeight="1">
      <c r="C49" s="161">
        <f>'Anexo V'!C21</f>
        <v>0.24</v>
      </c>
      <c r="D49" s="126">
        <f>'Anexo V'!D21</f>
        <v>5261.2369200000003</v>
      </c>
      <c r="E49" s="119">
        <f>'Anexo V'!E21</f>
        <v>0.15</v>
      </c>
      <c r="F49" s="126">
        <f>'Anexo V'!F21</f>
        <v>3288.2730750000001</v>
      </c>
      <c r="G49" s="119">
        <f>'Anexo V'!G21</f>
        <v>0.1492</v>
      </c>
      <c r="H49" s="126">
        <f>'Anexo V'!H21</f>
        <v>3270.7356186000002</v>
      </c>
      <c r="I49" s="119">
        <f>'Anexo V'!I21</f>
        <v>3.2300000000000002E-2</v>
      </c>
      <c r="J49" s="126">
        <f>'Anexo V'!J21</f>
        <v>708.0748021500001</v>
      </c>
      <c r="K49" s="119">
        <f>'Anexo V'!K21</f>
        <v>0.23849999999999999</v>
      </c>
      <c r="L49" s="126">
        <f>'Anexo V'!L21</f>
        <v>5228.3541892499998</v>
      </c>
      <c r="M49" s="119">
        <f>'Anexo V'!M21</f>
        <v>0.19</v>
      </c>
      <c r="N49" s="184">
        <f>'Anexo V'!N21</f>
        <v>4165.1458950000006</v>
      </c>
      <c r="O49" s="182"/>
    </row>
    <row r="50" spans="3:15" ht="35.1" customHeight="1">
      <c r="C50" s="161">
        <f>'Anexo V'!C22</f>
        <v>0.21</v>
      </c>
      <c r="D50" s="126">
        <f>'Anexo V'!D22</f>
        <v>4603.5823049999999</v>
      </c>
      <c r="E50" s="119">
        <f>'Anexo V'!E22</f>
        <v>0.15</v>
      </c>
      <c r="F50" s="126">
        <f>'Anexo V'!F22</f>
        <v>3288.2730750000001</v>
      </c>
      <c r="G50" s="119">
        <f>'Anexo V'!G22</f>
        <v>0.15740000000000001</v>
      </c>
      <c r="H50" s="126">
        <f>'Anexo V'!H22</f>
        <v>3450.4945467000007</v>
      </c>
      <c r="I50" s="119">
        <f>'Anexo V'!I22</f>
        <v>3.4099999999999998E-2</v>
      </c>
      <c r="J50" s="126">
        <f>'Anexo V'!J22</f>
        <v>747.53407905000006</v>
      </c>
      <c r="K50" s="119">
        <f>'Anexo V'!K22</f>
        <v>0.23849999999999999</v>
      </c>
      <c r="L50" s="126">
        <f>'Anexo V'!L22</f>
        <v>5228.3541892499998</v>
      </c>
      <c r="M50" s="119">
        <f>'Anexo V'!M22</f>
        <v>0.21</v>
      </c>
      <c r="N50" s="184">
        <f>'Anexo V'!N22</f>
        <v>4603.5823049999999</v>
      </c>
      <c r="O50" s="182"/>
    </row>
    <row r="51" spans="3:15" ht="35.1" customHeight="1">
      <c r="C51" s="161">
        <f>'Anexo V'!C23</f>
        <v>0.23</v>
      </c>
      <c r="D51" s="126">
        <f>'Anexo V'!D23</f>
        <v>5042.0187150000002</v>
      </c>
      <c r="E51" s="119">
        <f>'Anexo V'!E23</f>
        <v>0.125</v>
      </c>
      <c r="F51" s="126">
        <f>'Anexo V'!F23</f>
        <v>2740.2275625000002</v>
      </c>
      <c r="G51" s="119">
        <f>'Anexo V'!G23</f>
        <v>0.14099999999999999</v>
      </c>
      <c r="H51" s="126">
        <f>'Anexo V'!H23</f>
        <v>3090.9766905000001</v>
      </c>
      <c r="I51" s="119">
        <f>'Anexo V'!I23</f>
        <v>3.0499999999999999E-2</v>
      </c>
      <c r="J51" s="126">
        <f>'Anexo V'!J23</f>
        <v>668.61552525000002</v>
      </c>
      <c r="K51" s="119">
        <f>'Anexo V'!K23</f>
        <v>0.23849999999999999</v>
      </c>
      <c r="L51" s="126">
        <f>'Anexo V'!L23</f>
        <v>5228.3541892499998</v>
      </c>
      <c r="M51" s="119">
        <f>'Anexo V'!M23</f>
        <v>0.23499999999999999</v>
      </c>
      <c r="N51" s="184">
        <f>'Anexo V'!N23</f>
        <v>5151.6278174999998</v>
      </c>
      <c r="O51" s="182"/>
    </row>
    <row r="52" spans="3:15" ht="35.1" customHeight="1">
      <c r="C52" s="120">
        <f>'Anexo V'!C24</f>
        <v>0.35</v>
      </c>
      <c r="D52" s="121">
        <f>'Anexo V'!D24</f>
        <v>7672.6371749999998</v>
      </c>
      <c r="E52" s="119">
        <f>'Anexo V'!E24</f>
        <v>0.155</v>
      </c>
      <c r="F52" s="121">
        <f>'Anexo V'!F24</f>
        <v>3397.8821775000001</v>
      </c>
      <c r="G52" s="119">
        <f>'Anexo V'!G24</f>
        <v>0.16439999999999999</v>
      </c>
      <c r="H52" s="121">
        <f>'Anexo V'!H24</f>
        <v>3603.9472902000002</v>
      </c>
      <c r="I52" s="119">
        <f>'Anexo V'!I24</f>
        <v>3.56E-2</v>
      </c>
      <c r="J52" s="121">
        <f>'Anexo V'!J24</f>
        <v>780.41680980000001</v>
      </c>
      <c r="K52" s="119">
        <f>'Anexo V'!K24</f>
        <v>0.29499999999999998</v>
      </c>
      <c r="L52" s="121">
        <f>'Anexo V'!L24</f>
        <v>6466.9370475000005</v>
      </c>
      <c r="M52" s="119">
        <f>'Anexo V'!M24</f>
        <v>0</v>
      </c>
      <c r="N52" s="122">
        <f>'Anexo V'!N24</f>
        <v>0</v>
      </c>
      <c r="O52" s="182"/>
    </row>
  </sheetData>
  <sheetProtection sheet="1" objects="1" scenarios="1" selectLockedCells="1" selectUnlockedCells="1"/>
  <mergeCells count="10">
    <mergeCell ref="C34:D34"/>
    <mergeCell ref="C35:N35"/>
    <mergeCell ref="C44:D44"/>
    <mergeCell ref="C45:N45"/>
    <mergeCell ref="C15:P15"/>
    <mergeCell ref="C5:N5"/>
    <mergeCell ref="C4:D4"/>
    <mergeCell ref="C14:D14"/>
    <mergeCell ref="C24:D24"/>
    <mergeCell ref="C25:N25"/>
  </mergeCells>
  <pageMargins left="0.511811024" right="0.511811024" top="0.78740157499999996" bottom="0.78740157499999996" header="0.31496062000000002" footer="0.31496062000000002"/>
  <pageSetup paperSize="9" scale="73" fitToHeight="0" orientation="landscape" r:id="rId1"/>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pageSetUpPr fitToPage="1"/>
  </sheetPr>
  <dimension ref="D1:U46"/>
  <sheetViews>
    <sheetView showGridLines="0" showRowColHeaders="0" workbookViewId="0">
      <pane ySplit="2" topLeftCell="A3" activePane="bottomLeft" state="frozen"/>
      <selection pane="bottomLeft" activeCell="X11" sqref="X11"/>
    </sheetView>
  </sheetViews>
  <sheetFormatPr defaultRowHeight="15" customHeight="1"/>
  <cols>
    <col min="1" max="2" width="1.7109375" style="2" customWidth="1"/>
    <col min="3" max="3" width="9.140625" style="2"/>
    <col min="4" max="4" width="2.7109375" style="2" customWidth="1"/>
    <col min="5" max="6" width="15.5703125" style="2" customWidth="1"/>
    <col min="7" max="10" width="9.140625" style="2"/>
    <col min="11" max="11" width="15.5703125" style="2" customWidth="1"/>
    <col min="12" max="19" width="9.140625" style="2"/>
    <col min="20" max="21" width="2.7109375" style="2" customWidth="1"/>
    <col min="22" max="16384" width="9.140625" style="2"/>
  </cols>
  <sheetData>
    <row r="1" spans="4:21" s="1" customFormat="1" ht="35.1" customHeight="1"/>
    <row r="2" spans="4:21" s="3" customFormat="1" ht="30" customHeight="1"/>
    <row r="7" spans="4:21" ht="15" customHeight="1">
      <c r="D7" s="26"/>
      <c r="E7" s="26"/>
      <c r="F7" s="26"/>
      <c r="G7" s="26"/>
      <c r="H7" s="26"/>
      <c r="I7" s="26"/>
      <c r="J7" s="26"/>
      <c r="K7" s="26"/>
      <c r="L7" s="26"/>
      <c r="M7" s="26"/>
      <c r="N7" s="26"/>
      <c r="O7" s="26"/>
      <c r="P7" s="26"/>
      <c r="Q7" s="26"/>
      <c r="R7" s="26"/>
      <c r="S7" s="26"/>
      <c r="T7" s="26"/>
      <c r="U7" s="26"/>
    </row>
    <row r="8" spans="4:21" ht="15" customHeight="1">
      <c r="D8" s="26"/>
      <c r="E8" s="242" t="s">
        <v>28</v>
      </c>
      <c r="F8" s="242"/>
      <c r="G8" s="242"/>
      <c r="H8" s="242"/>
      <c r="I8" s="242"/>
      <c r="J8" s="242"/>
      <c r="K8" s="242"/>
      <c r="L8" s="242"/>
      <c r="M8" s="242"/>
      <c r="N8" s="242"/>
      <c r="O8" s="242"/>
      <c r="P8" s="242"/>
      <c r="Q8" s="242"/>
      <c r="R8" s="242"/>
      <c r="S8" s="242"/>
      <c r="T8" s="242"/>
      <c r="U8" s="26"/>
    </row>
    <row r="9" spans="4:21" ht="15" customHeight="1">
      <c r="D9" s="26"/>
      <c r="E9" s="242"/>
      <c r="F9" s="242"/>
      <c r="G9" s="242"/>
      <c r="H9" s="242"/>
      <c r="I9" s="242"/>
      <c r="J9" s="242"/>
      <c r="K9" s="242"/>
      <c r="L9" s="242"/>
      <c r="M9" s="242"/>
      <c r="N9" s="242"/>
      <c r="O9" s="242"/>
      <c r="P9" s="242"/>
      <c r="Q9" s="242"/>
      <c r="R9" s="242"/>
      <c r="S9" s="242"/>
      <c r="T9" s="242"/>
      <c r="U9" s="26"/>
    </row>
    <row r="10" spans="4:21" ht="15" customHeight="1">
      <c r="D10" s="26"/>
      <c r="E10" s="242"/>
      <c r="F10" s="242"/>
      <c r="G10" s="242"/>
      <c r="H10" s="242"/>
      <c r="I10" s="242"/>
      <c r="J10" s="242"/>
      <c r="K10" s="242"/>
      <c r="L10" s="242"/>
      <c r="M10" s="242"/>
      <c r="N10" s="242"/>
      <c r="O10" s="242"/>
      <c r="P10" s="242"/>
      <c r="Q10" s="242"/>
      <c r="R10" s="242"/>
      <c r="S10" s="242"/>
      <c r="T10" s="242"/>
      <c r="U10" s="26"/>
    </row>
    <row r="11" spans="4:21" ht="15" customHeight="1">
      <c r="D11" s="26"/>
      <c r="E11" s="242"/>
      <c r="F11" s="242"/>
      <c r="G11" s="242"/>
      <c r="H11" s="242"/>
      <c r="I11" s="242"/>
      <c r="J11" s="242"/>
      <c r="K11" s="242"/>
      <c r="L11" s="242"/>
      <c r="M11" s="242"/>
      <c r="N11" s="242"/>
      <c r="O11" s="242"/>
      <c r="P11" s="242"/>
      <c r="Q11" s="242"/>
      <c r="R11" s="242"/>
      <c r="S11" s="242"/>
      <c r="T11" s="242"/>
      <c r="U11" s="26"/>
    </row>
    <row r="12" spans="4:21" ht="15" customHeight="1">
      <c r="D12" s="26"/>
      <c r="E12" s="242"/>
      <c r="F12" s="242"/>
      <c r="G12" s="242"/>
      <c r="H12" s="242"/>
      <c r="I12" s="242"/>
      <c r="J12" s="242"/>
      <c r="K12" s="242"/>
      <c r="L12" s="242"/>
      <c r="M12" s="242"/>
      <c r="N12" s="242"/>
      <c r="O12" s="242"/>
      <c r="P12" s="242"/>
      <c r="Q12" s="242"/>
      <c r="R12" s="242"/>
      <c r="S12" s="242"/>
      <c r="T12" s="242"/>
      <c r="U12" s="26"/>
    </row>
    <row r="13" spans="4:21" ht="15" customHeight="1">
      <c r="D13" s="26"/>
      <c r="E13" s="242"/>
      <c r="F13" s="242"/>
      <c r="G13" s="242"/>
      <c r="H13" s="242"/>
      <c r="I13" s="242"/>
      <c r="J13" s="242"/>
      <c r="K13" s="242"/>
      <c r="L13" s="242"/>
      <c r="M13" s="242"/>
      <c r="N13" s="242"/>
      <c r="O13" s="242"/>
      <c r="P13" s="242"/>
      <c r="Q13" s="242"/>
      <c r="R13" s="242"/>
      <c r="S13" s="242"/>
      <c r="T13" s="242"/>
      <c r="U13" s="26"/>
    </row>
    <row r="14" spans="4:21" ht="15" customHeight="1">
      <c r="D14" s="26"/>
      <c r="E14" s="243" t="s">
        <v>113</v>
      </c>
      <c r="F14" s="244">
        <f>Relatórios!P5</f>
        <v>44607</v>
      </c>
      <c r="G14" s="246" t="s">
        <v>112</v>
      </c>
      <c r="H14" s="246"/>
      <c r="I14" s="247" t="str">
        <f>Relatórios!P4</f>
        <v>Empresa Exemplo LTDA</v>
      </c>
      <c r="J14" s="247"/>
      <c r="K14" s="247"/>
      <c r="L14" s="247"/>
      <c r="M14" s="246" t="s">
        <v>120</v>
      </c>
      <c r="N14" s="245" t="str">
        <f>Empresa!D6</f>
        <v>00.000.000/0001-00</v>
      </c>
      <c r="O14" s="245"/>
      <c r="P14" s="245"/>
      <c r="Q14" s="246" t="s">
        <v>121</v>
      </c>
      <c r="R14" s="245" t="str">
        <f>'BH (1)'!H9</f>
        <v>Anexo I</v>
      </c>
      <c r="S14" s="245"/>
      <c r="T14" s="245"/>
      <c r="U14" s="26"/>
    </row>
    <row r="15" spans="4:21" ht="15" customHeight="1">
      <c r="D15" s="26"/>
      <c r="E15" s="243"/>
      <c r="F15" s="245"/>
      <c r="G15" s="246"/>
      <c r="H15" s="246"/>
      <c r="I15" s="247"/>
      <c r="J15" s="247"/>
      <c r="K15" s="247"/>
      <c r="L15" s="247"/>
      <c r="M15" s="246"/>
      <c r="N15" s="245"/>
      <c r="O15" s="245"/>
      <c r="P15" s="245"/>
      <c r="Q15" s="246"/>
      <c r="R15" s="245"/>
      <c r="S15" s="245"/>
      <c r="T15" s="245"/>
      <c r="U15" s="26"/>
    </row>
    <row r="16" spans="4:21" ht="15" customHeight="1">
      <c r="D16" s="26"/>
      <c r="E16" s="26"/>
      <c r="F16" s="26"/>
      <c r="G16" s="26"/>
      <c r="H16" s="26"/>
      <c r="I16" s="26"/>
      <c r="J16" s="26"/>
      <c r="K16" s="26"/>
      <c r="L16" s="26"/>
      <c r="M16" s="26"/>
      <c r="N16" s="26"/>
      <c r="O16" s="26"/>
      <c r="P16" s="26"/>
      <c r="Q16" s="26"/>
      <c r="R16" s="26"/>
      <c r="S16" s="26"/>
      <c r="T16" s="26"/>
      <c r="U16" s="26"/>
    </row>
    <row r="17" spans="4:21" ht="15" customHeight="1">
      <c r="D17" s="26"/>
      <c r="E17" s="26"/>
      <c r="F17" s="26"/>
      <c r="G17" s="26"/>
      <c r="H17" s="26"/>
      <c r="I17" s="26"/>
      <c r="J17" s="26"/>
      <c r="K17" s="26"/>
      <c r="L17" s="26"/>
      <c r="M17" s="26"/>
      <c r="N17" s="26"/>
      <c r="O17" s="26"/>
      <c r="P17" s="26"/>
      <c r="Q17" s="26"/>
      <c r="R17" s="26"/>
      <c r="S17" s="26"/>
      <c r="T17" s="26"/>
      <c r="U17" s="26"/>
    </row>
    <row r="18" spans="4:21" ht="15" customHeight="1">
      <c r="D18" s="26"/>
      <c r="E18" s="26"/>
      <c r="F18" s="26"/>
      <c r="G18" s="26"/>
      <c r="H18" s="26"/>
      <c r="I18" s="26"/>
      <c r="J18" s="26"/>
      <c r="K18" s="26"/>
      <c r="L18" s="26"/>
      <c r="M18" s="26"/>
      <c r="N18" s="26"/>
      <c r="O18" s="26"/>
      <c r="P18" s="26"/>
      <c r="Q18" s="26"/>
      <c r="R18" s="26"/>
      <c r="S18" s="26"/>
      <c r="T18" s="26"/>
      <c r="U18" s="26"/>
    </row>
    <row r="19" spans="4:21" ht="15" customHeight="1">
      <c r="D19" s="26"/>
      <c r="E19" s="26"/>
      <c r="F19" s="26"/>
      <c r="G19" s="26"/>
      <c r="H19" s="26"/>
      <c r="I19" s="26"/>
      <c r="J19" s="26"/>
      <c r="K19" s="26"/>
      <c r="L19" s="26"/>
      <c r="M19" s="26"/>
      <c r="N19" s="26"/>
      <c r="O19" s="26"/>
      <c r="P19" s="26"/>
      <c r="Q19" s="26"/>
      <c r="R19" s="26"/>
      <c r="S19" s="26"/>
      <c r="T19" s="26"/>
      <c r="U19" s="26"/>
    </row>
    <row r="20" spans="4:21" ht="15" customHeight="1">
      <c r="D20" s="26"/>
      <c r="E20" s="26"/>
      <c r="F20" s="26"/>
      <c r="G20" s="26"/>
      <c r="H20" s="26"/>
      <c r="I20" s="26"/>
      <c r="J20" s="26"/>
      <c r="K20" s="26"/>
      <c r="L20" s="26"/>
      <c r="M20" s="26"/>
      <c r="N20" s="26"/>
      <c r="O20" s="26"/>
      <c r="P20" s="26"/>
      <c r="Q20" s="26"/>
      <c r="R20" s="26"/>
      <c r="S20" s="26"/>
      <c r="T20" s="26"/>
      <c r="U20" s="26"/>
    </row>
    <row r="21" spans="4:21" ht="15" customHeight="1">
      <c r="D21" s="26"/>
      <c r="E21" s="26"/>
      <c r="F21" s="26"/>
      <c r="G21" s="26"/>
      <c r="H21" s="26"/>
      <c r="I21" s="26"/>
      <c r="J21" s="26"/>
      <c r="K21" s="26"/>
      <c r="L21" s="26"/>
      <c r="M21" s="26"/>
      <c r="N21" s="26"/>
      <c r="O21" s="26"/>
      <c r="P21" s="26"/>
      <c r="Q21" s="26"/>
      <c r="R21" s="26"/>
      <c r="S21" s="26"/>
      <c r="T21" s="26"/>
      <c r="U21" s="26"/>
    </row>
    <row r="22" spans="4:21" ht="15" customHeight="1">
      <c r="D22" s="26"/>
      <c r="E22" s="26"/>
      <c r="F22" s="26"/>
      <c r="G22" s="26"/>
      <c r="H22" s="26"/>
      <c r="I22" s="26"/>
      <c r="J22" s="26"/>
      <c r="K22" s="26"/>
      <c r="L22" s="26"/>
      <c r="M22" s="26"/>
      <c r="N22" s="26"/>
      <c r="O22" s="26"/>
      <c r="P22" s="26"/>
      <c r="Q22" s="26"/>
      <c r="R22" s="26"/>
      <c r="S22" s="26"/>
      <c r="T22" s="26"/>
      <c r="U22" s="26"/>
    </row>
    <row r="23" spans="4:21" ht="15" customHeight="1">
      <c r="D23" s="26"/>
      <c r="E23" s="26"/>
      <c r="F23" s="26"/>
      <c r="G23" s="26"/>
      <c r="H23" s="26"/>
      <c r="I23" s="26"/>
      <c r="J23" s="26"/>
      <c r="K23" s="26"/>
      <c r="L23" s="26"/>
      <c r="M23" s="26"/>
      <c r="N23" s="26"/>
      <c r="O23" s="26"/>
      <c r="P23" s="26"/>
      <c r="Q23" s="26"/>
      <c r="R23" s="26"/>
      <c r="S23" s="26"/>
      <c r="T23" s="26"/>
      <c r="U23" s="26"/>
    </row>
    <row r="24" spans="4:21" ht="15" customHeight="1">
      <c r="D24" s="26"/>
      <c r="E24" s="26"/>
      <c r="F24" s="26"/>
      <c r="G24" s="26"/>
      <c r="H24" s="26"/>
      <c r="I24" s="26"/>
      <c r="J24" s="26"/>
      <c r="K24" s="26"/>
      <c r="L24" s="26"/>
      <c r="M24" s="26"/>
      <c r="N24" s="26"/>
      <c r="O24" s="26"/>
      <c r="P24" s="26"/>
      <c r="Q24" s="26"/>
      <c r="R24" s="26"/>
      <c r="S24" s="26"/>
      <c r="T24" s="26"/>
      <c r="U24" s="26"/>
    </row>
    <row r="25" spans="4:21" ht="15" customHeight="1">
      <c r="D25" s="26"/>
      <c r="E25" s="26"/>
      <c r="F25" s="26"/>
      <c r="G25" s="26"/>
      <c r="H25" s="26"/>
      <c r="I25" s="26"/>
      <c r="J25" s="26"/>
      <c r="K25" s="26"/>
      <c r="L25" s="26"/>
      <c r="M25" s="26"/>
      <c r="N25" s="26"/>
      <c r="O25" s="26"/>
      <c r="P25" s="26"/>
      <c r="Q25" s="26"/>
      <c r="R25" s="26"/>
      <c r="S25" s="26"/>
      <c r="T25" s="26"/>
      <c r="U25" s="26"/>
    </row>
    <row r="26" spans="4:21" ht="15" customHeight="1">
      <c r="D26" s="26"/>
      <c r="E26" s="26"/>
      <c r="F26" s="26"/>
      <c r="G26" s="26"/>
      <c r="H26" s="26"/>
      <c r="I26" s="26"/>
      <c r="J26" s="26"/>
      <c r="K26" s="26"/>
      <c r="L26" s="26"/>
      <c r="M26" s="26"/>
      <c r="N26" s="26"/>
      <c r="O26" s="26"/>
      <c r="P26" s="26"/>
      <c r="Q26" s="26"/>
      <c r="R26" s="26"/>
      <c r="S26" s="26"/>
      <c r="T26" s="26"/>
      <c r="U26" s="26"/>
    </row>
    <row r="27" spans="4:21" ht="15" customHeight="1">
      <c r="D27" s="26"/>
      <c r="E27" s="26"/>
      <c r="F27" s="26"/>
      <c r="G27" s="26"/>
      <c r="H27" s="26"/>
      <c r="I27" s="26"/>
      <c r="J27" s="26"/>
      <c r="K27" s="26"/>
      <c r="L27" s="26"/>
      <c r="M27" s="26"/>
      <c r="N27" s="26"/>
      <c r="O27" s="26"/>
      <c r="P27" s="26"/>
      <c r="Q27" s="26"/>
      <c r="R27" s="26"/>
      <c r="S27" s="26"/>
      <c r="T27" s="26"/>
      <c r="U27" s="26"/>
    </row>
    <row r="28" spans="4:21" ht="15" customHeight="1">
      <c r="D28" s="26"/>
      <c r="E28" s="26"/>
      <c r="F28" s="26"/>
      <c r="G28" s="26"/>
      <c r="H28" s="26"/>
      <c r="I28" s="26"/>
      <c r="J28" s="26"/>
      <c r="K28" s="26"/>
      <c r="L28" s="26"/>
      <c r="M28" s="26"/>
      <c r="N28" s="26"/>
      <c r="O28" s="26"/>
      <c r="P28" s="26"/>
      <c r="Q28" s="26"/>
      <c r="R28" s="26"/>
      <c r="S28" s="26"/>
      <c r="T28" s="26"/>
      <c r="U28" s="26"/>
    </row>
    <row r="29" spans="4:21" ht="15" customHeight="1">
      <c r="D29" s="26"/>
      <c r="E29" s="26"/>
      <c r="F29" s="26"/>
      <c r="G29" s="26"/>
      <c r="H29" s="26"/>
      <c r="I29" s="26"/>
      <c r="J29" s="26"/>
      <c r="K29" s="26"/>
      <c r="L29" s="26"/>
      <c r="M29" s="26"/>
      <c r="N29" s="26"/>
      <c r="O29" s="26"/>
      <c r="P29" s="26"/>
      <c r="Q29" s="26"/>
      <c r="R29" s="26"/>
      <c r="S29" s="26"/>
      <c r="T29" s="26"/>
      <c r="U29" s="26"/>
    </row>
    <row r="30" spans="4:21" ht="15" customHeight="1">
      <c r="D30" s="26"/>
      <c r="E30" s="26"/>
      <c r="F30" s="26"/>
      <c r="G30" s="26"/>
      <c r="H30" s="26"/>
      <c r="I30" s="26"/>
      <c r="J30" s="26"/>
      <c r="K30" s="26"/>
      <c r="L30" s="26"/>
      <c r="M30" s="26"/>
      <c r="N30" s="26"/>
      <c r="O30" s="26"/>
      <c r="P30" s="26"/>
      <c r="Q30" s="26"/>
      <c r="R30" s="26"/>
      <c r="S30" s="26"/>
      <c r="T30" s="26"/>
      <c r="U30" s="26"/>
    </row>
    <row r="31" spans="4:21" ht="15" customHeight="1">
      <c r="D31" s="26"/>
      <c r="E31" s="26"/>
      <c r="F31" s="26"/>
      <c r="G31" s="26"/>
      <c r="H31" s="26"/>
      <c r="I31" s="26"/>
      <c r="J31" s="26"/>
      <c r="K31" s="26"/>
      <c r="L31" s="26"/>
      <c r="M31" s="26"/>
      <c r="N31" s="26"/>
      <c r="O31" s="26"/>
      <c r="P31" s="26"/>
      <c r="Q31" s="26"/>
      <c r="R31" s="26"/>
      <c r="S31" s="26"/>
      <c r="T31" s="26"/>
      <c r="U31" s="26"/>
    </row>
    <row r="32" spans="4:21" ht="15" customHeight="1">
      <c r="D32" s="26"/>
      <c r="E32" s="26"/>
      <c r="F32" s="26"/>
      <c r="G32" s="26"/>
      <c r="H32" s="26"/>
      <c r="I32" s="26"/>
      <c r="J32" s="26"/>
      <c r="K32" s="26"/>
      <c r="L32" s="26"/>
      <c r="M32" s="26"/>
      <c r="N32" s="26"/>
      <c r="O32" s="26"/>
      <c r="P32" s="26"/>
      <c r="Q32" s="26"/>
      <c r="R32" s="26"/>
      <c r="S32" s="26"/>
      <c r="T32" s="26"/>
      <c r="U32" s="26"/>
    </row>
    <row r="33" spans="4:21" ht="15" customHeight="1">
      <c r="D33" s="26"/>
      <c r="E33" s="26"/>
      <c r="F33" s="26"/>
      <c r="G33" s="26"/>
      <c r="H33" s="26"/>
      <c r="I33" s="26"/>
      <c r="J33" s="26"/>
      <c r="K33" s="26"/>
      <c r="L33" s="26"/>
      <c r="M33" s="26"/>
      <c r="N33" s="26"/>
      <c r="O33" s="26"/>
      <c r="P33" s="26"/>
      <c r="Q33" s="26"/>
      <c r="R33" s="26"/>
      <c r="S33" s="26"/>
      <c r="T33" s="26"/>
      <c r="U33" s="26"/>
    </row>
    <row r="34" spans="4:21" ht="15" customHeight="1">
      <c r="D34" s="26"/>
      <c r="E34" s="26"/>
      <c r="F34" s="26"/>
      <c r="G34" s="26"/>
      <c r="H34" s="26"/>
      <c r="I34" s="26"/>
      <c r="J34" s="26"/>
      <c r="K34" s="26"/>
      <c r="L34" s="26"/>
      <c r="M34" s="26"/>
      <c r="N34" s="26"/>
      <c r="O34" s="26"/>
      <c r="P34" s="26"/>
      <c r="Q34" s="26"/>
      <c r="R34" s="26"/>
      <c r="S34" s="26"/>
      <c r="T34" s="26"/>
      <c r="U34" s="26"/>
    </row>
    <row r="35" spans="4:21" ht="15" customHeight="1">
      <c r="D35" s="26"/>
      <c r="E35" s="26"/>
      <c r="F35" s="26"/>
      <c r="G35" s="26"/>
      <c r="H35" s="26"/>
      <c r="I35" s="26"/>
      <c r="J35" s="26"/>
      <c r="K35" s="26"/>
      <c r="L35" s="26"/>
      <c r="M35" s="26"/>
      <c r="N35" s="26"/>
      <c r="O35" s="26"/>
      <c r="P35" s="26"/>
      <c r="Q35" s="26"/>
      <c r="R35" s="26"/>
      <c r="S35" s="26"/>
      <c r="T35" s="26"/>
      <c r="U35" s="26"/>
    </row>
    <row r="36" spans="4:21" ht="15" customHeight="1">
      <c r="D36" s="26"/>
      <c r="E36" s="26"/>
      <c r="F36" s="26"/>
      <c r="G36" s="26"/>
      <c r="H36" s="26"/>
      <c r="I36" s="26"/>
      <c r="J36" s="26"/>
      <c r="K36" s="26"/>
      <c r="L36" s="26"/>
      <c r="M36" s="26"/>
      <c r="N36" s="26"/>
      <c r="O36" s="26"/>
      <c r="P36" s="26"/>
      <c r="Q36" s="26"/>
      <c r="R36" s="26"/>
      <c r="S36" s="26"/>
      <c r="T36" s="26"/>
      <c r="U36" s="26"/>
    </row>
    <row r="37" spans="4:21" ht="15" customHeight="1">
      <c r="D37" s="26"/>
      <c r="E37" s="26"/>
      <c r="F37" s="26"/>
      <c r="G37" s="26"/>
      <c r="H37" s="26"/>
      <c r="I37" s="26"/>
      <c r="J37" s="26"/>
      <c r="K37" s="26"/>
      <c r="L37" s="26"/>
      <c r="M37" s="26"/>
      <c r="N37" s="26"/>
      <c r="O37" s="26"/>
      <c r="P37" s="26"/>
      <c r="Q37" s="26"/>
      <c r="R37" s="26"/>
      <c r="S37" s="26"/>
      <c r="T37" s="26"/>
      <c r="U37" s="26"/>
    </row>
    <row r="38" spans="4:21" ht="15" customHeight="1">
      <c r="D38" s="26"/>
      <c r="E38" s="26"/>
      <c r="F38" s="26"/>
      <c r="G38" s="26"/>
      <c r="H38" s="26"/>
      <c r="I38" s="26"/>
      <c r="J38" s="26"/>
      <c r="K38" s="26"/>
      <c r="L38" s="26"/>
      <c r="M38" s="26"/>
      <c r="N38" s="26"/>
      <c r="O38" s="26"/>
      <c r="P38" s="26"/>
      <c r="Q38" s="26"/>
      <c r="R38" s="26"/>
      <c r="S38" s="26"/>
      <c r="T38" s="26"/>
      <c r="U38" s="26"/>
    </row>
    <row r="39" spans="4:21" ht="15" customHeight="1">
      <c r="D39" s="26"/>
      <c r="E39" s="26"/>
      <c r="F39" s="26"/>
      <c r="G39" s="26"/>
      <c r="H39" s="26"/>
      <c r="I39" s="26"/>
      <c r="J39" s="26"/>
      <c r="K39" s="26"/>
      <c r="L39" s="26"/>
      <c r="M39" s="26"/>
      <c r="N39" s="26"/>
      <c r="O39" s="26"/>
      <c r="P39" s="26"/>
      <c r="Q39" s="26"/>
      <c r="R39" s="26"/>
      <c r="S39" s="26"/>
      <c r="T39" s="26"/>
      <c r="U39" s="26"/>
    </row>
    <row r="40" spans="4:21" ht="15" customHeight="1">
      <c r="D40" s="26"/>
      <c r="E40" s="26"/>
      <c r="F40" s="26"/>
      <c r="G40" s="26"/>
      <c r="H40" s="26"/>
      <c r="I40" s="26"/>
      <c r="J40" s="26"/>
      <c r="K40" s="26"/>
      <c r="L40" s="26"/>
      <c r="M40" s="26"/>
      <c r="N40" s="26"/>
      <c r="O40" s="26"/>
      <c r="P40" s="26"/>
      <c r="Q40" s="26"/>
      <c r="R40" s="26"/>
      <c r="S40" s="26"/>
      <c r="T40" s="26"/>
      <c r="U40" s="26"/>
    </row>
    <row r="41" spans="4:21" ht="15" customHeight="1">
      <c r="D41" s="26"/>
      <c r="E41" s="26"/>
      <c r="F41" s="26"/>
      <c r="G41" s="26"/>
      <c r="H41" s="26"/>
      <c r="I41" s="26"/>
      <c r="J41" s="26"/>
      <c r="K41" s="26"/>
      <c r="L41" s="26"/>
      <c r="M41" s="26"/>
      <c r="N41" s="26"/>
      <c r="O41" s="26"/>
      <c r="P41" s="26"/>
      <c r="Q41" s="26"/>
      <c r="R41" s="26"/>
      <c r="S41" s="26"/>
      <c r="T41" s="26"/>
      <c r="U41" s="26"/>
    </row>
    <row r="42" spans="4:21" ht="15" customHeight="1">
      <c r="D42" s="26"/>
      <c r="E42" s="26"/>
      <c r="F42" s="26"/>
      <c r="G42" s="26"/>
      <c r="H42" s="26"/>
      <c r="I42" s="26"/>
      <c r="J42" s="26"/>
      <c r="K42" s="26"/>
      <c r="L42" s="26"/>
      <c r="M42" s="26"/>
      <c r="N42" s="26"/>
      <c r="O42" s="26"/>
      <c r="P42" s="26"/>
      <c r="Q42" s="26"/>
      <c r="R42" s="26"/>
      <c r="S42" s="26"/>
      <c r="T42" s="26"/>
      <c r="U42" s="26"/>
    </row>
    <row r="43" spans="4:21" ht="15" customHeight="1">
      <c r="D43" s="26"/>
      <c r="E43" s="26"/>
      <c r="F43" s="26"/>
      <c r="G43" s="26"/>
      <c r="H43" s="26"/>
      <c r="I43" s="26"/>
      <c r="J43" s="26"/>
      <c r="K43" s="26"/>
      <c r="L43" s="26"/>
      <c r="M43" s="26"/>
      <c r="N43" s="26"/>
      <c r="O43" s="26"/>
      <c r="P43" s="26"/>
      <c r="Q43" s="26"/>
      <c r="R43" s="26"/>
      <c r="S43" s="26"/>
      <c r="T43" s="26"/>
      <c r="U43" s="26"/>
    </row>
    <row r="44" spans="4:21" ht="15" customHeight="1">
      <c r="D44" s="26"/>
      <c r="E44" s="26"/>
      <c r="F44" s="26"/>
      <c r="G44" s="26"/>
      <c r="H44" s="26"/>
      <c r="I44" s="26"/>
      <c r="J44" s="26"/>
      <c r="K44" s="26"/>
      <c r="L44" s="26"/>
      <c r="M44" s="26"/>
      <c r="N44" s="26"/>
      <c r="O44" s="26"/>
      <c r="P44" s="26"/>
      <c r="Q44" s="26"/>
      <c r="R44" s="26"/>
      <c r="S44" s="26"/>
      <c r="T44" s="26"/>
      <c r="U44" s="26"/>
    </row>
    <row r="45" spans="4:21" ht="15" customHeight="1">
      <c r="D45" s="26"/>
      <c r="E45" s="26"/>
      <c r="F45" s="26"/>
      <c r="G45" s="26"/>
      <c r="H45" s="26"/>
      <c r="I45" s="26"/>
      <c r="J45" s="26"/>
      <c r="K45" s="26"/>
      <c r="L45" s="26"/>
      <c r="M45" s="26"/>
      <c r="N45" s="26"/>
      <c r="O45" s="26"/>
      <c r="P45" s="26"/>
      <c r="Q45" s="26"/>
      <c r="R45" s="26"/>
      <c r="S45" s="26"/>
      <c r="T45" s="26"/>
      <c r="U45" s="26"/>
    </row>
    <row r="46" spans="4:21" ht="15" customHeight="1">
      <c r="D46" s="26"/>
      <c r="E46" s="26"/>
      <c r="F46" s="26"/>
      <c r="G46" s="26"/>
      <c r="H46" s="26"/>
      <c r="I46" s="26"/>
      <c r="J46" s="26"/>
      <c r="K46" s="26"/>
      <c r="L46" s="26"/>
      <c r="M46" s="26"/>
      <c r="N46" s="26"/>
      <c r="O46" s="26"/>
      <c r="P46" s="26"/>
      <c r="Q46" s="26"/>
      <c r="R46" s="26"/>
      <c r="S46" s="26"/>
      <c r="T46" s="26"/>
      <c r="U46" s="26"/>
    </row>
  </sheetData>
  <sheetProtection sheet="1" objects="1" scenarios="1" selectLockedCells="1" selectUnlockedCells="1"/>
  <mergeCells count="9">
    <mergeCell ref="E8:T13"/>
    <mergeCell ref="E14:E15"/>
    <mergeCell ref="F14:F15"/>
    <mergeCell ref="G14:H15"/>
    <mergeCell ref="I14:L15"/>
    <mergeCell ref="M14:M15"/>
    <mergeCell ref="N14:P15"/>
    <mergeCell ref="Q14:Q15"/>
    <mergeCell ref="R14:T15"/>
  </mergeCells>
  <pageMargins left="0.511811024" right="0.511811024" top="0.78740157499999996" bottom="0.78740157499999996" header="0.31496062000000002" footer="0.31496062000000002"/>
  <pageSetup paperSize="9" scale="8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1">
                <anchor moveWithCells="1">
                  <from>
                    <xdr:col>17</xdr:col>
                    <xdr:colOff>142875</xdr:colOff>
                    <xdr:row>3</xdr:row>
                    <xdr:rowOff>104775</xdr:rowOff>
                  </from>
                  <to>
                    <xdr:col>21</xdr:col>
                    <xdr:colOff>0</xdr:colOff>
                    <xdr:row>4</xdr:row>
                    <xdr:rowOff>161925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6">
    <tabColor rgb="FF00C5C0"/>
  </sheetPr>
  <dimension ref="A1:A4"/>
  <sheetViews>
    <sheetView showGridLines="0" showRowColHeaders="0" workbookViewId="0">
      <pane ySplit="3" topLeftCell="A4" activePane="bottomLeft" state="frozen"/>
      <selection pane="bottomLeft" activeCell="AA10" sqref="AA10"/>
    </sheetView>
  </sheetViews>
  <sheetFormatPr defaultRowHeight="35.1" customHeight="1"/>
  <cols>
    <col min="1" max="2" width="1.7109375" style="26" customWidth="1"/>
    <col min="3" max="16384" width="9.140625" style="26"/>
  </cols>
  <sheetData>
    <row r="1" s="1" customFormat="1" ht="35.1" customHeight="1"/>
    <row r="2" s="3" customFormat="1" ht="30" customHeight="1"/>
    <row r="3" ht="30" customHeight="1"/>
    <row r="4" ht="21.95" customHeight="1"/>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9"/>
  <dimension ref="A1:A4"/>
  <sheetViews>
    <sheetView showGridLines="0" showRowColHeaders="0" workbookViewId="0">
      <selection activeCell="A5" sqref="A5:XFD1048576"/>
    </sheetView>
  </sheetViews>
  <sheetFormatPr defaultRowHeight="35.1" customHeight="1"/>
  <cols>
    <col min="1" max="2" width="1.7109375" style="2" customWidth="1"/>
    <col min="3" max="16384" width="9.140625" style="2"/>
  </cols>
  <sheetData>
    <row r="1" s="1" customFormat="1" ht="35.1" customHeight="1"/>
    <row r="2" s="3" customFormat="1" ht="30" customHeight="1"/>
    <row r="3" ht="30" customHeight="1"/>
    <row r="4" ht="21.95" customHeight="1"/>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28</vt:i4>
      </vt:variant>
      <vt:variant>
        <vt:lpstr>Intervalos nomeados</vt:lpstr>
      </vt:variant>
      <vt:variant>
        <vt:i4>6</vt:i4>
      </vt:variant>
    </vt:vector>
  </HeadingPairs>
  <TitlesOfParts>
    <vt:vector size="34" baseType="lpstr">
      <vt:lpstr>BH (1)</vt:lpstr>
      <vt:lpstr>BH (2)</vt:lpstr>
      <vt:lpstr>BH (3)</vt:lpstr>
      <vt:lpstr>Suporte</vt:lpstr>
      <vt:lpstr>Info</vt:lpstr>
      <vt:lpstr>Acesso</vt:lpstr>
      <vt:lpstr>GO</vt:lpstr>
      <vt:lpstr>Início</vt:lpstr>
      <vt:lpstr>Aprendizado</vt:lpstr>
      <vt:lpstr>Cadastros</vt:lpstr>
      <vt:lpstr>Empresa</vt:lpstr>
      <vt:lpstr>Consulta</vt:lpstr>
      <vt:lpstr>Tabela01</vt:lpstr>
      <vt:lpstr>Tabela02</vt:lpstr>
      <vt:lpstr>Tabela03</vt:lpstr>
      <vt:lpstr>Tabela04</vt:lpstr>
      <vt:lpstr>Tabela05</vt:lpstr>
      <vt:lpstr>Lançamentos</vt:lpstr>
      <vt:lpstr>Anexos</vt:lpstr>
      <vt:lpstr>Indústria</vt:lpstr>
      <vt:lpstr>Anexo III</vt:lpstr>
      <vt:lpstr>Anexo IV</vt:lpstr>
      <vt:lpstr>Anexo V</vt:lpstr>
      <vt:lpstr>Controles</vt:lpstr>
      <vt:lpstr>Relatórios</vt:lpstr>
      <vt:lpstr>Impressão</vt:lpstr>
      <vt:lpstr>Dashboard</vt:lpstr>
      <vt:lpstr>Planilha15</vt:lpstr>
      <vt:lpstr>Anexo</vt:lpstr>
      <vt:lpstr>Ano</vt:lpstr>
      <vt:lpstr>Impressão!Area_de_impressao</vt:lpstr>
      <vt:lpstr>Relatórios!Area_de_impressao</vt:lpstr>
      <vt:lpstr>Dia</vt:lpstr>
      <vt:lpstr>MÊs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Lucineia Hashimoto</cp:lastModifiedBy>
  <cp:lastPrinted>2022-02-18T11:11:33Z</cp:lastPrinted>
  <dcterms:created xsi:type="dcterms:W3CDTF">2020-09-21T15:46:55Z</dcterms:created>
  <dcterms:modified xsi:type="dcterms:W3CDTF">2022-08-28T01:28:07Z</dcterms:modified>
</cp:coreProperties>
</file>