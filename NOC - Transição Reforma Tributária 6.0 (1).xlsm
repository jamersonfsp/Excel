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ctrlProps/ctrlProp11.xml" ContentType="application/vnd.ms-excel.controlproperties+xml"/>
  <Override PartName="/xl/drawings/drawing35.xml" ContentType="application/vnd.openxmlformats-officedocument.drawing+xml"/>
  <Override PartName="/xl/ctrlProps/ctrlProp12.xml" ContentType="application/vnd.ms-excel.controlproperties+xml"/>
  <Override PartName="/xl/drawings/drawing36.xml" ContentType="application/vnd.openxmlformats-officedocument.drawing+xml"/>
  <Override PartName="/xl/ctrlProps/ctrlProp13.xml" ContentType="application/vnd.ms-excel.controlproperties+xml"/>
  <Override PartName="/xl/drawings/drawing37.xml" ContentType="application/vnd.openxmlformats-officedocument.drawing+xml"/>
  <Override PartName="/xl/ctrlProps/ctrlProp14.xml" ContentType="application/vnd.ms-excel.controlproperties+xml"/>
  <Override PartName="/xl/drawings/drawing38.xml" ContentType="application/vnd.openxmlformats-officedocument.drawing+xml"/>
  <Override PartName="/xl/ctrlProps/ctrlProp15.xml" ContentType="application/vnd.ms-excel.controlproperties+xml"/>
  <Override PartName="/xl/drawings/drawing39.xml" ContentType="application/vnd.openxmlformats-officedocument.drawing+xml"/>
  <Override PartName="/xl/ctrlProps/ctrlProp16.xml" ContentType="application/vnd.ms-excel.controlproperties+xml"/>
  <Override PartName="/xl/drawings/drawing40.xml" ContentType="application/vnd.openxmlformats-officedocument.drawing+xml"/>
  <Override PartName="/xl/ctrlProps/ctrlProp17.xml" ContentType="application/vnd.ms-excel.controlproperties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7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8.xml" ContentType="application/vnd.openxmlformats-officedocument.drawing+xml"/>
  <Override PartName="/xl/ctrlProps/ctrlProp19.xml" ContentType="application/vnd.ms-excel.controlproperti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4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Onside ® - Planilhas Profissionais\"/>
    </mc:Choice>
  </mc:AlternateContent>
  <xr:revisionPtr revIDLastSave="0" documentId="13_ncr:1_{0659D950-5491-4007-9E5C-A67B0455CAD1}" xr6:coauthVersionLast="47" xr6:coauthVersionMax="47" xr10:uidLastSave="{00000000-0000-0000-0000-000000000000}"/>
  <workbookProtection workbookAlgorithmName="SHA-512" workbookHashValue="Rd+Uol3cpxUd922wxTKa6/6ZfiFS8OlURzl5qoIxGuI0jiWjCke+YN4m8i6FGrN7IHqvb6tO4jEgZDHvkClY2g==" workbookSaltValue="TEb0LxZ+iXLi3cPpp6hPkg==" workbookSpinCount="100000" lockStructure="1"/>
  <bookViews>
    <workbookView showSheetTabs="0" xWindow="-120" yWindow="-120" windowWidth="29040" windowHeight="15840" tabRatio="933" firstSheet="11" activeTab="11" xr2:uid="{00000000-000D-0000-FFFF-FFFF00000000}"/>
  </bookViews>
  <sheets>
    <sheet name="BH (1)" sheetId="1" state="hidden" r:id="rId1"/>
    <sheet name="BH (2)" sheetId="35" state="hidden" r:id="rId2"/>
    <sheet name="Real" sheetId="44" state="hidden" r:id="rId3"/>
    <sheet name="Presumido" sheetId="52" state="hidden" r:id="rId4"/>
    <sheet name="Sim1" sheetId="36" state="hidden" r:id="rId5"/>
    <sheet name="Sim2" sheetId="54" state="hidden" r:id="rId6"/>
    <sheet name="Sim3" sheetId="55" state="hidden" r:id="rId7"/>
    <sheet name="Sim4" sheetId="56" state="hidden" r:id="rId8"/>
    <sheet name="Sim5" sheetId="57" state="hidden" r:id="rId9"/>
    <sheet name="Suporte" sheetId="2" state="hidden" r:id="rId10"/>
    <sheet name="Info" sheetId="33" state="hidden" r:id="rId11"/>
    <sheet name="Acesso" sheetId="34" r:id="rId12"/>
    <sheet name="GO" sheetId="31" state="hidden" r:id="rId13"/>
    <sheet name="Início" sheetId="5" state="hidden" r:id="rId14"/>
    <sheet name="Cadastros" sheetId="6" state="hidden" r:id="rId15"/>
    <sheet name="Par" sheetId="13" state="hidden" r:id="rId16"/>
    <sheet name="TabR" sheetId="37" state="hidden" r:id="rId17"/>
    <sheet name="TabP" sheetId="41" state="hidden" r:id="rId18"/>
    <sheet name="TabS" sheetId="40" state="hidden" r:id="rId19"/>
    <sheet name="TransR" sheetId="65" state="hidden" r:id="rId20"/>
    <sheet name="Lançamentos" sheetId="7" state="hidden" r:id="rId21"/>
    <sheet name="Base" sheetId="46" state="hidden" r:id="rId22"/>
    <sheet name="Fat1" sheetId="43" state="hidden" r:id="rId23"/>
    <sheet name="Fat2" sheetId="47" state="hidden" r:id="rId24"/>
    <sheet name="Fat3" sheetId="48" state="hidden" r:id="rId25"/>
    <sheet name="Fat4" sheetId="49" state="hidden" r:id="rId26"/>
    <sheet name="Fat5" sheetId="50" state="hidden" r:id="rId27"/>
    <sheet name="Fat6" sheetId="51" state="hidden" r:id="rId28"/>
    <sheet name="Simp1" sheetId="53" state="hidden" r:id="rId29"/>
    <sheet name="Simp2" sheetId="58" state="hidden" r:id="rId30"/>
    <sheet name="Simp3" sheetId="59" state="hidden" r:id="rId31"/>
    <sheet name="Simp4" sheetId="60" state="hidden" r:id="rId32"/>
    <sheet name="Simp5" sheetId="61" state="hidden" r:id="rId33"/>
    <sheet name="Simp6" sheetId="62" state="hidden" r:id="rId34"/>
    <sheet name="Ref1" sheetId="81" state="hidden" r:id="rId35"/>
    <sheet name="Ref2" sheetId="82" state="hidden" r:id="rId36"/>
    <sheet name="Ref3" sheetId="83" state="hidden" r:id="rId37"/>
    <sheet name="Ref4" sheetId="84" state="hidden" r:id="rId38"/>
    <sheet name="Cus" sheetId="63" state="hidden" r:id="rId39"/>
    <sheet name="Desp" sheetId="64" state="hidden" r:id="rId40"/>
    <sheet name="Relatórios" sheetId="9" state="hidden" r:id="rId41"/>
    <sheet name="2026" sheetId="67" state="hidden" r:id="rId42"/>
    <sheet name="2027" sheetId="68" state="hidden" r:id="rId43"/>
    <sheet name="2028" sheetId="69" state="hidden" r:id="rId44"/>
    <sheet name="2029" sheetId="70" state="hidden" r:id="rId45"/>
    <sheet name="2030" sheetId="71" state="hidden" r:id="rId46"/>
    <sheet name="2031" sheetId="72" state="hidden" r:id="rId47"/>
    <sheet name="2032" sheetId="73" state="hidden" r:id="rId48"/>
    <sheet name="2033" sheetId="74" state="hidden" r:id="rId49"/>
    <sheet name="Controles" sheetId="8" state="hidden" r:id="rId50"/>
    <sheet name="Crono" sheetId="75" state="hidden" r:id="rId51"/>
    <sheet name="Carga" sheetId="76" state="hidden" r:id="rId52"/>
    <sheet name="Lucra" sheetId="78" state="hidden" r:id="rId53"/>
    <sheet name="Evolu" sheetId="77" state="hidden" r:id="rId54"/>
    <sheet name="Impressão" sheetId="11" state="hidden" r:id="rId55"/>
    <sheet name="Dashboard" sheetId="79" state="hidden" r:id="rId56"/>
    <sheet name="Dash2" sheetId="10" state="hidden" r:id="rId57"/>
    <sheet name="Dash3" sheetId="80" state="hidden" r:id="rId58"/>
  </sheets>
  <functionGroups builtInGroupCount="19"/>
  <definedNames>
    <definedName name="_xlnm._FilterDatabase" localSheetId="15" hidden="1">Par!$C$4:$D$4</definedName>
    <definedName name="_xlnm._FilterDatabase" localSheetId="17" hidden="1">TabP!$C$4:$F$4</definedName>
    <definedName name="_xlnm._FilterDatabase" localSheetId="16" hidden="1">TabR!$C$4:$E$4</definedName>
    <definedName name="_xlnm._FilterDatabase" localSheetId="18" hidden="1">TabS!$C$4:$I$4</definedName>
    <definedName name="_xlnm._FilterDatabase" localSheetId="19" hidden="1">TransR!$C$6:$D$6</definedName>
    <definedName name="Anexo">'BH (1)'!$B$8:$B$13</definedName>
    <definedName name="_xlnm.Print_Area" localSheetId="41">'2026'!$C$3:$P$60</definedName>
    <definedName name="_xlnm.Print_Area" localSheetId="42">'2027'!$C$3:$P$58</definedName>
    <definedName name="_xlnm.Print_Area" localSheetId="43">'2028'!$C$3:$P$58</definedName>
    <definedName name="_xlnm.Print_Area" localSheetId="44">'2029'!$C$3:$P$58</definedName>
    <definedName name="_xlnm.Print_Area" localSheetId="45">'2030'!$C$3:$P$58</definedName>
    <definedName name="_xlnm.Print_Area" localSheetId="46">'2031'!$C$3:$P$58</definedName>
    <definedName name="_xlnm.Print_Area" localSheetId="47">'2032'!$C$3:$P$58</definedName>
    <definedName name="_xlnm.Print_Area" localSheetId="48">'2033'!$C$3:$P$58</definedName>
    <definedName name="_xlnm.Print_Area" localSheetId="51">Carga!$C$3:$P$13</definedName>
    <definedName name="_xlnm.Print_Area" localSheetId="49">Controles!$C$3:$P$75</definedName>
    <definedName name="_xlnm.Print_Area" localSheetId="50">Crono!$C$3:$P$21</definedName>
    <definedName name="_xlnm.Print_Area" localSheetId="53">Evolu!$C$3:$L$13</definedName>
    <definedName name="_xlnm.Print_Area" localSheetId="54">Impressão!$D$7:$U$126</definedName>
    <definedName name="_xlnm.Print_Area" localSheetId="52">Lucra!$C$3:$P$13</definedName>
    <definedName name="_xlnm.Print_Area" localSheetId="40">Relatórios!$C$3:$P$54</definedName>
    <definedName name="Regime">'BH (1)'!$B$4:$B$6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08" i="9" l="1"/>
  <c r="S116" i="9"/>
  <c r="AI124" i="9"/>
  <c r="AK124" i="9"/>
  <c r="AL124" i="9"/>
  <c r="AN124" i="9"/>
  <c r="AO124" i="9"/>
  <c r="AQ124" i="9"/>
  <c r="AR124" i="9"/>
  <c r="AI116" i="9"/>
  <c r="AK116" i="9"/>
  <c r="AL116" i="9"/>
  <c r="AN116" i="9"/>
  <c r="AO116" i="9"/>
  <c r="AQ116" i="9"/>
  <c r="AR116" i="9"/>
  <c r="AI108" i="9"/>
  <c r="AK108" i="9"/>
  <c r="AL108" i="9"/>
  <c r="AN108" i="9"/>
  <c r="AO108" i="9"/>
  <c r="AQ108" i="9"/>
  <c r="AR108" i="9"/>
  <c r="AH124" i="9"/>
  <c r="AH116" i="9"/>
  <c r="AH108" i="9"/>
  <c r="AR138" i="9"/>
  <c r="AQ138" i="9"/>
  <c r="AO138" i="9"/>
  <c r="AN138" i="9"/>
  <c r="AL138" i="9"/>
  <c r="AK138" i="9"/>
  <c r="AI138" i="9"/>
  <c r="AH138" i="9"/>
  <c r="AR137" i="9"/>
  <c r="AQ137" i="9"/>
  <c r="AO137" i="9"/>
  <c r="AN137" i="9"/>
  <c r="AL137" i="9"/>
  <c r="AK137" i="9"/>
  <c r="AI137" i="9"/>
  <c r="AH137" i="9"/>
  <c r="AR136" i="9"/>
  <c r="AQ136" i="9"/>
  <c r="AO136" i="9"/>
  <c r="AN136" i="9"/>
  <c r="AL136" i="9"/>
  <c r="AK136" i="9"/>
  <c r="AI136" i="9"/>
  <c r="AH136" i="9"/>
  <c r="AC138" i="9"/>
  <c r="N138" i="9" s="1"/>
  <c r="AB138" i="9"/>
  <c r="M138" i="9" s="1"/>
  <c r="Z138" i="9"/>
  <c r="K138" i="9" s="1"/>
  <c r="Y138" i="9"/>
  <c r="J138" i="9" s="1"/>
  <c r="W138" i="9"/>
  <c r="H138" i="9" s="1"/>
  <c r="V138" i="9"/>
  <c r="G138" i="9" s="1"/>
  <c r="T138" i="9"/>
  <c r="E138" i="9" s="1"/>
  <c r="S138" i="9"/>
  <c r="D138" i="9" s="1"/>
  <c r="AC137" i="9"/>
  <c r="N137" i="9" s="1"/>
  <c r="AB137" i="9"/>
  <c r="M137" i="9" s="1"/>
  <c r="Z137" i="9"/>
  <c r="K137" i="9" s="1"/>
  <c r="Y137" i="9"/>
  <c r="J137" i="9" s="1"/>
  <c r="W137" i="9"/>
  <c r="H137" i="9" s="1"/>
  <c r="V137" i="9"/>
  <c r="G137" i="9" s="1"/>
  <c r="T137" i="9"/>
  <c r="E137" i="9" s="1"/>
  <c r="S137" i="9"/>
  <c r="D137" i="9" s="1"/>
  <c r="AC136" i="9"/>
  <c r="N136" i="9" s="1"/>
  <c r="AB136" i="9"/>
  <c r="M136" i="9" s="1"/>
  <c r="Z136" i="9"/>
  <c r="K136" i="9" s="1"/>
  <c r="Y136" i="9"/>
  <c r="J136" i="9" s="1"/>
  <c r="W136" i="9"/>
  <c r="H136" i="9" s="1"/>
  <c r="V136" i="9"/>
  <c r="G136" i="9" s="1"/>
  <c r="T136" i="9"/>
  <c r="E136" i="9" s="1"/>
  <c r="S136" i="9"/>
  <c r="D136" i="9" s="1"/>
  <c r="G116" i="9"/>
  <c r="H116" i="9"/>
  <c r="J116" i="9"/>
  <c r="K116" i="9"/>
  <c r="M116" i="9"/>
  <c r="N116" i="9"/>
  <c r="AK122" i="9"/>
  <c r="AJ122" i="9"/>
  <c r="AI122" i="9"/>
  <c r="AH122" i="9"/>
  <c r="AK114" i="9"/>
  <c r="AJ114" i="9"/>
  <c r="AI114" i="9"/>
  <c r="AH114" i="9"/>
  <c r="AK106" i="9"/>
  <c r="AJ106" i="9"/>
  <c r="AI106" i="9"/>
  <c r="AH106" i="9"/>
  <c r="AG124" i="9"/>
  <c r="AG116" i="9"/>
  <c r="AG108" i="9"/>
  <c r="T108" i="9"/>
  <c r="V108" i="9"/>
  <c r="W108" i="9"/>
  <c r="Y108" i="9"/>
  <c r="Z108" i="9"/>
  <c r="AB108" i="9"/>
  <c r="AC108" i="9"/>
  <c r="O23" i="7" l="1"/>
  <c r="G23" i="7"/>
  <c r="E23" i="7"/>
  <c r="F23" i="7"/>
  <c r="H23" i="7"/>
  <c r="I23" i="7"/>
  <c r="J23" i="7"/>
  <c r="K23" i="7"/>
  <c r="L23" i="7"/>
  <c r="M23" i="7"/>
  <c r="N23" i="7"/>
  <c r="E24" i="7"/>
  <c r="F24" i="7"/>
  <c r="G24" i="7"/>
  <c r="H24" i="7"/>
  <c r="I24" i="7"/>
  <c r="J24" i="7"/>
  <c r="K24" i="7"/>
  <c r="L24" i="7"/>
  <c r="M24" i="7"/>
  <c r="N24" i="7"/>
  <c r="O24" i="7"/>
  <c r="D24" i="7"/>
  <c r="D23" i="7"/>
  <c r="D25" i="7" s="1"/>
  <c r="P18" i="7"/>
  <c r="K25" i="7" l="1"/>
  <c r="J25" i="7"/>
  <c r="I25" i="7"/>
  <c r="H25" i="7"/>
  <c r="F25" i="7"/>
  <c r="N25" i="7"/>
  <c r="E25" i="7"/>
  <c r="M25" i="7"/>
  <c r="G25" i="7"/>
  <c r="L25" i="7"/>
  <c r="O25" i="7"/>
  <c r="Q101" i="74"/>
  <c r="D84" i="70"/>
  <c r="P7" i="84"/>
  <c r="E5" i="84"/>
  <c r="F5" i="84"/>
  <c r="G5" i="84"/>
  <c r="H5" i="84"/>
  <c r="I5" i="84"/>
  <c r="J5" i="84"/>
  <c r="K5" i="84"/>
  <c r="L5" i="84"/>
  <c r="M5" i="84"/>
  <c r="N5" i="84"/>
  <c r="O5" i="84"/>
  <c r="E6" i="84"/>
  <c r="F6" i="84"/>
  <c r="G6" i="84"/>
  <c r="G8" i="84" s="1"/>
  <c r="G203" i="68" s="1"/>
  <c r="G203" i="69" s="1"/>
  <c r="H6" i="84"/>
  <c r="H8" i="84" s="1"/>
  <c r="H203" i="68" s="1"/>
  <c r="H203" i="69" s="1"/>
  <c r="I6" i="84"/>
  <c r="I8" i="84" s="1"/>
  <c r="I203" i="68" s="1"/>
  <c r="I203" i="69" s="1"/>
  <c r="J6" i="84"/>
  <c r="J8" i="84" s="1"/>
  <c r="J203" i="68" s="1"/>
  <c r="J203" i="69" s="1"/>
  <c r="K6" i="84"/>
  <c r="K8" i="84" s="1"/>
  <c r="K203" i="70" s="1"/>
  <c r="L6" i="84"/>
  <c r="M6" i="84"/>
  <c r="N6" i="84"/>
  <c r="O6" i="84"/>
  <c r="O8" i="84" s="1"/>
  <c r="O203" i="68" s="1"/>
  <c r="O203" i="69" s="1"/>
  <c r="E7" i="84"/>
  <c r="F7" i="84"/>
  <c r="G7" i="84"/>
  <c r="H7" i="84"/>
  <c r="I7" i="84"/>
  <c r="J7" i="84"/>
  <c r="K7" i="84"/>
  <c r="L7" i="84"/>
  <c r="M7" i="84"/>
  <c r="N7" i="84"/>
  <c r="O7" i="84"/>
  <c r="D6" i="84"/>
  <c r="D7" i="84"/>
  <c r="D5" i="84"/>
  <c r="O8" i="83"/>
  <c r="N8" i="83"/>
  <c r="M8" i="83"/>
  <c r="L8" i="83"/>
  <c r="K8" i="83"/>
  <c r="J8" i="83"/>
  <c r="I8" i="83"/>
  <c r="H8" i="83"/>
  <c r="G8" i="83"/>
  <c r="F8" i="83"/>
  <c r="E8" i="83"/>
  <c r="D8" i="83"/>
  <c r="P7" i="83"/>
  <c r="P6" i="83"/>
  <c r="P5" i="83"/>
  <c r="O8" i="82"/>
  <c r="N8" i="82"/>
  <c r="M8" i="82"/>
  <c r="L8" i="82"/>
  <c r="K8" i="82"/>
  <c r="J8" i="82"/>
  <c r="I8" i="82"/>
  <c r="H8" i="82"/>
  <c r="G8" i="82"/>
  <c r="F8" i="82"/>
  <c r="E8" i="82"/>
  <c r="D8" i="82"/>
  <c r="P7" i="82"/>
  <c r="P6" i="82"/>
  <c r="P5" i="82"/>
  <c r="O8" i="81"/>
  <c r="N8" i="81"/>
  <c r="M8" i="81"/>
  <c r="L8" i="81"/>
  <c r="K8" i="81"/>
  <c r="J8" i="81"/>
  <c r="I8" i="81"/>
  <c r="H8" i="81"/>
  <c r="G8" i="81"/>
  <c r="F8" i="81"/>
  <c r="E8" i="81"/>
  <c r="D8" i="81"/>
  <c r="P7" i="81"/>
  <c r="P6" i="81"/>
  <c r="P5" i="81"/>
  <c r="N124" i="9"/>
  <c r="M124" i="9"/>
  <c r="K124" i="9"/>
  <c r="J124" i="9"/>
  <c r="H124" i="9"/>
  <c r="G124" i="9"/>
  <c r="AC124" i="9"/>
  <c r="AB124" i="9"/>
  <c r="Z124" i="9"/>
  <c r="Y124" i="9"/>
  <c r="W124" i="9"/>
  <c r="V124" i="9"/>
  <c r="AC116" i="9"/>
  <c r="AB116" i="9"/>
  <c r="Z116" i="9"/>
  <c r="Y116" i="9"/>
  <c r="W116" i="9"/>
  <c r="V116" i="9"/>
  <c r="C108" i="9"/>
  <c r="C116" i="9"/>
  <c r="C124" i="9"/>
  <c r="R108" i="9"/>
  <c r="R116" i="9"/>
  <c r="R124" i="9"/>
  <c r="T124" i="9"/>
  <c r="S124" i="9"/>
  <c r="T116" i="9"/>
  <c r="G122" i="9"/>
  <c r="F122" i="9"/>
  <c r="U122" i="9" s="1"/>
  <c r="E122" i="9"/>
  <c r="D122" i="9"/>
  <c r="S122" i="9" s="1"/>
  <c r="G114" i="9"/>
  <c r="F114" i="9"/>
  <c r="U114" i="9" s="1"/>
  <c r="E114" i="9"/>
  <c r="D114" i="9"/>
  <c r="G106" i="9"/>
  <c r="F106" i="9"/>
  <c r="U106" i="9" s="1"/>
  <c r="E106" i="9"/>
  <c r="D106" i="9"/>
  <c r="S106" i="9" s="1"/>
  <c r="V122" i="9"/>
  <c r="T122" i="9"/>
  <c r="V114" i="9"/>
  <c r="T114" i="9"/>
  <c r="S114" i="9"/>
  <c r="V106" i="9"/>
  <c r="E124" i="9"/>
  <c r="D124" i="9"/>
  <c r="E116" i="9"/>
  <c r="D116" i="9"/>
  <c r="D108" i="9"/>
  <c r="E108" i="9"/>
  <c r="G108" i="9"/>
  <c r="H108" i="9"/>
  <c r="J108" i="9"/>
  <c r="K108" i="9"/>
  <c r="M108" i="9"/>
  <c r="N108" i="9"/>
  <c r="E8" i="84" l="1"/>
  <c r="E203" i="70" s="1"/>
  <c r="J203" i="70"/>
  <c r="E203" i="68"/>
  <c r="E203" i="69" s="1"/>
  <c r="I203" i="70"/>
  <c r="H203" i="70"/>
  <c r="K203" i="68"/>
  <c r="K203" i="69" s="1"/>
  <c r="O203" i="70"/>
  <c r="G203" i="70"/>
  <c r="M8" i="84"/>
  <c r="P6" i="84"/>
  <c r="N8" i="84"/>
  <c r="F8" i="84"/>
  <c r="L8" i="84"/>
  <c r="P5" i="84"/>
  <c r="D8" i="84"/>
  <c r="P8" i="83"/>
  <c r="P8" i="82"/>
  <c r="P8" i="81"/>
  <c r="T106" i="9"/>
  <c r="P8" i="84" l="1"/>
  <c r="F203" i="70"/>
  <c r="F203" i="68"/>
  <c r="F203" i="69" s="1"/>
  <c r="N203" i="70"/>
  <c r="N203" i="68"/>
  <c r="N203" i="69" s="1"/>
  <c r="M203" i="70"/>
  <c r="M203" i="68"/>
  <c r="M203" i="69" s="1"/>
  <c r="D203" i="68"/>
  <c r="D203" i="70"/>
  <c r="L203" i="70"/>
  <c r="L203" i="68"/>
  <c r="R15" i="11"/>
  <c r="R55" i="11" s="1"/>
  <c r="R95" i="11" s="1"/>
  <c r="F15" i="11"/>
  <c r="F55" i="11" s="1"/>
  <c r="F95" i="11" s="1"/>
  <c r="E9" i="79"/>
  <c r="K17" i="1"/>
  <c r="L17" i="1"/>
  <c r="M17" i="1"/>
  <c r="N17" i="1"/>
  <c r="O17" i="1"/>
  <c r="P17" i="1"/>
  <c r="Q17" i="1"/>
  <c r="R17" i="1"/>
  <c r="S17" i="1"/>
  <c r="T17" i="1"/>
  <c r="U17" i="1"/>
  <c r="V17" i="1"/>
  <c r="J19" i="1"/>
  <c r="J18" i="1"/>
  <c r="J17" i="1"/>
  <c r="D201" i="69"/>
  <c r="D201" i="70"/>
  <c r="D201" i="71"/>
  <c r="D201" i="72"/>
  <c r="D201" i="73"/>
  <c r="D201" i="74"/>
  <c r="D201" i="68"/>
  <c r="O49" i="74"/>
  <c r="N49" i="74"/>
  <c r="M49" i="74"/>
  <c r="L49" i="74"/>
  <c r="K49" i="74"/>
  <c r="J49" i="74"/>
  <c r="I49" i="74"/>
  <c r="H49" i="74"/>
  <c r="G49" i="74"/>
  <c r="F49" i="74"/>
  <c r="E49" i="74"/>
  <c r="D49" i="74"/>
  <c r="O48" i="74"/>
  <c r="N48" i="74"/>
  <c r="M48" i="74"/>
  <c r="L48" i="74"/>
  <c r="K48" i="74"/>
  <c r="J48" i="74"/>
  <c r="I48" i="74"/>
  <c r="H48" i="74"/>
  <c r="G48" i="74"/>
  <c r="F48" i="74"/>
  <c r="E48" i="74"/>
  <c r="D48" i="74"/>
  <c r="O47" i="74"/>
  <c r="N47" i="74"/>
  <c r="M47" i="74"/>
  <c r="L47" i="74"/>
  <c r="K47" i="74"/>
  <c r="J47" i="74"/>
  <c r="I47" i="74"/>
  <c r="H47" i="74"/>
  <c r="G47" i="74"/>
  <c r="F47" i="74"/>
  <c r="E47" i="74"/>
  <c r="D47" i="74"/>
  <c r="O46" i="74"/>
  <c r="N46" i="74"/>
  <c r="M46" i="74"/>
  <c r="L46" i="74"/>
  <c r="K46" i="74"/>
  <c r="J46" i="74"/>
  <c r="I46" i="74"/>
  <c r="H46" i="74"/>
  <c r="G46" i="74"/>
  <c r="F46" i="74"/>
  <c r="E46" i="74"/>
  <c r="D46" i="74"/>
  <c r="O45" i="74"/>
  <c r="N45" i="74"/>
  <c r="M45" i="74"/>
  <c r="L45" i="74"/>
  <c r="K45" i="74"/>
  <c r="J45" i="74"/>
  <c r="I45" i="74"/>
  <c r="H45" i="74"/>
  <c r="G45" i="74"/>
  <c r="F45" i="74"/>
  <c r="E45" i="74"/>
  <c r="D45" i="74"/>
  <c r="O44" i="74"/>
  <c r="N44" i="74"/>
  <c r="M44" i="74"/>
  <c r="L44" i="74"/>
  <c r="K44" i="74"/>
  <c r="J44" i="74"/>
  <c r="I44" i="74"/>
  <c r="H44" i="74"/>
  <c r="G44" i="74"/>
  <c r="F44" i="74"/>
  <c r="E44" i="74"/>
  <c r="D44" i="74"/>
  <c r="O43" i="74"/>
  <c r="N43" i="74"/>
  <c r="M43" i="74"/>
  <c r="L43" i="74"/>
  <c r="K43" i="74"/>
  <c r="J43" i="74"/>
  <c r="I43" i="74"/>
  <c r="H43" i="74"/>
  <c r="G43" i="74"/>
  <c r="F43" i="74"/>
  <c r="E43" i="74"/>
  <c r="D43" i="74"/>
  <c r="O42" i="74"/>
  <c r="N42" i="74"/>
  <c r="M42" i="74"/>
  <c r="L42" i="74"/>
  <c r="K42" i="74"/>
  <c r="J42" i="74"/>
  <c r="I42" i="74"/>
  <c r="H42" i="74"/>
  <c r="G42" i="74"/>
  <c r="F42" i="74"/>
  <c r="E42" i="74"/>
  <c r="D42" i="74"/>
  <c r="O41" i="74"/>
  <c r="N41" i="74"/>
  <c r="M41" i="74"/>
  <c r="L41" i="74"/>
  <c r="K41" i="74"/>
  <c r="J41" i="74"/>
  <c r="I41" i="74"/>
  <c r="H41" i="74"/>
  <c r="G41" i="74"/>
  <c r="F41" i="74"/>
  <c r="E41" i="74"/>
  <c r="D41" i="74"/>
  <c r="O38" i="74"/>
  <c r="N38" i="74"/>
  <c r="M38" i="74"/>
  <c r="L38" i="74"/>
  <c r="K38" i="74"/>
  <c r="J38" i="74"/>
  <c r="I38" i="74"/>
  <c r="H38" i="74"/>
  <c r="G38" i="74"/>
  <c r="F38" i="74"/>
  <c r="E38" i="74"/>
  <c r="D38" i="74"/>
  <c r="O37" i="74"/>
  <c r="N37" i="74"/>
  <c r="M37" i="74"/>
  <c r="L37" i="74"/>
  <c r="K37" i="74"/>
  <c r="J37" i="74"/>
  <c r="I37" i="74"/>
  <c r="H37" i="74"/>
  <c r="G37" i="74"/>
  <c r="F37" i="74"/>
  <c r="E37" i="74"/>
  <c r="D37" i="74"/>
  <c r="O36" i="74"/>
  <c r="N36" i="74"/>
  <c r="M36" i="74"/>
  <c r="L36" i="74"/>
  <c r="K36" i="74"/>
  <c r="J36" i="74"/>
  <c r="I36" i="74"/>
  <c r="H36" i="74"/>
  <c r="G36" i="74"/>
  <c r="F36" i="74"/>
  <c r="E36" i="74"/>
  <c r="D36" i="74"/>
  <c r="P31" i="74"/>
  <c r="P29" i="74"/>
  <c r="P28" i="74"/>
  <c r="P10" i="74"/>
  <c r="P8" i="74"/>
  <c r="P7" i="74"/>
  <c r="Q87" i="73"/>
  <c r="Q101" i="73" s="1"/>
  <c r="O49" i="73"/>
  <c r="N49" i="73"/>
  <c r="M49" i="73"/>
  <c r="L49" i="73"/>
  <c r="K49" i="73"/>
  <c r="J49" i="73"/>
  <c r="I49" i="73"/>
  <c r="H49" i="73"/>
  <c r="G49" i="73"/>
  <c r="F49" i="73"/>
  <c r="E49" i="73"/>
  <c r="D49" i="73"/>
  <c r="O48" i="73"/>
  <c r="N48" i="73"/>
  <c r="M48" i="73"/>
  <c r="L48" i="73"/>
  <c r="K48" i="73"/>
  <c r="J48" i="73"/>
  <c r="I48" i="73"/>
  <c r="H48" i="73"/>
  <c r="G48" i="73"/>
  <c r="F48" i="73"/>
  <c r="E48" i="73"/>
  <c r="D48" i="73"/>
  <c r="O47" i="73"/>
  <c r="N47" i="73"/>
  <c r="M47" i="73"/>
  <c r="L47" i="73"/>
  <c r="K47" i="73"/>
  <c r="J47" i="73"/>
  <c r="I47" i="73"/>
  <c r="H47" i="73"/>
  <c r="G47" i="73"/>
  <c r="F47" i="73"/>
  <c r="E47" i="73"/>
  <c r="D47" i="73"/>
  <c r="O46" i="73"/>
  <c r="N46" i="73"/>
  <c r="M46" i="73"/>
  <c r="L46" i="73"/>
  <c r="K46" i="73"/>
  <c r="J46" i="73"/>
  <c r="I46" i="73"/>
  <c r="H46" i="73"/>
  <c r="G46" i="73"/>
  <c r="F46" i="73"/>
  <c r="E46" i="73"/>
  <c r="D46" i="73"/>
  <c r="O45" i="73"/>
  <c r="N45" i="73"/>
  <c r="M45" i="73"/>
  <c r="L45" i="73"/>
  <c r="K45" i="73"/>
  <c r="J45" i="73"/>
  <c r="I45" i="73"/>
  <c r="H45" i="73"/>
  <c r="G45" i="73"/>
  <c r="F45" i="73"/>
  <c r="E45" i="73"/>
  <c r="D45" i="73"/>
  <c r="O44" i="73"/>
  <c r="N44" i="73"/>
  <c r="M44" i="73"/>
  <c r="L44" i="73"/>
  <c r="K44" i="73"/>
  <c r="J44" i="73"/>
  <c r="I44" i="73"/>
  <c r="H44" i="73"/>
  <c r="G44" i="73"/>
  <c r="F44" i="73"/>
  <c r="E44" i="73"/>
  <c r="D44" i="73"/>
  <c r="O43" i="73"/>
  <c r="N43" i="73"/>
  <c r="M43" i="73"/>
  <c r="L43" i="73"/>
  <c r="K43" i="73"/>
  <c r="J43" i="73"/>
  <c r="I43" i="73"/>
  <c r="H43" i="73"/>
  <c r="G43" i="73"/>
  <c r="F43" i="73"/>
  <c r="E43" i="73"/>
  <c r="D43" i="73"/>
  <c r="O42" i="73"/>
  <c r="N42" i="73"/>
  <c r="M42" i="73"/>
  <c r="L42" i="73"/>
  <c r="K42" i="73"/>
  <c r="J42" i="73"/>
  <c r="I42" i="73"/>
  <c r="H42" i="73"/>
  <c r="G42" i="73"/>
  <c r="F42" i="73"/>
  <c r="E42" i="73"/>
  <c r="D42" i="73"/>
  <c r="O41" i="73"/>
  <c r="N41" i="73"/>
  <c r="M41" i="73"/>
  <c r="L41" i="73"/>
  <c r="K41" i="73"/>
  <c r="J41" i="73"/>
  <c r="I41" i="73"/>
  <c r="H41" i="73"/>
  <c r="G41" i="73"/>
  <c r="F41" i="73"/>
  <c r="E41" i="73"/>
  <c r="D41" i="73"/>
  <c r="O38" i="73"/>
  <c r="N38" i="73"/>
  <c r="M38" i="73"/>
  <c r="L38" i="73"/>
  <c r="K38" i="73"/>
  <c r="J38" i="73"/>
  <c r="I38" i="73"/>
  <c r="H38" i="73"/>
  <c r="G38" i="73"/>
  <c r="F38" i="73"/>
  <c r="E38" i="73"/>
  <c r="D38" i="73"/>
  <c r="O37" i="73"/>
  <c r="N37" i="73"/>
  <c r="M37" i="73"/>
  <c r="L37" i="73"/>
  <c r="K37" i="73"/>
  <c r="J37" i="73"/>
  <c r="I37" i="73"/>
  <c r="H37" i="73"/>
  <c r="G37" i="73"/>
  <c r="F37" i="73"/>
  <c r="E37" i="73"/>
  <c r="D37" i="73"/>
  <c r="O36" i="73"/>
  <c r="N36" i="73"/>
  <c r="M36" i="73"/>
  <c r="L36" i="73"/>
  <c r="K36" i="73"/>
  <c r="J36" i="73"/>
  <c r="I36" i="73"/>
  <c r="H36" i="73"/>
  <c r="G36" i="73"/>
  <c r="F36" i="73"/>
  <c r="E36" i="73"/>
  <c r="D36" i="73"/>
  <c r="P31" i="73"/>
  <c r="P29" i="73"/>
  <c r="P28" i="73"/>
  <c r="P10" i="73"/>
  <c r="P8" i="73"/>
  <c r="P7" i="73"/>
  <c r="Q87" i="72"/>
  <c r="Q101" i="72" s="1"/>
  <c r="O49" i="72"/>
  <c r="N49" i="72"/>
  <c r="M49" i="72"/>
  <c r="L49" i="72"/>
  <c r="K49" i="72"/>
  <c r="J49" i="72"/>
  <c r="I49" i="72"/>
  <c r="H49" i="72"/>
  <c r="G49" i="72"/>
  <c r="F49" i="72"/>
  <c r="E49" i="72"/>
  <c r="D49" i="72"/>
  <c r="O48" i="72"/>
  <c r="N48" i="72"/>
  <c r="M48" i="72"/>
  <c r="L48" i="72"/>
  <c r="K48" i="72"/>
  <c r="J48" i="72"/>
  <c r="I48" i="72"/>
  <c r="H48" i="72"/>
  <c r="G48" i="72"/>
  <c r="F48" i="72"/>
  <c r="E48" i="72"/>
  <c r="D48" i="72"/>
  <c r="O47" i="72"/>
  <c r="N47" i="72"/>
  <c r="M47" i="72"/>
  <c r="L47" i="72"/>
  <c r="K47" i="72"/>
  <c r="J47" i="72"/>
  <c r="I47" i="72"/>
  <c r="H47" i="72"/>
  <c r="G47" i="72"/>
  <c r="F47" i="72"/>
  <c r="E47" i="72"/>
  <c r="D47" i="72"/>
  <c r="O46" i="72"/>
  <c r="N46" i="72"/>
  <c r="M46" i="72"/>
  <c r="L46" i="72"/>
  <c r="K46" i="72"/>
  <c r="J46" i="72"/>
  <c r="I46" i="72"/>
  <c r="H46" i="72"/>
  <c r="G46" i="72"/>
  <c r="F46" i="72"/>
  <c r="E46" i="72"/>
  <c r="D46" i="72"/>
  <c r="O45" i="72"/>
  <c r="N45" i="72"/>
  <c r="M45" i="72"/>
  <c r="L45" i="72"/>
  <c r="K45" i="72"/>
  <c r="J45" i="72"/>
  <c r="I45" i="72"/>
  <c r="H45" i="72"/>
  <c r="G45" i="72"/>
  <c r="F45" i="72"/>
  <c r="E45" i="72"/>
  <c r="D45" i="72"/>
  <c r="O44" i="72"/>
  <c r="N44" i="72"/>
  <c r="M44" i="72"/>
  <c r="L44" i="72"/>
  <c r="K44" i="72"/>
  <c r="J44" i="72"/>
  <c r="I44" i="72"/>
  <c r="H44" i="72"/>
  <c r="G44" i="72"/>
  <c r="F44" i="72"/>
  <c r="E44" i="72"/>
  <c r="D44" i="72"/>
  <c r="O43" i="72"/>
  <c r="N43" i="72"/>
  <c r="M43" i="72"/>
  <c r="L43" i="72"/>
  <c r="K43" i="72"/>
  <c r="J43" i="72"/>
  <c r="I43" i="72"/>
  <c r="H43" i="72"/>
  <c r="G43" i="72"/>
  <c r="F43" i="72"/>
  <c r="E43" i="72"/>
  <c r="D43" i="72"/>
  <c r="O42" i="72"/>
  <c r="N42" i="72"/>
  <c r="M42" i="72"/>
  <c r="L42" i="72"/>
  <c r="K42" i="72"/>
  <c r="J42" i="72"/>
  <c r="I42" i="72"/>
  <c r="H42" i="72"/>
  <c r="G42" i="72"/>
  <c r="F42" i="72"/>
  <c r="E42" i="72"/>
  <c r="D42" i="72"/>
  <c r="O41" i="72"/>
  <c r="N41" i="72"/>
  <c r="M41" i="72"/>
  <c r="L41" i="72"/>
  <c r="K41" i="72"/>
  <c r="J41" i="72"/>
  <c r="I41" i="72"/>
  <c r="H41" i="72"/>
  <c r="G41" i="72"/>
  <c r="F41" i="72"/>
  <c r="E41" i="72"/>
  <c r="D41" i="72"/>
  <c r="O38" i="72"/>
  <c r="N38" i="72"/>
  <c r="M38" i="72"/>
  <c r="L38" i="72"/>
  <c r="K38" i="72"/>
  <c r="J38" i="72"/>
  <c r="I38" i="72"/>
  <c r="H38" i="72"/>
  <c r="G38" i="72"/>
  <c r="F38" i="72"/>
  <c r="E38" i="72"/>
  <c r="D38" i="72"/>
  <c r="O37" i="72"/>
  <c r="N37" i="72"/>
  <c r="M37" i="72"/>
  <c r="L37" i="72"/>
  <c r="K37" i="72"/>
  <c r="J37" i="72"/>
  <c r="I37" i="72"/>
  <c r="H37" i="72"/>
  <c r="G37" i="72"/>
  <c r="F37" i="72"/>
  <c r="E37" i="72"/>
  <c r="D37" i="72"/>
  <c r="O36" i="72"/>
  <c r="N36" i="72"/>
  <c r="M36" i="72"/>
  <c r="L36" i="72"/>
  <c r="K36" i="72"/>
  <c r="J36" i="72"/>
  <c r="I36" i="72"/>
  <c r="H36" i="72"/>
  <c r="G36" i="72"/>
  <c r="F36" i="72"/>
  <c r="E36" i="72"/>
  <c r="D36" i="72"/>
  <c r="P31" i="72"/>
  <c r="P29" i="72"/>
  <c r="P28" i="72"/>
  <c r="P10" i="72"/>
  <c r="P8" i="72"/>
  <c r="P7" i="72"/>
  <c r="Q87" i="71"/>
  <c r="R87" i="71" s="1"/>
  <c r="O49" i="71"/>
  <c r="N49" i="71"/>
  <c r="M49" i="71"/>
  <c r="L49" i="71"/>
  <c r="K49" i="71"/>
  <c r="J49" i="71"/>
  <c r="I49" i="71"/>
  <c r="H49" i="71"/>
  <c r="G49" i="71"/>
  <c r="F49" i="71"/>
  <c r="E49" i="71"/>
  <c r="D49" i="71"/>
  <c r="O48" i="71"/>
  <c r="N48" i="71"/>
  <c r="M48" i="71"/>
  <c r="L48" i="71"/>
  <c r="K48" i="71"/>
  <c r="J48" i="71"/>
  <c r="I48" i="71"/>
  <c r="H48" i="71"/>
  <c r="G48" i="71"/>
  <c r="F48" i="71"/>
  <c r="E48" i="71"/>
  <c r="D48" i="71"/>
  <c r="O47" i="71"/>
  <c r="N47" i="71"/>
  <c r="M47" i="71"/>
  <c r="L47" i="71"/>
  <c r="K47" i="71"/>
  <c r="J47" i="71"/>
  <c r="I47" i="71"/>
  <c r="H47" i="71"/>
  <c r="G47" i="71"/>
  <c r="F47" i="71"/>
  <c r="E47" i="71"/>
  <c r="D47" i="71"/>
  <c r="O46" i="71"/>
  <c r="N46" i="71"/>
  <c r="M46" i="71"/>
  <c r="L46" i="71"/>
  <c r="K46" i="71"/>
  <c r="J46" i="71"/>
  <c r="I46" i="71"/>
  <c r="H46" i="71"/>
  <c r="G46" i="71"/>
  <c r="F46" i="71"/>
  <c r="E46" i="71"/>
  <c r="D46" i="71"/>
  <c r="O45" i="71"/>
  <c r="N45" i="71"/>
  <c r="M45" i="71"/>
  <c r="L45" i="71"/>
  <c r="K45" i="71"/>
  <c r="J45" i="71"/>
  <c r="I45" i="71"/>
  <c r="H45" i="71"/>
  <c r="G45" i="71"/>
  <c r="F45" i="71"/>
  <c r="E45" i="71"/>
  <c r="D45" i="71"/>
  <c r="O44" i="71"/>
  <c r="N44" i="71"/>
  <c r="M44" i="71"/>
  <c r="L44" i="71"/>
  <c r="K44" i="71"/>
  <c r="J44" i="71"/>
  <c r="I44" i="71"/>
  <c r="H44" i="71"/>
  <c r="G44" i="71"/>
  <c r="F44" i="71"/>
  <c r="E44" i="71"/>
  <c r="D44" i="71"/>
  <c r="O43" i="71"/>
  <c r="N43" i="71"/>
  <c r="M43" i="71"/>
  <c r="L43" i="71"/>
  <c r="K43" i="71"/>
  <c r="J43" i="71"/>
  <c r="I43" i="71"/>
  <c r="H43" i="71"/>
  <c r="G43" i="71"/>
  <c r="F43" i="71"/>
  <c r="E43" i="71"/>
  <c r="D43" i="71"/>
  <c r="O42" i="71"/>
  <c r="N42" i="71"/>
  <c r="M42" i="71"/>
  <c r="L42" i="71"/>
  <c r="K42" i="71"/>
  <c r="J42" i="71"/>
  <c r="I42" i="71"/>
  <c r="H42" i="71"/>
  <c r="G42" i="71"/>
  <c r="F42" i="71"/>
  <c r="E42" i="71"/>
  <c r="D42" i="71"/>
  <c r="O41" i="71"/>
  <c r="N41" i="71"/>
  <c r="M41" i="71"/>
  <c r="L41" i="71"/>
  <c r="K41" i="71"/>
  <c r="J41" i="71"/>
  <c r="I41" i="71"/>
  <c r="H41" i="71"/>
  <c r="G41" i="71"/>
  <c r="F41" i="71"/>
  <c r="E41" i="71"/>
  <c r="D41" i="71"/>
  <c r="O38" i="71"/>
  <c r="N38" i="71"/>
  <c r="M38" i="71"/>
  <c r="L38" i="71"/>
  <c r="K38" i="71"/>
  <c r="J38" i="71"/>
  <c r="I38" i="71"/>
  <c r="H38" i="71"/>
  <c r="G38" i="71"/>
  <c r="F38" i="71"/>
  <c r="E38" i="71"/>
  <c r="D38" i="71"/>
  <c r="O37" i="71"/>
  <c r="N37" i="71"/>
  <c r="M37" i="71"/>
  <c r="L37" i="71"/>
  <c r="K37" i="71"/>
  <c r="J37" i="71"/>
  <c r="I37" i="71"/>
  <c r="H37" i="71"/>
  <c r="G37" i="71"/>
  <c r="F37" i="71"/>
  <c r="E37" i="71"/>
  <c r="D37" i="71"/>
  <c r="O36" i="71"/>
  <c r="N36" i="71"/>
  <c r="M36" i="71"/>
  <c r="L36" i="71"/>
  <c r="K36" i="71"/>
  <c r="J36" i="71"/>
  <c r="I36" i="71"/>
  <c r="H36" i="71"/>
  <c r="G36" i="71"/>
  <c r="F36" i="71"/>
  <c r="E36" i="71"/>
  <c r="D36" i="71"/>
  <c r="P31" i="71"/>
  <c r="P29" i="71"/>
  <c r="P28" i="71"/>
  <c r="P10" i="71"/>
  <c r="P8" i="71"/>
  <c r="P7" i="71"/>
  <c r="Q87" i="70"/>
  <c r="Q101" i="70" s="1"/>
  <c r="O49" i="70"/>
  <c r="N49" i="70"/>
  <c r="M49" i="70"/>
  <c r="L49" i="70"/>
  <c r="K49" i="70"/>
  <c r="J49" i="70"/>
  <c r="I49" i="70"/>
  <c r="H49" i="70"/>
  <c r="G49" i="70"/>
  <c r="F49" i="70"/>
  <c r="E49" i="70"/>
  <c r="D49" i="70"/>
  <c r="O48" i="70"/>
  <c r="N48" i="70"/>
  <c r="M48" i="70"/>
  <c r="L48" i="70"/>
  <c r="K48" i="70"/>
  <c r="J48" i="70"/>
  <c r="I48" i="70"/>
  <c r="H48" i="70"/>
  <c r="G48" i="70"/>
  <c r="F48" i="70"/>
  <c r="E48" i="70"/>
  <c r="D48" i="70"/>
  <c r="O47" i="70"/>
  <c r="N47" i="70"/>
  <c r="M47" i="70"/>
  <c r="L47" i="70"/>
  <c r="K47" i="70"/>
  <c r="J47" i="70"/>
  <c r="I47" i="70"/>
  <c r="H47" i="70"/>
  <c r="G47" i="70"/>
  <c r="F47" i="70"/>
  <c r="E47" i="70"/>
  <c r="D47" i="70"/>
  <c r="O46" i="70"/>
  <c r="N46" i="70"/>
  <c r="M46" i="70"/>
  <c r="L46" i="70"/>
  <c r="K46" i="70"/>
  <c r="J46" i="70"/>
  <c r="I46" i="70"/>
  <c r="H46" i="70"/>
  <c r="G46" i="70"/>
  <c r="F46" i="70"/>
  <c r="E46" i="70"/>
  <c r="D46" i="70"/>
  <c r="O45" i="70"/>
  <c r="N45" i="70"/>
  <c r="M45" i="70"/>
  <c r="L45" i="70"/>
  <c r="K45" i="70"/>
  <c r="J45" i="70"/>
  <c r="I45" i="70"/>
  <c r="H45" i="70"/>
  <c r="G45" i="70"/>
  <c r="F45" i="70"/>
  <c r="E45" i="70"/>
  <c r="D45" i="70"/>
  <c r="O44" i="70"/>
  <c r="N44" i="70"/>
  <c r="M44" i="70"/>
  <c r="L44" i="70"/>
  <c r="K44" i="70"/>
  <c r="J44" i="70"/>
  <c r="I44" i="70"/>
  <c r="H44" i="70"/>
  <c r="G44" i="70"/>
  <c r="F44" i="70"/>
  <c r="E44" i="70"/>
  <c r="D44" i="70"/>
  <c r="O43" i="70"/>
  <c r="N43" i="70"/>
  <c r="M43" i="70"/>
  <c r="L43" i="70"/>
  <c r="K43" i="70"/>
  <c r="J43" i="70"/>
  <c r="I43" i="70"/>
  <c r="H43" i="70"/>
  <c r="G43" i="70"/>
  <c r="F43" i="70"/>
  <c r="E43" i="70"/>
  <c r="D43" i="70"/>
  <c r="O42" i="70"/>
  <c r="N42" i="70"/>
  <c r="M42" i="70"/>
  <c r="L42" i="70"/>
  <c r="K42" i="70"/>
  <c r="J42" i="70"/>
  <c r="I42" i="70"/>
  <c r="H42" i="70"/>
  <c r="G42" i="70"/>
  <c r="F42" i="70"/>
  <c r="E42" i="70"/>
  <c r="D42" i="70"/>
  <c r="O41" i="70"/>
  <c r="N41" i="70"/>
  <c r="M41" i="70"/>
  <c r="L41" i="70"/>
  <c r="K41" i="70"/>
  <c r="J41" i="70"/>
  <c r="I41" i="70"/>
  <c r="H41" i="70"/>
  <c r="G41" i="70"/>
  <c r="F41" i="70"/>
  <c r="E41" i="70"/>
  <c r="D41" i="70"/>
  <c r="O38" i="70"/>
  <c r="N38" i="70"/>
  <c r="M38" i="70"/>
  <c r="L38" i="70"/>
  <c r="K38" i="70"/>
  <c r="J38" i="70"/>
  <c r="I38" i="70"/>
  <c r="H38" i="70"/>
  <c r="G38" i="70"/>
  <c r="F38" i="70"/>
  <c r="E38" i="70"/>
  <c r="D38" i="70"/>
  <c r="O37" i="70"/>
  <c r="N37" i="70"/>
  <c r="M37" i="70"/>
  <c r="L37" i="70"/>
  <c r="K37" i="70"/>
  <c r="J37" i="70"/>
  <c r="I37" i="70"/>
  <c r="H37" i="70"/>
  <c r="G37" i="70"/>
  <c r="F37" i="70"/>
  <c r="E37" i="70"/>
  <c r="D37" i="70"/>
  <c r="O36" i="70"/>
  <c r="N36" i="70"/>
  <c r="M36" i="70"/>
  <c r="L36" i="70"/>
  <c r="K36" i="70"/>
  <c r="J36" i="70"/>
  <c r="I36" i="70"/>
  <c r="H36" i="70"/>
  <c r="G36" i="70"/>
  <c r="F36" i="70"/>
  <c r="E36" i="70"/>
  <c r="D36" i="70"/>
  <c r="P31" i="70"/>
  <c r="P29" i="70"/>
  <c r="P28" i="70"/>
  <c r="P10" i="70"/>
  <c r="P8" i="70"/>
  <c r="P7" i="70"/>
  <c r="O49" i="69"/>
  <c r="N49" i="69"/>
  <c r="M49" i="69"/>
  <c r="L49" i="69"/>
  <c r="K49" i="69"/>
  <c r="J49" i="69"/>
  <c r="I49" i="69"/>
  <c r="H49" i="69"/>
  <c r="G49" i="69"/>
  <c r="F49" i="69"/>
  <c r="E49" i="69"/>
  <c r="D49" i="69"/>
  <c r="O48" i="69"/>
  <c r="N48" i="69"/>
  <c r="M48" i="69"/>
  <c r="L48" i="69"/>
  <c r="K48" i="69"/>
  <c r="J48" i="69"/>
  <c r="I48" i="69"/>
  <c r="H48" i="69"/>
  <c r="G48" i="69"/>
  <c r="F48" i="69"/>
  <c r="E48" i="69"/>
  <c r="D48" i="69"/>
  <c r="O47" i="69"/>
  <c r="N47" i="69"/>
  <c r="M47" i="69"/>
  <c r="L47" i="69"/>
  <c r="K47" i="69"/>
  <c r="J47" i="69"/>
  <c r="I47" i="69"/>
  <c r="H47" i="69"/>
  <c r="G47" i="69"/>
  <c r="F47" i="69"/>
  <c r="E47" i="69"/>
  <c r="D47" i="69"/>
  <c r="O46" i="69"/>
  <c r="N46" i="69"/>
  <c r="M46" i="69"/>
  <c r="L46" i="69"/>
  <c r="K46" i="69"/>
  <c r="J46" i="69"/>
  <c r="I46" i="69"/>
  <c r="H46" i="69"/>
  <c r="G46" i="69"/>
  <c r="F46" i="69"/>
  <c r="E46" i="69"/>
  <c r="D46" i="69"/>
  <c r="O45" i="69"/>
  <c r="N45" i="69"/>
  <c r="M45" i="69"/>
  <c r="L45" i="69"/>
  <c r="K45" i="69"/>
  <c r="J45" i="69"/>
  <c r="I45" i="69"/>
  <c r="H45" i="69"/>
  <c r="G45" i="69"/>
  <c r="F45" i="69"/>
  <c r="E45" i="69"/>
  <c r="D45" i="69"/>
  <c r="O44" i="69"/>
  <c r="N44" i="69"/>
  <c r="M44" i="69"/>
  <c r="L44" i="69"/>
  <c r="K44" i="69"/>
  <c r="J44" i="69"/>
  <c r="I44" i="69"/>
  <c r="H44" i="69"/>
  <c r="G44" i="69"/>
  <c r="F44" i="69"/>
  <c r="E44" i="69"/>
  <c r="D44" i="69"/>
  <c r="O43" i="69"/>
  <c r="N43" i="69"/>
  <c r="M43" i="69"/>
  <c r="L43" i="69"/>
  <c r="K43" i="69"/>
  <c r="J43" i="69"/>
  <c r="I43" i="69"/>
  <c r="H43" i="69"/>
  <c r="G43" i="69"/>
  <c r="F43" i="69"/>
  <c r="E43" i="69"/>
  <c r="D43" i="69"/>
  <c r="O42" i="69"/>
  <c r="N42" i="69"/>
  <c r="M42" i="69"/>
  <c r="L42" i="69"/>
  <c r="K42" i="69"/>
  <c r="J42" i="69"/>
  <c r="I42" i="69"/>
  <c r="H42" i="69"/>
  <c r="G42" i="69"/>
  <c r="F42" i="69"/>
  <c r="E42" i="69"/>
  <c r="D42" i="69"/>
  <c r="O41" i="69"/>
  <c r="N41" i="69"/>
  <c r="M41" i="69"/>
  <c r="L41" i="69"/>
  <c r="K41" i="69"/>
  <c r="J41" i="69"/>
  <c r="I41" i="69"/>
  <c r="H41" i="69"/>
  <c r="G41" i="69"/>
  <c r="F41" i="69"/>
  <c r="E41" i="69"/>
  <c r="D41" i="69"/>
  <c r="O38" i="69"/>
  <c r="N38" i="69"/>
  <c r="M38" i="69"/>
  <c r="L38" i="69"/>
  <c r="K38" i="69"/>
  <c r="J38" i="69"/>
  <c r="I38" i="69"/>
  <c r="H38" i="69"/>
  <c r="G38" i="69"/>
  <c r="F38" i="69"/>
  <c r="E38" i="69"/>
  <c r="D38" i="69"/>
  <c r="O37" i="69"/>
  <c r="N37" i="69"/>
  <c r="M37" i="69"/>
  <c r="L37" i="69"/>
  <c r="K37" i="69"/>
  <c r="J37" i="69"/>
  <c r="I37" i="69"/>
  <c r="H37" i="69"/>
  <c r="G37" i="69"/>
  <c r="F37" i="69"/>
  <c r="E37" i="69"/>
  <c r="D37" i="69"/>
  <c r="O36" i="69"/>
  <c r="N36" i="69"/>
  <c r="M36" i="69"/>
  <c r="L36" i="69"/>
  <c r="K36" i="69"/>
  <c r="J36" i="69"/>
  <c r="I36" i="69"/>
  <c r="H36" i="69"/>
  <c r="G36" i="69"/>
  <c r="F36" i="69"/>
  <c r="E36" i="69"/>
  <c r="D36" i="69"/>
  <c r="P31" i="69"/>
  <c r="P29" i="69"/>
  <c r="P28" i="69"/>
  <c r="P10" i="69"/>
  <c r="P8" i="69"/>
  <c r="P7" i="69"/>
  <c r="D15" i="1"/>
  <c r="O45" i="9"/>
  <c r="N45" i="9"/>
  <c r="M45" i="9"/>
  <c r="L45" i="9"/>
  <c r="K45" i="9"/>
  <c r="J45" i="9"/>
  <c r="I45" i="9"/>
  <c r="H45" i="9"/>
  <c r="G45" i="9"/>
  <c r="F45" i="9"/>
  <c r="E45" i="9"/>
  <c r="O44" i="9"/>
  <c r="N44" i="9"/>
  <c r="M44" i="9"/>
  <c r="L44" i="9"/>
  <c r="K44" i="9"/>
  <c r="J44" i="9"/>
  <c r="I44" i="9"/>
  <c r="H44" i="9"/>
  <c r="G44" i="9"/>
  <c r="F44" i="9"/>
  <c r="E44" i="9"/>
  <c r="O43" i="9"/>
  <c r="N43" i="9"/>
  <c r="M43" i="9"/>
  <c r="L43" i="9"/>
  <c r="K43" i="9"/>
  <c r="J43" i="9"/>
  <c r="I43" i="9"/>
  <c r="H43" i="9"/>
  <c r="G43" i="9"/>
  <c r="F43" i="9"/>
  <c r="E43" i="9"/>
  <c r="O42" i="9"/>
  <c r="N42" i="9"/>
  <c r="M42" i="9"/>
  <c r="L42" i="9"/>
  <c r="K42" i="9"/>
  <c r="J42" i="9"/>
  <c r="I42" i="9"/>
  <c r="H42" i="9"/>
  <c r="G42" i="9"/>
  <c r="F42" i="9"/>
  <c r="E42" i="9"/>
  <c r="O41" i="9"/>
  <c r="N41" i="9"/>
  <c r="M41" i="9"/>
  <c r="L41" i="9"/>
  <c r="K41" i="9"/>
  <c r="J41" i="9"/>
  <c r="I41" i="9"/>
  <c r="H41" i="9"/>
  <c r="G41" i="9"/>
  <c r="F41" i="9"/>
  <c r="E41" i="9"/>
  <c r="O40" i="9"/>
  <c r="N40" i="9"/>
  <c r="M40" i="9"/>
  <c r="L40" i="9"/>
  <c r="K40" i="9"/>
  <c r="J40" i="9"/>
  <c r="I40" i="9"/>
  <c r="H40" i="9"/>
  <c r="G40" i="9"/>
  <c r="F40" i="9"/>
  <c r="E40" i="9"/>
  <c r="O39" i="9"/>
  <c r="N39" i="9"/>
  <c r="M39" i="9"/>
  <c r="L39" i="9"/>
  <c r="K39" i="9"/>
  <c r="J39" i="9"/>
  <c r="I39" i="9"/>
  <c r="H39" i="9"/>
  <c r="G39" i="9"/>
  <c r="F39" i="9"/>
  <c r="E39" i="9"/>
  <c r="O38" i="9"/>
  <c r="N38" i="9"/>
  <c r="M38" i="9"/>
  <c r="L38" i="9"/>
  <c r="K38" i="9"/>
  <c r="J38" i="9"/>
  <c r="I38" i="9"/>
  <c r="H38" i="9"/>
  <c r="G38" i="9"/>
  <c r="F38" i="9"/>
  <c r="E38" i="9"/>
  <c r="O37" i="9"/>
  <c r="N37" i="9"/>
  <c r="M37" i="9"/>
  <c r="L37" i="9"/>
  <c r="K37" i="9"/>
  <c r="J37" i="9"/>
  <c r="I37" i="9"/>
  <c r="H37" i="9"/>
  <c r="G37" i="9"/>
  <c r="F37" i="9"/>
  <c r="E37" i="9"/>
  <c r="O34" i="9"/>
  <c r="N34" i="9"/>
  <c r="M34" i="9"/>
  <c r="L34" i="9"/>
  <c r="K34" i="9"/>
  <c r="J34" i="9"/>
  <c r="I34" i="9"/>
  <c r="H34" i="9"/>
  <c r="G34" i="9"/>
  <c r="F34" i="9"/>
  <c r="E34" i="9"/>
  <c r="O33" i="9"/>
  <c r="N33" i="9"/>
  <c r="M33" i="9"/>
  <c r="L33" i="9"/>
  <c r="K33" i="9"/>
  <c r="J33" i="9"/>
  <c r="I33" i="9"/>
  <c r="H33" i="9"/>
  <c r="G33" i="9"/>
  <c r="F33" i="9"/>
  <c r="E33" i="9"/>
  <c r="O32" i="9"/>
  <c r="N32" i="9"/>
  <c r="M32" i="9"/>
  <c r="L32" i="9"/>
  <c r="K32" i="9"/>
  <c r="J32" i="9"/>
  <c r="I32" i="9"/>
  <c r="H32" i="9"/>
  <c r="G32" i="9"/>
  <c r="F32" i="9"/>
  <c r="E32" i="9"/>
  <c r="E78" i="68"/>
  <c r="F78" i="68"/>
  <c r="G78" i="68"/>
  <c r="H78" i="68"/>
  <c r="I78" i="68"/>
  <c r="J78" i="68"/>
  <c r="K78" i="68"/>
  <c r="L78" i="68"/>
  <c r="M78" i="68"/>
  <c r="N78" i="68"/>
  <c r="O78" i="68"/>
  <c r="D78" i="68"/>
  <c r="O49" i="68"/>
  <c r="N49" i="68"/>
  <c r="M49" i="68"/>
  <c r="L49" i="68"/>
  <c r="K49" i="68"/>
  <c r="J49" i="68"/>
  <c r="I49" i="68"/>
  <c r="H49" i="68"/>
  <c r="G49" i="68"/>
  <c r="F49" i="68"/>
  <c r="E49" i="68"/>
  <c r="D49" i="68"/>
  <c r="O48" i="68"/>
  <c r="N48" i="68"/>
  <c r="M48" i="68"/>
  <c r="L48" i="68"/>
  <c r="K48" i="68"/>
  <c r="J48" i="68"/>
  <c r="I48" i="68"/>
  <c r="H48" i="68"/>
  <c r="G48" i="68"/>
  <c r="F48" i="68"/>
  <c r="E48" i="68"/>
  <c r="D48" i="68"/>
  <c r="O47" i="68"/>
  <c r="N47" i="68"/>
  <c r="M47" i="68"/>
  <c r="L47" i="68"/>
  <c r="K47" i="68"/>
  <c r="J47" i="68"/>
  <c r="I47" i="68"/>
  <c r="H47" i="68"/>
  <c r="G47" i="68"/>
  <c r="F47" i="68"/>
  <c r="E47" i="68"/>
  <c r="D47" i="68"/>
  <c r="O46" i="68"/>
  <c r="N46" i="68"/>
  <c r="M46" i="68"/>
  <c r="L46" i="68"/>
  <c r="K46" i="68"/>
  <c r="J46" i="68"/>
  <c r="I46" i="68"/>
  <c r="H46" i="68"/>
  <c r="G46" i="68"/>
  <c r="F46" i="68"/>
  <c r="E46" i="68"/>
  <c r="D46" i="68"/>
  <c r="O45" i="68"/>
  <c r="N45" i="68"/>
  <c r="M45" i="68"/>
  <c r="L45" i="68"/>
  <c r="K45" i="68"/>
  <c r="J45" i="68"/>
  <c r="I45" i="68"/>
  <c r="H45" i="68"/>
  <c r="G45" i="68"/>
  <c r="F45" i="68"/>
  <c r="E45" i="68"/>
  <c r="D45" i="68"/>
  <c r="O44" i="68"/>
  <c r="N44" i="68"/>
  <c r="M44" i="68"/>
  <c r="L44" i="68"/>
  <c r="K44" i="68"/>
  <c r="J44" i="68"/>
  <c r="I44" i="68"/>
  <c r="H44" i="68"/>
  <c r="G44" i="68"/>
  <c r="F44" i="68"/>
  <c r="E44" i="68"/>
  <c r="D44" i="68"/>
  <c r="O43" i="68"/>
  <c r="N43" i="68"/>
  <c r="M43" i="68"/>
  <c r="L43" i="68"/>
  <c r="K43" i="68"/>
  <c r="J43" i="68"/>
  <c r="I43" i="68"/>
  <c r="H43" i="68"/>
  <c r="G43" i="68"/>
  <c r="F43" i="68"/>
  <c r="E43" i="68"/>
  <c r="D43" i="68"/>
  <c r="O42" i="68"/>
  <c r="N42" i="68"/>
  <c r="M42" i="68"/>
  <c r="L42" i="68"/>
  <c r="K42" i="68"/>
  <c r="J42" i="68"/>
  <c r="I42" i="68"/>
  <c r="H42" i="68"/>
  <c r="G42" i="68"/>
  <c r="F42" i="68"/>
  <c r="E42" i="68"/>
  <c r="D42" i="68"/>
  <c r="O41" i="68"/>
  <c r="N41" i="68"/>
  <c r="M41" i="68"/>
  <c r="L41" i="68"/>
  <c r="K41" i="68"/>
  <c r="J41" i="68"/>
  <c r="I41" i="68"/>
  <c r="H41" i="68"/>
  <c r="G41" i="68"/>
  <c r="F41" i="68"/>
  <c r="E41" i="68"/>
  <c r="D41" i="68"/>
  <c r="O38" i="68"/>
  <c r="N38" i="68"/>
  <c r="M38" i="68"/>
  <c r="L38" i="68"/>
  <c r="K38" i="68"/>
  <c r="J38" i="68"/>
  <c r="I38" i="68"/>
  <c r="H38" i="68"/>
  <c r="G38" i="68"/>
  <c r="F38" i="68"/>
  <c r="E38" i="68"/>
  <c r="D38" i="68"/>
  <c r="O37" i="68"/>
  <c r="N37" i="68"/>
  <c r="M37" i="68"/>
  <c r="L37" i="68"/>
  <c r="K37" i="68"/>
  <c r="J37" i="68"/>
  <c r="I37" i="68"/>
  <c r="H37" i="68"/>
  <c r="G37" i="68"/>
  <c r="F37" i="68"/>
  <c r="E37" i="68"/>
  <c r="D37" i="68"/>
  <c r="O36" i="68"/>
  <c r="N36" i="68"/>
  <c r="M36" i="68"/>
  <c r="L36" i="68"/>
  <c r="K36" i="68"/>
  <c r="J36" i="68"/>
  <c r="I36" i="68"/>
  <c r="H36" i="68"/>
  <c r="G36" i="68"/>
  <c r="F36" i="68"/>
  <c r="E36" i="68"/>
  <c r="D36" i="68"/>
  <c r="O51" i="67"/>
  <c r="N51" i="67"/>
  <c r="M51" i="67"/>
  <c r="L51" i="67"/>
  <c r="K51" i="67"/>
  <c r="J51" i="67"/>
  <c r="I51" i="67"/>
  <c r="H51" i="67"/>
  <c r="G51" i="67"/>
  <c r="F51" i="67"/>
  <c r="E51" i="67"/>
  <c r="D51" i="67"/>
  <c r="O50" i="67"/>
  <c r="N50" i="67"/>
  <c r="M50" i="67"/>
  <c r="L50" i="67"/>
  <c r="K50" i="67"/>
  <c r="J50" i="67"/>
  <c r="I50" i="67"/>
  <c r="H50" i="67"/>
  <c r="G50" i="67"/>
  <c r="F50" i="67"/>
  <c r="E50" i="67"/>
  <c r="D50" i="67"/>
  <c r="O49" i="67"/>
  <c r="N49" i="67"/>
  <c r="M49" i="67"/>
  <c r="L49" i="67"/>
  <c r="K49" i="67"/>
  <c r="J49" i="67"/>
  <c r="I49" i="67"/>
  <c r="H49" i="67"/>
  <c r="G49" i="67"/>
  <c r="F49" i="67"/>
  <c r="E49" i="67"/>
  <c r="D49" i="67"/>
  <c r="O48" i="67"/>
  <c r="N48" i="67"/>
  <c r="M48" i="67"/>
  <c r="L48" i="67"/>
  <c r="K48" i="67"/>
  <c r="J48" i="67"/>
  <c r="I48" i="67"/>
  <c r="H48" i="67"/>
  <c r="G48" i="67"/>
  <c r="F48" i="67"/>
  <c r="E48" i="67"/>
  <c r="D48" i="67"/>
  <c r="O47" i="67"/>
  <c r="N47" i="67"/>
  <c r="M47" i="67"/>
  <c r="L47" i="67"/>
  <c r="K47" i="67"/>
  <c r="J47" i="67"/>
  <c r="I47" i="67"/>
  <c r="H47" i="67"/>
  <c r="G47" i="67"/>
  <c r="F47" i="67"/>
  <c r="E47" i="67"/>
  <c r="D47" i="67"/>
  <c r="O46" i="67"/>
  <c r="N46" i="67"/>
  <c r="M46" i="67"/>
  <c r="L46" i="67"/>
  <c r="K46" i="67"/>
  <c r="J46" i="67"/>
  <c r="I46" i="67"/>
  <c r="H46" i="67"/>
  <c r="G46" i="67"/>
  <c r="F46" i="67"/>
  <c r="E46" i="67"/>
  <c r="D46" i="67"/>
  <c r="O45" i="67"/>
  <c r="N45" i="67"/>
  <c r="M45" i="67"/>
  <c r="L45" i="67"/>
  <c r="K45" i="67"/>
  <c r="J45" i="67"/>
  <c r="I45" i="67"/>
  <c r="H45" i="67"/>
  <c r="G45" i="67"/>
  <c r="F45" i="67"/>
  <c r="E45" i="67"/>
  <c r="D45" i="67"/>
  <c r="O44" i="67"/>
  <c r="N44" i="67"/>
  <c r="M44" i="67"/>
  <c r="L44" i="67"/>
  <c r="K44" i="67"/>
  <c r="J44" i="67"/>
  <c r="I44" i="67"/>
  <c r="H44" i="67"/>
  <c r="G44" i="67"/>
  <c r="F44" i="67"/>
  <c r="E44" i="67"/>
  <c r="D44" i="67"/>
  <c r="O43" i="67"/>
  <c r="N43" i="67"/>
  <c r="M43" i="67"/>
  <c r="L43" i="67"/>
  <c r="K43" i="67"/>
  <c r="J43" i="67"/>
  <c r="I43" i="67"/>
  <c r="H43" i="67"/>
  <c r="G43" i="67"/>
  <c r="F43" i="67"/>
  <c r="E43" i="67"/>
  <c r="D43" i="67"/>
  <c r="O40" i="67"/>
  <c r="N40" i="67"/>
  <c r="M40" i="67"/>
  <c r="L40" i="67"/>
  <c r="K40" i="67"/>
  <c r="J40" i="67"/>
  <c r="I40" i="67"/>
  <c r="H40" i="67"/>
  <c r="G40" i="67"/>
  <c r="F40" i="67"/>
  <c r="E40" i="67"/>
  <c r="D40" i="67"/>
  <c r="O39" i="67"/>
  <c r="N39" i="67"/>
  <c r="M39" i="67"/>
  <c r="L39" i="67"/>
  <c r="K39" i="67"/>
  <c r="J39" i="67"/>
  <c r="I39" i="67"/>
  <c r="H39" i="67"/>
  <c r="G39" i="67"/>
  <c r="F39" i="67"/>
  <c r="E39" i="67"/>
  <c r="D39" i="67"/>
  <c r="O38" i="67"/>
  <c r="N38" i="67"/>
  <c r="M38" i="67"/>
  <c r="L38" i="67"/>
  <c r="K38" i="67"/>
  <c r="J38" i="67"/>
  <c r="I38" i="67"/>
  <c r="H38" i="67"/>
  <c r="G38" i="67"/>
  <c r="F38" i="67"/>
  <c r="E38" i="67"/>
  <c r="D38" i="67"/>
  <c r="I78" i="74" l="1"/>
  <c r="I78" i="69"/>
  <c r="I78" i="72"/>
  <c r="I78" i="70"/>
  <c r="I78" i="71"/>
  <c r="I78" i="73"/>
  <c r="J78" i="69"/>
  <c r="J78" i="74"/>
  <c r="J78" i="72"/>
  <c r="J78" i="70"/>
  <c r="J78" i="71"/>
  <c r="J78" i="73"/>
  <c r="D78" i="72"/>
  <c r="D78" i="70"/>
  <c r="D78" i="73"/>
  <c r="D78" i="74"/>
  <c r="D78" i="71"/>
  <c r="D78" i="69"/>
  <c r="H78" i="72"/>
  <c r="H78" i="70"/>
  <c r="H78" i="71"/>
  <c r="H78" i="74"/>
  <c r="H78" i="73"/>
  <c r="H78" i="69"/>
  <c r="O78" i="72"/>
  <c r="O78" i="70"/>
  <c r="O78" i="71"/>
  <c r="O78" i="73"/>
  <c r="O78" i="69"/>
  <c r="O78" i="74"/>
  <c r="G78" i="72"/>
  <c r="G78" i="70"/>
  <c r="G78" i="71"/>
  <c r="G78" i="73"/>
  <c r="G78" i="69"/>
  <c r="G78" i="74"/>
  <c r="N78" i="71"/>
  <c r="N78" i="73"/>
  <c r="N78" i="69"/>
  <c r="N78" i="74"/>
  <c r="N78" i="72"/>
  <c r="N78" i="70"/>
  <c r="F78" i="71"/>
  <c r="F78" i="73"/>
  <c r="F78" i="69"/>
  <c r="F78" i="74"/>
  <c r="F78" i="72"/>
  <c r="F78" i="70"/>
  <c r="M78" i="73"/>
  <c r="M78" i="71"/>
  <c r="M78" i="69"/>
  <c r="M78" i="74"/>
  <c r="M78" i="72"/>
  <c r="M78" i="70"/>
  <c r="E78" i="71"/>
  <c r="E78" i="73"/>
  <c r="E78" i="69"/>
  <c r="E78" i="74"/>
  <c r="E78" i="72"/>
  <c r="E78" i="70"/>
  <c r="K78" i="69"/>
  <c r="K78" i="73"/>
  <c r="K78" i="74"/>
  <c r="K78" i="72"/>
  <c r="K78" i="70"/>
  <c r="K78" i="71"/>
  <c r="L78" i="73"/>
  <c r="L78" i="69"/>
  <c r="L78" i="74"/>
  <c r="L78" i="72"/>
  <c r="L78" i="70"/>
  <c r="L78" i="71"/>
  <c r="D203" i="69"/>
  <c r="D80" i="68"/>
  <c r="P203" i="68"/>
  <c r="L203" i="69"/>
  <c r="R87" i="70"/>
  <c r="R101" i="70" s="1"/>
  <c r="P45" i="70"/>
  <c r="P49" i="69"/>
  <c r="P49" i="70"/>
  <c r="R101" i="71"/>
  <c r="P49" i="68"/>
  <c r="P49" i="71"/>
  <c r="P36" i="74"/>
  <c r="P36" i="69"/>
  <c r="P36" i="68"/>
  <c r="P36" i="72"/>
  <c r="P36" i="70"/>
  <c r="P38" i="70"/>
  <c r="P38" i="74"/>
  <c r="P38" i="69"/>
  <c r="P38" i="71"/>
  <c r="P38" i="72"/>
  <c r="P38" i="68"/>
  <c r="P41" i="68"/>
  <c r="P37" i="70"/>
  <c r="P78" i="68"/>
  <c r="P43" i="72"/>
  <c r="P45" i="68"/>
  <c r="P43" i="71"/>
  <c r="P42" i="72"/>
  <c r="P44" i="68"/>
  <c r="P41" i="70"/>
  <c r="P43" i="70"/>
  <c r="P43" i="68"/>
  <c r="P45" i="69"/>
  <c r="P47" i="70"/>
  <c r="P44" i="74"/>
  <c r="P45" i="74"/>
  <c r="P41" i="69"/>
  <c r="P43" i="69"/>
  <c r="P47" i="69"/>
  <c r="P37" i="74"/>
  <c r="P37" i="69"/>
  <c r="P37" i="73"/>
  <c r="P37" i="72"/>
  <c r="P37" i="68"/>
  <c r="P48" i="74"/>
  <c r="P48" i="71"/>
  <c r="P47" i="68"/>
  <c r="P46" i="68"/>
  <c r="P46" i="71"/>
  <c r="P46" i="70"/>
  <c r="P46" i="74"/>
  <c r="P46" i="69"/>
  <c r="P46" i="73"/>
  <c r="P45" i="73"/>
  <c r="P45" i="72"/>
  <c r="P44" i="73"/>
  <c r="P44" i="71"/>
  <c r="P44" i="72"/>
  <c r="P44" i="70"/>
  <c r="P44" i="69"/>
  <c r="P42" i="70"/>
  <c r="P42" i="68"/>
  <c r="P42" i="69"/>
  <c r="P48" i="69"/>
  <c r="P48" i="73"/>
  <c r="P48" i="68"/>
  <c r="P48" i="70"/>
  <c r="P48" i="72"/>
  <c r="P42" i="74"/>
  <c r="P41" i="74"/>
  <c r="P43" i="74"/>
  <c r="P47" i="74"/>
  <c r="P49" i="74"/>
  <c r="R87" i="74"/>
  <c r="R101" i="74" s="1"/>
  <c r="P42" i="73"/>
  <c r="P41" i="73"/>
  <c r="P43" i="73"/>
  <c r="P36" i="73"/>
  <c r="P38" i="73"/>
  <c r="P47" i="73"/>
  <c r="P49" i="73"/>
  <c r="R87" i="73"/>
  <c r="R101" i="73" s="1"/>
  <c r="P46" i="72"/>
  <c r="P41" i="72"/>
  <c r="P47" i="72"/>
  <c r="P49" i="72"/>
  <c r="R87" i="72"/>
  <c r="R101" i="72" s="1"/>
  <c r="Q101" i="71"/>
  <c r="P36" i="71"/>
  <c r="P41" i="71"/>
  <c r="P45" i="71"/>
  <c r="P47" i="71"/>
  <c r="P37" i="71"/>
  <c r="P42" i="71"/>
  <c r="P38" i="67"/>
  <c r="P39" i="67"/>
  <c r="P43" i="67"/>
  <c r="P45" i="67"/>
  <c r="P49" i="67"/>
  <c r="P51" i="67"/>
  <c r="P47" i="67"/>
  <c r="P48" i="67"/>
  <c r="P44" i="67"/>
  <c r="P40" i="67"/>
  <c r="P46" i="67"/>
  <c r="P50" i="67"/>
  <c r="D45" i="9"/>
  <c r="D44" i="9"/>
  <c r="D38" i="9"/>
  <c r="D39" i="9"/>
  <c r="D40" i="9"/>
  <c r="D41" i="9"/>
  <c r="D42" i="9"/>
  <c r="D43" i="9"/>
  <c r="D37" i="9"/>
  <c r="D33" i="9"/>
  <c r="D34" i="9"/>
  <c r="D32" i="9"/>
  <c r="D8" i="63"/>
  <c r="K12" i="1" s="1"/>
  <c r="D13" i="64"/>
  <c r="K13" i="1" s="1"/>
  <c r="D19" i="64"/>
  <c r="D24" i="9"/>
  <c r="P78" i="70" l="1"/>
  <c r="P78" i="69"/>
  <c r="P78" i="74"/>
  <c r="P78" i="72"/>
  <c r="P78" i="71"/>
  <c r="P78" i="73"/>
  <c r="D80" i="74"/>
  <c r="D80" i="69"/>
  <c r="D80" i="73"/>
  <c r="D80" i="72"/>
  <c r="D80" i="71"/>
  <c r="D80" i="70"/>
  <c r="D26" i="70"/>
  <c r="D26" i="68"/>
  <c r="D26" i="72"/>
  <c r="D26" i="71"/>
  <c r="D28" i="67"/>
  <c r="D26" i="73"/>
  <c r="D26" i="69"/>
  <c r="D26" i="74"/>
  <c r="P42" i="9"/>
  <c r="P41" i="9"/>
  <c r="P40" i="9"/>
  <c r="P39" i="9"/>
  <c r="P38" i="9"/>
  <c r="P34" i="9"/>
  <c r="P33" i="9"/>
  <c r="P37" i="9"/>
  <c r="P45" i="9"/>
  <c r="P44" i="9"/>
  <c r="P43" i="9"/>
  <c r="P32" i="9"/>
  <c r="D52" i="8" l="1"/>
  <c r="E72" i="8"/>
  <c r="F72" i="8"/>
  <c r="G72" i="8"/>
  <c r="H72" i="8"/>
  <c r="I72" i="8"/>
  <c r="J72" i="8"/>
  <c r="K72" i="8"/>
  <c r="L72" i="8"/>
  <c r="M72" i="8"/>
  <c r="N72" i="8"/>
  <c r="O72" i="8"/>
  <c r="E73" i="8"/>
  <c r="F73" i="8"/>
  <c r="G73" i="8"/>
  <c r="H73" i="8"/>
  <c r="I73" i="8"/>
  <c r="J73" i="8"/>
  <c r="K73" i="8"/>
  <c r="L73" i="8"/>
  <c r="M73" i="8"/>
  <c r="M75" i="8" s="1"/>
  <c r="N73" i="8"/>
  <c r="O73" i="8"/>
  <c r="E74" i="8"/>
  <c r="F74" i="8"/>
  <c r="G74" i="8"/>
  <c r="H74" i="8"/>
  <c r="I74" i="8"/>
  <c r="J74" i="8"/>
  <c r="K74" i="8"/>
  <c r="L74" i="8"/>
  <c r="M74" i="8"/>
  <c r="N74" i="8"/>
  <c r="O74" i="8"/>
  <c r="D73" i="8"/>
  <c r="P73" i="8" s="1"/>
  <c r="D74" i="8"/>
  <c r="P74" i="8" s="1"/>
  <c r="D72" i="8"/>
  <c r="D75" i="8" s="1"/>
  <c r="E61" i="8"/>
  <c r="F61" i="8"/>
  <c r="G61" i="8"/>
  <c r="H61" i="8"/>
  <c r="I61" i="8"/>
  <c r="J61" i="8"/>
  <c r="K61" i="8"/>
  <c r="L61" i="8"/>
  <c r="M61" i="8"/>
  <c r="N61" i="8"/>
  <c r="O61" i="8"/>
  <c r="E62" i="8"/>
  <c r="F62" i="8"/>
  <c r="G62" i="8"/>
  <c r="H62" i="8"/>
  <c r="I62" i="8"/>
  <c r="J62" i="8"/>
  <c r="K62" i="8"/>
  <c r="L62" i="8"/>
  <c r="M62" i="8"/>
  <c r="N62" i="8"/>
  <c r="O62" i="8"/>
  <c r="E63" i="8"/>
  <c r="F63" i="8"/>
  <c r="G63" i="8"/>
  <c r="H63" i="8"/>
  <c r="I63" i="8"/>
  <c r="J63" i="8"/>
  <c r="K63" i="8"/>
  <c r="L63" i="8"/>
  <c r="M63" i="8"/>
  <c r="N63" i="8"/>
  <c r="O63" i="8"/>
  <c r="E64" i="8"/>
  <c r="F64" i="8"/>
  <c r="G64" i="8"/>
  <c r="H64" i="8"/>
  <c r="I64" i="8"/>
  <c r="J64" i="8"/>
  <c r="K64" i="8"/>
  <c r="L64" i="8"/>
  <c r="M64" i="8"/>
  <c r="N64" i="8"/>
  <c r="O64" i="8"/>
  <c r="E65" i="8"/>
  <c r="F65" i="8"/>
  <c r="G65" i="8"/>
  <c r="H65" i="8"/>
  <c r="I65" i="8"/>
  <c r="J65" i="8"/>
  <c r="K65" i="8"/>
  <c r="L65" i="8"/>
  <c r="M65" i="8"/>
  <c r="N65" i="8"/>
  <c r="O65" i="8"/>
  <c r="E66" i="8"/>
  <c r="F66" i="8"/>
  <c r="G66" i="8"/>
  <c r="H66" i="8"/>
  <c r="I66" i="8"/>
  <c r="J66" i="8"/>
  <c r="K66" i="8"/>
  <c r="L66" i="8"/>
  <c r="M66" i="8"/>
  <c r="N66" i="8"/>
  <c r="O66" i="8"/>
  <c r="E67" i="8"/>
  <c r="F67" i="8"/>
  <c r="G67" i="8"/>
  <c r="H67" i="8"/>
  <c r="I67" i="8"/>
  <c r="J67" i="8"/>
  <c r="K67" i="8"/>
  <c r="L67" i="8"/>
  <c r="M67" i="8"/>
  <c r="N67" i="8"/>
  <c r="O67" i="8"/>
  <c r="E68" i="8"/>
  <c r="F68" i="8"/>
  <c r="G68" i="8"/>
  <c r="H68" i="8"/>
  <c r="I68" i="8"/>
  <c r="J68" i="8"/>
  <c r="K68" i="8"/>
  <c r="L68" i="8"/>
  <c r="M68" i="8"/>
  <c r="N68" i="8"/>
  <c r="O68" i="8"/>
  <c r="D62" i="8"/>
  <c r="D63" i="8"/>
  <c r="D64" i="8"/>
  <c r="D65" i="8"/>
  <c r="D66" i="8"/>
  <c r="D67" i="8"/>
  <c r="D68" i="8"/>
  <c r="D61" i="8"/>
  <c r="L75" i="8"/>
  <c r="J75" i="8"/>
  <c r="G75" i="8"/>
  <c r="E75" i="8"/>
  <c r="E52" i="8"/>
  <c r="F52" i="8"/>
  <c r="G52" i="8"/>
  <c r="H52" i="8"/>
  <c r="I52" i="8"/>
  <c r="J52" i="8"/>
  <c r="K52" i="8"/>
  <c r="L52" i="8"/>
  <c r="M52" i="8"/>
  <c r="N52" i="8"/>
  <c r="O52" i="8"/>
  <c r="E53" i="8"/>
  <c r="F53" i="8"/>
  <c r="G53" i="8"/>
  <c r="H53" i="8"/>
  <c r="I53" i="8"/>
  <c r="J53" i="8"/>
  <c r="K53" i="8"/>
  <c r="L53" i="8"/>
  <c r="M53" i="8"/>
  <c r="N53" i="8"/>
  <c r="O53" i="8"/>
  <c r="D53" i="8"/>
  <c r="E46" i="8"/>
  <c r="F46" i="8"/>
  <c r="G46" i="8"/>
  <c r="H46" i="8"/>
  <c r="I46" i="8"/>
  <c r="J46" i="8"/>
  <c r="K46" i="8"/>
  <c r="L46" i="8"/>
  <c r="M46" i="8"/>
  <c r="N46" i="8"/>
  <c r="O46" i="8"/>
  <c r="E47" i="8"/>
  <c r="E49" i="8" s="1"/>
  <c r="F47" i="8"/>
  <c r="G47" i="8"/>
  <c r="H47" i="8"/>
  <c r="I47" i="8"/>
  <c r="J47" i="8"/>
  <c r="K47" i="8"/>
  <c r="L47" i="8"/>
  <c r="M47" i="8"/>
  <c r="M49" i="8" s="1"/>
  <c r="N47" i="8"/>
  <c r="O47" i="8"/>
  <c r="E48" i="8"/>
  <c r="F48" i="8"/>
  <c r="G48" i="8"/>
  <c r="H48" i="8"/>
  <c r="I48" i="8"/>
  <c r="J48" i="8"/>
  <c r="K48" i="8"/>
  <c r="L48" i="8"/>
  <c r="M48" i="8"/>
  <c r="N48" i="8"/>
  <c r="O48" i="8"/>
  <c r="D47" i="8"/>
  <c r="D48" i="8"/>
  <c r="D46" i="8"/>
  <c r="L13" i="64"/>
  <c r="S13" i="1" s="1"/>
  <c r="I13" i="64"/>
  <c r="P13" i="1" s="1"/>
  <c r="P7" i="64"/>
  <c r="N13" i="64"/>
  <c r="U13" i="1" s="1"/>
  <c r="P9" i="64"/>
  <c r="E13" i="64"/>
  <c r="L13" i="1" s="1"/>
  <c r="M13" i="64"/>
  <c r="T13" i="1" s="1"/>
  <c r="P11" i="64"/>
  <c r="P8" i="64"/>
  <c r="E8" i="63"/>
  <c r="L12" i="1" s="1"/>
  <c r="I8" i="63"/>
  <c r="P12" i="1" s="1"/>
  <c r="J8" i="63"/>
  <c r="Q12" i="1" s="1"/>
  <c r="K8" i="63"/>
  <c r="R12" i="1" s="1"/>
  <c r="L8" i="63"/>
  <c r="S12" i="1" s="1"/>
  <c r="M8" i="63"/>
  <c r="T12" i="1" s="1"/>
  <c r="K18" i="63"/>
  <c r="L18" i="63"/>
  <c r="O19" i="64"/>
  <c r="N19" i="64"/>
  <c r="M19" i="64"/>
  <c r="L19" i="64"/>
  <c r="K19" i="64"/>
  <c r="J19" i="64"/>
  <c r="I19" i="64"/>
  <c r="H19" i="64"/>
  <c r="G19" i="64"/>
  <c r="F19" i="64"/>
  <c r="E19" i="64"/>
  <c r="P19" i="64" s="1"/>
  <c r="P18" i="64"/>
  <c r="P17" i="64"/>
  <c r="P16" i="64"/>
  <c r="O13" i="64"/>
  <c r="V13" i="1" s="1"/>
  <c r="G13" i="64"/>
  <c r="N13" i="1" s="1"/>
  <c r="P12" i="64"/>
  <c r="D18" i="63"/>
  <c r="E18" i="63"/>
  <c r="F18" i="63"/>
  <c r="G18" i="63"/>
  <c r="H18" i="63"/>
  <c r="I18" i="63"/>
  <c r="J18" i="63"/>
  <c r="M18" i="63"/>
  <c r="N18" i="63"/>
  <c r="O18" i="63"/>
  <c r="P14" i="63"/>
  <c r="O8" i="63"/>
  <c r="V12" i="1" s="1"/>
  <c r="N8" i="63"/>
  <c r="U12" i="1" s="1"/>
  <c r="H8" i="63"/>
  <c r="O12" i="1" s="1"/>
  <c r="G8" i="63"/>
  <c r="N12" i="1" s="1"/>
  <c r="F8" i="63"/>
  <c r="M12" i="1" s="1"/>
  <c r="P7" i="63"/>
  <c r="P5" i="63"/>
  <c r="D9" i="57"/>
  <c r="D17" i="57" s="1"/>
  <c r="E9" i="57"/>
  <c r="F9" i="57"/>
  <c r="G9" i="57"/>
  <c r="H9" i="57"/>
  <c r="I9" i="57"/>
  <c r="J9" i="57"/>
  <c r="K9" i="57"/>
  <c r="K17" i="57" s="1"/>
  <c r="L9" i="57"/>
  <c r="L17" i="57" s="1"/>
  <c r="M9" i="57"/>
  <c r="N9" i="57"/>
  <c r="D10" i="57"/>
  <c r="E10" i="57"/>
  <c r="F10" i="57"/>
  <c r="G10" i="57"/>
  <c r="G24" i="57" s="1"/>
  <c r="H10" i="57"/>
  <c r="H24" i="57" s="1"/>
  <c r="I10" i="57"/>
  <c r="I24" i="57" s="1"/>
  <c r="J10" i="57"/>
  <c r="K10" i="57"/>
  <c r="L10" i="57"/>
  <c r="M10" i="57"/>
  <c r="N10" i="57"/>
  <c r="D11" i="57"/>
  <c r="S31" i="57" s="1"/>
  <c r="E11" i="57"/>
  <c r="T31" i="57" s="1"/>
  <c r="F11" i="57"/>
  <c r="U31" i="57" s="1"/>
  <c r="G11" i="57"/>
  <c r="H11" i="57"/>
  <c r="I11" i="57"/>
  <c r="J11" i="57"/>
  <c r="K11" i="57"/>
  <c r="L11" i="57"/>
  <c r="AA31" i="57" s="1"/>
  <c r="M11" i="57"/>
  <c r="AB31" i="57" s="1"/>
  <c r="N11" i="57"/>
  <c r="AC31" i="57" s="1"/>
  <c r="D12" i="57"/>
  <c r="E12" i="57"/>
  <c r="F12" i="57"/>
  <c r="G12" i="57"/>
  <c r="H12" i="57"/>
  <c r="I12" i="57"/>
  <c r="J12" i="57"/>
  <c r="K12" i="57"/>
  <c r="L12" i="57"/>
  <c r="M12" i="57"/>
  <c r="N12" i="57"/>
  <c r="D13" i="57"/>
  <c r="E13" i="57"/>
  <c r="F13" i="57"/>
  <c r="F45" i="57" s="1"/>
  <c r="G13" i="57"/>
  <c r="G45" i="57" s="1"/>
  <c r="H13" i="57"/>
  <c r="H45" i="57" s="1"/>
  <c r="I13" i="57"/>
  <c r="J13" i="57"/>
  <c r="K13" i="57"/>
  <c r="L13" i="57"/>
  <c r="M13" i="57"/>
  <c r="N13" i="57"/>
  <c r="N45" i="57" s="1"/>
  <c r="C10" i="57"/>
  <c r="C24" i="57" s="1"/>
  <c r="C11" i="57"/>
  <c r="C12" i="57"/>
  <c r="C13" i="57"/>
  <c r="C9" i="57"/>
  <c r="D9" i="56"/>
  <c r="E9" i="56"/>
  <c r="F9" i="56"/>
  <c r="U17" i="56" s="1"/>
  <c r="G9" i="56"/>
  <c r="H9" i="56"/>
  <c r="H17" i="56" s="1"/>
  <c r="I9" i="56"/>
  <c r="J9" i="56"/>
  <c r="J17" i="56" s="1"/>
  <c r="K9" i="56"/>
  <c r="K17" i="56" s="1"/>
  <c r="L9" i="56"/>
  <c r="M9" i="56"/>
  <c r="N9" i="56"/>
  <c r="AC17" i="56" s="1"/>
  <c r="D10" i="56"/>
  <c r="E10" i="56"/>
  <c r="E24" i="56" s="1"/>
  <c r="F10" i="56"/>
  <c r="G10" i="56"/>
  <c r="G24" i="56" s="1"/>
  <c r="H10" i="56"/>
  <c r="I10" i="56"/>
  <c r="J10" i="56"/>
  <c r="K10" i="56"/>
  <c r="K24" i="56" s="1"/>
  <c r="L10" i="56"/>
  <c r="M10" i="56"/>
  <c r="M24" i="56" s="1"/>
  <c r="N10" i="56"/>
  <c r="D11" i="56"/>
  <c r="E11" i="56"/>
  <c r="E31" i="56" s="1"/>
  <c r="F11" i="56"/>
  <c r="G11" i="56"/>
  <c r="H11" i="56"/>
  <c r="H31" i="56" s="1"/>
  <c r="I11" i="56"/>
  <c r="J11" i="56"/>
  <c r="Y31" i="56" s="1"/>
  <c r="K11" i="56"/>
  <c r="L11" i="56"/>
  <c r="AA31" i="56" s="1"/>
  <c r="M11" i="56"/>
  <c r="M31" i="56" s="1"/>
  <c r="N11" i="56"/>
  <c r="D12" i="56"/>
  <c r="E12" i="56"/>
  <c r="E38" i="56" s="1"/>
  <c r="F12" i="56"/>
  <c r="G12" i="56"/>
  <c r="V38" i="56" s="1"/>
  <c r="H12" i="56"/>
  <c r="I12" i="56"/>
  <c r="I38" i="56" s="1"/>
  <c r="J12" i="56"/>
  <c r="J38" i="56" s="1"/>
  <c r="K12" i="56"/>
  <c r="L12" i="56"/>
  <c r="M12" i="56"/>
  <c r="M38" i="56" s="1"/>
  <c r="N12" i="56"/>
  <c r="D13" i="56"/>
  <c r="D45" i="56" s="1"/>
  <c r="E13" i="56"/>
  <c r="F13" i="56"/>
  <c r="F45" i="56" s="1"/>
  <c r="G13" i="56"/>
  <c r="G45" i="56" s="1"/>
  <c r="H13" i="56"/>
  <c r="I13" i="56"/>
  <c r="J13" i="56"/>
  <c r="J45" i="56" s="1"/>
  <c r="K13" i="56"/>
  <c r="L13" i="56"/>
  <c r="L45" i="56" s="1"/>
  <c r="M13" i="56"/>
  <c r="N13" i="56"/>
  <c r="N45" i="56" s="1"/>
  <c r="C10" i="56"/>
  <c r="C11" i="56"/>
  <c r="C12" i="56"/>
  <c r="C13" i="56"/>
  <c r="C45" i="56" s="1"/>
  <c r="C9" i="56"/>
  <c r="D9" i="55"/>
  <c r="E9" i="55"/>
  <c r="F9" i="55"/>
  <c r="G9" i="55"/>
  <c r="H9" i="55"/>
  <c r="I9" i="55"/>
  <c r="X17" i="55" s="1"/>
  <c r="J9" i="55"/>
  <c r="Y17" i="55" s="1"/>
  <c r="K9" i="55"/>
  <c r="Z17" i="55" s="1"/>
  <c r="L9" i="55"/>
  <c r="M9" i="55"/>
  <c r="N9" i="55"/>
  <c r="D10" i="55"/>
  <c r="E10" i="55"/>
  <c r="F10" i="55"/>
  <c r="G10" i="55"/>
  <c r="G24" i="55" s="1"/>
  <c r="H10" i="55"/>
  <c r="I10" i="55"/>
  <c r="I24" i="55" s="1"/>
  <c r="J10" i="55"/>
  <c r="K10" i="55"/>
  <c r="L10" i="55"/>
  <c r="M10" i="55"/>
  <c r="N10" i="55"/>
  <c r="N24" i="55" s="1"/>
  <c r="D11" i="55"/>
  <c r="E11" i="55"/>
  <c r="F11" i="55"/>
  <c r="U31" i="55" s="1"/>
  <c r="G11" i="55"/>
  <c r="H11" i="55"/>
  <c r="I11" i="55"/>
  <c r="J11" i="55"/>
  <c r="K11" i="55"/>
  <c r="K31" i="55" s="1"/>
  <c r="L11" i="55"/>
  <c r="M11" i="55"/>
  <c r="N11" i="55"/>
  <c r="AC31" i="55" s="1"/>
  <c r="D12" i="55"/>
  <c r="E12" i="55"/>
  <c r="F12" i="55"/>
  <c r="G12" i="55"/>
  <c r="H12" i="55"/>
  <c r="H38" i="55" s="1"/>
  <c r="I12" i="55"/>
  <c r="I38" i="55" s="1"/>
  <c r="J12" i="55"/>
  <c r="K12" i="55"/>
  <c r="L12" i="55"/>
  <c r="M12" i="55"/>
  <c r="N12" i="55"/>
  <c r="D13" i="55"/>
  <c r="E13" i="55"/>
  <c r="E45" i="55" s="1"/>
  <c r="F13" i="55"/>
  <c r="F45" i="55" s="1"/>
  <c r="G13" i="55"/>
  <c r="H13" i="55"/>
  <c r="H45" i="55" s="1"/>
  <c r="I13" i="55"/>
  <c r="J13" i="55"/>
  <c r="K13" i="55"/>
  <c r="L13" i="55"/>
  <c r="M13" i="55"/>
  <c r="M14" i="55" s="1"/>
  <c r="N13" i="55"/>
  <c r="N45" i="55" s="1"/>
  <c r="C10" i="55"/>
  <c r="C11" i="55"/>
  <c r="C31" i="55" s="1"/>
  <c r="C12" i="55"/>
  <c r="C13" i="55"/>
  <c r="C9" i="55"/>
  <c r="D9" i="54"/>
  <c r="E9" i="54"/>
  <c r="F9" i="54"/>
  <c r="U17" i="54" s="1"/>
  <c r="G9" i="54"/>
  <c r="H9" i="54"/>
  <c r="W17" i="54" s="1"/>
  <c r="I9" i="54"/>
  <c r="J9" i="54"/>
  <c r="K9" i="54"/>
  <c r="L9" i="54"/>
  <c r="M9" i="54"/>
  <c r="N9" i="54"/>
  <c r="N17" i="54" s="1"/>
  <c r="D10" i="54"/>
  <c r="E10" i="54"/>
  <c r="F10" i="54"/>
  <c r="G10" i="54"/>
  <c r="H10" i="54"/>
  <c r="I10" i="54"/>
  <c r="J10" i="54"/>
  <c r="K10" i="54"/>
  <c r="K24" i="54" s="1"/>
  <c r="L10" i="54"/>
  <c r="M10" i="54"/>
  <c r="M24" i="54" s="1"/>
  <c r="N10" i="54"/>
  <c r="D11" i="54"/>
  <c r="E11" i="54"/>
  <c r="F11" i="54"/>
  <c r="G11" i="54"/>
  <c r="H11" i="54"/>
  <c r="H31" i="54" s="1"/>
  <c r="I11" i="54"/>
  <c r="J11" i="54"/>
  <c r="J31" i="54" s="1"/>
  <c r="K11" i="54"/>
  <c r="L11" i="54"/>
  <c r="M11" i="54"/>
  <c r="N11" i="54"/>
  <c r="D12" i="54"/>
  <c r="E12" i="54"/>
  <c r="F12" i="54"/>
  <c r="G12" i="54"/>
  <c r="H12" i="54"/>
  <c r="I12" i="54"/>
  <c r="J12" i="54"/>
  <c r="K12" i="54"/>
  <c r="L12" i="54"/>
  <c r="M12" i="54"/>
  <c r="N12" i="54"/>
  <c r="D13" i="54"/>
  <c r="D45" i="54" s="1"/>
  <c r="E13" i="54"/>
  <c r="F13" i="54"/>
  <c r="F45" i="54" s="1"/>
  <c r="G13" i="54"/>
  <c r="H13" i="54"/>
  <c r="I13" i="54"/>
  <c r="J13" i="54"/>
  <c r="J45" i="54" s="1"/>
  <c r="K13" i="54"/>
  <c r="L13" i="54"/>
  <c r="L45" i="54" s="1"/>
  <c r="M13" i="54"/>
  <c r="N13" i="54"/>
  <c r="N45" i="54" s="1"/>
  <c r="C10" i="54"/>
  <c r="C11" i="54"/>
  <c r="C12" i="54"/>
  <c r="C13" i="54"/>
  <c r="C14" i="54" s="1"/>
  <c r="C9" i="54"/>
  <c r="O11" i="62"/>
  <c r="N11" i="62"/>
  <c r="M11" i="62"/>
  <c r="L11" i="62"/>
  <c r="K11" i="62"/>
  <c r="J11" i="62"/>
  <c r="I11" i="62"/>
  <c r="H11" i="62"/>
  <c r="G11" i="62"/>
  <c r="F11" i="62"/>
  <c r="E11" i="62"/>
  <c r="D11" i="62"/>
  <c r="O11" i="61"/>
  <c r="N11" i="61"/>
  <c r="M11" i="61"/>
  <c r="L11" i="61"/>
  <c r="K11" i="61"/>
  <c r="J11" i="61"/>
  <c r="I11" i="61"/>
  <c r="H11" i="61"/>
  <c r="G11" i="61"/>
  <c r="F11" i="61"/>
  <c r="E11" i="61"/>
  <c r="D11" i="61"/>
  <c r="O11" i="60"/>
  <c r="N11" i="60"/>
  <c r="M11" i="60"/>
  <c r="L11" i="60"/>
  <c r="K11" i="60"/>
  <c r="J11" i="60"/>
  <c r="I11" i="60"/>
  <c r="H11" i="60"/>
  <c r="G11" i="60"/>
  <c r="F11" i="60"/>
  <c r="E11" i="60"/>
  <c r="D11" i="60"/>
  <c r="O11" i="59"/>
  <c r="N11" i="59"/>
  <c r="M11" i="59"/>
  <c r="L11" i="59"/>
  <c r="K11" i="59"/>
  <c r="J11" i="59"/>
  <c r="I11" i="59"/>
  <c r="H11" i="59"/>
  <c r="G11" i="59"/>
  <c r="F11" i="59"/>
  <c r="E11" i="59"/>
  <c r="D11" i="59"/>
  <c r="E11" i="58"/>
  <c r="F11" i="58"/>
  <c r="G11" i="58"/>
  <c r="H11" i="58"/>
  <c r="I11" i="58"/>
  <c r="J11" i="58"/>
  <c r="K11" i="58"/>
  <c r="L11" i="58"/>
  <c r="M11" i="58"/>
  <c r="N11" i="58"/>
  <c r="O11" i="58"/>
  <c r="D11" i="58"/>
  <c r="E5" i="62"/>
  <c r="E11" i="8" s="1"/>
  <c r="F5" i="62"/>
  <c r="F11" i="8" s="1"/>
  <c r="G5" i="62"/>
  <c r="G11" i="8" s="1"/>
  <c r="H5" i="62"/>
  <c r="H11" i="8" s="1"/>
  <c r="I5" i="62"/>
  <c r="I11" i="8" s="1"/>
  <c r="J5" i="62"/>
  <c r="J11" i="8" s="1"/>
  <c r="K5" i="62"/>
  <c r="K11" i="8" s="1"/>
  <c r="L5" i="62"/>
  <c r="L11" i="8" s="1"/>
  <c r="M5" i="62"/>
  <c r="M11" i="8" s="1"/>
  <c r="N5" i="62"/>
  <c r="O5" i="62"/>
  <c r="O11" i="8" s="1"/>
  <c r="E6" i="62"/>
  <c r="E12" i="8" s="1"/>
  <c r="F6" i="62"/>
  <c r="F12" i="8" s="1"/>
  <c r="G6" i="62"/>
  <c r="G12" i="8" s="1"/>
  <c r="H6" i="62"/>
  <c r="H12" i="8" s="1"/>
  <c r="I6" i="62"/>
  <c r="I12" i="8" s="1"/>
  <c r="J6" i="62"/>
  <c r="J12" i="8" s="1"/>
  <c r="K6" i="62"/>
  <c r="K12" i="8" s="1"/>
  <c r="L6" i="62"/>
  <c r="L12" i="8" s="1"/>
  <c r="M6" i="62"/>
  <c r="M12" i="8" s="1"/>
  <c r="N6" i="62"/>
  <c r="N12" i="8" s="1"/>
  <c r="O6" i="62"/>
  <c r="O12" i="8" s="1"/>
  <c r="E7" i="62"/>
  <c r="E13" i="8" s="1"/>
  <c r="F7" i="62"/>
  <c r="F13" i="8" s="1"/>
  <c r="G7" i="62"/>
  <c r="G13" i="8" s="1"/>
  <c r="H7" i="62"/>
  <c r="H13" i="8" s="1"/>
  <c r="I7" i="62"/>
  <c r="I13" i="8" s="1"/>
  <c r="J7" i="62"/>
  <c r="J13" i="8" s="1"/>
  <c r="K7" i="62"/>
  <c r="K13" i="8" s="1"/>
  <c r="L7" i="62"/>
  <c r="L13" i="8" s="1"/>
  <c r="M7" i="62"/>
  <c r="M13" i="8" s="1"/>
  <c r="N7" i="62"/>
  <c r="N13" i="8" s="1"/>
  <c r="O7" i="62"/>
  <c r="O13" i="8" s="1"/>
  <c r="E8" i="62"/>
  <c r="E14" i="8" s="1"/>
  <c r="F8" i="62"/>
  <c r="F14" i="8" s="1"/>
  <c r="G8" i="62"/>
  <c r="G14" i="8" s="1"/>
  <c r="H8" i="62"/>
  <c r="H14" i="8" s="1"/>
  <c r="I8" i="62"/>
  <c r="I14" i="8" s="1"/>
  <c r="J8" i="62"/>
  <c r="J14" i="8" s="1"/>
  <c r="K8" i="62"/>
  <c r="K14" i="8" s="1"/>
  <c r="L8" i="62"/>
  <c r="L14" i="8" s="1"/>
  <c r="M8" i="62"/>
  <c r="M14" i="8" s="1"/>
  <c r="N8" i="62"/>
  <c r="N14" i="8" s="1"/>
  <c r="O8" i="62"/>
  <c r="O14" i="8" s="1"/>
  <c r="E9" i="62"/>
  <c r="E15" i="8" s="1"/>
  <c r="F9" i="62"/>
  <c r="F15" i="8" s="1"/>
  <c r="G9" i="62"/>
  <c r="G15" i="8" s="1"/>
  <c r="H9" i="62"/>
  <c r="H15" i="8" s="1"/>
  <c r="I9" i="62"/>
  <c r="I15" i="8" s="1"/>
  <c r="J9" i="62"/>
  <c r="J15" i="8" s="1"/>
  <c r="K9" i="62"/>
  <c r="K15" i="8" s="1"/>
  <c r="L9" i="62"/>
  <c r="L15" i="8" s="1"/>
  <c r="M9" i="62"/>
  <c r="M15" i="8" s="1"/>
  <c r="N9" i="62"/>
  <c r="N15" i="8" s="1"/>
  <c r="O9" i="62"/>
  <c r="O15" i="8" s="1"/>
  <c r="D6" i="62"/>
  <c r="D12" i="8" s="1"/>
  <c r="D7" i="62"/>
  <c r="D13" i="8" s="1"/>
  <c r="D8" i="62"/>
  <c r="D14" i="8" s="1"/>
  <c r="D9" i="62"/>
  <c r="D15" i="8" s="1"/>
  <c r="D5" i="62"/>
  <c r="D11" i="8" s="1"/>
  <c r="O10" i="61"/>
  <c r="N10" i="61"/>
  <c r="M10" i="61"/>
  <c r="L10" i="61"/>
  <c r="K10" i="61"/>
  <c r="J10" i="61"/>
  <c r="I10" i="61"/>
  <c r="H10" i="61"/>
  <c r="G10" i="61"/>
  <c r="F10" i="61"/>
  <c r="E10" i="61"/>
  <c r="D10" i="61"/>
  <c r="P9" i="61"/>
  <c r="P8" i="61"/>
  <c r="P7" i="61"/>
  <c r="P6" i="61"/>
  <c r="P5" i="61"/>
  <c r="O10" i="60"/>
  <c r="N10" i="60"/>
  <c r="M10" i="60"/>
  <c r="L10" i="60"/>
  <c r="K10" i="60"/>
  <c r="J10" i="60"/>
  <c r="I10" i="60"/>
  <c r="H10" i="60"/>
  <c r="G10" i="60"/>
  <c r="F10" i="60"/>
  <c r="E10" i="60"/>
  <c r="D10" i="60"/>
  <c r="P9" i="60"/>
  <c r="P8" i="60"/>
  <c r="P7" i="60"/>
  <c r="P6" i="60"/>
  <c r="P5" i="60"/>
  <c r="O10" i="59"/>
  <c r="N10" i="59"/>
  <c r="M10" i="59"/>
  <c r="L10" i="59"/>
  <c r="K10" i="59"/>
  <c r="J10" i="59"/>
  <c r="I10" i="59"/>
  <c r="H10" i="59"/>
  <c r="G10" i="59"/>
  <c r="F10" i="59"/>
  <c r="E10" i="59"/>
  <c r="D10" i="59"/>
  <c r="P9" i="59"/>
  <c r="P8" i="59"/>
  <c r="P7" i="59"/>
  <c r="P6" i="59"/>
  <c r="P5" i="59"/>
  <c r="O10" i="58"/>
  <c r="N10" i="58"/>
  <c r="M10" i="58"/>
  <c r="L10" i="58"/>
  <c r="K10" i="58"/>
  <c r="J10" i="58"/>
  <c r="I10" i="58"/>
  <c r="H10" i="58"/>
  <c r="G10" i="58"/>
  <c r="F10" i="58"/>
  <c r="E10" i="58"/>
  <c r="D10" i="58"/>
  <c r="P9" i="58"/>
  <c r="P8" i="58"/>
  <c r="P7" i="58"/>
  <c r="P6" i="58"/>
  <c r="P5" i="58"/>
  <c r="D197" i="56"/>
  <c r="E197" i="56"/>
  <c r="F197" i="56"/>
  <c r="G197" i="56"/>
  <c r="H197" i="56"/>
  <c r="I197" i="56"/>
  <c r="J197" i="56"/>
  <c r="K197" i="56"/>
  <c r="L197" i="56"/>
  <c r="M197" i="56"/>
  <c r="N197" i="56"/>
  <c r="C197" i="56"/>
  <c r="D174" i="56"/>
  <c r="E174" i="56"/>
  <c r="F174" i="56"/>
  <c r="G174" i="56"/>
  <c r="H174" i="56"/>
  <c r="I174" i="56"/>
  <c r="J174" i="56"/>
  <c r="K174" i="56"/>
  <c r="L174" i="56"/>
  <c r="M174" i="56"/>
  <c r="N174" i="56"/>
  <c r="C174" i="56"/>
  <c r="N197" i="55"/>
  <c r="D197" i="55"/>
  <c r="E197" i="55"/>
  <c r="F197" i="55"/>
  <c r="G197" i="55"/>
  <c r="H197" i="55"/>
  <c r="I197" i="55"/>
  <c r="J197" i="55"/>
  <c r="K197" i="55"/>
  <c r="L197" i="55"/>
  <c r="M197" i="55"/>
  <c r="C197" i="55"/>
  <c r="D174" i="55"/>
  <c r="E174" i="55"/>
  <c r="F174" i="55"/>
  <c r="G174" i="55"/>
  <c r="H174" i="55"/>
  <c r="I174" i="55"/>
  <c r="J174" i="55"/>
  <c r="K174" i="55"/>
  <c r="L174" i="55"/>
  <c r="M174" i="55"/>
  <c r="N174" i="55"/>
  <c r="C174" i="55"/>
  <c r="D174" i="57"/>
  <c r="E174" i="57"/>
  <c r="F174" i="57"/>
  <c r="G174" i="57"/>
  <c r="H174" i="57"/>
  <c r="I174" i="57"/>
  <c r="J174" i="57"/>
  <c r="K174" i="57"/>
  <c r="L174" i="57"/>
  <c r="M174" i="57"/>
  <c r="N174" i="57"/>
  <c r="C174" i="57"/>
  <c r="N197" i="57"/>
  <c r="D197" i="57"/>
  <c r="E197" i="57"/>
  <c r="F197" i="57"/>
  <c r="G197" i="57"/>
  <c r="H197" i="57"/>
  <c r="I197" i="57"/>
  <c r="J197" i="57"/>
  <c r="K197" i="57"/>
  <c r="L197" i="57"/>
  <c r="M197" i="57"/>
  <c r="C197" i="57"/>
  <c r="R38" i="57"/>
  <c r="H38" i="57"/>
  <c r="H202" i="57" s="1"/>
  <c r="V31" i="57"/>
  <c r="J24" i="57"/>
  <c r="X17" i="57"/>
  <c r="N17" i="57"/>
  <c r="F17" i="57"/>
  <c r="M45" i="57"/>
  <c r="L45" i="57"/>
  <c r="K45" i="57"/>
  <c r="J45" i="57"/>
  <c r="I45" i="57"/>
  <c r="E45" i="57"/>
  <c r="D45" i="57"/>
  <c r="C45" i="57"/>
  <c r="N38" i="57"/>
  <c r="M38" i="57"/>
  <c r="L38" i="57"/>
  <c r="Y38" i="57"/>
  <c r="W38" i="57"/>
  <c r="G38" i="57"/>
  <c r="F38" i="57"/>
  <c r="E38" i="57"/>
  <c r="D38" i="57"/>
  <c r="C38" i="57"/>
  <c r="K31" i="57"/>
  <c r="J31" i="57"/>
  <c r="I31" i="57"/>
  <c r="H31" i="57"/>
  <c r="G31" i="57"/>
  <c r="C31" i="57"/>
  <c r="N24" i="57"/>
  <c r="M24" i="57"/>
  <c r="L24" i="57"/>
  <c r="K24" i="57"/>
  <c r="F24" i="57"/>
  <c r="E24" i="57"/>
  <c r="D24" i="57"/>
  <c r="AC17" i="57"/>
  <c r="M17" i="57"/>
  <c r="W17" i="57"/>
  <c r="V17" i="57"/>
  <c r="U17" i="57"/>
  <c r="E17" i="57"/>
  <c r="C17" i="57"/>
  <c r="N5" i="57"/>
  <c r="N39" i="57" s="1"/>
  <c r="M5" i="57"/>
  <c r="AB39" i="57" s="1"/>
  <c r="L5" i="57"/>
  <c r="AA39" i="57" s="1"/>
  <c r="K5" i="57"/>
  <c r="Z39" i="57" s="1"/>
  <c r="J5" i="57"/>
  <c r="Y39" i="57" s="1"/>
  <c r="I5" i="57"/>
  <c r="X39" i="57" s="1"/>
  <c r="H5" i="57"/>
  <c r="H39" i="57" s="1"/>
  <c r="G5" i="57"/>
  <c r="V39" i="57" s="1"/>
  <c r="F5" i="57"/>
  <c r="U39" i="57" s="1"/>
  <c r="E5" i="57"/>
  <c r="T39" i="57" s="1"/>
  <c r="D5" i="57"/>
  <c r="S39" i="57" s="1"/>
  <c r="C5" i="57"/>
  <c r="R33" i="57" s="1"/>
  <c r="W38" i="56"/>
  <c r="S31" i="56"/>
  <c r="I31" i="56"/>
  <c r="I179" i="56" s="1"/>
  <c r="C17" i="56"/>
  <c r="M45" i="56"/>
  <c r="K45" i="56"/>
  <c r="I45" i="56"/>
  <c r="H45" i="56"/>
  <c r="E45" i="56"/>
  <c r="AC38" i="56"/>
  <c r="L38" i="56"/>
  <c r="K38" i="56"/>
  <c r="H38" i="56"/>
  <c r="U38" i="56"/>
  <c r="D38" i="56"/>
  <c r="C38" i="56"/>
  <c r="N31" i="56"/>
  <c r="L31" i="56"/>
  <c r="Z31" i="56"/>
  <c r="X31" i="56"/>
  <c r="G31" i="56"/>
  <c r="F31" i="56"/>
  <c r="D31" i="56"/>
  <c r="R31" i="56"/>
  <c r="N24" i="56"/>
  <c r="L24" i="56"/>
  <c r="J24" i="56"/>
  <c r="I24" i="56"/>
  <c r="H24" i="56"/>
  <c r="F24" i="56"/>
  <c r="D24" i="56"/>
  <c r="C24" i="56"/>
  <c r="AB17" i="56"/>
  <c r="AA17" i="56"/>
  <c r="Z17" i="56"/>
  <c r="I17" i="56"/>
  <c r="T17" i="56"/>
  <c r="S17" i="56"/>
  <c r="R17" i="56"/>
  <c r="N5" i="56"/>
  <c r="AC39" i="56" s="1"/>
  <c r="M5" i="56"/>
  <c r="L5" i="56"/>
  <c r="AA39" i="56" s="1"/>
  <c r="K5" i="56"/>
  <c r="K40" i="56" s="1"/>
  <c r="J5" i="56"/>
  <c r="Y39" i="56" s="1"/>
  <c r="I5" i="56"/>
  <c r="X39" i="56" s="1"/>
  <c r="H5" i="56"/>
  <c r="W39" i="56" s="1"/>
  <c r="G5" i="56"/>
  <c r="V39" i="56" s="1"/>
  <c r="F5" i="56"/>
  <c r="U39" i="56" s="1"/>
  <c r="E5" i="56"/>
  <c r="D5" i="56"/>
  <c r="S39" i="56" s="1"/>
  <c r="C5" i="56"/>
  <c r="C33" i="56" s="1"/>
  <c r="AB38" i="55"/>
  <c r="T38" i="55"/>
  <c r="J38" i="55"/>
  <c r="X31" i="55"/>
  <c r="L24" i="55"/>
  <c r="D24" i="55"/>
  <c r="R17" i="55"/>
  <c r="H17" i="55"/>
  <c r="M45" i="55"/>
  <c r="L45" i="55"/>
  <c r="K45" i="55"/>
  <c r="J45" i="55"/>
  <c r="I45" i="55"/>
  <c r="G45" i="55"/>
  <c r="D45" i="55"/>
  <c r="C45" i="55"/>
  <c r="N38" i="55"/>
  <c r="M38" i="55"/>
  <c r="AA38" i="55"/>
  <c r="Y38" i="55"/>
  <c r="G38" i="55"/>
  <c r="F38" i="55"/>
  <c r="E38" i="55"/>
  <c r="S38" i="55"/>
  <c r="R38" i="55"/>
  <c r="M31" i="55"/>
  <c r="J31" i="55"/>
  <c r="I31" i="55"/>
  <c r="W31" i="55"/>
  <c r="V31" i="55"/>
  <c r="E31" i="55"/>
  <c r="M24" i="55"/>
  <c r="K24" i="55"/>
  <c r="J24" i="55"/>
  <c r="H24" i="55"/>
  <c r="F24" i="55"/>
  <c r="E24" i="55"/>
  <c r="C24" i="55"/>
  <c r="N17" i="55"/>
  <c r="M17" i="55"/>
  <c r="W17" i="55"/>
  <c r="G17" i="55"/>
  <c r="F17" i="55"/>
  <c r="E17" i="55"/>
  <c r="N5" i="55"/>
  <c r="N18" i="55" s="1"/>
  <c r="M5" i="55"/>
  <c r="AB33" i="55" s="1"/>
  <c r="L5" i="55"/>
  <c r="L19" i="55" s="1"/>
  <c r="K5" i="55"/>
  <c r="K105" i="55" s="1"/>
  <c r="J5" i="55"/>
  <c r="I5" i="55"/>
  <c r="X18" i="55" s="1"/>
  <c r="H5" i="55"/>
  <c r="G5" i="55"/>
  <c r="G25" i="55" s="1"/>
  <c r="F5" i="55"/>
  <c r="U39" i="55" s="1"/>
  <c r="E5" i="55"/>
  <c r="T33" i="55" s="1"/>
  <c r="D5" i="55"/>
  <c r="S40" i="55" s="1"/>
  <c r="C5" i="55"/>
  <c r="G45" i="54"/>
  <c r="C38" i="54"/>
  <c r="X17" i="54"/>
  <c r="M45" i="54"/>
  <c r="K45" i="54"/>
  <c r="I45" i="54"/>
  <c r="H45" i="54"/>
  <c r="E45" i="54"/>
  <c r="N38" i="54"/>
  <c r="L38" i="54"/>
  <c r="Z38" i="54"/>
  <c r="F38" i="54"/>
  <c r="D38" i="54"/>
  <c r="R38" i="54"/>
  <c r="AB31" i="54"/>
  <c r="V31" i="54"/>
  <c r="T31" i="54"/>
  <c r="N24" i="54"/>
  <c r="L24" i="54"/>
  <c r="J24" i="54"/>
  <c r="I24" i="54"/>
  <c r="H24" i="54"/>
  <c r="G24" i="54"/>
  <c r="F24" i="54"/>
  <c r="E24" i="54"/>
  <c r="D24" i="54"/>
  <c r="C24" i="54"/>
  <c r="M17" i="54"/>
  <c r="L17" i="54"/>
  <c r="K17" i="54"/>
  <c r="V17" i="54"/>
  <c r="E17" i="54"/>
  <c r="D17" i="54"/>
  <c r="C17" i="54"/>
  <c r="N5" i="54"/>
  <c r="AC32" i="54" s="1"/>
  <c r="M5" i="54"/>
  <c r="M19" i="54" s="1"/>
  <c r="L5" i="54"/>
  <c r="AA33" i="54" s="1"/>
  <c r="K5" i="54"/>
  <c r="K32" i="54" s="1"/>
  <c r="J5" i="54"/>
  <c r="I5" i="54"/>
  <c r="I39" i="54" s="1"/>
  <c r="H5" i="54"/>
  <c r="H46" i="54" s="1"/>
  <c r="G5" i="54"/>
  <c r="G40" i="54" s="1"/>
  <c r="F5" i="54"/>
  <c r="E5" i="54"/>
  <c r="E19" i="54" s="1"/>
  <c r="D5" i="54"/>
  <c r="S39" i="54" s="1"/>
  <c r="C5" i="54"/>
  <c r="R19" i="54" s="1"/>
  <c r="D9" i="36"/>
  <c r="S17" i="36" s="1"/>
  <c r="E9" i="36"/>
  <c r="E17" i="36" s="1"/>
  <c r="F9" i="36"/>
  <c r="F17" i="36" s="1"/>
  <c r="G9" i="36"/>
  <c r="G17" i="36" s="1"/>
  <c r="H9" i="36"/>
  <c r="W17" i="36" s="1"/>
  <c r="I9" i="36"/>
  <c r="X17" i="36" s="1"/>
  <c r="J9" i="36"/>
  <c r="Y17" i="36" s="1"/>
  <c r="K9" i="36"/>
  <c r="Z17" i="36" s="1"/>
  <c r="L9" i="36"/>
  <c r="AA17" i="36" s="1"/>
  <c r="M9" i="36"/>
  <c r="M17" i="36" s="1"/>
  <c r="N9" i="36"/>
  <c r="N17" i="36" s="1"/>
  <c r="D10" i="36"/>
  <c r="D24" i="36" s="1"/>
  <c r="E10" i="36"/>
  <c r="E24" i="36" s="1"/>
  <c r="F10" i="36"/>
  <c r="F24" i="36" s="1"/>
  <c r="G10" i="36"/>
  <c r="G24" i="36" s="1"/>
  <c r="H10" i="36"/>
  <c r="H24" i="36" s="1"/>
  <c r="I10" i="36"/>
  <c r="I24" i="36" s="1"/>
  <c r="J10" i="36"/>
  <c r="J24" i="36" s="1"/>
  <c r="K10" i="36"/>
  <c r="K24" i="36" s="1"/>
  <c r="L10" i="36"/>
  <c r="L24" i="36" s="1"/>
  <c r="M10" i="36"/>
  <c r="M24" i="36" s="1"/>
  <c r="N10" i="36"/>
  <c r="N24" i="36" s="1"/>
  <c r="D11" i="36"/>
  <c r="D31" i="36" s="1"/>
  <c r="D179" i="36" s="1"/>
  <c r="E11" i="36"/>
  <c r="E31" i="36" s="1"/>
  <c r="E179" i="36" s="1"/>
  <c r="F11" i="36"/>
  <c r="F31" i="36" s="1"/>
  <c r="F179" i="36" s="1"/>
  <c r="G11" i="36"/>
  <c r="G31" i="36" s="1"/>
  <c r="G179" i="36" s="1"/>
  <c r="H11" i="36"/>
  <c r="H31" i="36" s="1"/>
  <c r="H179" i="36" s="1"/>
  <c r="I11" i="36"/>
  <c r="I31" i="36" s="1"/>
  <c r="I179" i="36" s="1"/>
  <c r="J11" i="36"/>
  <c r="J31" i="36" s="1"/>
  <c r="J179" i="36" s="1"/>
  <c r="K11" i="36"/>
  <c r="K31" i="36" s="1"/>
  <c r="K179" i="36" s="1"/>
  <c r="L11" i="36"/>
  <c r="L31" i="36" s="1"/>
  <c r="L179" i="36" s="1"/>
  <c r="M11" i="36"/>
  <c r="M31" i="36" s="1"/>
  <c r="M179" i="36" s="1"/>
  <c r="N11" i="36"/>
  <c r="N31" i="36" s="1"/>
  <c r="N179" i="36" s="1"/>
  <c r="D12" i="36"/>
  <c r="D38" i="36" s="1"/>
  <c r="D202" i="36" s="1"/>
  <c r="E12" i="36"/>
  <c r="E38" i="36" s="1"/>
  <c r="E202" i="36" s="1"/>
  <c r="F12" i="36"/>
  <c r="F38" i="36" s="1"/>
  <c r="F202" i="36" s="1"/>
  <c r="G12" i="36"/>
  <c r="G38" i="36" s="1"/>
  <c r="G202" i="36" s="1"/>
  <c r="H12" i="36"/>
  <c r="H38" i="36" s="1"/>
  <c r="H202" i="36" s="1"/>
  <c r="I12" i="36"/>
  <c r="I38" i="36" s="1"/>
  <c r="I202" i="36" s="1"/>
  <c r="J12" i="36"/>
  <c r="J38" i="36" s="1"/>
  <c r="J202" i="36" s="1"/>
  <c r="J205" i="36" s="1"/>
  <c r="K12" i="36"/>
  <c r="K38" i="36" s="1"/>
  <c r="K202" i="36" s="1"/>
  <c r="L12" i="36"/>
  <c r="L38" i="36" s="1"/>
  <c r="L202" i="36" s="1"/>
  <c r="M12" i="36"/>
  <c r="M38" i="36" s="1"/>
  <c r="M202" i="36" s="1"/>
  <c r="N12" i="36"/>
  <c r="N38" i="36" s="1"/>
  <c r="N202" i="36" s="1"/>
  <c r="D13" i="36"/>
  <c r="D45" i="36" s="1"/>
  <c r="E13" i="36"/>
  <c r="E45" i="36" s="1"/>
  <c r="F13" i="36"/>
  <c r="F45" i="36" s="1"/>
  <c r="G13" i="36"/>
  <c r="G45" i="36" s="1"/>
  <c r="H13" i="36"/>
  <c r="H45" i="36" s="1"/>
  <c r="I13" i="36"/>
  <c r="I45" i="36" s="1"/>
  <c r="J13" i="36"/>
  <c r="J45" i="36" s="1"/>
  <c r="K13" i="36"/>
  <c r="K45" i="36" s="1"/>
  <c r="L13" i="36"/>
  <c r="L45" i="36" s="1"/>
  <c r="M13" i="36"/>
  <c r="M45" i="36" s="1"/>
  <c r="N13" i="36"/>
  <c r="N45" i="36" s="1"/>
  <c r="C10" i="36"/>
  <c r="C24" i="36" s="1"/>
  <c r="C11" i="36"/>
  <c r="C31" i="36" s="1"/>
  <c r="C179" i="36" s="1"/>
  <c r="C12" i="36"/>
  <c r="R38" i="36" s="1"/>
  <c r="C13" i="36"/>
  <c r="C9" i="36"/>
  <c r="C17" i="36" s="1"/>
  <c r="D5" i="36"/>
  <c r="D105" i="36" s="1"/>
  <c r="E5" i="36"/>
  <c r="E105" i="36" s="1"/>
  <c r="F5" i="36"/>
  <c r="F105" i="36" s="1"/>
  <c r="G5" i="36"/>
  <c r="G105" i="36" s="1"/>
  <c r="H5" i="36"/>
  <c r="H105" i="36" s="1"/>
  <c r="I5" i="36"/>
  <c r="I105" i="36" s="1"/>
  <c r="J5" i="36"/>
  <c r="J105" i="36" s="1"/>
  <c r="K5" i="36"/>
  <c r="K105" i="36" s="1"/>
  <c r="L5" i="36"/>
  <c r="L105" i="36" s="1"/>
  <c r="M5" i="36"/>
  <c r="M105" i="36" s="1"/>
  <c r="N5" i="36"/>
  <c r="N105" i="36" s="1"/>
  <c r="C5" i="36"/>
  <c r="C105" i="36" s="1"/>
  <c r="D10" i="53"/>
  <c r="E10" i="53"/>
  <c r="F10" i="53"/>
  <c r="G10" i="53"/>
  <c r="H10" i="53"/>
  <c r="I10" i="53"/>
  <c r="J10" i="53"/>
  <c r="K10" i="53"/>
  <c r="L10" i="53"/>
  <c r="M10" i="53"/>
  <c r="N10" i="53"/>
  <c r="O10" i="53"/>
  <c r="P9" i="53"/>
  <c r="P7" i="53"/>
  <c r="P8" i="53"/>
  <c r="P6" i="53"/>
  <c r="P5" i="53"/>
  <c r="C9" i="1"/>
  <c r="F17" i="54" l="1"/>
  <c r="AB38" i="56"/>
  <c r="C14" i="57"/>
  <c r="K14" i="57"/>
  <c r="L31" i="57"/>
  <c r="L179" i="57" s="1"/>
  <c r="T38" i="56"/>
  <c r="E14" i="55"/>
  <c r="C45" i="54"/>
  <c r="K14" i="54"/>
  <c r="AC17" i="54"/>
  <c r="P14" i="8"/>
  <c r="P15" i="8"/>
  <c r="K14" i="55"/>
  <c r="Y105" i="36"/>
  <c r="Y116" i="36" s="1"/>
  <c r="X105" i="36"/>
  <c r="X117" i="36" s="1"/>
  <c r="W105" i="36"/>
  <c r="W117" i="36" s="1"/>
  <c r="V105" i="36"/>
  <c r="AC105" i="36"/>
  <c r="AC116" i="36" s="1"/>
  <c r="U105" i="36"/>
  <c r="U117" i="36" s="1"/>
  <c r="T105" i="36"/>
  <c r="T117" i="36" s="1"/>
  <c r="Z105" i="36"/>
  <c r="Z116" i="36" s="1"/>
  <c r="AB105" i="36"/>
  <c r="AB116" i="36" s="1"/>
  <c r="AA105" i="36"/>
  <c r="AA116" i="36" s="1"/>
  <c r="S105" i="36"/>
  <c r="S117" i="36" s="1"/>
  <c r="R105" i="36"/>
  <c r="I26" i="72"/>
  <c r="I26" i="71"/>
  <c r="I26" i="73"/>
  <c r="I26" i="69"/>
  <c r="I26" i="70"/>
  <c r="I26" i="74"/>
  <c r="I26" i="68"/>
  <c r="I24" i="9"/>
  <c r="I28" i="67"/>
  <c r="J26" i="73"/>
  <c r="J26" i="74"/>
  <c r="J26" i="70"/>
  <c r="J24" i="9"/>
  <c r="J26" i="68"/>
  <c r="J28" i="67"/>
  <c r="J26" i="72"/>
  <c r="J26" i="71"/>
  <c r="J26" i="69"/>
  <c r="L49" i="8"/>
  <c r="K26" i="74"/>
  <c r="K26" i="70"/>
  <c r="K24" i="9"/>
  <c r="K28" i="67"/>
  <c r="K26" i="72"/>
  <c r="K26" i="71"/>
  <c r="K26" i="73"/>
  <c r="K26" i="69"/>
  <c r="K26" i="68"/>
  <c r="L26" i="70"/>
  <c r="L24" i="9"/>
  <c r="L26" i="72"/>
  <c r="L26" i="71"/>
  <c r="L28" i="67"/>
  <c r="L26" i="73"/>
  <c r="L26" i="69"/>
  <c r="L26" i="68"/>
  <c r="L26" i="74"/>
  <c r="E24" i="9"/>
  <c r="E26" i="72"/>
  <c r="E26" i="71"/>
  <c r="E28" i="67"/>
  <c r="E26" i="73"/>
  <c r="E26" i="69"/>
  <c r="E26" i="68"/>
  <c r="E26" i="74"/>
  <c r="E26" i="70"/>
  <c r="M24" i="9"/>
  <c r="M26" i="72"/>
  <c r="M26" i="71"/>
  <c r="M28" i="67"/>
  <c r="M26" i="73"/>
  <c r="M26" i="69"/>
  <c r="M26" i="74"/>
  <c r="M26" i="70"/>
  <c r="M26" i="68"/>
  <c r="G69" i="8"/>
  <c r="N75" i="8"/>
  <c r="F75" i="8"/>
  <c r="I75" i="8"/>
  <c r="P72" i="8"/>
  <c r="F26" i="71"/>
  <c r="F26" i="72"/>
  <c r="F26" i="73"/>
  <c r="F26" i="69"/>
  <c r="F26" i="74"/>
  <c r="F24" i="9"/>
  <c r="F28" i="67"/>
  <c r="F26" i="70"/>
  <c r="F26" i="68"/>
  <c r="N28" i="67"/>
  <c r="N26" i="73"/>
  <c r="N26" i="69"/>
  <c r="N26" i="72"/>
  <c r="N26" i="74"/>
  <c r="N26" i="71"/>
  <c r="N26" i="70"/>
  <c r="N24" i="9"/>
  <c r="N26" i="68"/>
  <c r="K75" i="8"/>
  <c r="P75" i="8" s="1"/>
  <c r="X38" i="36"/>
  <c r="G26" i="73"/>
  <c r="G26" i="69"/>
  <c r="G26" i="72"/>
  <c r="G26" i="71"/>
  <c r="G26" i="74"/>
  <c r="G26" i="70"/>
  <c r="G26" i="68"/>
  <c r="G28" i="67"/>
  <c r="G24" i="9"/>
  <c r="O28" i="67"/>
  <c r="O26" i="72"/>
  <c r="O26" i="71"/>
  <c r="O26" i="73"/>
  <c r="O26" i="74"/>
  <c r="O26" i="70"/>
  <c r="O26" i="68"/>
  <c r="O24" i="9"/>
  <c r="O26" i="69"/>
  <c r="O75" i="8"/>
  <c r="H28" i="67"/>
  <c r="H26" i="72"/>
  <c r="H26" i="71"/>
  <c r="H26" i="73"/>
  <c r="H26" i="69"/>
  <c r="H26" i="70"/>
  <c r="H26" i="68"/>
  <c r="H26" i="74"/>
  <c r="H24" i="9"/>
  <c r="H49" i="8"/>
  <c r="G49" i="8"/>
  <c r="F49" i="8"/>
  <c r="I49" i="8"/>
  <c r="O49" i="8"/>
  <c r="D49" i="8"/>
  <c r="P48" i="8"/>
  <c r="D16" i="8"/>
  <c r="D69" i="8"/>
  <c r="E69" i="8"/>
  <c r="P64" i="8"/>
  <c r="N69" i="8"/>
  <c r="P62" i="8"/>
  <c r="O69" i="8"/>
  <c r="M69" i="8"/>
  <c r="K69" i="8"/>
  <c r="P67" i="8"/>
  <c r="P65" i="8"/>
  <c r="F69" i="8"/>
  <c r="K49" i="8"/>
  <c r="J49" i="8"/>
  <c r="P61" i="8"/>
  <c r="J51" i="74"/>
  <c r="J15" i="74" s="1"/>
  <c r="J51" i="71"/>
  <c r="J15" i="71" s="1"/>
  <c r="J51" i="72"/>
  <c r="J15" i="72" s="1"/>
  <c r="J47" i="9"/>
  <c r="J13" i="9" s="1"/>
  <c r="J51" i="69"/>
  <c r="J15" i="69" s="1"/>
  <c r="J51" i="70"/>
  <c r="J15" i="70" s="1"/>
  <c r="J51" i="68"/>
  <c r="J15" i="68" s="1"/>
  <c r="J53" i="67"/>
  <c r="J15" i="67" s="1"/>
  <c r="J51" i="73"/>
  <c r="J15" i="73" s="1"/>
  <c r="J57" i="8"/>
  <c r="N51" i="72"/>
  <c r="N15" i="72" s="1"/>
  <c r="N47" i="9"/>
  <c r="N13" i="9" s="1"/>
  <c r="N51" i="70"/>
  <c r="N15" i="70" s="1"/>
  <c r="N51" i="68"/>
  <c r="N15" i="68" s="1"/>
  <c r="N53" i="67"/>
  <c r="N15" i="67" s="1"/>
  <c r="N51" i="73"/>
  <c r="N15" i="73" s="1"/>
  <c r="N51" i="69"/>
  <c r="N15" i="69" s="1"/>
  <c r="N51" i="74"/>
  <c r="N15" i="74" s="1"/>
  <c r="N51" i="71"/>
  <c r="N15" i="71" s="1"/>
  <c r="I51" i="73"/>
  <c r="I15" i="73" s="1"/>
  <c r="I51" i="69"/>
  <c r="I15" i="69" s="1"/>
  <c r="I51" i="74"/>
  <c r="I15" i="74" s="1"/>
  <c r="I51" i="71"/>
  <c r="I15" i="71" s="1"/>
  <c r="I51" i="72"/>
  <c r="I15" i="72" s="1"/>
  <c r="I47" i="9"/>
  <c r="I13" i="9" s="1"/>
  <c r="I51" i="70"/>
  <c r="I15" i="70" s="1"/>
  <c r="I51" i="68"/>
  <c r="I15" i="68" s="1"/>
  <c r="I53" i="67"/>
  <c r="I15" i="67" s="1"/>
  <c r="L51" i="74"/>
  <c r="L15" i="74" s="1"/>
  <c r="L51" i="71"/>
  <c r="L15" i="71" s="1"/>
  <c r="L51" i="72"/>
  <c r="L15" i="72" s="1"/>
  <c r="L47" i="9"/>
  <c r="L13" i="9" s="1"/>
  <c r="L53" i="67"/>
  <c r="L15" i="67" s="1"/>
  <c r="L51" i="70"/>
  <c r="L15" i="70" s="1"/>
  <c r="L51" i="68"/>
  <c r="L15" i="68" s="1"/>
  <c r="L51" i="73"/>
  <c r="L15" i="73" s="1"/>
  <c r="L51" i="69"/>
  <c r="L15" i="69" s="1"/>
  <c r="M47" i="9"/>
  <c r="M13" i="9" s="1"/>
  <c r="M51" i="72"/>
  <c r="M15" i="72" s="1"/>
  <c r="M51" i="70"/>
  <c r="M15" i="70" s="1"/>
  <c r="M51" i="68"/>
  <c r="M15" i="68" s="1"/>
  <c r="M51" i="69"/>
  <c r="M15" i="69" s="1"/>
  <c r="M53" i="67"/>
  <c r="M15" i="67" s="1"/>
  <c r="M51" i="73"/>
  <c r="M15" i="73" s="1"/>
  <c r="M51" i="71"/>
  <c r="M15" i="71" s="1"/>
  <c r="M51" i="74"/>
  <c r="M15" i="74" s="1"/>
  <c r="H53" i="67"/>
  <c r="H15" i="67" s="1"/>
  <c r="H51" i="69"/>
  <c r="H15" i="69" s="1"/>
  <c r="H51" i="73"/>
  <c r="H15" i="73" s="1"/>
  <c r="H51" i="74"/>
  <c r="H15" i="74" s="1"/>
  <c r="H51" i="70"/>
  <c r="H15" i="70" s="1"/>
  <c r="H51" i="68"/>
  <c r="H15" i="68" s="1"/>
  <c r="H51" i="71"/>
  <c r="H15" i="71" s="1"/>
  <c r="H51" i="72"/>
  <c r="H15" i="72" s="1"/>
  <c r="H47" i="9"/>
  <c r="H13" i="9" s="1"/>
  <c r="K51" i="71"/>
  <c r="K15" i="71" s="1"/>
  <c r="K51" i="74"/>
  <c r="K15" i="74" s="1"/>
  <c r="K51" i="70"/>
  <c r="K15" i="70" s="1"/>
  <c r="K51" i="68"/>
  <c r="K15" i="68" s="1"/>
  <c r="K51" i="72"/>
  <c r="K15" i="72" s="1"/>
  <c r="K47" i="9"/>
  <c r="K13" i="9" s="1"/>
  <c r="K53" i="67"/>
  <c r="K15" i="67" s="1"/>
  <c r="K51" i="73"/>
  <c r="K15" i="73" s="1"/>
  <c r="K51" i="69"/>
  <c r="K15" i="69" s="1"/>
  <c r="P52" i="8"/>
  <c r="G51" i="70"/>
  <c r="G15" i="70" s="1"/>
  <c r="G51" i="68"/>
  <c r="G15" i="68" s="1"/>
  <c r="G53" i="67"/>
  <c r="G15" i="67" s="1"/>
  <c r="G51" i="73"/>
  <c r="G15" i="73" s="1"/>
  <c r="G51" i="69"/>
  <c r="G15" i="69" s="1"/>
  <c r="G51" i="72"/>
  <c r="G15" i="72" s="1"/>
  <c r="G47" i="9"/>
  <c r="G13" i="9" s="1"/>
  <c r="G51" i="74"/>
  <c r="G15" i="74" s="1"/>
  <c r="G51" i="71"/>
  <c r="G15" i="71" s="1"/>
  <c r="F51" i="72"/>
  <c r="F15" i="72" s="1"/>
  <c r="F47" i="9"/>
  <c r="F13" i="9" s="1"/>
  <c r="F51" i="70"/>
  <c r="F15" i="70" s="1"/>
  <c r="F51" i="68"/>
  <c r="F15" i="68" s="1"/>
  <c r="F53" i="67"/>
  <c r="F15" i="67" s="1"/>
  <c r="F51" i="73"/>
  <c r="F15" i="73" s="1"/>
  <c r="F51" i="69"/>
  <c r="F15" i="69" s="1"/>
  <c r="F51" i="74"/>
  <c r="F15" i="74" s="1"/>
  <c r="F51" i="71"/>
  <c r="F15" i="71" s="1"/>
  <c r="O51" i="70"/>
  <c r="O15" i="70" s="1"/>
  <c r="O51" i="68"/>
  <c r="O15" i="68" s="1"/>
  <c r="O53" i="67"/>
  <c r="O15" i="67" s="1"/>
  <c r="O47" i="9"/>
  <c r="O13" i="9" s="1"/>
  <c r="O51" i="73"/>
  <c r="O15" i="73" s="1"/>
  <c r="O51" i="69"/>
  <c r="O15" i="69" s="1"/>
  <c r="O51" i="74"/>
  <c r="O15" i="74" s="1"/>
  <c r="O51" i="71"/>
  <c r="O15" i="71" s="1"/>
  <c r="O51" i="72"/>
  <c r="O15" i="72" s="1"/>
  <c r="E47" i="9"/>
  <c r="E13" i="9" s="1"/>
  <c r="E51" i="72"/>
  <c r="E15" i="72" s="1"/>
  <c r="E51" i="70"/>
  <c r="E15" i="70" s="1"/>
  <c r="E51" i="68"/>
  <c r="E15" i="68" s="1"/>
  <c r="E51" i="73"/>
  <c r="E15" i="73" s="1"/>
  <c r="E51" i="74"/>
  <c r="E15" i="74" s="1"/>
  <c r="E51" i="71"/>
  <c r="E15" i="71" s="1"/>
  <c r="E53" i="67"/>
  <c r="E15" i="67" s="1"/>
  <c r="E51" i="69"/>
  <c r="E15" i="69" s="1"/>
  <c r="D47" i="9"/>
  <c r="D13" i="9" s="1"/>
  <c r="D51" i="72"/>
  <c r="D51" i="71"/>
  <c r="D51" i="73"/>
  <c r="D51" i="69"/>
  <c r="D51" i="68"/>
  <c r="D51" i="74"/>
  <c r="D53" i="67"/>
  <c r="D51" i="70"/>
  <c r="D10" i="62"/>
  <c r="N10" i="62"/>
  <c r="N11" i="8"/>
  <c r="P11" i="8" s="1"/>
  <c r="L40" i="55"/>
  <c r="J25" i="56"/>
  <c r="L40" i="57"/>
  <c r="AC19" i="36"/>
  <c r="D32" i="55"/>
  <c r="AB19" i="57"/>
  <c r="Y33" i="36"/>
  <c r="U19" i="36"/>
  <c r="D18" i="54"/>
  <c r="D19" i="55"/>
  <c r="L32" i="55"/>
  <c r="L46" i="55"/>
  <c r="K39" i="56"/>
  <c r="K43" i="56" s="1"/>
  <c r="K41" i="56" s="1"/>
  <c r="K190" i="56" s="1"/>
  <c r="Z33" i="57"/>
  <c r="L46" i="57"/>
  <c r="AB32" i="36"/>
  <c r="X18" i="36"/>
  <c r="L18" i="54"/>
  <c r="M47" i="54"/>
  <c r="V32" i="55"/>
  <c r="E25" i="57"/>
  <c r="K105" i="57"/>
  <c r="T32" i="36"/>
  <c r="V18" i="54"/>
  <c r="V19" i="55"/>
  <c r="I18" i="56"/>
  <c r="G32" i="56"/>
  <c r="D18" i="57"/>
  <c r="M25" i="57"/>
  <c r="AA40" i="36"/>
  <c r="S18" i="56"/>
  <c r="Y32" i="56"/>
  <c r="S40" i="56"/>
  <c r="S43" i="56" s="1"/>
  <c r="S41" i="56" s="1"/>
  <c r="L18" i="57"/>
  <c r="F39" i="57"/>
  <c r="S40" i="36"/>
  <c r="E32" i="54"/>
  <c r="AA18" i="56"/>
  <c r="W33" i="56"/>
  <c r="L105" i="56"/>
  <c r="AA105" i="56" s="1"/>
  <c r="V18" i="57"/>
  <c r="K33" i="54"/>
  <c r="K36" i="54" s="1"/>
  <c r="K34" i="54" s="1"/>
  <c r="K167" i="54" s="1"/>
  <c r="F18" i="55"/>
  <c r="G19" i="56"/>
  <c r="J19" i="57"/>
  <c r="J32" i="57"/>
  <c r="AB32" i="57"/>
  <c r="Y19" i="56"/>
  <c r="T19" i="57"/>
  <c r="T32" i="57"/>
  <c r="D40" i="57"/>
  <c r="C39" i="56"/>
  <c r="L57" i="8"/>
  <c r="D57" i="8"/>
  <c r="I57" i="8"/>
  <c r="H57" i="8"/>
  <c r="O57" i="8"/>
  <c r="G57" i="8"/>
  <c r="K57" i="8"/>
  <c r="N57" i="8"/>
  <c r="F57" i="8"/>
  <c r="M57" i="8"/>
  <c r="E57" i="8"/>
  <c r="P53" i="8"/>
  <c r="H75" i="8"/>
  <c r="P63" i="8"/>
  <c r="H69" i="8"/>
  <c r="P68" i="8"/>
  <c r="I69" i="8"/>
  <c r="J69" i="8"/>
  <c r="P66" i="8"/>
  <c r="L69" i="8"/>
  <c r="N49" i="8"/>
  <c r="P46" i="8"/>
  <c r="P47" i="8"/>
  <c r="P12" i="8"/>
  <c r="P13" i="8"/>
  <c r="P6" i="64"/>
  <c r="K13" i="64"/>
  <c r="R13" i="1" s="1"/>
  <c r="F13" i="64"/>
  <c r="M13" i="1" s="1"/>
  <c r="H13" i="64"/>
  <c r="O13" i="1" s="1"/>
  <c r="P10" i="64"/>
  <c r="J13" i="64"/>
  <c r="Q13" i="1" s="1"/>
  <c r="P5" i="64"/>
  <c r="P6" i="63"/>
  <c r="P13" i="63"/>
  <c r="L10" i="62"/>
  <c r="Y31" i="36"/>
  <c r="J10" i="62"/>
  <c r="N31" i="55"/>
  <c r="N179" i="55" s="1"/>
  <c r="N182" i="55" s="1"/>
  <c r="F10" i="62"/>
  <c r="I10" i="62"/>
  <c r="L14" i="55"/>
  <c r="D14" i="55"/>
  <c r="I14" i="57"/>
  <c r="Z38" i="57"/>
  <c r="O10" i="62"/>
  <c r="P9" i="62"/>
  <c r="M10" i="62"/>
  <c r="I14" i="54"/>
  <c r="P18" i="63"/>
  <c r="P8" i="63"/>
  <c r="W12" i="1" s="1"/>
  <c r="C14" i="55"/>
  <c r="F31" i="55"/>
  <c r="F179" i="55" s="1"/>
  <c r="F182" i="55" s="1"/>
  <c r="P10" i="61"/>
  <c r="K38" i="57"/>
  <c r="J14" i="57"/>
  <c r="Z38" i="55"/>
  <c r="P10" i="58"/>
  <c r="P10" i="59"/>
  <c r="H14" i="56"/>
  <c r="P10" i="60"/>
  <c r="P7" i="62"/>
  <c r="H10" i="62"/>
  <c r="K10" i="62"/>
  <c r="J14" i="54"/>
  <c r="O11" i="56"/>
  <c r="X38" i="57"/>
  <c r="D31" i="57"/>
  <c r="O10" i="57"/>
  <c r="F14" i="56"/>
  <c r="N14" i="56"/>
  <c r="G14" i="56"/>
  <c r="D31" i="55"/>
  <c r="L31" i="55"/>
  <c r="X38" i="54"/>
  <c r="E10" i="62"/>
  <c r="P5" i="62"/>
  <c r="G10" i="62"/>
  <c r="P6" i="62"/>
  <c r="P8" i="62"/>
  <c r="K202" i="57"/>
  <c r="H179" i="57"/>
  <c r="D202" i="57"/>
  <c r="L202" i="57"/>
  <c r="I179" i="57"/>
  <c r="E202" i="57"/>
  <c r="M202" i="57"/>
  <c r="G179" i="57"/>
  <c r="J179" i="57"/>
  <c r="F202" i="57"/>
  <c r="N202" i="57"/>
  <c r="C202" i="57"/>
  <c r="C179" i="57"/>
  <c r="K179" i="57"/>
  <c r="G202" i="57"/>
  <c r="O24" i="57"/>
  <c r="I105" i="57"/>
  <c r="I46" i="57"/>
  <c r="X40" i="57"/>
  <c r="X43" i="57" s="1"/>
  <c r="X41" i="57" s="1"/>
  <c r="I47" i="57"/>
  <c r="D14" i="57"/>
  <c r="L14" i="57"/>
  <c r="G17" i="57"/>
  <c r="Y17" i="57"/>
  <c r="E18" i="57"/>
  <c r="M18" i="57"/>
  <c r="W18" i="57"/>
  <c r="C19" i="57"/>
  <c r="K19" i="57"/>
  <c r="U19" i="57"/>
  <c r="AC19" i="57"/>
  <c r="F25" i="57"/>
  <c r="N25" i="57"/>
  <c r="I26" i="57"/>
  <c r="E31" i="57"/>
  <c r="M31" i="57"/>
  <c r="W31" i="57"/>
  <c r="C32" i="57"/>
  <c r="K32" i="57"/>
  <c r="U32" i="57"/>
  <c r="AC32" i="57"/>
  <c r="I33" i="57"/>
  <c r="S33" i="57"/>
  <c r="AA33" i="57"/>
  <c r="I38" i="57"/>
  <c r="S38" i="57"/>
  <c r="AA38" i="57"/>
  <c r="G39" i="57"/>
  <c r="E40" i="57"/>
  <c r="R40" i="57"/>
  <c r="G47" i="57"/>
  <c r="J46" i="57"/>
  <c r="Y40" i="57"/>
  <c r="Y43" i="57" s="1"/>
  <c r="Y41" i="57" s="1"/>
  <c r="Y42" i="57" s="1"/>
  <c r="J47" i="57"/>
  <c r="J105" i="57"/>
  <c r="O12" i="57"/>
  <c r="E14" i="57"/>
  <c r="M14" i="57"/>
  <c r="H17" i="57"/>
  <c r="R17" i="57"/>
  <c r="Z17" i="57"/>
  <c r="F18" i="57"/>
  <c r="N18" i="57"/>
  <c r="X18" i="57"/>
  <c r="D19" i="57"/>
  <c r="L19" i="57"/>
  <c r="V19" i="57"/>
  <c r="G25" i="57"/>
  <c r="J26" i="57"/>
  <c r="F31" i="57"/>
  <c r="N31" i="57"/>
  <c r="X31" i="57"/>
  <c r="D32" i="57"/>
  <c r="L32" i="57"/>
  <c r="V32" i="57"/>
  <c r="J33" i="57"/>
  <c r="T33" i="57"/>
  <c r="AB33" i="57"/>
  <c r="J38" i="57"/>
  <c r="T38" i="57"/>
  <c r="AB38" i="57"/>
  <c r="R39" i="57"/>
  <c r="F40" i="57"/>
  <c r="S40" i="57"/>
  <c r="S43" i="57" s="1"/>
  <c r="S41" i="57" s="1"/>
  <c r="H105" i="57"/>
  <c r="H46" i="57"/>
  <c r="W40" i="57"/>
  <c r="H47" i="57"/>
  <c r="H205" i="57"/>
  <c r="C47" i="57"/>
  <c r="C46" i="57"/>
  <c r="K47" i="57"/>
  <c r="K46" i="57"/>
  <c r="Z40" i="57"/>
  <c r="Z43" i="57" s="1"/>
  <c r="Z41" i="57" s="1"/>
  <c r="O9" i="57"/>
  <c r="O45" i="57"/>
  <c r="F14" i="57"/>
  <c r="N14" i="57"/>
  <c r="I17" i="57"/>
  <c r="S17" i="57"/>
  <c r="AA17" i="57"/>
  <c r="G18" i="57"/>
  <c r="Y18" i="57"/>
  <c r="E19" i="57"/>
  <c r="M19" i="57"/>
  <c r="W19" i="57"/>
  <c r="H25" i="57"/>
  <c r="C26" i="57"/>
  <c r="K26" i="57"/>
  <c r="Y31" i="57"/>
  <c r="E32" i="57"/>
  <c r="M32" i="57"/>
  <c r="W32" i="57"/>
  <c r="C33" i="57"/>
  <c r="K33" i="57"/>
  <c r="U33" i="57"/>
  <c r="AC33" i="57"/>
  <c r="U38" i="57"/>
  <c r="AC38" i="57"/>
  <c r="I39" i="57"/>
  <c r="G40" i="57"/>
  <c r="V40" i="57"/>
  <c r="V43" i="57" s="1"/>
  <c r="V41" i="57" s="1"/>
  <c r="H26" i="57"/>
  <c r="H33" i="57"/>
  <c r="D47" i="57"/>
  <c r="D105" i="57"/>
  <c r="L47" i="57"/>
  <c r="L105" i="57"/>
  <c r="G14" i="57"/>
  <c r="J17" i="57"/>
  <c r="T17" i="57"/>
  <c r="AB17" i="57"/>
  <c r="H18" i="57"/>
  <c r="R18" i="57"/>
  <c r="Z18" i="57"/>
  <c r="F19" i="57"/>
  <c r="N19" i="57"/>
  <c r="X19" i="57"/>
  <c r="I25" i="57"/>
  <c r="D26" i="57"/>
  <c r="L26" i="57"/>
  <c r="R31" i="57"/>
  <c r="Z31" i="57"/>
  <c r="F32" i="57"/>
  <c r="N32" i="57"/>
  <c r="X32" i="57"/>
  <c r="D33" i="57"/>
  <c r="L33" i="57"/>
  <c r="V33" i="57"/>
  <c r="V38" i="57"/>
  <c r="J39" i="57"/>
  <c r="H40" i="57"/>
  <c r="H43" i="57" s="1"/>
  <c r="H41" i="57" s="1"/>
  <c r="H42" i="57" s="1"/>
  <c r="AA40" i="57"/>
  <c r="AA43" i="57" s="1"/>
  <c r="AA41" i="57" s="1"/>
  <c r="E47" i="57"/>
  <c r="E105" i="57"/>
  <c r="E46" i="57"/>
  <c r="T40" i="57"/>
  <c r="T43" i="57" s="1"/>
  <c r="T41" i="57" s="1"/>
  <c r="M47" i="57"/>
  <c r="M40" i="57"/>
  <c r="M105" i="57"/>
  <c r="M46" i="57"/>
  <c r="AB40" i="57"/>
  <c r="AB43" i="57" s="1"/>
  <c r="AB41" i="57" s="1"/>
  <c r="O11" i="57"/>
  <c r="H14" i="57"/>
  <c r="I18" i="57"/>
  <c r="S18" i="57"/>
  <c r="AA18" i="57"/>
  <c r="G19" i="57"/>
  <c r="Y19" i="57"/>
  <c r="J25" i="57"/>
  <c r="E26" i="57"/>
  <c r="M26" i="57"/>
  <c r="G32" i="57"/>
  <c r="Y32" i="57"/>
  <c r="E33" i="57"/>
  <c r="E36" i="57" s="1"/>
  <c r="E34" i="57" s="1"/>
  <c r="E167" i="57" s="1"/>
  <c r="M33" i="57"/>
  <c r="M36" i="57" s="1"/>
  <c r="M34" i="57" s="1"/>
  <c r="M167" i="57" s="1"/>
  <c r="W33" i="57"/>
  <c r="C39" i="57"/>
  <c r="K39" i="57"/>
  <c r="AC39" i="57"/>
  <c r="I40" i="57"/>
  <c r="F105" i="57"/>
  <c r="F46" i="57"/>
  <c r="U40" i="57"/>
  <c r="U43" i="57" s="1"/>
  <c r="U41" i="57" s="1"/>
  <c r="F47" i="57"/>
  <c r="N40" i="57"/>
  <c r="N43" i="57" s="1"/>
  <c r="N41" i="57" s="1"/>
  <c r="N190" i="57" s="1"/>
  <c r="N105" i="57"/>
  <c r="N46" i="57"/>
  <c r="AC40" i="57"/>
  <c r="N47" i="57"/>
  <c r="J18" i="57"/>
  <c r="T18" i="57"/>
  <c r="AB18" i="57"/>
  <c r="H19" i="57"/>
  <c r="R19" i="57"/>
  <c r="Z19" i="57"/>
  <c r="C25" i="57"/>
  <c r="K25" i="57"/>
  <c r="F26" i="57"/>
  <c r="N26" i="57"/>
  <c r="H32" i="57"/>
  <c r="R32" i="57"/>
  <c r="R36" i="57" s="1"/>
  <c r="Z32" i="57"/>
  <c r="F33" i="57"/>
  <c r="N33" i="57"/>
  <c r="X33" i="57"/>
  <c r="D39" i="57"/>
  <c r="L39" i="57"/>
  <c r="J40" i="57"/>
  <c r="L182" i="57"/>
  <c r="G105" i="57"/>
  <c r="G46" i="57"/>
  <c r="O13" i="57"/>
  <c r="C18" i="57"/>
  <c r="K18" i="57"/>
  <c r="U18" i="57"/>
  <c r="AC18" i="57"/>
  <c r="I19" i="57"/>
  <c r="S19" i="57"/>
  <c r="AA19" i="57"/>
  <c r="D25" i="57"/>
  <c r="L25" i="57"/>
  <c r="G26" i="57"/>
  <c r="I32" i="57"/>
  <c r="S32" i="57"/>
  <c r="AA32" i="57"/>
  <c r="G33" i="57"/>
  <c r="Y33" i="57"/>
  <c r="E39" i="57"/>
  <c r="M39" i="57"/>
  <c r="W39" i="57"/>
  <c r="C40" i="57"/>
  <c r="K40" i="57"/>
  <c r="D46" i="57"/>
  <c r="C105" i="57"/>
  <c r="E179" i="56"/>
  <c r="M179" i="56"/>
  <c r="H202" i="56"/>
  <c r="F179" i="56"/>
  <c r="N179" i="56"/>
  <c r="I202" i="56"/>
  <c r="O24" i="56"/>
  <c r="G179" i="56"/>
  <c r="J202" i="56"/>
  <c r="H179" i="56"/>
  <c r="C202" i="56"/>
  <c r="K202" i="56"/>
  <c r="D179" i="56"/>
  <c r="D202" i="56"/>
  <c r="L202" i="56"/>
  <c r="L179" i="56"/>
  <c r="E47" i="56"/>
  <c r="E105" i="56"/>
  <c r="I182" i="56"/>
  <c r="E202" i="56"/>
  <c r="F47" i="56"/>
  <c r="F40" i="56"/>
  <c r="F105" i="56"/>
  <c r="F46" i="56"/>
  <c r="N47" i="56"/>
  <c r="N40" i="56"/>
  <c r="N105" i="56"/>
  <c r="N46" i="56"/>
  <c r="AC40" i="56"/>
  <c r="AC43" i="56" s="1"/>
  <c r="AC41" i="56" s="1"/>
  <c r="AC42" i="56" s="1"/>
  <c r="I14" i="56"/>
  <c r="D17" i="56"/>
  <c r="L17" i="56"/>
  <c r="V17" i="56"/>
  <c r="J18" i="56"/>
  <c r="T18" i="56"/>
  <c r="AB18" i="56"/>
  <c r="H19" i="56"/>
  <c r="R19" i="56"/>
  <c r="Z19" i="56"/>
  <c r="C25" i="56"/>
  <c r="K25" i="56"/>
  <c r="F26" i="56"/>
  <c r="N26" i="56"/>
  <c r="J31" i="56"/>
  <c r="T31" i="56"/>
  <c r="AB31" i="56"/>
  <c r="H32" i="56"/>
  <c r="R32" i="56"/>
  <c r="Z32" i="56"/>
  <c r="F33" i="56"/>
  <c r="N33" i="56"/>
  <c r="X33" i="56"/>
  <c r="F38" i="56"/>
  <c r="N38" i="56"/>
  <c r="X38" i="56"/>
  <c r="D39" i="56"/>
  <c r="L39" i="56"/>
  <c r="T40" i="56"/>
  <c r="H47" i="56"/>
  <c r="E26" i="56"/>
  <c r="M33" i="56"/>
  <c r="G40" i="56"/>
  <c r="G105" i="56"/>
  <c r="G46" i="56"/>
  <c r="V40" i="56"/>
  <c r="V43" i="56" s="1"/>
  <c r="V41" i="56" s="1"/>
  <c r="V42" i="56" s="1"/>
  <c r="G47" i="56"/>
  <c r="O13" i="56"/>
  <c r="J14" i="56"/>
  <c r="E17" i="56"/>
  <c r="M17" i="56"/>
  <c r="W17" i="56"/>
  <c r="C18" i="56"/>
  <c r="K18" i="56"/>
  <c r="U18" i="56"/>
  <c r="AC18" i="56"/>
  <c r="I19" i="56"/>
  <c r="S19" i="56"/>
  <c r="AA19" i="56"/>
  <c r="D25" i="56"/>
  <c r="L25" i="56"/>
  <c r="G26" i="56"/>
  <c r="C31" i="56"/>
  <c r="K31" i="56"/>
  <c r="U31" i="56"/>
  <c r="AC31" i="56"/>
  <c r="I32" i="56"/>
  <c r="S32" i="56"/>
  <c r="AA32" i="56"/>
  <c r="G33" i="56"/>
  <c r="Y33" i="56"/>
  <c r="Y36" i="56" s="1"/>
  <c r="Y34" i="56" s="1"/>
  <c r="Y35" i="56" s="1"/>
  <c r="G38" i="56"/>
  <c r="Y38" i="56"/>
  <c r="E39" i="56"/>
  <c r="M39" i="56"/>
  <c r="C40" i="56"/>
  <c r="U40" i="56"/>
  <c r="U43" i="56" s="1"/>
  <c r="U41" i="56" s="1"/>
  <c r="U42" i="56" s="1"/>
  <c r="M26" i="56"/>
  <c r="M202" i="56"/>
  <c r="M46" i="56"/>
  <c r="H40" i="56"/>
  <c r="H105" i="56"/>
  <c r="H46" i="56"/>
  <c r="O10" i="56"/>
  <c r="C14" i="56"/>
  <c r="K14" i="56"/>
  <c r="F17" i="56"/>
  <c r="N17" i="56"/>
  <c r="X17" i="56"/>
  <c r="D18" i="56"/>
  <c r="L18" i="56"/>
  <c r="V18" i="56"/>
  <c r="J19" i="56"/>
  <c r="T19" i="56"/>
  <c r="AB19" i="56"/>
  <c r="E25" i="56"/>
  <c r="M25" i="56"/>
  <c r="H26" i="56"/>
  <c r="V31" i="56"/>
  <c r="J32" i="56"/>
  <c r="T32" i="56"/>
  <c r="AB32" i="56"/>
  <c r="H33" i="56"/>
  <c r="R33" i="56"/>
  <c r="Z33" i="56"/>
  <c r="R38" i="56"/>
  <c r="Z38" i="56"/>
  <c r="F39" i="56"/>
  <c r="N39" i="56"/>
  <c r="E40" i="56"/>
  <c r="W40" i="56"/>
  <c r="W43" i="56" s="1"/>
  <c r="W41" i="56" s="1"/>
  <c r="W42" i="56" s="1"/>
  <c r="E33" i="56"/>
  <c r="I105" i="56"/>
  <c r="I46" i="56"/>
  <c r="X40" i="56"/>
  <c r="X43" i="56" s="1"/>
  <c r="X41" i="56" s="1"/>
  <c r="I47" i="56"/>
  <c r="D14" i="56"/>
  <c r="L14" i="56"/>
  <c r="G17" i="56"/>
  <c r="Y17" i="56"/>
  <c r="E18" i="56"/>
  <c r="M18" i="56"/>
  <c r="W18" i="56"/>
  <c r="C19" i="56"/>
  <c r="K19" i="56"/>
  <c r="U19" i="56"/>
  <c r="AC19" i="56"/>
  <c r="F25" i="56"/>
  <c r="N25" i="56"/>
  <c r="I26" i="56"/>
  <c r="W31" i="56"/>
  <c r="C32" i="56"/>
  <c r="C36" i="56" s="1"/>
  <c r="K32" i="56"/>
  <c r="U32" i="56"/>
  <c r="AC32" i="56"/>
  <c r="I33" i="56"/>
  <c r="S33" i="56"/>
  <c r="AA33" i="56"/>
  <c r="S38" i="56"/>
  <c r="AA38" i="56"/>
  <c r="G39" i="56"/>
  <c r="I40" i="56"/>
  <c r="AA40" i="56"/>
  <c r="AA43" i="56" s="1"/>
  <c r="AA41" i="56" s="1"/>
  <c r="M47" i="56"/>
  <c r="M50" i="56" s="1"/>
  <c r="M48" i="56" s="1"/>
  <c r="M49" i="56" s="1"/>
  <c r="M105" i="56"/>
  <c r="J105" i="56"/>
  <c r="J46" i="56"/>
  <c r="Y40" i="56"/>
  <c r="Y43" i="56" s="1"/>
  <c r="Y41" i="56" s="1"/>
  <c r="J47" i="56"/>
  <c r="O12" i="56"/>
  <c r="E14" i="56"/>
  <c r="M14" i="56"/>
  <c r="F18" i="56"/>
  <c r="N18" i="56"/>
  <c r="X18" i="56"/>
  <c r="D19" i="56"/>
  <c r="L19" i="56"/>
  <c r="V19" i="56"/>
  <c r="G25" i="56"/>
  <c r="J26" i="56"/>
  <c r="D32" i="56"/>
  <c r="L32" i="56"/>
  <c r="V32" i="56"/>
  <c r="J33" i="56"/>
  <c r="T33" i="56"/>
  <c r="AB33" i="56"/>
  <c r="H39" i="56"/>
  <c r="R39" i="56"/>
  <c r="Z39" i="56"/>
  <c r="J40" i="56"/>
  <c r="AB40" i="56"/>
  <c r="G18" i="56"/>
  <c r="Y18" i="56"/>
  <c r="E19" i="56"/>
  <c r="M19" i="56"/>
  <c r="W19" i="56"/>
  <c r="H25" i="56"/>
  <c r="C26" i="56"/>
  <c r="K26" i="56"/>
  <c r="E32" i="56"/>
  <c r="M32" i="56"/>
  <c r="W32" i="56"/>
  <c r="K33" i="56"/>
  <c r="U33" i="56"/>
  <c r="AC33" i="56"/>
  <c r="I39" i="56"/>
  <c r="C46" i="56"/>
  <c r="R40" i="56"/>
  <c r="C47" i="56"/>
  <c r="C105" i="56"/>
  <c r="K46" i="56"/>
  <c r="Z40" i="56"/>
  <c r="K47" i="56"/>
  <c r="K105" i="56"/>
  <c r="O9" i="56"/>
  <c r="O45" i="56"/>
  <c r="D47" i="56"/>
  <c r="D40" i="56"/>
  <c r="D43" i="56" s="1"/>
  <c r="D41" i="56" s="1"/>
  <c r="D190" i="56" s="1"/>
  <c r="D46" i="56"/>
  <c r="L47" i="56"/>
  <c r="L40" i="56"/>
  <c r="L46" i="56"/>
  <c r="H18" i="56"/>
  <c r="R18" i="56"/>
  <c r="Z18" i="56"/>
  <c r="F19" i="56"/>
  <c r="N19" i="56"/>
  <c r="X19" i="56"/>
  <c r="I25" i="56"/>
  <c r="D26" i="56"/>
  <c r="L26" i="56"/>
  <c r="F32" i="56"/>
  <c r="N32" i="56"/>
  <c r="X32" i="56"/>
  <c r="D33" i="56"/>
  <c r="L33" i="56"/>
  <c r="V33" i="56"/>
  <c r="J39" i="56"/>
  <c r="T39" i="56"/>
  <c r="AB39" i="56"/>
  <c r="M40" i="56"/>
  <c r="E46" i="56"/>
  <c r="E50" i="56" s="1"/>
  <c r="E48" i="56" s="1"/>
  <c r="E49" i="56" s="1"/>
  <c r="D105" i="56"/>
  <c r="C179" i="55"/>
  <c r="K179" i="55"/>
  <c r="G202" i="55"/>
  <c r="E179" i="55"/>
  <c r="M179" i="55"/>
  <c r="I202" i="55"/>
  <c r="H202" i="55"/>
  <c r="O24" i="55"/>
  <c r="D179" i="55"/>
  <c r="I179" i="55"/>
  <c r="E202" i="55"/>
  <c r="M202" i="55"/>
  <c r="L179" i="55"/>
  <c r="J179" i="55"/>
  <c r="F202" i="55"/>
  <c r="N202" i="55"/>
  <c r="Z105" i="55"/>
  <c r="C46" i="55"/>
  <c r="R40" i="55"/>
  <c r="R39" i="55"/>
  <c r="C47" i="55"/>
  <c r="C40" i="55"/>
  <c r="K46" i="55"/>
  <c r="Z40" i="55"/>
  <c r="Z39" i="55"/>
  <c r="K47" i="55"/>
  <c r="K40" i="55"/>
  <c r="O9" i="55"/>
  <c r="O45" i="55"/>
  <c r="F14" i="55"/>
  <c r="N14" i="55"/>
  <c r="I17" i="55"/>
  <c r="S17" i="55"/>
  <c r="AA17" i="55"/>
  <c r="G18" i="55"/>
  <c r="Y18" i="55"/>
  <c r="E19" i="55"/>
  <c r="M19" i="55"/>
  <c r="W19" i="55"/>
  <c r="H25" i="55"/>
  <c r="C26" i="55"/>
  <c r="K26" i="55"/>
  <c r="G31" i="55"/>
  <c r="Y31" i="55"/>
  <c r="E32" i="55"/>
  <c r="M32" i="55"/>
  <c r="W32" i="55"/>
  <c r="C33" i="55"/>
  <c r="K33" i="55"/>
  <c r="U33" i="55"/>
  <c r="AC33" i="55"/>
  <c r="C38" i="55"/>
  <c r="K38" i="55"/>
  <c r="U38" i="55"/>
  <c r="AC38" i="55"/>
  <c r="K39" i="55"/>
  <c r="G47" i="55"/>
  <c r="J39" i="55"/>
  <c r="S39" i="55"/>
  <c r="S43" i="55" s="1"/>
  <c r="S41" i="55" s="1"/>
  <c r="S42" i="55" s="1"/>
  <c r="D47" i="55"/>
  <c r="D105" i="55"/>
  <c r="AA39" i="55"/>
  <c r="L47" i="55"/>
  <c r="L105" i="55"/>
  <c r="L39" i="55"/>
  <c r="G14" i="55"/>
  <c r="J17" i="55"/>
  <c r="T17" i="55"/>
  <c r="AB17" i="55"/>
  <c r="H18" i="55"/>
  <c r="R18" i="55"/>
  <c r="Z18" i="55"/>
  <c r="F19" i="55"/>
  <c r="N19" i="55"/>
  <c r="N22" i="55" s="1"/>
  <c r="N20" i="55" s="1"/>
  <c r="N21" i="55" s="1"/>
  <c r="X19" i="55"/>
  <c r="X22" i="55" s="1"/>
  <c r="X20" i="55" s="1"/>
  <c r="X21" i="55" s="1"/>
  <c r="I25" i="55"/>
  <c r="D26" i="55"/>
  <c r="L26" i="55"/>
  <c r="H31" i="55"/>
  <c r="R31" i="55"/>
  <c r="Z31" i="55"/>
  <c r="F32" i="55"/>
  <c r="N32" i="55"/>
  <c r="X32" i="55"/>
  <c r="D33" i="55"/>
  <c r="L33" i="55"/>
  <c r="V33" i="55"/>
  <c r="D38" i="55"/>
  <c r="L38" i="55"/>
  <c r="V38" i="55"/>
  <c r="N39" i="55"/>
  <c r="V40" i="55"/>
  <c r="J202" i="55"/>
  <c r="T39" i="55"/>
  <c r="E47" i="55"/>
  <c r="E40" i="55"/>
  <c r="E105" i="55"/>
  <c r="E46" i="55"/>
  <c r="T40" i="55"/>
  <c r="AB39" i="55"/>
  <c r="M47" i="55"/>
  <c r="M40" i="55"/>
  <c r="M105" i="55"/>
  <c r="M39" i="55"/>
  <c r="M46" i="55"/>
  <c r="AB40" i="55"/>
  <c r="O11" i="55"/>
  <c r="H14" i="55"/>
  <c r="C17" i="55"/>
  <c r="K17" i="55"/>
  <c r="U17" i="55"/>
  <c r="AC17" i="55"/>
  <c r="I18" i="55"/>
  <c r="S18" i="55"/>
  <c r="AA18" i="55"/>
  <c r="G19" i="55"/>
  <c r="Y19" i="55"/>
  <c r="J25" i="55"/>
  <c r="E26" i="55"/>
  <c r="M26" i="55"/>
  <c r="S31" i="55"/>
  <c r="AA31" i="55"/>
  <c r="G32" i="55"/>
  <c r="Y32" i="55"/>
  <c r="E33" i="55"/>
  <c r="M33" i="55"/>
  <c r="W33" i="55"/>
  <c r="W38" i="55"/>
  <c r="C39" i="55"/>
  <c r="AA40" i="55"/>
  <c r="F47" i="55"/>
  <c r="F40" i="55"/>
  <c r="F105" i="55"/>
  <c r="F46" i="55"/>
  <c r="U40" i="55"/>
  <c r="U43" i="55" s="1"/>
  <c r="U41" i="55" s="1"/>
  <c r="N47" i="55"/>
  <c r="N40" i="55"/>
  <c r="N105" i="55"/>
  <c r="N46" i="55"/>
  <c r="AC40" i="55"/>
  <c r="I14" i="55"/>
  <c r="D17" i="55"/>
  <c r="L17" i="55"/>
  <c r="V17" i="55"/>
  <c r="J18" i="55"/>
  <c r="T18" i="55"/>
  <c r="AB18" i="55"/>
  <c r="H19" i="55"/>
  <c r="R19" i="55"/>
  <c r="Z19" i="55"/>
  <c r="C25" i="55"/>
  <c r="K25" i="55"/>
  <c r="F26" i="55"/>
  <c r="N26" i="55"/>
  <c r="T31" i="55"/>
  <c r="AB31" i="55"/>
  <c r="H32" i="55"/>
  <c r="R32" i="55"/>
  <c r="Z32" i="55"/>
  <c r="F33" i="55"/>
  <c r="N33" i="55"/>
  <c r="X33" i="55"/>
  <c r="X38" i="55"/>
  <c r="D39" i="55"/>
  <c r="X39" i="55"/>
  <c r="J105" i="55"/>
  <c r="J46" i="55"/>
  <c r="Y40" i="55"/>
  <c r="Y39" i="55"/>
  <c r="J47" i="55"/>
  <c r="J40" i="55"/>
  <c r="O12" i="55"/>
  <c r="G40" i="55"/>
  <c r="G105" i="55"/>
  <c r="G46" i="55"/>
  <c r="V39" i="55"/>
  <c r="O13" i="55"/>
  <c r="J14" i="55"/>
  <c r="C18" i="55"/>
  <c r="K18" i="55"/>
  <c r="U18" i="55"/>
  <c r="AC18" i="55"/>
  <c r="I19" i="55"/>
  <c r="S19" i="55"/>
  <c r="AA19" i="55"/>
  <c r="D25" i="55"/>
  <c r="L25" i="55"/>
  <c r="G26" i="55"/>
  <c r="G29" i="55" s="1"/>
  <c r="G27" i="55" s="1"/>
  <c r="G28" i="55" s="1"/>
  <c r="I32" i="55"/>
  <c r="S32" i="55"/>
  <c r="AA32" i="55"/>
  <c r="G33" i="55"/>
  <c r="Y33" i="55"/>
  <c r="E39" i="55"/>
  <c r="AC39" i="55"/>
  <c r="J26" i="55"/>
  <c r="J33" i="55"/>
  <c r="H40" i="55"/>
  <c r="H105" i="55"/>
  <c r="H39" i="55"/>
  <c r="H46" i="55"/>
  <c r="W40" i="55"/>
  <c r="W39" i="55"/>
  <c r="H47" i="55"/>
  <c r="O10" i="55"/>
  <c r="D18" i="55"/>
  <c r="L18" i="55"/>
  <c r="L22" i="55" s="1"/>
  <c r="L20" i="55" s="1"/>
  <c r="V18" i="55"/>
  <c r="J19" i="55"/>
  <c r="T19" i="55"/>
  <c r="AB19" i="55"/>
  <c r="AB22" i="55" s="1"/>
  <c r="AB20" i="55" s="1"/>
  <c r="E25" i="55"/>
  <c r="M25" i="55"/>
  <c r="H26" i="55"/>
  <c r="J32" i="55"/>
  <c r="T32" i="55"/>
  <c r="T36" i="55" s="1"/>
  <c r="T34" i="55" s="1"/>
  <c r="AB32" i="55"/>
  <c r="AB36" i="55" s="1"/>
  <c r="AB34" i="55" s="1"/>
  <c r="H33" i="55"/>
  <c r="R33" i="55"/>
  <c r="Z33" i="55"/>
  <c r="F39" i="55"/>
  <c r="D40" i="55"/>
  <c r="I105" i="55"/>
  <c r="I39" i="55"/>
  <c r="I46" i="55"/>
  <c r="X40" i="55"/>
  <c r="I47" i="55"/>
  <c r="E18" i="55"/>
  <c r="E22" i="55" s="1"/>
  <c r="E20" i="55" s="1"/>
  <c r="E21" i="55" s="1"/>
  <c r="M18" i="55"/>
  <c r="M22" i="55" s="1"/>
  <c r="M20" i="55" s="1"/>
  <c r="M21" i="55" s="1"/>
  <c r="W18" i="55"/>
  <c r="W22" i="55" s="1"/>
  <c r="W20" i="55" s="1"/>
  <c r="W21" i="55" s="1"/>
  <c r="C19" i="55"/>
  <c r="K19" i="55"/>
  <c r="U19" i="55"/>
  <c r="AC19" i="55"/>
  <c r="F25" i="55"/>
  <c r="N25" i="55"/>
  <c r="I26" i="55"/>
  <c r="C32" i="55"/>
  <c r="K32" i="55"/>
  <c r="U32" i="55"/>
  <c r="AC32" i="55"/>
  <c r="I33" i="55"/>
  <c r="S33" i="55"/>
  <c r="AA33" i="55"/>
  <c r="G39" i="55"/>
  <c r="I40" i="55"/>
  <c r="D46" i="55"/>
  <c r="C105" i="55"/>
  <c r="O24" i="54"/>
  <c r="X39" i="54"/>
  <c r="I47" i="54"/>
  <c r="I32" i="54"/>
  <c r="I19" i="54"/>
  <c r="X33" i="54"/>
  <c r="I40" i="54"/>
  <c r="I43" i="54" s="1"/>
  <c r="I41" i="54" s="1"/>
  <c r="I190" i="54" s="1"/>
  <c r="X32" i="54"/>
  <c r="I25" i="54"/>
  <c r="X19" i="54"/>
  <c r="I46" i="54"/>
  <c r="X40" i="54"/>
  <c r="C31" i="54"/>
  <c r="R31" i="54"/>
  <c r="K31" i="54"/>
  <c r="Z31" i="54"/>
  <c r="F202" i="54"/>
  <c r="N202" i="54"/>
  <c r="D14" i="54"/>
  <c r="L14" i="54"/>
  <c r="G17" i="54"/>
  <c r="Y17" i="54"/>
  <c r="E18" i="54"/>
  <c r="E22" i="54" s="1"/>
  <c r="E20" i="54" s="1"/>
  <c r="E21" i="54" s="1"/>
  <c r="M18" i="54"/>
  <c r="M22" i="54" s="1"/>
  <c r="M20" i="54" s="1"/>
  <c r="M21" i="54" s="1"/>
  <c r="W18" i="54"/>
  <c r="C19" i="54"/>
  <c r="F25" i="54"/>
  <c r="E31" i="54"/>
  <c r="S33" i="54"/>
  <c r="I38" i="54"/>
  <c r="W40" i="54"/>
  <c r="O10" i="54"/>
  <c r="M38" i="54"/>
  <c r="AB38" i="54"/>
  <c r="C202" i="54"/>
  <c r="J47" i="54"/>
  <c r="J32" i="54"/>
  <c r="J19" i="54"/>
  <c r="Y33" i="54"/>
  <c r="J40" i="54"/>
  <c r="Y32" i="54"/>
  <c r="J25" i="54"/>
  <c r="J105" i="54"/>
  <c r="J39" i="54"/>
  <c r="J33" i="54"/>
  <c r="J26" i="54"/>
  <c r="D31" i="54"/>
  <c r="S31" i="54"/>
  <c r="L31" i="54"/>
  <c r="AA31" i="54"/>
  <c r="G38" i="54"/>
  <c r="V38" i="54"/>
  <c r="O12" i="54"/>
  <c r="E14" i="54"/>
  <c r="M14" i="54"/>
  <c r="H17" i="54"/>
  <c r="R17" i="54"/>
  <c r="Z17" i="54"/>
  <c r="F18" i="54"/>
  <c r="N18" i="54"/>
  <c r="X18" i="54"/>
  <c r="D19" i="54"/>
  <c r="H25" i="54"/>
  <c r="G31" i="54"/>
  <c r="M32" i="54"/>
  <c r="U33" i="54"/>
  <c r="K38" i="54"/>
  <c r="Y40" i="54"/>
  <c r="O45" i="54"/>
  <c r="R33" i="54"/>
  <c r="C40" i="54"/>
  <c r="R32" i="54"/>
  <c r="C25" i="54"/>
  <c r="C105" i="54"/>
  <c r="C39" i="54"/>
  <c r="C46" i="54"/>
  <c r="R40" i="54"/>
  <c r="R39" i="54"/>
  <c r="Z33" i="54"/>
  <c r="K40" i="54"/>
  <c r="Z32" i="54"/>
  <c r="K25" i="54"/>
  <c r="K105" i="54"/>
  <c r="K39" i="54"/>
  <c r="K46" i="54"/>
  <c r="Z40" i="54"/>
  <c r="Z39" i="54"/>
  <c r="O9" i="54"/>
  <c r="H38" i="54"/>
  <c r="W38" i="54"/>
  <c r="F14" i="54"/>
  <c r="N14" i="54"/>
  <c r="I17" i="54"/>
  <c r="S17" i="54"/>
  <c r="AA17" i="54"/>
  <c r="G18" i="54"/>
  <c r="Y18" i="54"/>
  <c r="U19" i="54"/>
  <c r="N25" i="54"/>
  <c r="M31" i="54"/>
  <c r="U32" i="54"/>
  <c r="S38" i="54"/>
  <c r="Y39" i="54"/>
  <c r="G105" i="54"/>
  <c r="H33" i="54"/>
  <c r="H26" i="54"/>
  <c r="W39" i="54"/>
  <c r="H47" i="54"/>
  <c r="H50" i="54" s="1"/>
  <c r="H48" i="54" s="1"/>
  <c r="H49" i="54" s="1"/>
  <c r="H32" i="54"/>
  <c r="W33" i="54"/>
  <c r="H40" i="54"/>
  <c r="H105" i="54"/>
  <c r="H39" i="54"/>
  <c r="E38" i="54"/>
  <c r="T38" i="54"/>
  <c r="D40" i="54"/>
  <c r="S32" i="54"/>
  <c r="D25" i="54"/>
  <c r="S19" i="54"/>
  <c r="D105" i="54"/>
  <c r="D39" i="54"/>
  <c r="D46" i="54"/>
  <c r="S40" i="54"/>
  <c r="S43" i="54" s="1"/>
  <c r="S41" i="54" s="1"/>
  <c r="D33" i="54"/>
  <c r="D26" i="54"/>
  <c r="D47" i="54"/>
  <c r="D32" i="54"/>
  <c r="L40" i="54"/>
  <c r="AA32" i="54"/>
  <c r="AA36" i="54" s="1"/>
  <c r="AA34" i="54" s="1"/>
  <c r="L25" i="54"/>
  <c r="AA19" i="54"/>
  <c r="L105" i="54"/>
  <c r="L39" i="54"/>
  <c r="L46" i="54"/>
  <c r="AA40" i="54"/>
  <c r="L33" i="54"/>
  <c r="L26" i="54"/>
  <c r="L47" i="54"/>
  <c r="L32" i="54"/>
  <c r="L19" i="54"/>
  <c r="U31" i="54"/>
  <c r="F31" i="54"/>
  <c r="AC31" i="54"/>
  <c r="N31" i="54"/>
  <c r="G14" i="54"/>
  <c r="J17" i="54"/>
  <c r="T17" i="54"/>
  <c r="AB17" i="54"/>
  <c r="H18" i="54"/>
  <c r="R18" i="54"/>
  <c r="R22" i="54" s="1"/>
  <c r="Z18" i="54"/>
  <c r="F19" i="54"/>
  <c r="W19" i="54"/>
  <c r="C26" i="54"/>
  <c r="W32" i="54"/>
  <c r="AC33" i="54"/>
  <c r="AC36" i="54" s="1"/>
  <c r="AC34" i="54" s="1"/>
  <c r="U38" i="54"/>
  <c r="AA39" i="54"/>
  <c r="J46" i="54"/>
  <c r="I105" i="54"/>
  <c r="T32" i="54"/>
  <c r="E25" i="54"/>
  <c r="T19" i="54"/>
  <c r="E105" i="54"/>
  <c r="E39" i="54"/>
  <c r="E46" i="54"/>
  <c r="T40" i="54"/>
  <c r="E33" i="54"/>
  <c r="E26" i="54"/>
  <c r="T39" i="54"/>
  <c r="T33" i="54"/>
  <c r="AB32" i="54"/>
  <c r="M25" i="54"/>
  <c r="AB19" i="54"/>
  <c r="M105" i="54"/>
  <c r="M39" i="54"/>
  <c r="M46" i="54"/>
  <c r="AB40" i="54"/>
  <c r="M33" i="54"/>
  <c r="M26" i="54"/>
  <c r="AB39" i="54"/>
  <c r="AB33" i="54"/>
  <c r="O11" i="54"/>
  <c r="Y38" i="54"/>
  <c r="J38" i="54"/>
  <c r="H14" i="54"/>
  <c r="I18" i="54"/>
  <c r="S18" i="54"/>
  <c r="AA18" i="54"/>
  <c r="G19" i="54"/>
  <c r="Y19" i="54"/>
  <c r="I26" i="54"/>
  <c r="W31" i="54"/>
  <c r="AA38" i="54"/>
  <c r="E40" i="54"/>
  <c r="C47" i="54"/>
  <c r="J179" i="54"/>
  <c r="F105" i="54"/>
  <c r="F39" i="54"/>
  <c r="F46" i="54"/>
  <c r="U40" i="54"/>
  <c r="F33" i="54"/>
  <c r="F26" i="54"/>
  <c r="U39" i="54"/>
  <c r="F47" i="54"/>
  <c r="F32" i="54"/>
  <c r="F40" i="54"/>
  <c r="N105" i="54"/>
  <c r="N39" i="54"/>
  <c r="N46" i="54"/>
  <c r="AC40" i="54"/>
  <c r="N33" i="54"/>
  <c r="N26" i="54"/>
  <c r="AC39" i="54"/>
  <c r="N47" i="54"/>
  <c r="N32" i="54"/>
  <c r="N19" i="54"/>
  <c r="N40" i="54"/>
  <c r="H179" i="54"/>
  <c r="J18" i="54"/>
  <c r="T18" i="54"/>
  <c r="AB18" i="54"/>
  <c r="H19" i="54"/>
  <c r="Z19" i="54"/>
  <c r="K26" i="54"/>
  <c r="Y31" i="54"/>
  <c r="C33" i="54"/>
  <c r="AC38" i="54"/>
  <c r="E47" i="54"/>
  <c r="G46" i="54"/>
  <c r="V40" i="54"/>
  <c r="G33" i="54"/>
  <c r="G26" i="54"/>
  <c r="V39" i="54"/>
  <c r="G47" i="54"/>
  <c r="G32" i="54"/>
  <c r="V33" i="54"/>
  <c r="V32" i="54"/>
  <c r="G25" i="54"/>
  <c r="V19" i="54"/>
  <c r="I31" i="54"/>
  <c r="X31" i="54"/>
  <c r="D202" i="54"/>
  <c r="L202" i="54"/>
  <c r="O13" i="54"/>
  <c r="C18" i="54"/>
  <c r="K18" i="54"/>
  <c r="U18" i="54"/>
  <c r="AC18" i="54"/>
  <c r="K19" i="54"/>
  <c r="AC19" i="54"/>
  <c r="C32" i="54"/>
  <c r="I33" i="54"/>
  <c r="G39" i="54"/>
  <c r="G43" i="54" s="1"/>
  <c r="G41" i="54" s="1"/>
  <c r="G190" i="54" s="1"/>
  <c r="M40" i="54"/>
  <c r="K47" i="54"/>
  <c r="V17" i="36"/>
  <c r="V116" i="36"/>
  <c r="V117" i="36"/>
  <c r="W116" i="36"/>
  <c r="R117" i="36"/>
  <c r="R116" i="36"/>
  <c r="AC117" i="36"/>
  <c r="Z33" i="36"/>
  <c r="AC32" i="36"/>
  <c r="U32" i="36"/>
  <c r="AB40" i="36"/>
  <c r="T40" i="36"/>
  <c r="W39" i="36"/>
  <c r="V19" i="36"/>
  <c r="Y18" i="36"/>
  <c r="R18" i="36"/>
  <c r="R33" i="36"/>
  <c r="X33" i="36"/>
  <c r="AA32" i="36"/>
  <c r="S32" i="36"/>
  <c r="Z40" i="36"/>
  <c r="AC39" i="36"/>
  <c r="U39" i="36"/>
  <c r="R19" i="36"/>
  <c r="AB19" i="36"/>
  <c r="T19" i="36"/>
  <c r="W18" i="36"/>
  <c r="V39" i="36"/>
  <c r="W33" i="36"/>
  <c r="Z32" i="36"/>
  <c r="Y40" i="36"/>
  <c r="AB39" i="36"/>
  <c r="T39" i="36"/>
  <c r="AA19" i="36"/>
  <c r="S19" i="36"/>
  <c r="V18" i="36"/>
  <c r="R32" i="36"/>
  <c r="V33" i="36"/>
  <c r="Y32" i="36"/>
  <c r="R39" i="36"/>
  <c r="X40" i="36"/>
  <c r="AA39" i="36"/>
  <c r="S39" i="36"/>
  <c r="Z19" i="36"/>
  <c r="AC18" i="36"/>
  <c r="U18" i="36"/>
  <c r="AC33" i="36"/>
  <c r="U33" i="36"/>
  <c r="X32" i="36"/>
  <c r="R40" i="36"/>
  <c r="W40" i="36"/>
  <c r="Z39" i="36"/>
  <c r="Y19" i="36"/>
  <c r="AB18" i="36"/>
  <c r="T18" i="36"/>
  <c r="AB33" i="36"/>
  <c r="T33" i="36"/>
  <c r="W32" i="36"/>
  <c r="V40" i="36"/>
  <c r="Y39" i="36"/>
  <c r="X19" i="36"/>
  <c r="AA18" i="36"/>
  <c r="S18" i="36"/>
  <c r="AA33" i="36"/>
  <c r="S33" i="36"/>
  <c r="V32" i="36"/>
  <c r="AC40" i="36"/>
  <c r="U40" i="36"/>
  <c r="X39" i="36"/>
  <c r="W19" i="36"/>
  <c r="Z18" i="36"/>
  <c r="F182" i="36"/>
  <c r="I205" i="36"/>
  <c r="N182" i="36"/>
  <c r="K182" i="36"/>
  <c r="E182" i="36"/>
  <c r="K205" i="36"/>
  <c r="M182" i="36"/>
  <c r="I182" i="36"/>
  <c r="C182" i="36"/>
  <c r="O179" i="36"/>
  <c r="J182" i="36"/>
  <c r="F205" i="36"/>
  <c r="M205" i="36"/>
  <c r="E205" i="36"/>
  <c r="H182" i="36"/>
  <c r="H205" i="36"/>
  <c r="G205" i="36"/>
  <c r="N205" i="36"/>
  <c r="L205" i="36"/>
  <c r="D205" i="36"/>
  <c r="G182" i="36"/>
  <c r="Z31" i="36"/>
  <c r="Y38" i="36"/>
  <c r="R31" i="36"/>
  <c r="X31" i="36"/>
  <c r="W38" i="36"/>
  <c r="AC17" i="36"/>
  <c r="U17" i="36"/>
  <c r="W31" i="36"/>
  <c r="V38" i="36"/>
  <c r="AB17" i="36"/>
  <c r="T17" i="36"/>
  <c r="V31" i="36"/>
  <c r="AC38" i="36"/>
  <c r="U38" i="36"/>
  <c r="AC31" i="36"/>
  <c r="U31" i="36"/>
  <c r="L182" i="36"/>
  <c r="D182" i="36"/>
  <c r="AB38" i="36"/>
  <c r="T38" i="36"/>
  <c r="AB31" i="36"/>
  <c r="T31" i="36"/>
  <c r="AA38" i="36"/>
  <c r="S38" i="36"/>
  <c r="AA31" i="36"/>
  <c r="S31" i="36"/>
  <c r="Z38" i="36"/>
  <c r="R17" i="36"/>
  <c r="L14" i="36"/>
  <c r="D14" i="36"/>
  <c r="O12" i="36"/>
  <c r="K14" i="36"/>
  <c r="C14" i="36"/>
  <c r="J14" i="36"/>
  <c r="G14" i="36"/>
  <c r="I14" i="36"/>
  <c r="L17" i="36"/>
  <c r="H14" i="36"/>
  <c r="K17" i="36"/>
  <c r="J17" i="36"/>
  <c r="O13" i="36"/>
  <c r="D17" i="36"/>
  <c r="N14" i="36"/>
  <c r="F14" i="36"/>
  <c r="C38" i="36"/>
  <c r="C202" i="36" s="1"/>
  <c r="O202" i="36" s="1"/>
  <c r="C18" i="36"/>
  <c r="M14" i="36"/>
  <c r="E14" i="36"/>
  <c r="I17" i="36"/>
  <c r="H17" i="36"/>
  <c r="C45" i="36"/>
  <c r="P10" i="53"/>
  <c r="I50" i="54" l="1"/>
  <c r="I48" i="54" s="1"/>
  <c r="I49" i="54" s="1"/>
  <c r="AB117" i="36"/>
  <c r="AA117" i="36"/>
  <c r="X116" i="36"/>
  <c r="D22" i="55"/>
  <c r="D20" i="55" s="1"/>
  <c r="Y117" i="36"/>
  <c r="M50" i="54"/>
  <c r="M48" i="54" s="1"/>
  <c r="M49" i="54" s="1"/>
  <c r="M146" i="54" s="1"/>
  <c r="F22" i="55"/>
  <c r="F20" i="55" s="1"/>
  <c r="F21" i="55" s="1"/>
  <c r="F109" i="55" s="1"/>
  <c r="AA36" i="57"/>
  <c r="AA34" i="57" s="1"/>
  <c r="AA35" i="57" s="1"/>
  <c r="H36" i="57"/>
  <c r="H34" i="57" s="1"/>
  <c r="H35" i="57" s="1"/>
  <c r="G29" i="57"/>
  <c r="G27" i="57" s="1"/>
  <c r="G28" i="57" s="1"/>
  <c r="P49" i="8"/>
  <c r="U22" i="36"/>
  <c r="U20" i="36" s="1"/>
  <c r="U21" i="36" s="1"/>
  <c r="F43" i="54"/>
  <c r="F41" i="54" s="1"/>
  <c r="Y22" i="56"/>
  <c r="Y20" i="56" s="1"/>
  <c r="Y21" i="56" s="1"/>
  <c r="T116" i="36"/>
  <c r="AB36" i="36"/>
  <c r="AB34" i="36" s="1"/>
  <c r="AB35" i="36" s="1"/>
  <c r="Z117" i="36"/>
  <c r="S116" i="36"/>
  <c r="I146" i="54"/>
  <c r="I149" i="54"/>
  <c r="I147" i="54"/>
  <c r="I150" i="54"/>
  <c r="I151" i="54"/>
  <c r="I148" i="54"/>
  <c r="H149" i="54"/>
  <c r="H147" i="54"/>
  <c r="H150" i="54"/>
  <c r="H148" i="54"/>
  <c r="H146" i="54"/>
  <c r="H151" i="54"/>
  <c r="M146" i="56"/>
  <c r="M149" i="56"/>
  <c r="M147" i="56"/>
  <c r="M150" i="56"/>
  <c r="M151" i="56"/>
  <c r="M148" i="56"/>
  <c r="U116" i="36"/>
  <c r="G36" i="55"/>
  <c r="G34" i="55" s="1"/>
  <c r="G167" i="55" s="1"/>
  <c r="G169" i="55" s="1"/>
  <c r="G177" i="55" s="1"/>
  <c r="V43" i="55"/>
  <c r="V41" i="55" s="1"/>
  <c r="V42" i="55" s="1"/>
  <c r="V118" i="55"/>
  <c r="G120" i="55" s="1"/>
  <c r="E146" i="56"/>
  <c r="E149" i="56"/>
  <c r="E147" i="56"/>
  <c r="E150" i="56"/>
  <c r="E151" i="56"/>
  <c r="E148" i="56"/>
  <c r="V118" i="57"/>
  <c r="G120" i="57" s="1"/>
  <c r="I29" i="57"/>
  <c r="I27" i="57" s="1"/>
  <c r="I28" i="57" s="1"/>
  <c r="X118" i="57" s="1"/>
  <c r="I120" i="57" s="1"/>
  <c r="Z105" i="57"/>
  <c r="C29" i="56"/>
  <c r="C27" i="56" s="1"/>
  <c r="C22" i="57"/>
  <c r="C20" i="57" s="1"/>
  <c r="C21" i="57" s="1"/>
  <c r="D22" i="57"/>
  <c r="D20" i="57" s="1"/>
  <c r="D21" i="57" s="1"/>
  <c r="D110" i="57" s="1"/>
  <c r="P26" i="71"/>
  <c r="P26" i="72"/>
  <c r="J29" i="56"/>
  <c r="J27" i="56" s="1"/>
  <c r="J28" i="56" s="1"/>
  <c r="Y118" i="56" s="1"/>
  <c r="J120" i="56" s="1"/>
  <c r="P26" i="70"/>
  <c r="P24" i="9"/>
  <c r="P26" i="74"/>
  <c r="C36" i="55"/>
  <c r="T36" i="57"/>
  <c r="T34" i="57" s="1"/>
  <c r="T35" i="57" s="1"/>
  <c r="P26" i="68"/>
  <c r="P26" i="69"/>
  <c r="P26" i="73"/>
  <c r="L22" i="57"/>
  <c r="L20" i="57" s="1"/>
  <c r="L21" i="57" s="1"/>
  <c r="L113" i="57" s="1"/>
  <c r="P28" i="67"/>
  <c r="G36" i="56"/>
  <c r="G34" i="56" s="1"/>
  <c r="G167" i="56" s="1"/>
  <c r="AC22" i="57"/>
  <c r="AC20" i="57" s="1"/>
  <c r="AC21" i="57" s="1"/>
  <c r="L22" i="54"/>
  <c r="L20" i="54" s="1"/>
  <c r="L21" i="54" s="1"/>
  <c r="L110" i="54" s="1"/>
  <c r="L36" i="55"/>
  <c r="L34" i="55" s="1"/>
  <c r="L167" i="55" s="1"/>
  <c r="N29" i="56"/>
  <c r="N27" i="56" s="1"/>
  <c r="N28" i="56" s="1"/>
  <c r="AC118" i="56" s="1"/>
  <c r="N120" i="56" s="1"/>
  <c r="I22" i="56"/>
  <c r="I20" i="56" s="1"/>
  <c r="I21" i="56" s="1"/>
  <c r="I109" i="56" s="1"/>
  <c r="U22" i="57"/>
  <c r="U20" i="57" s="1"/>
  <c r="U21" i="57" s="1"/>
  <c r="L43" i="57"/>
  <c r="L41" i="57" s="1"/>
  <c r="L42" i="57" s="1"/>
  <c r="P13" i="64"/>
  <c r="W13" i="1" s="1"/>
  <c r="T22" i="57"/>
  <c r="T20" i="57" s="1"/>
  <c r="T21" i="57" s="1"/>
  <c r="V22" i="55"/>
  <c r="V20" i="55" s="1"/>
  <c r="V21" i="55" s="1"/>
  <c r="L43" i="55"/>
  <c r="L41" i="55" s="1"/>
  <c r="L190" i="55" s="1"/>
  <c r="X22" i="36"/>
  <c r="X20" i="36" s="1"/>
  <c r="X21" i="36" s="1"/>
  <c r="X111" i="36" s="1"/>
  <c r="I111" i="36" s="1"/>
  <c r="D22" i="54"/>
  <c r="D20" i="54" s="1"/>
  <c r="D21" i="54" s="1"/>
  <c r="D114" i="54" s="1"/>
  <c r="V22" i="57"/>
  <c r="V20" i="57" s="1"/>
  <c r="V21" i="57" s="1"/>
  <c r="Y36" i="55"/>
  <c r="Y34" i="55" s="1"/>
  <c r="Y35" i="55" s="1"/>
  <c r="S36" i="56"/>
  <c r="S34" i="56" s="1"/>
  <c r="S35" i="56" s="1"/>
  <c r="D43" i="57"/>
  <c r="D41" i="57" s="1"/>
  <c r="D42" i="57" s="1"/>
  <c r="T22" i="54"/>
  <c r="T20" i="54" s="1"/>
  <c r="T21" i="54" s="1"/>
  <c r="P69" i="8"/>
  <c r="P13" i="9"/>
  <c r="L29" i="57"/>
  <c r="L27" i="57" s="1"/>
  <c r="L28" i="57" s="1"/>
  <c r="AA118" i="57" s="1"/>
  <c r="L120" i="57" s="1"/>
  <c r="K29" i="57"/>
  <c r="K27" i="57" s="1"/>
  <c r="K28" i="57" s="1"/>
  <c r="K121" i="57" s="1"/>
  <c r="J22" i="54"/>
  <c r="J20" i="54" s="1"/>
  <c r="J21" i="54" s="1"/>
  <c r="J113" i="54" s="1"/>
  <c r="D50" i="57"/>
  <c r="D48" i="57" s="1"/>
  <c r="D49" i="57" s="1"/>
  <c r="D147" i="57" s="1"/>
  <c r="H22" i="57"/>
  <c r="H20" i="57" s="1"/>
  <c r="H21" i="57" s="1"/>
  <c r="J29" i="57"/>
  <c r="J27" i="57" s="1"/>
  <c r="J28" i="57" s="1"/>
  <c r="J123" i="57" s="1"/>
  <c r="H50" i="57"/>
  <c r="H48" i="57" s="1"/>
  <c r="H49" i="57" s="1"/>
  <c r="H147" i="57" s="1"/>
  <c r="K22" i="57"/>
  <c r="K20" i="57" s="1"/>
  <c r="K21" i="57" s="1"/>
  <c r="K114" i="57" s="1"/>
  <c r="P47" i="9"/>
  <c r="P57" i="8"/>
  <c r="P51" i="74"/>
  <c r="D15" i="74"/>
  <c r="P15" i="74" s="1"/>
  <c r="P51" i="68"/>
  <c r="D15" i="68"/>
  <c r="P15" i="68" s="1"/>
  <c r="P51" i="69"/>
  <c r="D15" i="69"/>
  <c r="P15" i="69" s="1"/>
  <c r="D15" i="73"/>
  <c r="P15" i="73" s="1"/>
  <c r="P51" i="73"/>
  <c r="D15" i="71"/>
  <c r="P15" i="71" s="1"/>
  <c r="P51" i="71"/>
  <c r="D15" i="67"/>
  <c r="P15" i="67" s="1"/>
  <c r="P53" i="67"/>
  <c r="D15" i="72"/>
  <c r="P15" i="72" s="1"/>
  <c r="P51" i="72"/>
  <c r="P51" i="70"/>
  <c r="D15" i="70"/>
  <c r="P15" i="70" s="1"/>
  <c r="AC36" i="55"/>
  <c r="AC34" i="55" s="1"/>
  <c r="AC35" i="55" s="1"/>
  <c r="AC22" i="36"/>
  <c r="AC20" i="36" s="1"/>
  <c r="AC21" i="36" s="1"/>
  <c r="Y22" i="54"/>
  <c r="Y20" i="54" s="1"/>
  <c r="Y21" i="54" s="1"/>
  <c r="U22" i="54"/>
  <c r="U20" i="54" s="1"/>
  <c r="U21" i="54" s="1"/>
  <c r="Y22" i="36"/>
  <c r="Y20" i="36" s="1"/>
  <c r="Y21" i="36" s="1"/>
  <c r="K43" i="55"/>
  <c r="K41" i="55" s="1"/>
  <c r="K190" i="55" s="1"/>
  <c r="K192" i="55" s="1"/>
  <c r="K200" i="55" s="1"/>
  <c r="V36" i="55"/>
  <c r="V34" i="55" s="1"/>
  <c r="V35" i="55" s="1"/>
  <c r="F36" i="57"/>
  <c r="F34" i="57" s="1"/>
  <c r="F167" i="57" s="1"/>
  <c r="G22" i="56"/>
  <c r="G20" i="56" s="1"/>
  <c r="G21" i="56" s="1"/>
  <c r="G114" i="56" s="1"/>
  <c r="S43" i="36"/>
  <c r="S41" i="36" s="1"/>
  <c r="S42" i="36" s="1"/>
  <c r="AA22" i="54"/>
  <c r="AA20" i="54" s="1"/>
  <c r="AA21" i="54" s="1"/>
  <c r="AB43" i="54"/>
  <c r="AB41" i="54" s="1"/>
  <c r="AB42" i="54" s="1"/>
  <c r="M29" i="54"/>
  <c r="M27" i="54" s="1"/>
  <c r="M28" i="54" s="1"/>
  <c r="AB118" i="54" s="1"/>
  <c r="AA43" i="54"/>
  <c r="AA41" i="54" s="1"/>
  <c r="AA42" i="54" s="1"/>
  <c r="Z43" i="54"/>
  <c r="Z41" i="54" s="1"/>
  <c r="Z42" i="54" s="1"/>
  <c r="D29" i="57"/>
  <c r="D27" i="57" s="1"/>
  <c r="D28" i="57" s="1"/>
  <c r="D121" i="57" s="1"/>
  <c r="N36" i="56"/>
  <c r="N34" i="56" s="1"/>
  <c r="N35" i="56" s="1"/>
  <c r="Z22" i="56"/>
  <c r="Z20" i="56" s="1"/>
  <c r="Z21" i="56" s="1"/>
  <c r="C29" i="57"/>
  <c r="C27" i="57" s="1"/>
  <c r="C28" i="57" s="1"/>
  <c r="R118" i="57" s="1"/>
  <c r="C120" i="57" s="1"/>
  <c r="J29" i="54"/>
  <c r="J27" i="54" s="1"/>
  <c r="J28" i="54" s="1"/>
  <c r="J119" i="54" s="1"/>
  <c r="D29" i="56"/>
  <c r="D27" i="56" s="1"/>
  <c r="D28" i="56" s="1"/>
  <c r="D118" i="56" s="1"/>
  <c r="I50" i="56"/>
  <c r="I48" i="56" s="1"/>
  <c r="I49" i="56" s="1"/>
  <c r="I147" i="56" s="1"/>
  <c r="Z43" i="56"/>
  <c r="Z41" i="56" s="1"/>
  <c r="Z42" i="56" s="1"/>
  <c r="D29" i="54"/>
  <c r="D27" i="54" s="1"/>
  <c r="D28" i="54" s="1"/>
  <c r="D119" i="54" s="1"/>
  <c r="S36" i="54"/>
  <c r="S34" i="54" s="1"/>
  <c r="S35" i="54" s="1"/>
  <c r="K29" i="54"/>
  <c r="K27" i="54" s="1"/>
  <c r="K28" i="54" s="1"/>
  <c r="K123" i="54" s="1"/>
  <c r="AB43" i="36"/>
  <c r="AB41" i="36" s="1"/>
  <c r="AB42" i="36" s="1"/>
  <c r="F22" i="56"/>
  <c r="F20" i="56" s="1"/>
  <c r="F21" i="56" s="1"/>
  <c r="F113" i="56" s="1"/>
  <c r="N29" i="57"/>
  <c r="N27" i="57" s="1"/>
  <c r="N28" i="57" s="1"/>
  <c r="H43" i="56"/>
  <c r="H41" i="56" s="1"/>
  <c r="H42" i="56" s="1"/>
  <c r="J22" i="57"/>
  <c r="J20" i="57" s="1"/>
  <c r="J21" i="57" s="1"/>
  <c r="J114" i="57" s="1"/>
  <c r="E29" i="55"/>
  <c r="E27" i="55" s="1"/>
  <c r="E28" i="55" s="1"/>
  <c r="T118" i="55" s="1"/>
  <c r="J29" i="55"/>
  <c r="J27" i="55" s="1"/>
  <c r="J28" i="55" s="1"/>
  <c r="J118" i="55" s="1"/>
  <c r="D36" i="55"/>
  <c r="D34" i="55" s="1"/>
  <c r="D167" i="55" s="1"/>
  <c r="E43" i="57"/>
  <c r="E41" i="57" s="1"/>
  <c r="E42" i="57" s="1"/>
  <c r="E36" i="54"/>
  <c r="E34" i="54" s="1"/>
  <c r="E167" i="54" s="1"/>
  <c r="E169" i="54" s="1"/>
  <c r="E175" i="54" s="1"/>
  <c r="E36" i="56"/>
  <c r="E34" i="56" s="1"/>
  <c r="E35" i="56" s="1"/>
  <c r="AC43" i="57"/>
  <c r="AC41" i="57" s="1"/>
  <c r="AC42" i="57" s="1"/>
  <c r="M29" i="57"/>
  <c r="M27" i="57" s="1"/>
  <c r="M28" i="57" s="1"/>
  <c r="I29" i="56"/>
  <c r="I27" i="56" s="1"/>
  <c r="I28" i="56" s="1"/>
  <c r="I124" i="56" s="1"/>
  <c r="I158" i="56" s="1"/>
  <c r="H50" i="56"/>
  <c r="H48" i="56" s="1"/>
  <c r="H49" i="56" s="1"/>
  <c r="H146" i="56" s="1"/>
  <c r="E29" i="57"/>
  <c r="E27" i="57" s="1"/>
  <c r="E28" i="57" s="1"/>
  <c r="E123" i="57" s="1"/>
  <c r="R22" i="55"/>
  <c r="R20" i="55" s="1"/>
  <c r="H29" i="57"/>
  <c r="H27" i="57" s="1"/>
  <c r="H28" i="57" s="1"/>
  <c r="H119" i="57" s="1"/>
  <c r="AA43" i="36"/>
  <c r="AA41" i="36" s="1"/>
  <c r="AA42" i="36" s="1"/>
  <c r="AB36" i="54"/>
  <c r="AB34" i="54" s="1"/>
  <c r="AB35" i="54" s="1"/>
  <c r="N43" i="55"/>
  <c r="N41" i="55" s="1"/>
  <c r="N190" i="55" s="1"/>
  <c r="J43" i="56"/>
  <c r="J41" i="56" s="1"/>
  <c r="J190" i="56" s="1"/>
  <c r="S22" i="57"/>
  <c r="S20" i="57" s="1"/>
  <c r="S21" i="57" s="1"/>
  <c r="J50" i="57"/>
  <c r="J48" i="57" s="1"/>
  <c r="J49" i="57" s="1"/>
  <c r="J148" i="57" s="1"/>
  <c r="Z36" i="57"/>
  <c r="Z34" i="57" s="1"/>
  <c r="Z35" i="57" s="1"/>
  <c r="K36" i="55"/>
  <c r="K34" i="55" s="1"/>
  <c r="K35" i="55" s="1"/>
  <c r="J36" i="55"/>
  <c r="J34" i="55" s="1"/>
  <c r="J35" i="55" s="1"/>
  <c r="G50" i="55"/>
  <c r="G48" i="55" s="1"/>
  <c r="G49" i="55" s="1"/>
  <c r="G147" i="55" s="1"/>
  <c r="N22" i="56"/>
  <c r="N20" i="56" s="1"/>
  <c r="N21" i="56" s="1"/>
  <c r="H29" i="56"/>
  <c r="H27" i="56" s="1"/>
  <c r="H28" i="56" s="1"/>
  <c r="H122" i="56" s="1"/>
  <c r="AB22" i="57"/>
  <c r="AB20" i="57" s="1"/>
  <c r="AB21" i="57" s="1"/>
  <c r="M50" i="57"/>
  <c r="M48" i="57" s="1"/>
  <c r="M49" i="57" s="1"/>
  <c r="M148" i="57" s="1"/>
  <c r="W43" i="54"/>
  <c r="W41" i="54" s="1"/>
  <c r="W42" i="54" s="1"/>
  <c r="Y43" i="54"/>
  <c r="Y41" i="54" s="1"/>
  <c r="Y42" i="54" s="1"/>
  <c r="G43" i="55"/>
  <c r="G41" i="55" s="1"/>
  <c r="G190" i="55" s="1"/>
  <c r="D50" i="54"/>
  <c r="D48" i="54" s="1"/>
  <c r="D49" i="54" s="1"/>
  <c r="D148" i="54" s="1"/>
  <c r="F43" i="55"/>
  <c r="F41" i="55" s="1"/>
  <c r="F190" i="55" s="1"/>
  <c r="M43" i="56"/>
  <c r="M41" i="56" s="1"/>
  <c r="M190" i="56" s="1"/>
  <c r="R22" i="56"/>
  <c r="R20" i="56" s="1"/>
  <c r="I36" i="54"/>
  <c r="I34" i="54" s="1"/>
  <c r="I167" i="54" s="1"/>
  <c r="Y36" i="54"/>
  <c r="Y34" i="54" s="1"/>
  <c r="Y35" i="54" s="1"/>
  <c r="F29" i="55"/>
  <c r="F27" i="55" s="1"/>
  <c r="F28" i="55" s="1"/>
  <c r="F119" i="55" s="1"/>
  <c r="L29" i="55"/>
  <c r="L27" i="55" s="1"/>
  <c r="L28" i="55" s="1"/>
  <c r="L121" i="55" s="1"/>
  <c r="T43" i="56"/>
  <c r="T41" i="56" s="1"/>
  <c r="T42" i="56" s="1"/>
  <c r="H22" i="56"/>
  <c r="H20" i="56" s="1"/>
  <c r="H21" i="56" s="1"/>
  <c r="H110" i="56" s="1"/>
  <c r="M36" i="56"/>
  <c r="M34" i="56" s="1"/>
  <c r="M167" i="56" s="1"/>
  <c r="G43" i="56"/>
  <c r="G41" i="56" s="1"/>
  <c r="G190" i="56" s="1"/>
  <c r="F50" i="56"/>
  <c r="F48" i="56" s="1"/>
  <c r="F49" i="56" s="1"/>
  <c r="F151" i="56" s="1"/>
  <c r="AC22" i="54"/>
  <c r="AC20" i="54" s="1"/>
  <c r="AC21" i="54" s="1"/>
  <c r="Y43" i="55"/>
  <c r="Y41" i="55" s="1"/>
  <c r="Y42" i="55" s="1"/>
  <c r="AB43" i="55"/>
  <c r="AB41" i="55" s="1"/>
  <c r="AB42" i="55" s="1"/>
  <c r="F36" i="56"/>
  <c r="F34" i="56" s="1"/>
  <c r="F167" i="56" s="1"/>
  <c r="K36" i="56"/>
  <c r="K34" i="56" s="1"/>
  <c r="K167" i="56" s="1"/>
  <c r="G29" i="56"/>
  <c r="G27" i="56" s="1"/>
  <c r="G28" i="56" s="1"/>
  <c r="G122" i="56" s="1"/>
  <c r="J36" i="57"/>
  <c r="J34" i="57" s="1"/>
  <c r="J35" i="57" s="1"/>
  <c r="W43" i="36"/>
  <c r="W41" i="36" s="1"/>
  <c r="W42" i="36" s="1"/>
  <c r="O32" i="54"/>
  <c r="F22" i="54"/>
  <c r="F20" i="54" s="1"/>
  <c r="F21" i="54" s="1"/>
  <c r="F110" i="54" s="1"/>
  <c r="C50" i="56"/>
  <c r="C48" i="56" s="1"/>
  <c r="J22" i="56"/>
  <c r="J20" i="56" s="1"/>
  <c r="J21" i="56" s="1"/>
  <c r="J113" i="56" s="1"/>
  <c r="G50" i="56"/>
  <c r="G48" i="56" s="1"/>
  <c r="G49" i="56" s="1"/>
  <c r="G150" i="56" s="1"/>
  <c r="M22" i="57"/>
  <c r="M20" i="57" s="1"/>
  <c r="M21" i="57" s="1"/>
  <c r="M114" i="57" s="1"/>
  <c r="U22" i="56"/>
  <c r="U20" i="56" s="1"/>
  <c r="U21" i="56" s="1"/>
  <c r="T36" i="36"/>
  <c r="T34" i="36" s="1"/>
  <c r="X36" i="36"/>
  <c r="X34" i="36" s="1"/>
  <c r="X35" i="36" s="1"/>
  <c r="T43" i="36"/>
  <c r="T41" i="36" s="1"/>
  <c r="T42" i="36" s="1"/>
  <c r="M36" i="54"/>
  <c r="M34" i="54" s="1"/>
  <c r="M167" i="54" s="1"/>
  <c r="AA36" i="55"/>
  <c r="AA34" i="55" s="1"/>
  <c r="AA35" i="55" s="1"/>
  <c r="X43" i="55"/>
  <c r="X41" i="55" s="1"/>
  <c r="X42" i="55" s="1"/>
  <c r="Z43" i="55"/>
  <c r="Z41" i="55" s="1"/>
  <c r="Z42" i="55" s="1"/>
  <c r="L36" i="56"/>
  <c r="L34" i="56" s="1"/>
  <c r="L35" i="56" s="1"/>
  <c r="K29" i="56"/>
  <c r="K27" i="56" s="1"/>
  <c r="K28" i="56" s="1"/>
  <c r="K121" i="56" s="1"/>
  <c r="F43" i="56"/>
  <c r="F41" i="56" s="1"/>
  <c r="F190" i="56" s="1"/>
  <c r="C43" i="56"/>
  <c r="C41" i="56" s="1"/>
  <c r="I43" i="56"/>
  <c r="I41" i="56" s="1"/>
  <c r="I190" i="56" s="1"/>
  <c r="AA22" i="56"/>
  <c r="AA20" i="56" s="1"/>
  <c r="AA21" i="56" s="1"/>
  <c r="AA111" i="56" s="1"/>
  <c r="L111" i="56" s="1"/>
  <c r="G50" i="57"/>
  <c r="G48" i="57" s="1"/>
  <c r="G49" i="57" s="1"/>
  <c r="G150" i="57" s="1"/>
  <c r="AA22" i="57"/>
  <c r="AA20" i="57" s="1"/>
  <c r="AA21" i="57" s="1"/>
  <c r="L50" i="57"/>
  <c r="L48" i="57" s="1"/>
  <c r="L49" i="57" s="1"/>
  <c r="L146" i="57" s="1"/>
  <c r="AA36" i="36"/>
  <c r="AA34" i="36" s="1"/>
  <c r="AA35" i="36" s="1"/>
  <c r="S22" i="36"/>
  <c r="S20" i="36" s="1"/>
  <c r="S21" i="36" s="1"/>
  <c r="S110" i="36" s="1"/>
  <c r="AC36" i="36"/>
  <c r="AC34" i="36" s="1"/>
  <c r="AC35" i="36" s="1"/>
  <c r="Y36" i="36"/>
  <c r="Y34" i="36" s="1"/>
  <c r="Y35" i="36" s="1"/>
  <c r="R22" i="36"/>
  <c r="R20" i="36" s="1"/>
  <c r="R21" i="36" s="1"/>
  <c r="U43" i="54"/>
  <c r="U41" i="54" s="1"/>
  <c r="U42" i="54" s="1"/>
  <c r="S22" i="54"/>
  <c r="S20" i="54" s="1"/>
  <c r="S21" i="54" s="1"/>
  <c r="W43" i="55"/>
  <c r="W41" i="55" s="1"/>
  <c r="W42" i="55" s="1"/>
  <c r="AC43" i="55"/>
  <c r="AC41" i="55" s="1"/>
  <c r="AC42" i="55" s="1"/>
  <c r="N50" i="55"/>
  <c r="N48" i="55" s="1"/>
  <c r="N49" i="55" s="1"/>
  <c r="N149" i="55" s="1"/>
  <c r="D50" i="56"/>
  <c r="D48" i="56" s="1"/>
  <c r="D49" i="56" s="1"/>
  <c r="D150" i="56" s="1"/>
  <c r="S36" i="57"/>
  <c r="S34" i="57" s="1"/>
  <c r="S35" i="57" s="1"/>
  <c r="N36" i="57"/>
  <c r="N34" i="57" s="1"/>
  <c r="N167" i="57" s="1"/>
  <c r="AB36" i="57"/>
  <c r="AB34" i="57" s="1"/>
  <c r="AB35" i="57" s="1"/>
  <c r="AA22" i="36"/>
  <c r="AA20" i="36" s="1"/>
  <c r="AA21" i="36" s="1"/>
  <c r="U36" i="54"/>
  <c r="U34" i="54" s="1"/>
  <c r="U35" i="54" s="1"/>
  <c r="D50" i="55"/>
  <c r="D48" i="55" s="1"/>
  <c r="D49" i="55" s="1"/>
  <c r="D146" i="55" s="1"/>
  <c r="T22" i="55"/>
  <c r="T20" i="55" s="1"/>
  <c r="T21" i="55" s="1"/>
  <c r="M29" i="56"/>
  <c r="M27" i="56" s="1"/>
  <c r="M28" i="56" s="1"/>
  <c r="M123" i="56" s="1"/>
  <c r="E29" i="56"/>
  <c r="E27" i="56" s="1"/>
  <c r="E28" i="56" s="1"/>
  <c r="E119" i="56" s="1"/>
  <c r="N50" i="56"/>
  <c r="N48" i="56" s="1"/>
  <c r="N49" i="56" s="1"/>
  <c r="N151" i="56" s="1"/>
  <c r="I36" i="57"/>
  <c r="I34" i="57" s="1"/>
  <c r="I35" i="57" s="1"/>
  <c r="X43" i="36"/>
  <c r="X41" i="36" s="1"/>
  <c r="X42" i="36" s="1"/>
  <c r="AB22" i="54"/>
  <c r="AB20" i="54" s="1"/>
  <c r="AB21" i="54" s="1"/>
  <c r="AC43" i="54"/>
  <c r="AC41" i="54" s="1"/>
  <c r="AC42" i="54" s="1"/>
  <c r="H43" i="54"/>
  <c r="H41" i="54" s="1"/>
  <c r="H190" i="54" s="1"/>
  <c r="E43" i="55"/>
  <c r="E41" i="55" s="1"/>
  <c r="E190" i="55" s="1"/>
  <c r="E192" i="55" s="1"/>
  <c r="E200" i="55" s="1"/>
  <c r="E208" i="55" s="1"/>
  <c r="D29" i="55"/>
  <c r="D27" i="55" s="1"/>
  <c r="D28" i="55" s="1"/>
  <c r="S118" i="55" s="1"/>
  <c r="J43" i="55"/>
  <c r="J41" i="55" s="1"/>
  <c r="J190" i="55" s="1"/>
  <c r="D43" i="55"/>
  <c r="D41" i="55" s="1"/>
  <c r="D190" i="55" s="1"/>
  <c r="E50" i="55"/>
  <c r="E48" i="55" s="1"/>
  <c r="E49" i="55" s="1"/>
  <c r="E151" i="55" s="1"/>
  <c r="L50" i="56"/>
  <c r="L48" i="56" s="1"/>
  <c r="L49" i="56" s="1"/>
  <c r="L149" i="56" s="1"/>
  <c r="W36" i="56"/>
  <c r="W34" i="56" s="1"/>
  <c r="W35" i="56" s="1"/>
  <c r="E22" i="56"/>
  <c r="E20" i="56" s="1"/>
  <c r="E21" i="56" s="1"/>
  <c r="E113" i="56" s="1"/>
  <c r="AC22" i="56"/>
  <c r="AC20" i="56" s="1"/>
  <c r="AC21" i="56" s="1"/>
  <c r="T22" i="56"/>
  <c r="T20" i="56" s="1"/>
  <c r="T21" i="56" s="1"/>
  <c r="V42" i="57"/>
  <c r="Z36" i="36"/>
  <c r="Z34" i="36" s="1"/>
  <c r="Z35" i="36" s="1"/>
  <c r="T43" i="54"/>
  <c r="T41" i="54" s="1"/>
  <c r="T42" i="54" s="1"/>
  <c r="J50" i="54"/>
  <c r="J48" i="54" s="1"/>
  <c r="J49" i="54" s="1"/>
  <c r="J147" i="54" s="1"/>
  <c r="L36" i="54"/>
  <c r="L34" i="54" s="1"/>
  <c r="L167" i="54" s="1"/>
  <c r="L43" i="54"/>
  <c r="L41" i="54" s="1"/>
  <c r="L190" i="54" s="1"/>
  <c r="H50" i="55"/>
  <c r="H48" i="55" s="1"/>
  <c r="H49" i="55" s="1"/>
  <c r="H151" i="55" s="1"/>
  <c r="M36" i="55"/>
  <c r="M34" i="55" s="1"/>
  <c r="M35" i="55" s="1"/>
  <c r="T36" i="56"/>
  <c r="T34" i="56" s="1"/>
  <c r="T35" i="56" s="1"/>
  <c r="J50" i="56"/>
  <c r="J48" i="56" s="1"/>
  <c r="J49" i="56" s="1"/>
  <c r="J148" i="56" s="1"/>
  <c r="K42" i="56"/>
  <c r="K139" i="56" s="1"/>
  <c r="W43" i="57"/>
  <c r="W41" i="57" s="1"/>
  <c r="W42" i="57" s="1"/>
  <c r="K50" i="57"/>
  <c r="K48" i="57" s="1"/>
  <c r="K49" i="57" s="1"/>
  <c r="K146" i="57" s="1"/>
  <c r="N29" i="55"/>
  <c r="N27" i="55" s="1"/>
  <c r="N28" i="55" s="1"/>
  <c r="N124" i="55" s="1"/>
  <c r="N158" i="55" s="1"/>
  <c r="X36" i="56"/>
  <c r="X34" i="56" s="1"/>
  <c r="X35" i="56" s="1"/>
  <c r="K22" i="56"/>
  <c r="K20" i="56" s="1"/>
  <c r="K21" i="56" s="1"/>
  <c r="K114" i="56" s="1"/>
  <c r="M43" i="57"/>
  <c r="M41" i="57" s="1"/>
  <c r="M42" i="57" s="1"/>
  <c r="U36" i="57"/>
  <c r="U34" i="57" s="1"/>
  <c r="U35" i="57" s="1"/>
  <c r="L50" i="54"/>
  <c r="L48" i="54" s="1"/>
  <c r="L49" i="54" s="1"/>
  <c r="L148" i="54" s="1"/>
  <c r="C43" i="54"/>
  <c r="C41" i="54" s="1"/>
  <c r="J43" i="54"/>
  <c r="J41" i="54" s="1"/>
  <c r="J190" i="54" s="1"/>
  <c r="M29" i="55"/>
  <c r="M27" i="55" s="1"/>
  <c r="M28" i="55" s="1"/>
  <c r="M124" i="55" s="1"/>
  <c r="M158" i="55" s="1"/>
  <c r="AA36" i="56"/>
  <c r="AA34" i="56" s="1"/>
  <c r="AA35" i="56" s="1"/>
  <c r="K43" i="57"/>
  <c r="K41" i="57" s="1"/>
  <c r="K190" i="57" s="1"/>
  <c r="F43" i="57"/>
  <c r="F41" i="57" s="1"/>
  <c r="F190" i="57" s="1"/>
  <c r="V36" i="36"/>
  <c r="V34" i="36" s="1"/>
  <c r="V35" i="36" s="1"/>
  <c r="V22" i="54"/>
  <c r="V20" i="54" s="1"/>
  <c r="V21" i="54" s="1"/>
  <c r="N50" i="54"/>
  <c r="N48" i="54" s="1"/>
  <c r="N49" i="54" s="1"/>
  <c r="N147" i="54" s="1"/>
  <c r="I22" i="54"/>
  <c r="I20" i="54" s="1"/>
  <c r="I21" i="54" s="1"/>
  <c r="I113" i="54" s="1"/>
  <c r="X36" i="54"/>
  <c r="X34" i="54" s="1"/>
  <c r="X35" i="54" s="1"/>
  <c r="H43" i="55"/>
  <c r="H41" i="55" s="1"/>
  <c r="H190" i="55" s="1"/>
  <c r="H192" i="55" s="1"/>
  <c r="H200" i="55" s="1"/>
  <c r="H208" i="55" s="1"/>
  <c r="K29" i="55"/>
  <c r="K27" i="55" s="1"/>
  <c r="K28" i="55" s="1"/>
  <c r="AA43" i="55"/>
  <c r="AA41" i="55" s="1"/>
  <c r="AA42" i="55" s="1"/>
  <c r="C22" i="56"/>
  <c r="C20" i="56" s="1"/>
  <c r="E50" i="57"/>
  <c r="E48" i="57" s="1"/>
  <c r="E49" i="57" s="1"/>
  <c r="E146" i="57" s="1"/>
  <c r="W36" i="36"/>
  <c r="W34" i="36" s="1"/>
  <c r="W35" i="36" s="1"/>
  <c r="K22" i="54"/>
  <c r="K20" i="54" s="1"/>
  <c r="K21" i="54" s="1"/>
  <c r="K110" i="54" s="1"/>
  <c r="G29" i="54"/>
  <c r="G27" i="54" s="1"/>
  <c r="G28" i="54" s="1"/>
  <c r="G118" i="54" s="1"/>
  <c r="N22" i="54"/>
  <c r="N20" i="54" s="1"/>
  <c r="N21" i="54" s="1"/>
  <c r="N114" i="54" s="1"/>
  <c r="K50" i="54"/>
  <c r="K48" i="54" s="1"/>
  <c r="K49" i="54" s="1"/>
  <c r="K146" i="54" s="1"/>
  <c r="U22" i="55"/>
  <c r="U20" i="55" s="1"/>
  <c r="U21" i="55" s="1"/>
  <c r="J50" i="55"/>
  <c r="J48" i="55" s="1"/>
  <c r="J49" i="55" s="1"/>
  <c r="J146" i="55" s="1"/>
  <c r="C43" i="55"/>
  <c r="C41" i="55" s="1"/>
  <c r="F29" i="57"/>
  <c r="F27" i="57" s="1"/>
  <c r="F28" i="57" s="1"/>
  <c r="F121" i="57" s="1"/>
  <c r="G43" i="57"/>
  <c r="G41" i="57" s="1"/>
  <c r="G190" i="57" s="1"/>
  <c r="V36" i="54"/>
  <c r="V34" i="54" s="1"/>
  <c r="V35" i="54" s="1"/>
  <c r="G50" i="54"/>
  <c r="G48" i="54" s="1"/>
  <c r="G49" i="54" s="1"/>
  <c r="G148" i="54" s="1"/>
  <c r="N36" i="54"/>
  <c r="N34" i="54" s="1"/>
  <c r="N167" i="54" s="1"/>
  <c r="W36" i="54"/>
  <c r="W34" i="54" s="1"/>
  <c r="W35" i="54" s="1"/>
  <c r="K43" i="54"/>
  <c r="K41" i="54" s="1"/>
  <c r="K190" i="54" s="1"/>
  <c r="C50" i="54"/>
  <c r="C48" i="54" s="1"/>
  <c r="X22" i="54"/>
  <c r="X20" i="54" s="1"/>
  <c r="X21" i="54" s="1"/>
  <c r="U36" i="55"/>
  <c r="U34" i="55" s="1"/>
  <c r="U35" i="55" s="1"/>
  <c r="F36" i="55"/>
  <c r="F34" i="55" s="1"/>
  <c r="F167" i="55" s="1"/>
  <c r="F169" i="55" s="1"/>
  <c r="F172" i="55" s="1"/>
  <c r="F180" i="55" s="1"/>
  <c r="E43" i="56"/>
  <c r="E41" i="56" s="1"/>
  <c r="E190" i="56" s="1"/>
  <c r="S22" i="56"/>
  <c r="S20" i="56" s="1"/>
  <c r="S21" i="56" s="1"/>
  <c r="H167" i="57"/>
  <c r="H169" i="57" s="1"/>
  <c r="H177" i="57" s="1"/>
  <c r="H185" i="57" s="1"/>
  <c r="AD39" i="36"/>
  <c r="O18" i="54"/>
  <c r="Z22" i="54"/>
  <c r="Z20" i="54" s="1"/>
  <c r="Z21" i="54" s="1"/>
  <c r="AC35" i="54"/>
  <c r="D43" i="54"/>
  <c r="D41" i="54" s="1"/>
  <c r="D190" i="54" s="1"/>
  <c r="H29" i="54"/>
  <c r="H27" i="54" s="1"/>
  <c r="H28" i="54" s="1"/>
  <c r="H124" i="54" s="1"/>
  <c r="H158" i="54" s="1"/>
  <c r="N29" i="54"/>
  <c r="N27" i="54" s="1"/>
  <c r="N28" i="54" s="1"/>
  <c r="N123" i="54" s="1"/>
  <c r="O32" i="55"/>
  <c r="I43" i="55"/>
  <c r="I41" i="55" s="1"/>
  <c r="I190" i="55" s="1"/>
  <c r="K22" i="55"/>
  <c r="K20" i="55" s="1"/>
  <c r="K21" i="55" s="1"/>
  <c r="J22" i="55"/>
  <c r="J20" i="55" s="1"/>
  <c r="J21" i="55" s="1"/>
  <c r="T43" i="55"/>
  <c r="T41" i="55" s="1"/>
  <c r="T42" i="55" s="1"/>
  <c r="G22" i="55"/>
  <c r="G20" i="55" s="1"/>
  <c r="G21" i="55" s="1"/>
  <c r="G113" i="55" s="1"/>
  <c r="O33" i="56"/>
  <c r="K50" i="56"/>
  <c r="K48" i="56" s="1"/>
  <c r="K49" i="56" s="1"/>
  <c r="K150" i="56" s="1"/>
  <c r="AC36" i="56"/>
  <c r="AC34" i="56" s="1"/>
  <c r="AC35" i="56" s="1"/>
  <c r="AD33" i="56"/>
  <c r="W36" i="57"/>
  <c r="W34" i="57" s="1"/>
  <c r="W35" i="57" s="1"/>
  <c r="I43" i="57"/>
  <c r="I41" i="57" s="1"/>
  <c r="I190" i="57" s="1"/>
  <c r="V36" i="57"/>
  <c r="V34" i="57" s="1"/>
  <c r="V35" i="57" s="1"/>
  <c r="S42" i="57"/>
  <c r="N43" i="54"/>
  <c r="N41" i="54" s="1"/>
  <c r="N190" i="54" s="1"/>
  <c r="E43" i="54"/>
  <c r="E41" i="54" s="1"/>
  <c r="E190" i="54" s="1"/>
  <c r="E192" i="54" s="1"/>
  <c r="E195" i="54" s="1"/>
  <c r="AA22" i="55"/>
  <c r="AA20" i="55" s="1"/>
  <c r="AA21" i="55" s="1"/>
  <c r="Z22" i="55"/>
  <c r="Z20" i="55" s="1"/>
  <c r="Z21" i="55" s="1"/>
  <c r="Z110" i="55" s="1"/>
  <c r="I36" i="56"/>
  <c r="I34" i="56" s="1"/>
  <c r="I35" i="56" s="1"/>
  <c r="H36" i="56"/>
  <c r="H34" i="56" s="1"/>
  <c r="H35" i="56" s="1"/>
  <c r="F50" i="57"/>
  <c r="F48" i="57" s="1"/>
  <c r="F49" i="57" s="1"/>
  <c r="F146" i="57" s="1"/>
  <c r="Y22" i="57"/>
  <c r="Y20" i="57" s="1"/>
  <c r="Y21" i="57" s="1"/>
  <c r="AD39" i="57"/>
  <c r="L36" i="57"/>
  <c r="L34" i="57" s="1"/>
  <c r="L35" i="57" s="1"/>
  <c r="M35" i="57"/>
  <c r="M130" i="57" s="1"/>
  <c r="AD33" i="36"/>
  <c r="Y22" i="55"/>
  <c r="Y20" i="55" s="1"/>
  <c r="Y21" i="55" s="1"/>
  <c r="Z36" i="56"/>
  <c r="Z34" i="56" s="1"/>
  <c r="Z35" i="56" s="1"/>
  <c r="Z22" i="36"/>
  <c r="Z20" i="36" s="1"/>
  <c r="Z21" i="36" s="1"/>
  <c r="Z111" i="36" s="1"/>
  <c r="K111" i="36" s="1"/>
  <c r="S36" i="36"/>
  <c r="S34" i="36" s="1"/>
  <c r="S35" i="36" s="1"/>
  <c r="Z43" i="36"/>
  <c r="Z41" i="36" s="1"/>
  <c r="Z42" i="36" s="1"/>
  <c r="E50" i="54"/>
  <c r="E48" i="54" s="1"/>
  <c r="E49" i="54" s="1"/>
  <c r="E146" i="54" s="1"/>
  <c r="H22" i="54"/>
  <c r="H20" i="54" s="1"/>
  <c r="H21" i="54" s="1"/>
  <c r="H113" i="54" s="1"/>
  <c r="D36" i="54"/>
  <c r="D34" i="54" s="1"/>
  <c r="D167" i="54" s="1"/>
  <c r="AD19" i="54"/>
  <c r="J36" i="54"/>
  <c r="J34" i="54" s="1"/>
  <c r="J35" i="54" s="1"/>
  <c r="Z36" i="55"/>
  <c r="Z34" i="55" s="1"/>
  <c r="Z35" i="55" s="1"/>
  <c r="S22" i="55"/>
  <c r="S20" i="55" s="1"/>
  <c r="S21" i="55" s="1"/>
  <c r="L43" i="56"/>
  <c r="L41" i="56" s="1"/>
  <c r="L190" i="56" s="1"/>
  <c r="U36" i="56"/>
  <c r="U34" i="56" s="1"/>
  <c r="U35" i="56" s="1"/>
  <c r="V36" i="56"/>
  <c r="V34" i="56" s="1"/>
  <c r="V35" i="56" s="1"/>
  <c r="X22" i="56"/>
  <c r="X20" i="56" s="1"/>
  <c r="X21" i="56" s="1"/>
  <c r="AB36" i="56"/>
  <c r="AB34" i="56" s="1"/>
  <c r="AB35" i="56" s="1"/>
  <c r="U42" i="57"/>
  <c r="G22" i="57"/>
  <c r="G20" i="57" s="1"/>
  <c r="G21" i="57" s="1"/>
  <c r="AB42" i="57"/>
  <c r="D36" i="57"/>
  <c r="D34" i="57" s="1"/>
  <c r="D167" i="57" s="1"/>
  <c r="AD33" i="57"/>
  <c r="E35" i="57"/>
  <c r="E130" i="57" s="1"/>
  <c r="I50" i="57"/>
  <c r="I48" i="57" s="1"/>
  <c r="I49" i="57" s="1"/>
  <c r="I149" i="57" s="1"/>
  <c r="N42" i="57"/>
  <c r="N139" i="57" s="1"/>
  <c r="AD39" i="55"/>
  <c r="G36" i="54"/>
  <c r="G34" i="54" s="1"/>
  <c r="G167" i="54" s="1"/>
  <c r="G169" i="54" s="1"/>
  <c r="G176" i="54" s="1"/>
  <c r="T36" i="54"/>
  <c r="T34" i="54" s="1"/>
  <c r="T35" i="54" s="1"/>
  <c r="Z36" i="54"/>
  <c r="Z34" i="54" s="1"/>
  <c r="Z35" i="54" s="1"/>
  <c r="I22" i="55"/>
  <c r="I20" i="55" s="1"/>
  <c r="I21" i="55" s="1"/>
  <c r="I113" i="55" s="1"/>
  <c r="M50" i="55"/>
  <c r="M48" i="55" s="1"/>
  <c r="M49" i="55" s="1"/>
  <c r="M147" i="55" s="1"/>
  <c r="H22" i="55"/>
  <c r="H20" i="55" s="1"/>
  <c r="H21" i="55" s="1"/>
  <c r="H114" i="55" s="1"/>
  <c r="L50" i="55"/>
  <c r="L48" i="55" s="1"/>
  <c r="L49" i="55" s="1"/>
  <c r="L150" i="55" s="1"/>
  <c r="W36" i="55"/>
  <c r="W34" i="55" s="1"/>
  <c r="W35" i="55" s="1"/>
  <c r="H29" i="55"/>
  <c r="H27" i="55" s="1"/>
  <c r="H28" i="55" s="1"/>
  <c r="H119" i="55" s="1"/>
  <c r="AB43" i="56"/>
  <c r="AB41" i="56" s="1"/>
  <c r="AB42" i="56" s="1"/>
  <c r="N43" i="56"/>
  <c r="N41" i="56" s="1"/>
  <c r="N190" i="56" s="1"/>
  <c r="N50" i="57"/>
  <c r="N48" i="57" s="1"/>
  <c r="N49" i="57" s="1"/>
  <c r="N151" i="57" s="1"/>
  <c r="Y36" i="57"/>
  <c r="Y34" i="57" s="1"/>
  <c r="Y35" i="57" s="1"/>
  <c r="X36" i="57"/>
  <c r="X34" i="57" s="1"/>
  <c r="X35" i="57" s="1"/>
  <c r="T42" i="57"/>
  <c r="W22" i="57"/>
  <c r="W20" i="57" s="1"/>
  <c r="W21" i="57" s="1"/>
  <c r="V22" i="36"/>
  <c r="V20" i="36" s="1"/>
  <c r="V21" i="36" s="1"/>
  <c r="I29" i="54"/>
  <c r="I27" i="54" s="1"/>
  <c r="I28" i="54" s="1"/>
  <c r="I123" i="54" s="1"/>
  <c r="E29" i="54"/>
  <c r="E27" i="54" s="1"/>
  <c r="E28" i="54" s="1"/>
  <c r="T118" i="54" s="1"/>
  <c r="E120" i="54" s="1"/>
  <c r="F29" i="54"/>
  <c r="F27" i="54" s="1"/>
  <c r="F28" i="54" s="1"/>
  <c r="F123" i="54" s="1"/>
  <c r="X43" i="54"/>
  <c r="X41" i="54" s="1"/>
  <c r="X42" i="54" s="1"/>
  <c r="I50" i="55"/>
  <c r="I48" i="55" s="1"/>
  <c r="I49" i="55" s="1"/>
  <c r="I150" i="55" s="1"/>
  <c r="H36" i="55"/>
  <c r="H34" i="55" s="1"/>
  <c r="H167" i="55" s="1"/>
  <c r="F50" i="55"/>
  <c r="F48" i="55" s="1"/>
  <c r="F49" i="55" s="1"/>
  <c r="F150" i="55" s="1"/>
  <c r="M43" i="55"/>
  <c r="M41" i="55" s="1"/>
  <c r="M190" i="55" s="1"/>
  <c r="K50" i="55"/>
  <c r="K48" i="55" s="1"/>
  <c r="K49" i="55" s="1"/>
  <c r="W22" i="56"/>
  <c r="W20" i="56" s="1"/>
  <c r="W21" i="56" s="1"/>
  <c r="J36" i="56"/>
  <c r="J34" i="56" s="1"/>
  <c r="J167" i="56" s="1"/>
  <c r="V22" i="56"/>
  <c r="V20" i="56" s="1"/>
  <c r="V21" i="56" s="1"/>
  <c r="AB22" i="56"/>
  <c r="AB20" i="56" s="1"/>
  <c r="AB21" i="56" s="1"/>
  <c r="G36" i="57"/>
  <c r="G34" i="57" s="1"/>
  <c r="G35" i="57" s="1"/>
  <c r="X22" i="57"/>
  <c r="X20" i="57" s="1"/>
  <c r="X21" i="57" s="1"/>
  <c r="AC36" i="57"/>
  <c r="AC34" i="57" s="1"/>
  <c r="AC35" i="57" s="1"/>
  <c r="Z42" i="57"/>
  <c r="V43" i="54"/>
  <c r="V41" i="54" s="1"/>
  <c r="V42" i="54" s="1"/>
  <c r="F36" i="54"/>
  <c r="F34" i="54" s="1"/>
  <c r="F167" i="54" s="1"/>
  <c r="H36" i="54"/>
  <c r="H34" i="54" s="1"/>
  <c r="H35" i="54" s="1"/>
  <c r="S36" i="55"/>
  <c r="S34" i="55" s="1"/>
  <c r="S35" i="55" s="1"/>
  <c r="X36" i="55"/>
  <c r="X34" i="55" s="1"/>
  <c r="X35" i="55" s="1"/>
  <c r="I29" i="55"/>
  <c r="I27" i="55" s="1"/>
  <c r="I28" i="55" s="1"/>
  <c r="X118" i="55" s="1"/>
  <c r="I120" i="55" s="1"/>
  <c r="E36" i="55"/>
  <c r="E34" i="55" s="1"/>
  <c r="E167" i="55" s="1"/>
  <c r="L29" i="56"/>
  <c r="L27" i="56" s="1"/>
  <c r="L28" i="56" s="1"/>
  <c r="AA118" i="56" s="1"/>
  <c r="M22" i="56"/>
  <c r="M20" i="56" s="1"/>
  <c r="M21" i="56" s="1"/>
  <c r="M114" i="56" s="1"/>
  <c r="L22" i="56"/>
  <c r="L20" i="56" s="1"/>
  <c r="L21" i="56" s="1"/>
  <c r="I22" i="57"/>
  <c r="I20" i="57" s="1"/>
  <c r="I21" i="57" s="1"/>
  <c r="N22" i="57"/>
  <c r="N20" i="57" s="1"/>
  <c r="N21" i="57" s="1"/>
  <c r="N109" i="57" s="1"/>
  <c r="E22" i="57"/>
  <c r="E20" i="57" s="1"/>
  <c r="E21" i="57" s="1"/>
  <c r="E114" i="57" s="1"/>
  <c r="U36" i="36"/>
  <c r="U34" i="36" s="1"/>
  <c r="U35" i="36" s="1"/>
  <c r="M43" i="54"/>
  <c r="M41" i="54" s="1"/>
  <c r="M190" i="54" s="1"/>
  <c r="W22" i="54"/>
  <c r="W20" i="54" s="1"/>
  <c r="W21" i="54" s="1"/>
  <c r="L29" i="54"/>
  <c r="L27" i="54" s="1"/>
  <c r="L28" i="54" s="1"/>
  <c r="L123" i="54" s="1"/>
  <c r="I36" i="55"/>
  <c r="I34" i="55" s="1"/>
  <c r="I35" i="55" s="1"/>
  <c r="AC22" i="55"/>
  <c r="AC20" i="55" s="1"/>
  <c r="AC21" i="55" s="1"/>
  <c r="N36" i="55"/>
  <c r="N34" i="55" s="1"/>
  <c r="N35" i="55" s="1"/>
  <c r="D36" i="56"/>
  <c r="D34" i="56" s="1"/>
  <c r="D167" i="56" s="1"/>
  <c r="D22" i="56"/>
  <c r="D20" i="56" s="1"/>
  <c r="D21" i="56" s="1"/>
  <c r="D110" i="56" s="1"/>
  <c r="O40" i="57"/>
  <c r="J43" i="57"/>
  <c r="J41" i="57" s="1"/>
  <c r="J190" i="57" s="1"/>
  <c r="Z22" i="57"/>
  <c r="Z20" i="57" s="1"/>
  <c r="Z21" i="57" s="1"/>
  <c r="F22" i="57"/>
  <c r="F20" i="57" s="1"/>
  <c r="F21" i="57" s="1"/>
  <c r="F109" i="57" s="1"/>
  <c r="AA42" i="57"/>
  <c r="K36" i="57"/>
  <c r="K34" i="57" s="1"/>
  <c r="K35" i="57" s="1"/>
  <c r="X42" i="57"/>
  <c r="C22" i="55"/>
  <c r="C20" i="55" s="1"/>
  <c r="R43" i="36"/>
  <c r="R41" i="36" s="1"/>
  <c r="AD38" i="36"/>
  <c r="P10" i="62"/>
  <c r="O14" i="55"/>
  <c r="O31" i="55"/>
  <c r="O14" i="57"/>
  <c r="AD38" i="57"/>
  <c r="D179" i="57"/>
  <c r="D182" i="57" s="1"/>
  <c r="O17" i="56"/>
  <c r="AD31" i="56"/>
  <c r="O14" i="54"/>
  <c r="O17" i="54"/>
  <c r="H190" i="57"/>
  <c r="K119" i="57"/>
  <c r="M169" i="57"/>
  <c r="M175" i="57" s="1"/>
  <c r="E169" i="57"/>
  <c r="E176" i="57" s="1"/>
  <c r="T105" i="57"/>
  <c r="R43" i="57"/>
  <c r="F179" i="57"/>
  <c r="E179" i="57"/>
  <c r="C182" i="57"/>
  <c r="D205" i="57"/>
  <c r="R34" i="57"/>
  <c r="G121" i="57"/>
  <c r="G124" i="57"/>
  <c r="G158" i="57" s="1"/>
  <c r="G119" i="57"/>
  <c r="G122" i="57"/>
  <c r="G118" i="57"/>
  <c r="G123" i="57"/>
  <c r="V105" i="57"/>
  <c r="AD19" i="57"/>
  <c r="AD18" i="57"/>
  <c r="I202" i="57"/>
  <c r="O17" i="57"/>
  <c r="M205" i="57"/>
  <c r="H182" i="57"/>
  <c r="S105" i="57"/>
  <c r="O18" i="57"/>
  <c r="AA105" i="57"/>
  <c r="O19" i="57"/>
  <c r="G205" i="57"/>
  <c r="N205" i="57"/>
  <c r="N192" i="57"/>
  <c r="N200" i="57" s="1"/>
  <c r="N208" i="57" s="1"/>
  <c r="O39" i="57"/>
  <c r="R22" i="57"/>
  <c r="W105" i="57"/>
  <c r="J202" i="57"/>
  <c r="O38" i="57"/>
  <c r="E205" i="57"/>
  <c r="O25" i="57"/>
  <c r="AC105" i="57"/>
  <c r="AC111" i="57" s="1"/>
  <c r="U105" i="57"/>
  <c r="AD31" i="57"/>
  <c r="O33" i="57"/>
  <c r="O26" i="57"/>
  <c r="O46" i="57"/>
  <c r="AD40" i="57"/>
  <c r="O32" i="57"/>
  <c r="K182" i="57"/>
  <c r="C205" i="57"/>
  <c r="F205" i="57"/>
  <c r="G182" i="57"/>
  <c r="K205" i="57"/>
  <c r="I119" i="57"/>
  <c r="I122" i="57"/>
  <c r="I118" i="57"/>
  <c r="I123" i="57"/>
  <c r="X105" i="57"/>
  <c r="I124" i="57"/>
  <c r="I158" i="57" s="1"/>
  <c r="I121" i="57"/>
  <c r="R105" i="57"/>
  <c r="C50" i="57"/>
  <c r="C43" i="57"/>
  <c r="Y105" i="57"/>
  <c r="C36" i="57"/>
  <c r="O31" i="57"/>
  <c r="I182" i="57"/>
  <c r="L205" i="57"/>
  <c r="AD32" i="57"/>
  <c r="AB105" i="57"/>
  <c r="O47" i="57"/>
  <c r="N179" i="57"/>
  <c r="AD17" i="57"/>
  <c r="M179" i="57"/>
  <c r="J182" i="57"/>
  <c r="C34" i="56"/>
  <c r="C35" i="56" s="1"/>
  <c r="K192" i="56"/>
  <c r="K200" i="56" s="1"/>
  <c r="K208" i="56" s="1"/>
  <c r="I113" i="56"/>
  <c r="X105" i="56"/>
  <c r="K179" i="56"/>
  <c r="O18" i="56"/>
  <c r="F202" i="56"/>
  <c r="AD32" i="56"/>
  <c r="O38" i="56"/>
  <c r="G182" i="56"/>
  <c r="I205" i="56"/>
  <c r="L182" i="56"/>
  <c r="E182" i="56"/>
  <c r="Z105" i="56"/>
  <c r="R105" i="56"/>
  <c r="O40" i="56"/>
  <c r="C179" i="56"/>
  <c r="O31" i="56"/>
  <c r="O25" i="56"/>
  <c r="E205" i="56"/>
  <c r="T105" i="56"/>
  <c r="C205" i="56"/>
  <c r="O39" i="56"/>
  <c r="S105" i="56"/>
  <c r="AB105" i="56"/>
  <c r="O19" i="56"/>
  <c r="AD38" i="56"/>
  <c r="M205" i="56"/>
  <c r="R36" i="56"/>
  <c r="N182" i="56"/>
  <c r="N202" i="56"/>
  <c r="O47" i="56"/>
  <c r="AD39" i="56"/>
  <c r="AA42" i="56"/>
  <c r="V105" i="56"/>
  <c r="AC105" i="56"/>
  <c r="U105" i="56"/>
  <c r="L205" i="56"/>
  <c r="H205" i="56"/>
  <c r="R43" i="56"/>
  <c r="Y105" i="56"/>
  <c r="J121" i="56"/>
  <c r="S42" i="56"/>
  <c r="F29" i="56"/>
  <c r="F27" i="56" s="1"/>
  <c r="F28" i="56" s="1"/>
  <c r="F123" i="56" s="1"/>
  <c r="Y42" i="56"/>
  <c r="J179" i="56"/>
  <c r="D42" i="56"/>
  <c r="D139" i="56" s="1"/>
  <c r="D182" i="56"/>
  <c r="H182" i="56"/>
  <c r="F182" i="56"/>
  <c r="AD17" i="56"/>
  <c r="AD18" i="56"/>
  <c r="AD40" i="56"/>
  <c r="W105" i="56"/>
  <c r="G202" i="56"/>
  <c r="D205" i="56"/>
  <c r="M182" i="56"/>
  <c r="O32" i="56"/>
  <c r="D192" i="56"/>
  <c r="D200" i="56" s="1"/>
  <c r="D208" i="56" s="1"/>
  <c r="O46" i="56"/>
  <c r="O26" i="56"/>
  <c r="O14" i="56"/>
  <c r="X42" i="56"/>
  <c r="AD19" i="56"/>
  <c r="AA116" i="56"/>
  <c r="AA117" i="56"/>
  <c r="K205" i="56"/>
  <c r="J205" i="56"/>
  <c r="AD31" i="55"/>
  <c r="AD33" i="55"/>
  <c r="O18" i="55"/>
  <c r="G121" i="55"/>
  <c r="G124" i="55"/>
  <c r="G158" i="55" s="1"/>
  <c r="G119" i="55"/>
  <c r="G122" i="55"/>
  <c r="G118" i="55"/>
  <c r="G123" i="55"/>
  <c r="V105" i="55"/>
  <c r="T105" i="55"/>
  <c r="E114" i="55"/>
  <c r="E110" i="55"/>
  <c r="E113" i="55"/>
  <c r="E109" i="55"/>
  <c r="E112" i="55"/>
  <c r="J205" i="55"/>
  <c r="H179" i="55"/>
  <c r="U42" i="55"/>
  <c r="R43" i="55"/>
  <c r="Z116" i="55"/>
  <c r="Z117" i="55"/>
  <c r="K182" i="55"/>
  <c r="N205" i="55"/>
  <c r="M205" i="55"/>
  <c r="K202" i="55"/>
  <c r="O33" i="55"/>
  <c r="O26" i="55"/>
  <c r="AD40" i="55"/>
  <c r="F205" i="55"/>
  <c r="L182" i="55"/>
  <c r="E205" i="55"/>
  <c r="D182" i="55"/>
  <c r="I205" i="55"/>
  <c r="W105" i="55"/>
  <c r="W111" i="55" s="1"/>
  <c r="O25" i="55"/>
  <c r="C29" i="55"/>
  <c r="C202" i="55"/>
  <c r="O38" i="55"/>
  <c r="O46" i="55"/>
  <c r="R105" i="55"/>
  <c r="AD32" i="55"/>
  <c r="L202" i="55"/>
  <c r="AD18" i="55"/>
  <c r="J182" i="55"/>
  <c r="I182" i="55"/>
  <c r="M182" i="55"/>
  <c r="C182" i="55"/>
  <c r="O19" i="55"/>
  <c r="L21" i="55"/>
  <c r="L112" i="55" s="1"/>
  <c r="AC105" i="55"/>
  <c r="N114" i="55"/>
  <c r="N110" i="55"/>
  <c r="N113" i="55"/>
  <c r="N109" i="55"/>
  <c r="N112" i="55"/>
  <c r="U105" i="55"/>
  <c r="D202" i="55"/>
  <c r="S105" i="55"/>
  <c r="O40" i="55"/>
  <c r="AD38" i="55"/>
  <c r="X105" i="55"/>
  <c r="X111" i="55" s="1"/>
  <c r="C34" i="55"/>
  <c r="R36" i="55"/>
  <c r="AB35" i="55"/>
  <c r="D21" i="55"/>
  <c r="D112" i="55" s="1"/>
  <c r="O39" i="55"/>
  <c r="AB21" i="55"/>
  <c r="AA105" i="55"/>
  <c r="C50" i="55"/>
  <c r="AD17" i="55"/>
  <c r="E182" i="55"/>
  <c r="O17" i="55"/>
  <c r="Y105" i="55"/>
  <c r="T35" i="55"/>
  <c r="AD19" i="55"/>
  <c r="AB105" i="55"/>
  <c r="M114" i="55"/>
  <c r="M110" i="55"/>
  <c r="M113" i="55"/>
  <c r="M109" i="55"/>
  <c r="M112" i="55"/>
  <c r="G179" i="55"/>
  <c r="O47" i="55"/>
  <c r="H205" i="55"/>
  <c r="G205" i="55"/>
  <c r="G192" i="54"/>
  <c r="G199" i="54" s="1"/>
  <c r="R20" i="54"/>
  <c r="R21" i="54" s="1"/>
  <c r="F190" i="54"/>
  <c r="F42" i="54"/>
  <c r="D179" i="54"/>
  <c r="L205" i="54"/>
  <c r="O26" i="54"/>
  <c r="F179" i="54"/>
  <c r="E202" i="54"/>
  <c r="C29" i="54"/>
  <c r="R105" i="54"/>
  <c r="C179" i="54"/>
  <c r="O31" i="54"/>
  <c r="K169" i="54"/>
  <c r="K172" i="54" s="1"/>
  <c r="AD38" i="54"/>
  <c r="J182" i="54"/>
  <c r="AB105" i="54"/>
  <c r="M114" i="54"/>
  <c r="M113" i="54"/>
  <c r="M109" i="54"/>
  <c r="M112" i="54"/>
  <c r="M110" i="54"/>
  <c r="X105" i="54"/>
  <c r="V105" i="54"/>
  <c r="AD39" i="54"/>
  <c r="O25" i="54"/>
  <c r="K202" i="54"/>
  <c r="O38" i="54"/>
  <c r="O19" i="54"/>
  <c r="D205" i="54"/>
  <c r="H202" i="54"/>
  <c r="R43" i="54"/>
  <c r="AD32" i="54"/>
  <c r="C205" i="54"/>
  <c r="N205" i="54"/>
  <c r="F50" i="54"/>
  <c r="F48" i="54" s="1"/>
  <c r="F49" i="54" s="1"/>
  <c r="F147" i="54" s="1"/>
  <c r="O47" i="54"/>
  <c r="E114" i="54"/>
  <c r="E113" i="54"/>
  <c r="E112" i="54"/>
  <c r="E109" i="54"/>
  <c r="T105" i="54"/>
  <c r="E110" i="54"/>
  <c r="W105" i="54"/>
  <c r="S42" i="54"/>
  <c r="G22" i="54"/>
  <c r="G20" i="54" s="1"/>
  <c r="G21" i="54" s="1"/>
  <c r="G113" i="54" s="1"/>
  <c r="R36" i="54"/>
  <c r="G202" i="54"/>
  <c r="G42" i="54"/>
  <c r="G139" i="54" s="1"/>
  <c r="I202" i="54"/>
  <c r="I42" i="54"/>
  <c r="I139" i="54" s="1"/>
  <c r="J202" i="54"/>
  <c r="Z105" i="54"/>
  <c r="K124" i="54"/>
  <c r="K158" i="54" s="1"/>
  <c r="AD31" i="54"/>
  <c r="I179" i="54"/>
  <c r="H182" i="54"/>
  <c r="AD40" i="54"/>
  <c r="C22" i="54"/>
  <c r="AD17" i="54"/>
  <c r="AA35" i="54"/>
  <c r="Y105" i="54"/>
  <c r="C36" i="54"/>
  <c r="F205" i="54"/>
  <c r="D112" i="54"/>
  <c r="S105" i="54"/>
  <c r="O33" i="54"/>
  <c r="AC105" i="54"/>
  <c r="AD18" i="54"/>
  <c r="AA105" i="54"/>
  <c r="O46" i="54"/>
  <c r="O40" i="54"/>
  <c r="G179" i="54"/>
  <c r="L179" i="54"/>
  <c r="U105" i="54"/>
  <c r="N179" i="54"/>
  <c r="M179" i="54"/>
  <c r="O39" i="54"/>
  <c r="AD33" i="54"/>
  <c r="I192" i="54"/>
  <c r="I200" i="54" s="1"/>
  <c r="M202" i="54"/>
  <c r="E179" i="54"/>
  <c r="K179" i="54"/>
  <c r="K35" i="54"/>
  <c r="K130" i="54" s="1"/>
  <c r="AD32" i="36"/>
  <c r="V43" i="36"/>
  <c r="V41" i="36" s="1"/>
  <c r="V42" i="36" s="1"/>
  <c r="AC43" i="36"/>
  <c r="AC41" i="36" s="1"/>
  <c r="AC42" i="36" s="1"/>
  <c r="W22" i="36"/>
  <c r="W20" i="36" s="1"/>
  <c r="W21" i="36" s="1"/>
  <c r="Y43" i="36"/>
  <c r="Y41" i="36" s="1"/>
  <c r="Y42" i="36" s="1"/>
  <c r="T22" i="36"/>
  <c r="AB22" i="36"/>
  <c r="AB20" i="36" s="1"/>
  <c r="AB21" i="36" s="1"/>
  <c r="AD40" i="36"/>
  <c r="AD19" i="36"/>
  <c r="AD18" i="36"/>
  <c r="R36" i="36"/>
  <c r="R34" i="36" s="1"/>
  <c r="R35" i="36" s="1"/>
  <c r="U43" i="36"/>
  <c r="U41" i="36" s="1"/>
  <c r="U42" i="36" s="1"/>
  <c r="AD17" i="36"/>
  <c r="C205" i="36"/>
  <c r="O182" i="36"/>
  <c r="AD31" i="36"/>
  <c r="O14" i="36"/>
  <c r="D113" i="54" l="1"/>
  <c r="J124" i="56"/>
  <c r="J158" i="56" s="1"/>
  <c r="L122" i="57"/>
  <c r="D109" i="54"/>
  <c r="L118" i="57"/>
  <c r="D110" i="54"/>
  <c r="J123" i="56"/>
  <c r="I110" i="56"/>
  <c r="L119" i="57"/>
  <c r="H109" i="56"/>
  <c r="J118" i="56"/>
  <c r="I114" i="56"/>
  <c r="L124" i="57"/>
  <c r="L158" i="57" s="1"/>
  <c r="J122" i="56"/>
  <c r="L121" i="57"/>
  <c r="L125" i="57" s="1"/>
  <c r="I112" i="56"/>
  <c r="J119" i="56"/>
  <c r="L123" i="57"/>
  <c r="M148" i="54"/>
  <c r="AB111" i="56"/>
  <c r="M150" i="54"/>
  <c r="E42" i="54"/>
  <c r="L35" i="55"/>
  <c r="AA111" i="55"/>
  <c r="M151" i="54"/>
  <c r="T111" i="56"/>
  <c r="E111" i="56" s="1"/>
  <c r="F109" i="54"/>
  <c r="E121" i="54"/>
  <c r="F110" i="55"/>
  <c r="F113" i="55"/>
  <c r="E122" i="54"/>
  <c r="E123" i="54"/>
  <c r="F114" i="55"/>
  <c r="J118" i="57"/>
  <c r="J121" i="54"/>
  <c r="E118" i="54"/>
  <c r="L109" i="54"/>
  <c r="E119" i="54"/>
  <c r="F112" i="55"/>
  <c r="H121" i="57"/>
  <c r="E124" i="54"/>
  <c r="E158" i="54" s="1"/>
  <c r="M121" i="56"/>
  <c r="K121" i="54"/>
  <c r="K122" i="54"/>
  <c r="Z111" i="56"/>
  <c r="K111" i="56" s="1"/>
  <c r="G35" i="56"/>
  <c r="G130" i="56" s="1"/>
  <c r="M147" i="54"/>
  <c r="M149" i="54"/>
  <c r="H112" i="57"/>
  <c r="H110" i="57"/>
  <c r="I118" i="55"/>
  <c r="T111" i="55"/>
  <c r="X111" i="56"/>
  <c r="I111" i="56" s="1"/>
  <c r="AC111" i="54"/>
  <c r="F122" i="57"/>
  <c r="E190" i="57"/>
  <c r="E139" i="57" s="1"/>
  <c r="Z113" i="36"/>
  <c r="D190" i="57"/>
  <c r="D192" i="57" s="1"/>
  <c r="D195" i="57" s="1"/>
  <c r="D203" i="57" s="1"/>
  <c r="D137" i="57" s="1"/>
  <c r="K42" i="55"/>
  <c r="K139" i="55" s="1"/>
  <c r="N142" i="57"/>
  <c r="G35" i="55"/>
  <c r="G130" i="55" s="1"/>
  <c r="H190" i="56"/>
  <c r="H139" i="56" s="1"/>
  <c r="AA113" i="56"/>
  <c r="K142" i="56"/>
  <c r="S111" i="55"/>
  <c r="D111" i="55" s="1"/>
  <c r="U111" i="55"/>
  <c r="F111" i="55" s="1"/>
  <c r="AA111" i="54"/>
  <c r="L111" i="54" s="1"/>
  <c r="N118" i="54"/>
  <c r="N121" i="54"/>
  <c r="W111" i="54"/>
  <c r="H111" i="54" s="1"/>
  <c r="Y111" i="55"/>
  <c r="J111" i="55" s="1"/>
  <c r="F112" i="54"/>
  <c r="F121" i="55"/>
  <c r="E42" i="55"/>
  <c r="E137" i="55" s="1"/>
  <c r="M118" i="56"/>
  <c r="D114" i="57"/>
  <c r="F114" i="54"/>
  <c r="L114" i="54"/>
  <c r="J124" i="54"/>
  <c r="J158" i="54" s="1"/>
  <c r="F118" i="55"/>
  <c r="F123" i="55"/>
  <c r="J122" i="57"/>
  <c r="F119" i="57"/>
  <c r="Z114" i="55"/>
  <c r="H118" i="57"/>
  <c r="J123" i="54"/>
  <c r="AC111" i="56"/>
  <c r="N111" i="56" s="1"/>
  <c r="N157" i="56" s="1"/>
  <c r="H122" i="57"/>
  <c r="D112" i="57"/>
  <c r="K167" i="55"/>
  <c r="K175" i="55" s="1"/>
  <c r="K183" i="55" s="1"/>
  <c r="K131" i="55" s="1"/>
  <c r="T111" i="54"/>
  <c r="J118" i="54"/>
  <c r="X111" i="54"/>
  <c r="I111" i="54" s="1"/>
  <c r="H124" i="57"/>
  <c r="H158" i="57" s="1"/>
  <c r="D109" i="57"/>
  <c r="V111" i="55"/>
  <c r="G111" i="55" s="1"/>
  <c r="G157" i="55" s="1"/>
  <c r="D113" i="57"/>
  <c r="U111" i="54"/>
  <c r="F111" i="54" s="1"/>
  <c r="M122" i="56"/>
  <c r="J121" i="57"/>
  <c r="R111" i="54"/>
  <c r="C111" i="54" s="1"/>
  <c r="N151" i="55"/>
  <c r="R109" i="36"/>
  <c r="R114" i="36"/>
  <c r="AB111" i="55"/>
  <c r="M111" i="55" s="1"/>
  <c r="AA109" i="56"/>
  <c r="N121" i="56"/>
  <c r="J112" i="56"/>
  <c r="N123" i="56"/>
  <c r="D148" i="55"/>
  <c r="V111" i="56"/>
  <c r="G111" i="56" s="1"/>
  <c r="K109" i="57"/>
  <c r="G146" i="55"/>
  <c r="Z111" i="54"/>
  <c r="K111" i="54" s="1"/>
  <c r="AA110" i="56"/>
  <c r="J114" i="56"/>
  <c r="N118" i="56"/>
  <c r="K112" i="57"/>
  <c r="I149" i="55"/>
  <c r="X114" i="36"/>
  <c r="AC111" i="55"/>
  <c r="N111" i="55" s="1"/>
  <c r="AA114" i="56"/>
  <c r="J109" i="56"/>
  <c r="N122" i="56"/>
  <c r="K113" i="57"/>
  <c r="T118" i="56"/>
  <c r="E120" i="56" s="1"/>
  <c r="J110" i="56"/>
  <c r="N119" i="56"/>
  <c r="F35" i="56"/>
  <c r="F130" i="56" s="1"/>
  <c r="K110" i="57"/>
  <c r="C124" i="57"/>
  <c r="I146" i="56"/>
  <c r="X113" i="36"/>
  <c r="AA112" i="56"/>
  <c r="N124" i="56"/>
  <c r="N158" i="56" s="1"/>
  <c r="F35" i="55"/>
  <c r="F128" i="55" s="1"/>
  <c r="I123" i="55"/>
  <c r="G149" i="56"/>
  <c r="W118" i="55"/>
  <c r="H120" i="55" s="1"/>
  <c r="G150" i="54"/>
  <c r="J147" i="56"/>
  <c r="I122" i="55"/>
  <c r="C122" i="57"/>
  <c r="E148" i="54"/>
  <c r="Z109" i="36"/>
  <c r="Z110" i="36"/>
  <c r="Z114" i="36"/>
  <c r="I119" i="55"/>
  <c r="Z111" i="57"/>
  <c r="K111" i="57" s="1"/>
  <c r="J146" i="54"/>
  <c r="J147" i="57"/>
  <c r="I124" i="55"/>
  <c r="I158" i="55" s="1"/>
  <c r="D142" i="56"/>
  <c r="Y111" i="57"/>
  <c r="J111" i="57" s="1"/>
  <c r="X111" i="57"/>
  <c r="I111" i="57" s="1"/>
  <c r="I157" i="57" s="1"/>
  <c r="F149" i="55"/>
  <c r="D146" i="57"/>
  <c r="Y111" i="54"/>
  <c r="J111" i="54" s="1"/>
  <c r="AB111" i="54"/>
  <c r="M111" i="54" s="1"/>
  <c r="AB111" i="57"/>
  <c r="M111" i="57" s="1"/>
  <c r="S111" i="57"/>
  <c r="D111" i="57" s="1"/>
  <c r="G147" i="57"/>
  <c r="L151" i="56"/>
  <c r="F151" i="57"/>
  <c r="N148" i="56"/>
  <c r="N146" i="54"/>
  <c r="H118" i="54"/>
  <c r="I121" i="55"/>
  <c r="U111" i="56"/>
  <c r="F111" i="56" s="1"/>
  <c r="W111" i="57"/>
  <c r="H111" i="57" s="1"/>
  <c r="H146" i="57"/>
  <c r="D149" i="56"/>
  <c r="Z112" i="36"/>
  <c r="F150" i="56"/>
  <c r="J148" i="55"/>
  <c r="M146" i="55"/>
  <c r="M150" i="57"/>
  <c r="I148" i="57"/>
  <c r="F169" i="57"/>
  <c r="F176" i="57" s="1"/>
  <c r="F184" i="57" s="1"/>
  <c r="W118" i="56"/>
  <c r="H120" i="56" s="1"/>
  <c r="D35" i="56"/>
  <c r="D128" i="56" s="1"/>
  <c r="K118" i="57"/>
  <c r="G192" i="56"/>
  <c r="G198" i="56" s="1"/>
  <c r="G206" i="56" s="1"/>
  <c r="Z118" i="57"/>
  <c r="K120" i="57" s="1"/>
  <c r="E151" i="57"/>
  <c r="N148" i="57"/>
  <c r="F148" i="56"/>
  <c r="G147" i="56"/>
  <c r="D151" i="55"/>
  <c r="E151" i="54"/>
  <c r="J149" i="54"/>
  <c r="F147" i="55"/>
  <c r="AA118" i="54"/>
  <c r="L120" i="54" s="1"/>
  <c r="H149" i="57"/>
  <c r="J151" i="55"/>
  <c r="G149" i="55"/>
  <c r="F149" i="54"/>
  <c r="D149" i="57"/>
  <c r="U118" i="57"/>
  <c r="F120" i="57" s="1"/>
  <c r="D147" i="56"/>
  <c r="L147" i="55"/>
  <c r="H148" i="55"/>
  <c r="I147" i="55"/>
  <c r="J150" i="57"/>
  <c r="Z111" i="55"/>
  <c r="K111" i="55" s="1"/>
  <c r="K151" i="54"/>
  <c r="L151" i="57"/>
  <c r="I149" i="56"/>
  <c r="AB118" i="56"/>
  <c r="M120" i="56" s="1"/>
  <c r="E148" i="55"/>
  <c r="V118" i="54"/>
  <c r="G120" i="54" s="1"/>
  <c r="S118" i="54"/>
  <c r="D120" i="54" s="1"/>
  <c r="N149" i="54"/>
  <c r="I151" i="57"/>
  <c r="H151" i="56"/>
  <c r="J150" i="56"/>
  <c r="K147" i="56"/>
  <c r="L110" i="57"/>
  <c r="D118" i="57"/>
  <c r="D192" i="55"/>
  <c r="D199" i="55" s="1"/>
  <c r="K169" i="56"/>
  <c r="K172" i="56" s="1"/>
  <c r="K180" i="56" s="1"/>
  <c r="N192" i="55"/>
  <c r="N199" i="55" s="1"/>
  <c r="N207" i="55" s="1"/>
  <c r="K148" i="57"/>
  <c r="N147" i="57"/>
  <c r="G149" i="57"/>
  <c r="F147" i="56"/>
  <c r="G146" i="56"/>
  <c r="J151" i="54"/>
  <c r="L147" i="54"/>
  <c r="W118" i="57"/>
  <c r="H120" i="57" s="1"/>
  <c r="Y118" i="55"/>
  <c r="J120" i="55" s="1"/>
  <c r="F151" i="54"/>
  <c r="S118" i="57"/>
  <c r="D120" i="57" s="1"/>
  <c r="F148" i="57"/>
  <c r="L149" i="55"/>
  <c r="M149" i="55"/>
  <c r="H150" i="55"/>
  <c r="I146" i="55"/>
  <c r="J149" i="57"/>
  <c r="N150" i="56"/>
  <c r="L148" i="57"/>
  <c r="M147" i="57"/>
  <c r="I151" i="56"/>
  <c r="E150" i="55"/>
  <c r="G147" i="54"/>
  <c r="D147" i="54"/>
  <c r="N151" i="54"/>
  <c r="I150" i="57"/>
  <c r="H148" i="56"/>
  <c r="K146" i="56"/>
  <c r="N146" i="55"/>
  <c r="E120" i="55"/>
  <c r="S111" i="54"/>
  <c r="D111" i="54" s="1"/>
  <c r="W111" i="56"/>
  <c r="H111" i="56" s="1"/>
  <c r="S111" i="56"/>
  <c r="D111" i="56" s="1"/>
  <c r="L114" i="57"/>
  <c r="Z117" i="57"/>
  <c r="D169" i="54"/>
  <c r="D176" i="54" s="1"/>
  <c r="D184" i="54" s="1"/>
  <c r="I192" i="57"/>
  <c r="I200" i="57" s="1"/>
  <c r="I208" i="57" s="1"/>
  <c r="N169" i="57"/>
  <c r="N176" i="57" s="1"/>
  <c r="N184" i="57" s="1"/>
  <c r="K151" i="57"/>
  <c r="E150" i="57"/>
  <c r="N150" i="57"/>
  <c r="G146" i="57"/>
  <c r="F149" i="56"/>
  <c r="G151" i="56"/>
  <c r="D150" i="55"/>
  <c r="E150" i="54"/>
  <c r="F151" i="55"/>
  <c r="L150" i="54"/>
  <c r="L146" i="56"/>
  <c r="H151" i="57"/>
  <c r="G148" i="55"/>
  <c r="F148" i="54"/>
  <c r="D151" i="57"/>
  <c r="D151" i="56"/>
  <c r="L146" i="55"/>
  <c r="M151" i="55"/>
  <c r="H147" i="55"/>
  <c r="I151" i="55"/>
  <c r="N147" i="56"/>
  <c r="K150" i="54"/>
  <c r="L150" i="57"/>
  <c r="M149" i="57"/>
  <c r="X118" i="56"/>
  <c r="I120" i="56" s="1"/>
  <c r="E147" i="55"/>
  <c r="D150" i="54"/>
  <c r="X118" i="54"/>
  <c r="I120" i="54" s="1"/>
  <c r="N148" i="54"/>
  <c r="I147" i="57"/>
  <c r="J149" i="56"/>
  <c r="K149" i="56"/>
  <c r="N148" i="55"/>
  <c r="H169" i="55"/>
  <c r="H172" i="55" s="1"/>
  <c r="H180" i="55" s="1"/>
  <c r="N169" i="54"/>
  <c r="N176" i="54" s="1"/>
  <c r="N184" i="54" s="1"/>
  <c r="N132" i="54" s="1"/>
  <c r="F146" i="54"/>
  <c r="G119" i="56"/>
  <c r="L112" i="57"/>
  <c r="Z116" i="57"/>
  <c r="F169" i="54"/>
  <c r="F177" i="54" s="1"/>
  <c r="F185" i="54" s="1"/>
  <c r="J169" i="56"/>
  <c r="J175" i="56" s="1"/>
  <c r="J183" i="56" s="1"/>
  <c r="K121" i="55"/>
  <c r="Z118" i="55"/>
  <c r="K120" i="55" s="1"/>
  <c r="K192" i="57"/>
  <c r="K196" i="57" s="1"/>
  <c r="K204" i="57" s="1"/>
  <c r="D120" i="55"/>
  <c r="I192" i="56"/>
  <c r="I196" i="56" s="1"/>
  <c r="I204" i="56" s="1"/>
  <c r="M169" i="54"/>
  <c r="M175" i="54" s="1"/>
  <c r="M183" i="54" s="1"/>
  <c r="G192" i="55"/>
  <c r="G199" i="55" s="1"/>
  <c r="G207" i="55" s="1"/>
  <c r="M120" i="54"/>
  <c r="L192" i="55"/>
  <c r="L200" i="55" s="1"/>
  <c r="L208" i="55" s="1"/>
  <c r="L130" i="55"/>
  <c r="K150" i="57"/>
  <c r="E147" i="57"/>
  <c r="N149" i="57"/>
  <c r="F146" i="56"/>
  <c r="V118" i="56"/>
  <c r="G120" i="56" s="1"/>
  <c r="D147" i="55"/>
  <c r="Y118" i="54"/>
  <c r="J120" i="54" s="1"/>
  <c r="F146" i="55"/>
  <c r="L149" i="54"/>
  <c r="L148" i="56"/>
  <c r="H148" i="57"/>
  <c r="J147" i="55"/>
  <c r="U118" i="54"/>
  <c r="F120" i="54" s="1"/>
  <c r="F147" i="57"/>
  <c r="S118" i="56"/>
  <c r="D120" i="56" s="1"/>
  <c r="L151" i="55"/>
  <c r="M148" i="55"/>
  <c r="H149" i="55"/>
  <c r="I148" i="55"/>
  <c r="J151" i="57"/>
  <c r="N149" i="56"/>
  <c r="Z118" i="54"/>
  <c r="K120" i="54" s="1"/>
  <c r="L147" i="57"/>
  <c r="M146" i="57"/>
  <c r="I148" i="56"/>
  <c r="G146" i="54"/>
  <c r="D149" i="54"/>
  <c r="AC118" i="54"/>
  <c r="N120" i="54" s="1"/>
  <c r="H147" i="56"/>
  <c r="J146" i="56"/>
  <c r="K151" i="56"/>
  <c r="AC118" i="55"/>
  <c r="N120" i="55" s="1"/>
  <c r="V111" i="54"/>
  <c r="G111" i="54" s="1"/>
  <c r="N192" i="56"/>
  <c r="N195" i="56" s="1"/>
  <c r="N203" i="56" s="1"/>
  <c r="K147" i="57"/>
  <c r="E149" i="57"/>
  <c r="N146" i="57"/>
  <c r="G151" i="57"/>
  <c r="G148" i="56"/>
  <c r="E147" i="54"/>
  <c r="J148" i="54"/>
  <c r="F148" i="55"/>
  <c r="L146" i="54"/>
  <c r="L150" i="56"/>
  <c r="H150" i="57"/>
  <c r="J150" i="55"/>
  <c r="G151" i="55"/>
  <c r="F150" i="54"/>
  <c r="D148" i="57"/>
  <c r="F150" i="57"/>
  <c r="D146" i="56"/>
  <c r="L148" i="55"/>
  <c r="AB118" i="55"/>
  <c r="M120" i="55" s="1"/>
  <c r="H146" i="55"/>
  <c r="J146" i="57"/>
  <c r="N146" i="56"/>
  <c r="K147" i="54"/>
  <c r="L149" i="57"/>
  <c r="AB118" i="57"/>
  <c r="M120" i="57" s="1"/>
  <c r="I150" i="56"/>
  <c r="E146" i="55"/>
  <c r="G149" i="54"/>
  <c r="D146" i="54"/>
  <c r="N150" i="54"/>
  <c r="I146" i="57"/>
  <c r="H150" i="56"/>
  <c r="J151" i="56"/>
  <c r="Z118" i="56"/>
  <c r="K120" i="56" s="1"/>
  <c r="N150" i="55"/>
  <c r="E148" i="57"/>
  <c r="F139" i="54"/>
  <c r="Y111" i="56"/>
  <c r="J111" i="56" s="1"/>
  <c r="J157" i="56" s="1"/>
  <c r="D169" i="56"/>
  <c r="D176" i="56" s="1"/>
  <c r="D184" i="56" s="1"/>
  <c r="U111" i="57"/>
  <c r="F111" i="57" s="1"/>
  <c r="L109" i="57"/>
  <c r="AA111" i="57"/>
  <c r="L111" i="57" s="1"/>
  <c r="L157" i="57" s="1"/>
  <c r="V111" i="57"/>
  <c r="G111" i="57" s="1"/>
  <c r="G157" i="57" s="1"/>
  <c r="E109" i="57"/>
  <c r="H139" i="57"/>
  <c r="J192" i="57"/>
  <c r="L120" i="56"/>
  <c r="L157" i="56" s="1"/>
  <c r="K150" i="55"/>
  <c r="K148" i="55"/>
  <c r="K151" i="55"/>
  <c r="K146" i="55"/>
  <c r="K149" i="55"/>
  <c r="K147" i="55"/>
  <c r="L192" i="54"/>
  <c r="L199" i="54" s="1"/>
  <c r="L207" i="54" s="1"/>
  <c r="H192" i="54"/>
  <c r="H199" i="54" s="1"/>
  <c r="H207" i="54" s="1"/>
  <c r="F192" i="56"/>
  <c r="F198" i="56" s="1"/>
  <c r="F206" i="56" s="1"/>
  <c r="K149" i="57"/>
  <c r="AC118" i="57"/>
  <c r="N120" i="57" s="1"/>
  <c r="G148" i="57"/>
  <c r="U118" i="56"/>
  <c r="F120" i="56" s="1"/>
  <c r="D149" i="55"/>
  <c r="E149" i="54"/>
  <c r="J150" i="54"/>
  <c r="U118" i="55"/>
  <c r="F120" i="55" s="1"/>
  <c r="L151" i="54"/>
  <c r="L147" i="56"/>
  <c r="J149" i="55"/>
  <c r="G150" i="55"/>
  <c r="D150" i="57"/>
  <c r="F149" i="57"/>
  <c r="D148" i="56"/>
  <c r="AA118" i="55"/>
  <c r="L120" i="55" s="1"/>
  <c r="M150" i="55"/>
  <c r="Y118" i="57"/>
  <c r="J120" i="57" s="1"/>
  <c r="K149" i="54"/>
  <c r="M151" i="57"/>
  <c r="E149" i="55"/>
  <c r="G151" i="54"/>
  <c r="W118" i="54"/>
  <c r="H120" i="54" s="1"/>
  <c r="D151" i="54"/>
  <c r="H149" i="56"/>
  <c r="K148" i="56"/>
  <c r="N147" i="55"/>
  <c r="K148" i="54"/>
  <c r="T111" i="57"/>
  <c r="E138" i="54"/>
  <c r="E139" i="54"/>
  <c r="H130" i="57"/>
  <c r="H133" i="57"/>
  <c r="K192" i="54"/>
  <c r="K195" i="54" s="1"/>
  <c r="K203" i="54" s="1"/>
  <c r="J192" i="54"/>
  <c r="J198" i="54" s="1"/>
  <c r="J206" i="54" s="1"/>
  <c r="T118" i="57"/>
  <c r="E120" i="57" s="1"/>
  <c r="C113" i="57"/>
  <c r="C110" i="57"/>
  <c r="C109" i="57"/>
  <c r="C114" i="57"/>
  <c r="C112" i="57"/>
  <c r="C123" i="57"/>
  <c r="C121" i="57"/>
  <c r="C119" i="57"/>
  <c r="C118" i="57"/>
  <c r="V112" i="36"/>
  <c r="V111" i="36"/>
  <c r="G111" i="36" s="1"/>
  <c r="U111" i="36"/>
  <c r="F111" i="36" s="1"/>
  <c r="S114" i="36"/>
  <c r="S111" i="36"/>
  <c r="D111" i="36" s="1"/>
  <c r="AC112" i="36"/>
  <c r="AC111" i="36"/>
  <c r="N111" i="36" s="1"/>
  <c r="AA111" i="36"/>
  <c r="L111" i="36" s="1"/>
  <c r="AB114" i="36"/>
  <c r="AB111" i="36"/>
  <c r="M111" i="36" s="1"/>
  <c r="X110" i="36"/>
  <c r="X112" i="36"/>
  <c r="R113" i="36"/>
  <c r="R111" i="36"/>
  <c r="C111" i="36" s="1"/>
  <c r="Y113" i="36"/>
  <c r="Y111" i="36"/>
  <c r="J111" i="36" s="1"/>
  <c r="W113" i="36"/>
  <c r="W111" i="36"/>
  <c r="H111" i="36" s="1"/>
  <c r="X109" i="36"/>
  <c r="E35" i="54"/>
  <c r="E132" i="54" s="1"/>
  <c r="F113" i="54"/>
  <c r="L113" i="54"/>
  <c r="L112" i="54"/>
  <c r="J122" i="54"/>
  <c r="F122" i="55"/>
  <c r="F124" i="55"/>
  <c r="F158" i="55" s="1"/>
  <c r="M167" i="55"/>
  <c r="M119" i="56"/>
  <c r="D124" i="56"/>
  <c r="D158" i="56" s="1"/>
  <c r="N167" i="56"/>
  <c r="J124" i="57"/>
  <c r="J158" i="57" s="1"/>
  <c r="F123" i="57"/>
  <c r="F124" i="57"/>
  <c r="F158" i="57" s="1"/>
  <c r="N113" i="57"/>
  <c r="H109" i="57"/>
  <c r="K123" i="57"/>
  <c r="K122" i="57"/>
  <c r="N42" i="56"/>
  <c r="N139" i="56" s="1"/>
  <c r="D121" i="54"/>
  <c r="H42" i="55"/>
  <c r="H139" i="55" s="1"/>
  <c r="L42" i="55"/>
  <c r="L139" i="55" s="1"/>
  <c r="M124" i="56"/>
  <c r="M158" i="56" s="1"/>
  <c r="J42" i="56"/>
  <c r="J139" i="56" s="1"/>
  <c r="J119" i="57"/>
  <c r="F118" i="57"/>
  <c r="H123" i="57"/>
  <c r="L190" i="57"/>
  <c r="K124" i="57"/>
  <c r="K158" i="57" s="1"/>
  <c r="N110" i="57"/>
  <c r="E112" i="57"/>
  <c r="N167" i="55"/>
  <c r="N169" i="55" s="1"/>
  <c r="N173" i="55" s="1"/>
  <c r="N181" i="55" s="1"/>
  <c r="N114" i="57"/>
  <c r="L110" i="55"/>
  <c r="G110" i="55"/>
  <c r="N112" i="57"/>
  <c r="E113" i="57"/>
  <c r="H121" i="54"/>
  <c r="J119" i="55"/>
  <c r="E110" i="57"/>
  <c r="M118" i="54"/>
  <c r="K122" i="55"/>
  <c r="K118" i="55"/>
  <c r="D122" i="56"/>
  <c r="D121" i="56"/>
  <c r="M119" i="54"/>
  <c r="M123" i="54"/>
  <c r="D123" i="55"/>
  <c r="K123" i="55"/>
  <c r="Y110" i="36"/>
  <c r="M124" i="54"/>
  <c r="M158" i="54" s="1"/>
  <c r="M122" i="54"/>
  <c r="M121" i="54"/>
  <c r="D123" i="56"/>
  <c r="D119" i="56"/>
  <c r="E121" i="56"/>
  <c r="K112" i="56"/>
  <c r="Y112" i="36"/>
  <c r="Y109" i="36"/>
  <c r="Y114" i="36"/>
  <c r="E123" i="55"/>
  <c r="L123" i="56"/>
  <c r="AA114" i="36"/>
  <c r="D122" i="54"/>
  <c r="E119" i="55"/>
  <c r="H124" i="56"/>
  <c r="H158" i="56" s="1"/>
  <c r="G121" i="56"/>
  <c r="I118" i="56"/>
  <c r="H167" i="56"/>
  <c r="M109" i="57"/>
  <c r="H119" i="56"/>
  <c r="G124" i="56"/>
  <c r="G158" i="56" s="1"/>
  <c r="M112" i="57"/>
  <c r="AA113" i="36"/>
  <c r="D123" i="54"/>
  <c r="E124" i="55"/>
  <c r="E158" i="55" s="1"/>
  <c r="H123" i="56"/>
  <c r="H114" i="56"/>
  <c r="I122" i="56"/>
  <c r="I167" i="56"/>
  <c r="M113" i="57"/>
  <c r="D119" i="57"/>
  <c r="D123" i="57"/>
  <c r="H121" i="56"/>
  <c r="M124" i="57"/>
  <c r="M158" i="57" s="1"/>
  <c r="D124" i="57"/>
  <c r="D158" i="57" s="1"/>
  <c r="F35" i="57"/>
  <c r="F130" i="57" s="1"/>
  <c r="D124" i="54"/>
  <c r="D158" i="54" s="1"/>
  <c r="D118" i="54"/>
  <c r="H112" i="56"/>
  <c r="G123" i="56"/>
  <c r="I121" i="56"/>
  <c r="M110" i="57"/>
  <c r="AA110" i="36"/>
  <c r="E118" i="55"/>
  <c r="E121" i="55"/>
  <c r="H118" i="56"/>
  <c r="G118" i="56"/>
  <c r="I119" i="56"/>
  <c r="M42" i="56"/>
  <c r="M139" i="56" s="1"/>
  <c r="M35" i="56"/>
  <c r="M130" i="56" s="1"/>
  <c r="D122" i="57"/>
  <c r="AA109" i="36"/>
  <c r="I118" i="54"/>
  <c r="E122" i="55"/>
  <c r="I123" i="56"/>
  <c r="N113" i="56"/>
  <c r="N112" i="56"/>
  <c r="N114" i="56"/>
  <c r="L114" i="55"/>
  <c r="M42" i="55"/>
  <c r="M142" i="55" s="1"/>
  <c r="J35" i="56"/>
  <c r="J128" i="56" s="1"/>
  <c r="M123" i="57"/>
  <c r="E119" i="57"/>
  <c r="I167" i="57"/>
  <c r="N112" i="54"/>
  <c r="K119" i="54"/>
  <c r="K118" i="54"/>
  <c r="N42" i="55"/>
  <c r="N140" i="55" s="1"/>
  <c r="M119" i="57"/>
  <c r="J109" i="57"/>
  <c r="N198" i="57"/>
  <c r="N206" i="57" s="1"/>
  <c r="N140" i="57" s="1"/>
  <c r="E124" i="57"/>
  <c r="E158" i="57" s="1"/>
  <c r="F119" i="54"/>
  <c r="N109" i="54"/>
  <c r="D35" i="55"/>
  <c r="D130" i="55" s="1"/>
  <c r="H113" i="56"/>
  <c r="F124" i="54"/>
  <c r="F158" i="54" s="1"/>
  <c r="N113" i="54"/>
  <c r="H122" i="54"/>
  <c r="D42" i="55"/>
  <c r="D139" i="55" s="1"/>
  <c r="F42" i="55"/>
  <c r="F139" i="55" s="1"/>
  <c r="E42" i="56"/>
  <c r="E139" i="56" s="1"/>
  <c r="E118" i="57"/>
  <c r="E121" i="57"/>
  <c r="J113" i="57"/>
  <c r="V110" i="36"/>
  <c r="N110" i="54"/>
  <c r="H123" i="54"/>
  <c r="H119" i="54"/>
  <c r="M118" i="57"/>
  <c r="M121" i="57"/>
  <c r="E122" i="57"/>
  <c r="K35" i="56"/>
  <c r="K130" i="56" s="1"/>
  <c r="M122" i="57"/>
  <c r="K114" i="54"/>
  <c r="K112" i="54"/>
  <c r="E124" i="56"/>
  <c r="E158" i="56" s="1"/>
  <c r="O29" i="57"/>
  <c r="M35" i="54"/>
  <c r="M130" i="54" s="1"/>
  <c r="L122" i="55"/>
  <c r="L123" i="55"/>
  <c r="D118" i="55"/>
  <c r="K124" i="55"/>
  <c r="K158" i="55" s="1"/>
  <c r="N110" i="56"/>
  <c r="N119" i="57"/>
  <c r="L167" i="57"/>
  <c r="F177" i="57"/>
  <c r="F185" i="57" s="1"/>
  <c r="L119" i="55"/>
  <c r="D122" i="55"/>
  <c r="K119" i="55"/>
  <c r="J167" i="55"/>
  <c r="K109" i="56"/>
  <c r="N124" i="57"/>
  <c r="N158" i="57" s="1"/>
  <c r="E175" i="57"/>
  <c r="E183" i="57" s="1"/>
  <c r="E131" i="57" s="1"/>
  <c r="K109" i="54"/>
  <c r="G42" i="55"/>
  <c r="G139" i="55" s="1"/>
  <c r="L124" i="55"/>
  <c r="L158" i="55" s="1"/>
  <c r="L118" i="55"/>
  <c r="D119" i="55"/>
  <c r="E167" i="56"/>
  <c r="E169" i="56" s="1"/>
  <c r="E177" i="56" s="1"/>
  <c r="E185" i="56" s="1"/>
  <c r="E123" i="56"/>
  <c r="K113" i="56"/>
  <c r="N123" i="57"/>
  <c r="K42" i="57"/>
  <c r="K139" i="57" s="1"/>
  <c r="K113" i="54"/>
  <c r="D124" i="55"/>
  <c r="D158" i="55" s="1"/>
  <c r="H124" i="55"/>
  <c r="H158" i="55" s="1"/>
  <c r="E122" i="56"/>
  <c r="K110" i="56"/>
  <c r="F113" i="57"/>
  <c r="D121" i="55"/>
  <c r="F175" i="55"/>
  <c r="F183" i="55" s="1"/>
  <c r="E118" i="56"/>
  <c r="N118" i="57"/>
  <c r="N121" i="57"/>
  <c r="I42" i="56"/>
  <c r="I139" i="56" s="1"/>
  <c r="N122" i="57"/>
  <c r="J110" i="54"/>
  <c r="J122" i="55"/>
  <c r="M177" i="57"/>
  <c r="M185" i="57" s="1"/>
  <c r="M133" i="57" s="1"/>
  <c r="I122" i="54"/>
  <c r="N172" i="54"/>
  <c r="N180" i="54" s="1"/>
  <c r="J124" i="55"/>
  <c r="J158" i="55" s="1"/>
  <c r="G112" i="55"/>
  <c r="G114" i="55"/>
  <c r="I119" i="54"/>
  <c r="J121" i="55"/>
  <c r="G42" i="56"/>
  <c r="G139" i="56" s="1"/>
  <c r="I121" i="54"/>
  <c r="I124" i="54"/>
  <c r="I158" i="54" s="1"/>
  <c r="U114" i="36"/>
  <c r="D42" i="54"/>
  <c r="D139" i="54" s="1"/>
  <c r="G109" i="55"/>
  <c r="E35" i="55"/>
  <c r="E130" i="55" s="1"/>
  <c r="J123" i="55"/>
  <c r="K199" i="55"/>
  <c r="K207" i="55" s="1"/>
  <c r="D172" i="56"/>
  <c r="D180" i="56" s="1"/>
  <c r="K167" i="57"/>
  <c r="K169" i="57" s="1"/>
  <c r="K176" i="57" s="1"/>
  <c r="K184" i="57" s="1"/>
  <c r="J110" i="55"/>
  <c r="J114" i="55"/>
  <c r="J109" i="55"/>
  <c r="AD34" i="36"/>
  <c r="N122" i="55"/>
  <c r="N121" i="55"/>
  <c r="K196" i="55"/>
  <c r="K204" i="55" s="1"/>
  <c r="L42" i="56"/>
  <c r="L139" i="56" s="1"/>
  <c r="S112" i="36"/>
  <c r="G35" i="54"/>
  <c r="G130" i="54" s="1"/>
  <c r="N118" i="55"/>
  <c r="Z112" i="55"/>
  <c r="F42" i="56"/>
  <c r="F139" i="56" s="1"/>
  <c r="L42" i="54"/>
  <c r="L141" i="54" s="1"/>
  <c r="M121" i="55"/>
  <c r="H121" i="55"/>
  <c r="S113" i="36"/>
  <c r="F122" i="54"/>
  <c r="F121" i="54"/>
  <c r="E196" i="54"/>
  <c r="E204" i="54" s="1"/>
  <c r="I169" i="54"/>
  <c r="I172" i="54" s="1"/>
  <c r="I180" i="54" s="1"/>
  <c r="M123" i="55"/>
  <c r="H123" i="55"/>
  <c r="Z109" i="55"/>
  <c r="N109" i="56"/>
  <c r="O43" i="56"/>
  <c r="L124" i="56"/>
  <c r="L158" i="56" s="1"/>
  <c r="J112" i="57"/>
  <c r="F118" i="54"/>
  <c r="H42" i="54"/>
  <c r="H139" i="54" s="1"/>
  <c r="E198" i="54"/>
  <c r="E206" i="54" s="1"/>
  <c r="E140" i="54" s="1"/>
  <c r="I175" i="54"/>
  <c r="I183" i="54" s="1"/>
  <c r="M119" i="55"/>
  <c r="N123" i="55"/>
  <c r="H118" i="55"/>
  <c r="Z113" i="55"/>
  <c r="L121" i="56"/>
  <c r="J110" i="57"/>
  <c r="S109" i="36"/>
  <c r="M118" i="55"/>
  <c r="M122" i="55"/>
  <c r="I35" i="54"/>
  <c r="I130" i="54" s="1"/>
  <c r="N119" i="55"/>
  <c r="H122" i="55"/>
  <c r="L119" i="56"/>
  <c r="AA112" i="36"/>
  <c r="K42" i="54"/>
  <c r="K139" i="54" s="1"/>
  <c r="M173" i="57"/>
  <c r="M181" i="57" s="1"/>
  <c r="M129" i="57" s="1"/>
  <c r="H109" i="55"/>
  <c r="J42" i="54"/>
  <c r="J141" i="54" s="1"/>
  <c r="E199" i="55"/>
  <c r="E207" i="55" s="1"/>
  <c r="H113" i="55"/>
  <c r="K123" i="56"/>
  <c r="O22" i="57"/>
  <c r="K195" i="57"/>
  <c r="K203" i="57" s="1"/>
  <c r="T35" i="36"/>
  <c r="AD35" i="36" s="1"/>
  <c r="V113" i="36"/>
  <c r="U110" i="36"/>
  <c r="K177" i="54"/>
  <c r="K185" i="54" s="1"/>
  <c r="K133" i="54" s="1"/>
  <c r="J167" i="54"/>
  <c r="AD20" i="54"/>
  <c r="H195" i="54"/>
  <c r="H203" i="54" s="1"/>
  <c r="E198" i="55"/>
  <c r="E206" i="55" s="1"/>
  <c r="H35" i="55"/>
  <c r="H130" i="55" s="1"/>
  <c r="I167" i="55"/>
  <c r="L167" i="56"/>
  <c r="L122" i="56"/>
  <c r="F110" i="57"/>
  <c r="H114" i="57"/>
  <c r="H113" i="57"/>
  <c r="AD34" i="57"/>
  <c r="F173" i="57"/>
  <c r="F181" i="57" s="1"/>
  <c r="D35" i="57"/>
  <c r="D130" i="57" s="1"/>
  <c r="I42" i="57"/>
  <c r="I139" i="57" s="1"/>
  <c r="G172" i="55"/>
  <c r="G180" i="55" s="1"/>
  <c r="AD22" i="54"/>
  <c r="L169" i="54"/>
  <c r="L176" i="54" s="1"/>
  <c r="L184" i="54" s="1"/>
  <c r="L109" i="55"/>
  <c r="K119" i="56"/>
  <c r="K118" i="56"/>
  <c r="O36" i="56"/>
  <c r="F112" i="57"/>
  <c r="F114" i="57"/>
  <c r="AD36" i="57"/>
  <c r="R112" i="36"/>
  <c r="L35" i="54"/>
  <c r="L130" i="54" s="1"/>
  <c r="V109" i="36"/>
  <c r="L113" i="55"/>
  <c r="O36" i="55"/>
  <c r="H110" i="55"/>
  <c r="F177" i="55"/>
  <c r="F185" i="55" s="1"/>
  <c r="I42" i="55"/>
  <c r="I139" i="55" s="1"/>
  <c r="K122" i="56"/>
  <c r="L118" i="56"/>
  <c r="J167" i="57"/>
  <c r="K124" i="56"/>
  <c r="K158" i="56" s="1"/>
  <c r="U113" i="36"/>
  <c r="V114" i="36"/>
  <c r="O50" i="54"/>
  <c r="H167" i="54"/>
  <c r="H112" i="55"/>
  <c r="AD22" i="55"/>
  <c r="E196" i="55"/>
  <c r="E204" i="55" s="1"/>
  <c r="R110" i="36"/>
  <c r="U109" i="36"/>
  <c r="U112" i="36"/>
  <c r="N35" i="54"/>
  <c r="N129" i="54" s="1"/>
  <c r="N35" i="57"/>
  <c r="N130" i="57" s="1"/>
  <c r="F192" i="57"/>
  <c r="F200" i="57" s="1"/>
  <c r="F208" i="57" s="1"/>
  <c r="J192" i="55"/>
  <c r="J200" i="55" s="1"/>
  <c r="J208" i="55" s="1"/>
  <c r="G192" i="57"/>
  <c r="G196" i="57" s="1"/>
  <c r="G204" i="57" s="1"/>
  <c r="J198" i="57"/>
  <c r="J206" i="57" s="1"/>
  <c r="J196" i="57"/>
  <c r="J204" i="57" s="1"/>
  <c r="K175" i="54"/>
  <c r="K183" i="54" s="1"/>
  <c r="K131" i="54" s="1"/>
  <c r="D35" i="54"/>
  <c r="D130" i="54" s="1"/>
  <c r="G175" i="54"/>
  <c r="G183" i="54" s="1"/>
  <c r="J195" i="54"/>
  <c r="J203" i="54" s="1"/>
  <c r="N175" i="54"/>
  <c r="N183" i="54" s="1"/>
  <c r="K199" i="54"/>
  <c r="K207" i="54" s="1"/>
  <c r="G196" i="54"/>
  <c r="G204" i="54" s="1"/>
  <c r="G138" i="54" s="1"/>
  <c r="D198" i="56"/>
  <c r="D206" i="56" s="1"/>
  <c r="D140" i="56" s="1"/>
  <c r="N199" i="57"/>
  <c r="N207" i="57" s="1"/>
  <c r="N141" i="57" s="1"/>
  <c r="L121" i="54"/>
  <c r="N122" i="54"/>
  <c r="G122" i="54"/>
  <c r="F35" i="54"/>
  <c r="F132" i="54" s="1"/>
  <c r="E177" i="54"/>
  <c r="E185" i="54" s="1"/>
  <c r="J196" i="54"/>
  <c r="J204" i="54" s="1"/>
  <c r="N177" i="54"/>
  <c r="N185" i="54" s="1"/>
  <c r="L196" i="55"/>
  <c r="L204" i="55" s="1"/>
  <c r="M190" i="57"/>
  <c r="J42" i="55"/>
  <c r="J139" i="55" s="1"/>
  <c r="F42" i="57"/>
  <c r="F139" i="57" s="1"/>
  <c r="L118" i="54"/>
  <c r="G119" i="54"/>
  <c r="F200" i="56"/>
  <c r="F208" i="56" s="1"/>
  <c r="G124" i="54"/>
  <c r="G158" i="54" s="1"/>
  <c r="E173" i="54"/>
  <c r="E181" i="54" s="1"/>
  <c r="K198" i="54"/>
  <c r="K206" i="54" s="1"/>
  <c r="K198" i="55"/>
  <c r="K206" i="55" s="1"/>
  <c r="I195" i="56"/>
  <c r="I203" i="56" s="1"/>
  <c r="J176" i="56"/>
  <c r="J184" i="56" s="1"/>
  <c r="O50" i="56"/>
  <c r="I195" i="57"/>
  <c r="I203" i="57" s="1"/>
  <c r="G167" i="57"/>
  <c r="G169" i="57" s="1"/>
  <c r="G172" i="57" s="1"/>
  <c r="G180" i="57" s="1"/>
  <c r="G42" i="57"/>
  <c r="G139" i="57" s="1"/>
  <c r="L119" i="54"/>
  <c r="N119" i="54"/>
  <c r="G121" i="54"/>
  <c r="K200" i="54"/>
  <c r="K208" i="54" s="1"/>
  <c r="G195" i="55"/>
  <c r="G203" i="55" s="1"/>
  <c r="J177" i="56"/>
  <c r="J185" i="56" s="1"/>
  <c r="L122" i="54"/>
  <c r="N124" i="54"/>
  <c r="N158" i="54" s="1"/>
  <c r="G123" i="54"/>
  <c r="F175" i="54"/>
  <c r="F183" i="54" s="1"/>
  <c r="H175" i="55"/>
  <c r="H183" i="55" s="1"/>
  <c r="I199" i="56"/>
  <c r="I207" i="56" s="1"/>
  <c r="J200" i="57"/>
  <c r="J208" i="57" s="1"/>
  <c r="AC113" i="36"/>
  <c r="L124" i="54"/>
  <c r="L158" i="54" s="1"/>
  <c r="K173" i="54"/>
  <c r="K181" i="54" s="1"/>
  <c r="K129" i="54" s="1"/>
  <c r="K196" i="54"/>
  <c r="K204" i="54" s="1"/>
  <c r="H177" i="55"/>
  <c r="H185" i="55" s="1"/>
  <c r="N196" i="57"/>
  <c r="N204" i="57" s="1"/>
  <c r="N138" i="57" s="1"/>
  <c r="Z112" i="57"/>
  <c r="I112" i="57"/>
  <c r="I113" i="57"/>
  <c r="I109" i="57"/>
  <c r="I110" i="57"/>
  <c r="I114" i="57"/>
  <c r="G110" i="57"/>
  <c r="G112" i="57"/>
  <c r="G114" i="57"/>
  <c r="G113" i="57"/>
  <c r="G109" i="57"/>
  <c r="AC114" i="36"/>
  <c r="M173" i="54"/>
  <c r="M181" i="54" s="1"/>
  <c r="E199" i="54"/>
  <c r="E207" i="54" s="1"/>
  <c r="E141" i="54" s="1"/>
  <c r="H198" i="54"/>
  <c r="H206" i="54" s="1"/>
  <c r="J113" i="55"/>
  <c r="O43" i="55"/>
  <c r="L199" i="55"/>
  <c r="L207" i="55" s="1"/>
  <c r="N196" i="55"/>
  <c r="N204" i="55" s="1"/>
  <c r="H196" i="55"/>
  <c r="H204" i="55" s="1"/>
  <c r="G176" i="55"/>
  <c r="G184" i="55" s="1"/>
  <c r="E177" i="57"/>
  <c r="E185" i="57" s="1"/>
  <c r="E133" i="57" s="1"/>
  <c r="AC109" i="36"/>
  <c r="M42" i="54"/>
  <c r="M139" i="54" s="1"/>
  <c r="O43" i="54"/>
  <c r="N195" i="55"/>
  <c r="N203" i="55" s="1"/>
  <c r="H199" i="55"/>
  <c r="H207" i="55" s="1"/>
  <c r="O20" i="55"/>
  <c r="G109" i="56"/>
  <c r="E200" i="54"/>
  <c r="E208" i="54" s="1"/>
  <c r="E142" i="54" s="1"/>
  <c r="F172" i="54"/>
  <c r="F180" i="54" s="1"/>
  <c r="I112" i="55"/>
  <c r="K195" i="55"/>
  <c r="K203" i="55" s="1"/>
  <c r="N198" i="55"/>
  <c r="N206" i="55" s="1"/>
  <c r="O22" i="55"/>
  <c r="G173" i="55"/>
  <c r="G181" i="55" s="1"/>
  <c r="G113" i="56"/>
  <c r="D175" i="56"/>
  <c r="D183" i="56" s="1"/>
  <c r="M176" i="57"/>
  <c r="M184" i="57" s="1"/>
  <c r="M132" i="57" s="1"/>
  <c r="J199" i="57"/>
  <c r="J207" i="57" s="1"/>
  <c r="N42" i="54"/>
  <c r="N139" i="54" s="1"/>
  <c r="AD22" i="56"/>
  <c r="L195" i="54"/>
  <c r="L203" i="54" s="1"/>
  <c r="M192" i="54"/>
  <c r="M199" i="54" s="1"/>
  <c r="M207" i="54" s="1"/>
  <c r="J112" i="55"/>
  <c r="E195" i="55"/>
  <c r="E203" i="55" s="1"/>
  <c r="H195" i="55"/>
  <c r="H203" i="55" s="1"/>
  <c r="G175" i="55"/>
  <c r="G183" i="55" s="1"/>
  <c r="D196" i="56"/>
  <c r="D204" i="56" s="1"/>
  <c r="D138" i="56" s="1"/>
  <c r="I198" i="56"/>
  <c r="I206" i="56" s="1"/>
  <c r="N198" i="56"/>
  <c r="N206" i="56" s="1"/>
  <c r="H173" i="57"/>
  <c r="H181" i="57" s="1"/>
  <c r="H129" i="57" s="1"/>
  <c r="J42" i="57"/>
  <c r="J139" i="57" s="1"/>
  <c r="AC110" i="36"/>
  <c r="H198" i="55"/>
  <c r="H206" i="55" s="1"/>
  <c r="D195" i="55"/>
  <c r="D203" i="55" s="1"/>
  <c r="H173" i="55"/>
  <c r="H181" i="55" s="1"/>
  <c r="D199" i="56"/>
  <c r="D207" i="56" s="1"/>
  <c r="D141" i="56" s="1"/>
  <c r="G110" i="56"/>
  <c r="I200" i="56"/>
  <c r="I208" i="56" s="1"/>
  <c r="N195" i="57"/>
  <c r="N203" i="57" s="1"/>
  <c r="N137" i="57" s="1"/>
  <c r="M172" i="57"/>
  <c r="M180" i="57" s="1"/>
  <c r="M128" i="57" s="1"/>
  <c r="F172" i="57"/>
  <c r="F180" i="57" s="1"/>
  <c r="J195" i="57"/>
  <c r="J203" i="57" s="1"/>
  <c r="H176" i="57"/>
  <c r="H184" i="57" s="1"/>
  <c r="H132" i="57" s="1"/>
  <c r="M177" i="54"/>
  <c r="M185" i="54" s="1"/>
  <c r="D195" i="56"/>
  <c r="D203" i="56" s="1"/>
  <c r="D137" i="56" s="1"/>
  <c r="G112" i="56"/>
  <c r="J173" i="56"/>
  <c r="J181" i="56" s="1"/>
  <c r="O22" i="56"/>
  <c r="E172" i="57"/>
  <c r="E180" i="57" s="1"/>
  <c r="E128" i="57" s="1"/>
  <c r="F175" i="57"/>
  <c r="F183" i="57" s="1"/>
  <c r="AD36" i="36"/>
  <c r="R35" i="57"/>
  <c r="AD35" i="57" s="1"/>
  <c r="C21" i="55"/>
  <c r="M112" i="56"/>
  <c r="O202" i="57"/>
  <c r="O179" i="57"/>
  <c r="F119" i="56"/>
  <c r="E110" i="56"/>
  <c r="M109" i="56"/>
  <c r="D114" i="55"/>
  <c r="O202" i="54"/>
  <c r="G125" i="55"/>
  <c r="W114" i="57"/>
  <c r="W110" i="57"/>
  <c r="W116" i="57"/>
  <c r="W113" i="57"/>
  <c r="W109" i="57"/>
  <c r="W117" i="57"/>
  <c r="W112" i="57"/>
  <c r="N182" i="57"/>
  <c r="Y114" i="57"/>
  <c r="Y110" i="57"/>
  <c r="Y116" i="57"/>
  <c r="Y113" i="57"/>
  <c r="Y109" i="57"/>
  <c r="Y112" i="57"/>
  <c r="Y117" i="57"/>
  <c r="AA113" i="57"/>
  <c r="AA109" i="57"/>
  <c r="AA112" i="57"/>
  <c r="AA117" i="57"/>
  <c r="AA116" i="57"/>
  <c r="AA110" i="57"/>
  <c r="AA114" i="57"/>
  <c r="V117" i="57"/>
  <c r="V114" i="57"/>
  <c r="V110" i="57"/>
  <c r="V116" i="57"/>
  <c r="V113" i="57"/>
  <c r="V109" i="57"/>
  <c r="V112" i="57"/>
  <c r="E184" i="57"/>
  <c r="E132" i="57" s="1"/>
  <c r="E182" i="57"/>
  <c r="H192" i="57"/>
  <c r="H199" i="57" s="1"/>
  <c r="H207" i="57" s="1"/>
  <c r="H141" i="57" s="1"/>
  <c r="R116" i="57"/>
  <c r="R117" i="57"/>
  <c r="K198" i="57"/>
  <c r="K206" i="57" s="1"/>
  <c r="Z109" i="57"/>
  <c r="T112" i="57"/>
  <c r="T117" i="57"/>
  <c r="E111" i="57"/>
  <c r="T114" i="57"/>
  <c r="T110" i="57"/>
  <c r="T113" i="57"/>
  <c r="T109" i="57"/>
  <c r="T116" i="57"/>
  <c r="I205" i="57"/>
  <c r="K199" i="57"/>
  <c r="K207" i="57" s="1"/>
  <c r="K200" i="57"/>
  <c r="K208" i="57" s="1"/>
  <c r="Z113" i="57"/>
  <c r="I196" i="57"/>
  <c r="I204" i="57" s="1"/>
  <c r="O27" i="57"/>
  <c r="H172" i="57"/>
  <c r="H180" i="57" s="1"/>
  <c r="H128" i="57" s="1"/>
  <c r="D169" i="57"/>
  <c r="D175" i="57" s="1"/>
  <c r="D183" i="57" s="1"/>
  <c r="M182" i="57"/>
  <c r="M183" i="57"/>
  <c r="M131" i="57" s="1"/>
  <c r="O43" i="57"/>
  <c r="C41" i="57"/>
  <c r="C42" i="57" s="1"/>
  <c r="U112" i="57"/>
  <c r="U117" i="57"/>
  <c r="U114" i="57"/>
  <c r="U110" i="57"/>
  <c r="U116" i="57"/>
  <c r="U109" i="57"/>
  <c r="U113" i="57"/>
  <c r="J205" i="57"/>
  <c r="O20" i="57"/>
  <c r="S113" i="57"/>
  <c r="S109" i="57"/>
  <c r="S112" i="57"/>
  <c r="S117" i="57"/>
  <c r="S116" i="57"/>
  <c r="S110" i="57"/>
  <c r="S114" i="57"/>
  <c r="G125" i="57"/>
  <c r="F182" i="57"/>
  <c r="I199" i="57"/>
  <c r="I207" i="57" s="1"/>
  <c r="H175" i="57"/>
  <c r="H183" i="57" s="1"/>
  <c r="H131" i="57" s="1"/>
  <c r="X114" i="57"/>
  <c r="X110" i="57"/>
  <c r="X116" i="57"/>
  <c r="X113" i="57"/>
  <c r="X109" i="57"/>
  <c r="X112" i="57"/>
  <c r="X117" i="57"/>
  <c r="AD22" i="57"/>
  <c r="R20" i="57"/>
  <c r="R21" i="57" s="1"/>
  <c r="R111" i="57" s="1"/>
  <c r="C111" i="57" s="1"/>
  <c r="C48" i="57"/>
  <c r="C49" i="57" s="1"/>
  <c r="O50" i="57"/>
  <c r="I125" i="57"/>
  <c r="Z110" i="57"/>
  <c r="AD43" i="57"/>
  <c r="R41" i="57"/>
  <c r="R42" i="57" s="1"/>
  <c r="I198" i="57"/>
  <c r="I206" i="57" s="1"/>
  <c r="AB112" i="57"/>
  <c r="AB117" i="57"/>
  <c r="AB114" i="57"/>
  <c r="AB110" i="57"/>
  <c r="AB113" i="57"/>
  <c r="AB109" i="57"/>
  <c r="AB116" i="57"/>
  <c r="O36" i="57"/>
  <c r="C34" i="57"/>
  <c r="AC112" i="57"/>
  <c r="AC117" i="57"/>
  <c r="N111" i="57"/>
  <c r="AC114" i="57"/>
  <c r="AC110" i="57"/>
  <c r="AC116" i="57"/>
  <c r="AC109" i="57"/>
  <c r="AC113" i="57"/>
  <c r="Z114" i="57"/>
  <c r="E173" i="57"/>
  <c r="E181" i="57" s="1"/>
  <c r="E129" i="57" s="1"/>
  <c r="K182" i="56"/>
  <c r="F124" i="56"/>
  <c r="F158" i="56" s="1"/>
  <c r="AC112" i="56"/>
  <c r="AC117" i="56"/>
  <c r="AC114" i="56"/>
  <c r="AC110" i="56"/>
  <c r="AC113" i="56"/>
  <c r="AC109" i="56"/>
  <c r="AC116" i="56"/>
  <c r="E114" i="56"/>
  <c r="R116" i="56"/>
  <c r="R117" i="56"/>
  <c r="K196" i="56"/>
  <c r="K204" i="56" s="1"/>
  <c r="K138" i="56" s="1"/>
  <c r="F196" i="56"/>
  <c r="F204" i="56" s="1"/>
  <c r="N200" i="56"/>
  <c r="N208" i="56" s="1"/>
  <c r="AD43" i="56"/>
  <c r="R41" i="56"/>
  <c r="D114" i="56"/>
  <c r="G205" i="56"/>
  <c r="AD20" i="56"/>
  <c r="R21" i="56"/>
  <c r="AD21" i="56" s="1"/>
  <c r="F112" i="56"/>
  <c r="F110" i="56"/>
  <c r="V112" i="56"/>
  <c r="V117" i="56"/>
  <c r="V114" i="56"/>
  <c r="V110" i="56"/>
  <c r="V116" i="56"/>
  <c r="V109" i="56"/>
  <c r="V113" i="56"/>
  <c r="AB113" i="56"/>
  <c r="AB109" i="56"/>
  <c r="AB112" i="56"/>
  <c r="AB117" i="56"/>
  <c r="M111" i="56"/>
  <c r="AB116" i="56"/>
  <c r="AB114" i="56"/>
  <c r="AB110" i="56"/>
  <c r="D109" i="56"/>
  <c r="E112" i="56"/>
  <c r="G169" i="56"/>
  <c r="G172" i="56" s="1"/>
  <c r="G180" i="56" s="1"/>
  <c r="G128" i="56" s="1"/>
  <c r="F199" i="56"/>
  <c r="F207" i="56" s="1"/>
  <c r="M169" i="56"/>
  <c r="M173" i="56" s="1"/>
  <c r="M181" i="56" s="1"/>
  <c r="N196" i="56"/>
  <c r="N204" i="56" s="1"/>
  <c r="O20" i="56"/>
  <c r="C21" i="56"/>
  <c r="W117" i="56"/>
  <c r="W114" i="56"/>
  <c r="W110" i="56"/>
  <c r="W116" i="56"/>
  <c r="W113" i="56"/>
  <c r="W109" i="56"/>
  <c r="W112" i="56"/>
  <c r="Y114" i="56"/>
  <c r="Y110" i="56"/>
  <c r="Y116" i="56"/>
  <c r="Y113" i="56"/>
  <c r="Y109" i="56"/>
  <c r="Y112" i="56"/>
  <c r="Y117" i="56"/>
  <c r="F118" i="56"/>
  <c r="F114" i="56"/>
  <c r="N205" i="56"/>
  <c r="AD36" i="56"/>
  <c r="R34" i="56"/>
  <c r="M113" i="56"/>
  <c r="D113" i="56"/>
  <c r="O29" i="56"/>
  <c r="D177" i="56"/>
  <c r="D185" i="56" s="1"/>
  <c r="N199" i="56"/>
  <c r="N207" i="56" s="1"/>
  <c r="F121" i="56"/>
  <c r="S116" i="56"/>
  <c r="S113" i="56"/>
  <c r="S109" i="56"/>
  <c r="S112" i="56"/>
  <c r="S117" i="56"/>
  <c r="S114" i="56"/>
  <c r="S110" i="56"/>
  <c r="O202" i="56"/>
  <c r="E109" i="56"/>
  <c r="T113" i="56"/>
  <c r="T109" i="56"/>
  <c r="T112" i="56"/>
  <c r="T117" i="56"/>
  <c r="T116" i="56"/>
  <c r="T110" i="56"/>
  <c r="T114" i="56"/>
  <c r="O27" i="56"/>
  <c r="C28" i="56"/>
  <c r="F169" i="56"/>
  <c r="F176" i="56" s="1"/>
  <c r="F184" i="56" s="1"/>
  <c r="M192" i="56"/>
  <c r="M195" i="56" s="1"/>
  <c r="M203" i="56" s="1"/>
  <c r="O34" i="56"/>
  <c r="C167" i="56"/>
  <c r="L113" i="56"/>
  <c r="L114" i="56"/>
  <c r="L109" i="56"/>
  <c r="L110" i="56"/>
  <c r="L112" i="56"/>
  <c r="F122" i="56"/>
  <c r="M152" i="56"/>
  <c r="Z114" i="56"/>
  <c r="Z110" i="56"/>
  <c r="Z116" i="56"/>
  <c r="Z113" i="56"/>
  <c r="Z109" i="56"/>
  <c r="Z112" i="56"/>
  <c r="Z117" i="56"/>
  <c r="F205" i="56"/>
  <c r="X114" i="56"/>
  <c r="X110" i="56"/>
  <c r="X116" i="56"/>
  <c r="X113" i="56"/>
  <c r="X109" i="56"/>
  <c r="X117" i="56"/>
  <c r="X112" i="56"/>
  <c r="C190" i="56"/>
  <c r="O41" i="56"/>
  <c r="C42" i="56"/>
  <c r="K195" i="56"/>
  <c r="K203" i="56" s="1"/>
  <c r="K137" i="56" s="1"/>
  <c r="G195" i="56"/>
  <c r="G203" i="56" s="1"/>
  <c r="D173" i="56"/>
  <c r="D181" i="56" s="1"/>
  <c r="L192" i="56"/>
  <c r="L199" i="56" s="1"/>
  <c r="L207" i="56" s="1"/>
  <c r="J125" i="56"/>
  <c r="F109" i="56"/>
  <c r="U112" i="56"/>
  <c r="U117" i="56"/>
  <c r="U114" i="56"/>
  <c r="U110" i="56"/>
  <c r="U113" i="56"/>
  <c r="U109" i="56"/>
  <c r="U116" i="56"/>
  <c r="M110" i="56"/>
  <c r="D112" i="56"/>
  <c r="C182" i="56"/>
  <c r="O179" i="56"/>
  <c r="K198" i="56"/>
  <c r="K206" i="56" s="1"/>
  <c r="K140" i="56" s="1"/>
  <c r="J172" i="56"/>
  <c r="J180" i="56" s="1"/>
  <c r="E192" i="56"/>
  <c r="E196" i="56" s="1"/>
  <c r="E204" i="56" s="1"/>
  <c r="J192" i="56"/>
  <c r="J199" i="56" s="1"/>
  <c r="J207" i="56" s="1"/>
  <c r="F195" i="56"/>
  <c r="F203" i="56" s="1"/>
  <c r="O48" i="56"/>
  <c r="C49" i="56"/>
  <c r="J182" i="56"/>
  <c r="E152" i="56"/>
  <c r="K199" i="56"/>
  <c r="K207" i="56" s="1"/>
  <c r="K141" i="56" s="1"/>
  <c r="I111" i="55"/>
  <c r="I157" i="55" s="1"/>
  <c r="X114" i="55"/>
  <c r="X110" i="55"/>
  <c r="X116" i="55"/>
  <c r="X113" i="55"/>
  <c r="X109" i="55"/>
  <c r="X112" i="55"/>
  <c r="X117" i="55"/>
  <c r="D110" i="55"/>
  <c r="R116" i="55"/>
  <c r="R117" i="55"/>
  <c r="AB113" i="55"/>
  <c r="AB109" i="55"/>
  <c r="AB112" i="55"/>
  <c r="AB117" i="55"/>
  <c r="AB114" i="55"/>
  <c r="AB110" i="55"/>
  <c r="AB116" i="55"/>
  <c r="K114" i="55"/>
  <c r="K113" i="55"/>
  <c r="K110" i="55"/>
  <c r="K112" i="55"/>
  <c r="K109" i="55"/>
  <c r="C190" i="55"/>
  <c r="O41" i="55"/>
  <c r="O34" i="55"/>
  <c r="C167" i="55"/>
  <c r="C35" i="55"/>
  <c r="U112" i="55"/>
  <c r="U117" i="55"/>
  <c r="U114" i="55"/>
  <c r="U110" i="55"/>
  <c r="U116" i="55"/>
  <c r="U109" i="55"/>
  <c r="U113" i="55"/>
  <c r="AD43" i="55"/>
  <c r="R41" i="55"/>
  <c r="O50" i="55"/>
  <c r="C48" i="55"/>
  <c r="D207" i="55"/>
  <c r="D205" i="55"/>
  <c r="C205" i="55"/>
  <c r="O202" i="55"/>
  <c r="F173" i="55"/>
  <c r="F181" i="55" s="1"/>
  <c r="D169" i="55"/>
  <c r="D172" i="55" s="1"/>
  <c r="D180" i="55" s="1"/>
  <c r="M192" i="55"/>
  <c r="M200" i="55" s="1"/>
  <c r="M208" i="55" s="1"/>
  <c r="G182" i="55"/>
  <c r="G185" i="55"/>
  <c r="I114" i="55"/>
  <c r="D109" i="55"/>
  <c r="AC112" i="55"/>
  <c r="AC117" i="55"/>
  <c r="AC114" i="55"/>
  <c r="AC110" i="55"/>
  <c r="AC116" i="55"/>
  <c r="AC109" i="55"/>
  <c r="AC113" i="55"/>
  <c r="L205" i="55"/>
  <c r="N200" i="55"/>
  <c r="N208" i="55" s="1"/>
  <c r="C42" i="55"/>
  <c r="H182" i="55"/>
  <c r="F176" i="55"/>
  <c r="F184" i="55" s="1"/>
  <c r="D198" i="55"/>
  <c r="D206" i="55" s="1"/>
  <c r="AD20" i="55"/>
  <c r="R21" i="55"/>
  <c r="AD21" i="55" s="1"/>
  <c r="L169" i="55"/>
  <c r="L173" i="55" s="1"/>
  <c r="L181" i="55" s="1"/>
  <c r="L129" i="55" s="1"/>
  <c r="Y114" i="55"/>
  <c r="Y110" i="55"/>
  <c r="Y116" i="55"/>
  <c r="Y113" i="55"/>
  <c r="Y109" i="55"/>
  <c r="Y112" i="55"/>
  <c r="Y117" i="55"/>
  <c r="R34" i="55"/>
  <c r="AD36" i="55"/>
  <c r="D113" i="55"/>
  <c r="S116" i="55"/>
  <c r="S113" i="55"/>
  <c r="S109" i="55"/>
  <c r="S112" i="55"/>
  <c r="S117" i="55"/>
  <c r="S110" i="55"/>
  <c r="S114" i="55"/>
  <c r="L195" i="55"/>
  <c r="L203" i="55" s="1"/>
  <c r="K205" i="55"/>
  <c r="K208" i="55"/>
  <c r="I192" i="55"/>
  <c r="I200" i="55" s="1"/>
  <c r="I208" i="55" s="1"/>
  <c r="D200" i="55"/>
  <c r="D208" i="55" s="1"/>
  <c r="AA116" i="55"/>
  <c r="AA113" i="55"/>
  <c r="AA109" i="55"/>
  <c r="AA112" i="55"/>
  <c r="AA117" i="55"/>
  <c r="L111" i="55"/>
  <c r="AA114" i="55"/>
  <c r="AA110" i="55"/>
  <c r="I110" i="55"/>
  <c r="I109" i="55"/>
  <c r="L198" i="55"/>
  <c r="L206" i="55" s="1"/>
  <c r="C27" i="55"/>
  <c r="O29" i="55"/>
  <c r="T113" i="55"/>
  <c r="T109" i="55"/>
  <c r="T112" i="55"/>
  <c r="T117" i="55"/>
  <c r="E111" i="55"/>
  <c r="E157" i="55" s="1"/>
  <c r="T114" i="55"/>
  <c r="T110" i="55"/>
  <c r="T116" i="55"/>
  <c r="V112" i="55"/>
  <c r="V117" i="55"/>
  <c r="V114" i="55"/>
  <c r="V110" i="55"/>
  <c r="V116" i="55"/>
  <c r="V113" i="55"/>
  <c r="V109" i="55"/>
  <c r="D196" i="55"/>
  <c r="D204" i="55" s="1"/>
  <c r="H176" i="55"/>
  <c r="H184" i="55" s="1"/>
  <c r="W117" i="55"/>
  <c r="H111" i="55"/>
  <c r="W114" i="55"/>
  <c r="W110" i="55"/>
  <c r="W116" i="55"/>
  <c r="W113" i="55"/>
  <c r="W109" i="55"/>
  <c r="W112" i="55"/>
  <c r="O179" i="55"/>
  <c r="E169" i="55"/>
  <c r="E172" i="55" s="1"/>
  <c r="E180" i="55" s="1"/>
  <c r="F192" i="55"/>
  <c r="F200" i="55" s="1"/>
  <c r="F208" i="55" s="1"/>
  <c r="F142" i="55" s="1"/>
  <c r="I196" i="54"/>
  <c r="I204" i="54" s="1"/>
  <c r="I138" i="54" s="1"/>
  <c r="N182" i="54"/>
  <c r="G182" i="54"/>
  <c r="G184" i="54"/>
  <c r="S116" i="54"/>
  <c r="S113" i="54"/>
  <c r="S109" i="54"/>
  <c r="S117" i="54"/>
  <c r="S114" i="54"/>
  <c r="S110" i="54"/>
  <c r="S112" i="54"/>
  <c r="J114" i="54"/>
  <c r="L198" i="54"/>
  <c r="L206" i="54" s="1"/>
  <c r="AD36" i="54"/>
  <c r="R34" i="54"/>
  <c r="H112" i="54"/>
  <c r="H110" i="54"/>
  <c r="G112" i="54"/>
  <c r="G110" i="54"/>
  <c r="AB113" i="54"/>
  <c r="AB109" i="54"/>
  <c r="AB112" i="54"/>
  <c r="AB117" i="54"/>
  <c r="AB116" i="54"/>
  <c r="AB110" i="54"/>
  <c r="AB114" i="54"/>
  <c r="D182" i="54"/>
  <c r="D192" i="54"/>
  <c r="D198" i="54" s="1"/>
  <c r="D206" i="54" s="1"/>
  <c r="AA116" i="54"/>
  <c r="AA113" i="54"/>
  <c r="AA109" i="54"/>
  <c r="AA112" i="54"/>
  <c r="AA117" i="54"/>
  <c r="AA114" i="54"/>
  <c r="AA110" i="54"/>
  <c r="L200" i="54"/>
  <c r="L208" i="54" s="1"/>
  <c r="H114" i="54"/>
  <c r="G114" i="54"/>
  <c r="X114" i="54"/>
  <c r="X110" i="54"/>
  <c r="X116" i="54"/>
  <c r="X113" i="54"/>
  <c r="X109" i="54"/>
  <c r="X117" i="54"/>
  <c r="X112" i="54"/>
  <c r="I152" i="54"/>
  <c r="C27" i="54"/>
  <c r="O29" i="54"/>
  <c r="C190" i="54"/>
  <c r="O41" i="54"/>
  <c r="C42" i="54"/>
  <c r="F173" i="54"/>
  <c r="F181" i="54" s="1"/>
  <c r="K180" i="54"/>
  <c r="K128" i="54" s="1"/>
  <c r="K182" i="54"/>
  <c r="O48" i="54"/>
  <c r="C49" i="54"/>
  <c r="Z114" i="54"/>
  <c r="Z110" i="54"/>
  <c r="Z116" i="54"/>
  <c r="Z113" i="54"/>
  <c r="Z109" i="54"/>
  <c r="Z112" i="54"/>
  <c r="Z117" i="54"/>
  <c r="I199" i="54"/>
  <c r="I207" i="54" s="1"/>
  <c r="I141" i="54" s="1"/>
  <c r="E182" i="54"/>
  <c r="E183" i="54"/>
  <c r="U112" i="54"/>
  <c r="U117" i="54"/>
  <c r="U114" i="54"/>
  <c r="U110" i="54"/>
  <c r="U113" i="54"/>
  <c r="U109" i="54"/>
  <c r="U116" i="54"/>
  <c r="J112" i="54"/>
  <c r="J205" i="54"/>
  <c r="I112" i="54"/>
  <c r="K176" i="54"/>
  <c r="K184" i="54" s="1"/>
  <c r="K132" i="54" s="1"/>
  <c r="M176" i="54"/>
  <c r="M184" i="54" s="1"/>
  <c r="G177" i="54"/>
  <c r="G185" i="54" s="1"/>
  <c r="E176" i="54"/>
  <c r="E184" i="54" s="1"/>
  <c r="J199" i="54"/>
  <c r="J207" i="54" s="1"/>
  <c r="N192" i="54"/>
  <c r="N198" i="54" s="1"/>
  <c r="N206" i="54" s="1"/>
  <c r="H200" i="54"/>
  <c r="H208" i="54" s="1"/>
  <c r="F176" i="54"/>
  <c r="F184" i="54" s="1"/>
  <c r="G195" i="54"/>
  <c r="G203" i="54" s="1"/>
  <c r="G137" i="54" s="1"/>
  <c r="I182" i="54"/>
  <c r="H152" i="54"/>
  <c r="AD43" i="54"/>
  <c r="R41" i="54"/>
  <c r="G109" i="54"/>
  <c r="I110" i="54"/>
  <c r="E203" i="54"/>
  <c r="E137" i="54" s="1"/>
  <c r="E205" i="54"/>
  <c r="G198" i="54"/>
  <c r="G206" i="54" s="1"/>
  <c r="G140" i="54" s="1"/>
  <c r="AC112" i="54"/>
  <c r="AC117" i="54"/>
  <c r="AC114" i="54"/>
  <c r="AC110" i="54"/>
  <c r="AC113" i="54"/>
  <c r="AC109" i="54"/>
  <c r="AC116" i="54"/>
  <c r="N111" i="54"/>
  <c r="T113" i="54"/>
  <c r="T109" i="54"/>
  <c r="T112" i="54"/>
  <c r="T117" i="54"/>
  <c r="E111" i="54"/>
  <c r="E157" i="54" s="1"/>
  <c r="T116" i="54"/>
  <c r="T114" i="54"/>
  <c r="T110" i="54"/>
  <c r="R114" i="54"/>
  <c r="R110" i="54"/>
  <c r="R116" i="54"/>
  <c r="R113" i="54"/>
  <c r="R109" i="54"/>
  <c r="R112" i="54"/>
  <c r="R117" i="54"/>
  <c r="M205" i="54"/>
  <c r="I198" i="54"/>
  <c r="I206" i="54" s="1"/>
  <c r="I140" i="54" s="1"/>
  <c r="Y114" i="54"/>
  <c r="Y110" i="54"/>
  <c r="Y116" i="54"/>
  <c r="Y113" i="54"/>
  <c r="Y112" i="54"/>
  <c r="Y117" i="54"/>
  <c r="Y109" i="54"/>
  <c r="AD21" i="54"/>
  <c r="L196" i="54"/>
  <c r="L204" i="54" s="1"/>
  <c r="I205" i="54"/>
  <c r="I208" i="54"/>
  <c r="I142" i="54" s="1"/>
  <c r="W117" i="54"/>
  <c r="W114" i="54"/>
  <c r="W116" i="54"/>
  <c r="W113" i="54"/>
  <c r="W109" i="54"/>
  <c r="W112" i="54"/>
  <c r="W110" i="54"/>
  <c r="H109" i="54"/>
  <c r="I114" i="54"/>
  <c r="I109" i="54"/>
  <c r="J200" i="54"/>
  <c r="J208" i="54" s="1"/>
  <c r="H196" i="54"/>
  <c r="H204" i="54" s="1"/>
  <c r="G200" i="54"/>
  <c r="G208" i="54" s="1"/>
  <c r="G142" i="54" s="1"/>
  <c r="I195" i="54"/>
  <c r="I203" i="54" s="1"/>
  <c r="I137" i="54" s="1"/>
  <c r="L182" i="54"/>
  <c r="J109" i="54"/>
  <c r="C20" i="54"/>
  <c r="O22" i="54"/>
  <c r="H205" i="54"/>
  <c r="V112" i="54"/>
  <c r="V117" i="54"/>
  <c r="V114" i="54"/>
  <c r="V110" i="54"/>
  <c r="V116" i="54"/>
  <c r="V109" i="54"/>
  <c r="V113" i="54"/>
  <c r="O179" i="54"/>
  <c r="C182" i="54"/>
  <c r="F182" i="54"/>
  <c r="M172" i="54"/>
  <c r="M180" i="54" s="1"/>
  <c r="M128" i="54" s="1"/>
  <c r="G173" i="54"/>
  <c r="G181" i="54" s="1"/>
  <c r="E172" i="54"/>
  <c r="E180" i="54" s="1"/>
  <c r="N173" i="54"/>
  <c r="N181" i="54" s="1"/>
  <c r="K205" i="54"/>
  <c r="M182" i="54"/>
  <c r="O36" i="54"/>
  <c r="C34" i="54"/>
  <c r="G207" i="54"/>
  <c r="G141" i="54" s="1"/>
  <c r="G205" i="54"/>
  <c r="F192" i="54"/>
  <c r="F200" i="54" s="1"/>
  <c r="F208" i="54" s="1"/>
  <c r="F142" i="54" s="1"/>
  <c r="G172" i="54"/>
  <c r="G180" i="54" s="1"/>
  <c r="AB113" i="36"/>
  <c r="AB110" i="36"/>
  <c r="AB109" i="36"/>
  <c r="AB112" i="36"/>
  <c r="AD43" i="36"/>
  <c r="W109" i="36"/>
  <c r="W112" i="36"/>
  <c r="W110" i="36"/>
  <c r="W114" i="36"/>
  <c r="R42" i="36"/>
  <c r="AD42" i="36" s="1"/>
  <c r="AD41" i="36"/>
  <c r="T20" i="36"/>
  <c r="AD22" i="36"/>
  <c r="O205" i="36"/>
  <c r="A12" i="52"/>
  <c r="T6" i="52" s="1"/>
  <c r="A13" i="52"/>
  <c r="A14" i="52"/>
  <c r="A15" i="52"/>
  <c r="A11" i="52"/>
  <c r="W5" i="52" s="1"/>
  <c r="N72" i="52"/>
  <c r="M72" i="52"/>
  <c r="L72" i="52"/>
  <c r="K72" i="52"/>
  <c r="J72" i="52"/>
  <c r="I72" i="52"/>
  <c r="H72" i="52"/>
  <c r="G72" i="52"/>
  <c r="F72" i="52"/>
  <c r="E72" i="52"/>
  <c r="D72" i="52"/>
  <c r="C72" i="52"/>
  <c r="O71" i="52"/>
  <c r="O70" i="52"/>
  <c r="O69" i="52"/>
  <c r="O68" i="52"/>
  <c r="O67" i="52"/>
  <c r="N63" i="52"/>
  <c r="M63" i="52"/>
  <c r="L63" i="52"/>
  <c r="K63" i="52"/>
  <c r="J63" i="52"/>
  <c r="I63" i="52"/>
  <c r="H63" i="52"/>
  <c r="G63" i="52"/>
  <c r="F63" i="52"/>
  <c r="E63" i="52"/>
  <c r="D63" i="52"/>
  <c r="C63" i="52"/>
  <c r="N62" i="52"/>
  <c r="M62" i="52"/>
  <c r="L62" i="52"/>
  <c r="L64" i="52" s="1"/>
  <c r="K62" i="52"/>
  <c r="J62" i="52"/>
  <c r="I62" i="52"/>
  <c r="H62" i="52"/>
  <c r="G62" i="52"/>
  <c r="F62" i="52"/>
  <c r="E62" i="52"/>
  <c r="D62" i="52"/>
  <c r="D64" i="52" s="1"/>
  <c r="C62" i="52"/>
  <c r="N61" i="52"/>
  <c r="M61" i="52"/>
  <c r="M64" i="52" s="1"/>
  <c r="L61" i="52"/>
  <c r="K61" i="52"/>
  <c r="J61" i="52"/>
  <c r="I61" i="52"/>
  <c r="I64" i="52" s="1"/>
  <c r="H61" i="52"/>
  <c r="H64" i="52" s="1"/>
  <c r="G61" i="52"/>
  <c r="F61" i="52"/>
  <c r="E61" i="52"/>
  <c r="E64" i="52" s="1"/>
  <c r="D61" i="52"/>
  <c r="C61" i="52"/>
  <c r="O57" i="52"/>
  <c r="O55" i="52"/>
  <c r="O54" i="52"/>
  <c r="O53" i="52"/>
  <c r="W52" i="52"/>
  <c r="N49" i="52"/>
  <c r="M49" i="52"/>
  <c r="L49" i="52"/>
  <c r="K49" i="52"/>
  <c r="J49" i="52"/>
  <c r="I49" i="52"/>
  <c r="H49" i="52"/>
  <c r="G49" i="52"/>
  <c r="F49" i="52"/>
  <c r="E49" i="52"/>
  <c r="D49" i="52"/>
  <c r="C49" i="52"/>
  <c r="N48" i="52"/>
  <c r="M48" i="52"/>
  <c r="L48" i="52"/>
  <c r="K48" i="52"/>
  <c r="J48" i="52"/>
  <c r="I48" i="52"/>
  <c r="I50" i="52" s="1"/>
  <c r="H48" i="52"/>
  <c r="G48" i="52"/>
  <c r="F48" i="52"/>
  <c r="E48" i="52"/>
  <c r="D48" i="52"/>
  <c r="C48" i="52"/>
  <c r="N47" i="52"/>
  <c r="M47" i="52"/>
  <c r="L47" i="52"/>
  <c r="K47" i="52"/>
  <c r="J47" i="52"/>
  <c r="I47" i="52"/>
  <c r="H47" i="52"/>
  <c r="G47" i="52"/>
  <c r="G50" i="52" s="1"/>
  <c r="F47" i="52"/>
  <c r="E47" i="52"/>
  <c r="D47" i="52"/>
  <c r="C47" i="52"/>
  <c r="O43" i="52"/>
  <c r="O41" i="52"/>
  <c r="N35" i="52"/>
  <c r="M35" i="52"/>
  <c r="L35" i="52"/>
  <c r="K35" i="52"/>
  <c r="J35" i="52"/>
  <c r="I35" i="52"/>
  <c r="H35" i="52"/>
  <c r="G35" i="52"/>
  <c r="F35" i="52"/>
  <c r="E35" i="52"/>
  <c r="D35" i="52"/>
  <c r="C35" i="52"/>
  <c r="N34" i="52"/>
  <c r="M34" i="52"/>
  <c r="L34" i="52"/>
  <c r="K34" i="52"/>
  <c r="J34" i="52"/>
  <c r="I34" i="52"/>
  <c r="I36" i="52" s="1"/>
  <c r="H34" i="52"/>
  <c r="G34" i="52"/>
  <c r="F34" i="52"/>
  <c r="E34" i="52"/>
  <c r="D34" i="52"/>
  <c r="C34" i="52"/>
  <c r="N33" i="52"/>
  <c r="N42" i="52" s="1"/>
  <c r="M33" i="52"/>
  <c r="M42" i="52" s="1"/>
  <c r="L33" i="52"/>
  <c r="L42" i="52" s="1"/>
  <c r="K33" i="52"/>
  <c r="J33" i="52"/>
  <c r="I33" i="52"/>
  <c r="H33" i="52"/>
  <c r="H42" i="52" s="1"/>
  <c r="G33" i="52"/>
  <c r="G42" i="52" s="1"/>
  <c r="F33" i="52"/>
  <c r="E33" i="52"/>
  <c r="E42" i="52" s="1"/>
  <c r="D33" i="52"/>
  <c r="D42" i="52" s="1"/>
  <c r="C33" i="52"/>
  <c r="G28" i="52"/>
  <c r="O26" i="52"/>
  <c r="O25" i="52"/>
  <c r="N21" i="52"/>
  <c r="N29" i="52" s="1"/>
  <c r="M21" i="52"/>
  <c r="M29" i="52" s="1"/>
  <c r="L21" i="52"/>
  <c r="L29" i="52" s="1"/>
  <c r="K21" i="52"/>
  <c r="K29" i="52" s="1"/>
  <c r="J21" i="52"/>
  <c r="I21" i="52"/>
  <c r="H21" i="52"/>
  <c r="H29" i="52" s="1"/>
  <c r="G21" i="52"/>
  <c r="G29" i="52" s="1"/>
  <c r="F21" i="52"/>
  <c r="E21" i="52"/>
  <c r="D21" i="52"/>
  <c r="D29" i="52" s="1"/>
  <c r="C21" i="52"/>
  <c r="C29" i="52" s="1"/>
  <c r="N20" i="52"/>
  <c r="M20" i="52"/>
  <c r="M22" i="52" s="1"/>
  <c r="L20" i="52"/>
  <c r="K20" i="52"/>
  <c r="J20" i="52"/>
  <c r="I20" i="52"/>
  <c r="H20" i="52"/>
  <c r="G20" i="52"/>
  <c r="F20" i="52"/>
  <c r="E20" i="52"/>
  <c r="E22" i="52" s="1"/>
  <c r="D20" i="52"/>
  <c r="C20" i="52"/>
  <c r="N19" i="52"/>
  <c r="M19" i="52"/>
  <c r="L19" i="52"/>
  <c r="L28" i="52" s="1"/>
  <c r="K19" i="52"/>
  <c r="K28" i="52" s="1"/>
  <c r="J19" i="52"/>
  <c r="J28" i="52" s="1"/>
  <c r="I19" i="52"/>
  <c r="I28" i="52" s="1"/>
  <c r="H19" i="52"/>
  <c r="G19" i="52"/>
  <c r="F19" i="52"/>
  <c r="E19" i="52"/>
  <c r="E28" i="52" s="1"/>
  <c r="D19" i="52"/>
  <c r="D28" i="52" s="1"/>
  <c r="C19" i="52"/>
  <c r="C28" i="52" s="1"/>
  <c r="F29" i="52"/>
  <c r="N56" i="52"/>
  <c r="N58" i="52" s="1"/>
  <c r="AC13" i="52"/>
  <c r="V13" i="52"/>
  <c r="L27" i="52"/>
  <c r="AC6" i="52"/>
  <c r="N7" i="52"/>
  <c r="M7" i="52"/>
  <c r="M15" i="52" s="1"/>
  <c r="M85" i="52" s="1"/>
  <c r="L7" i="52"/>
  <c r="K7" i="52"/>
  <c r="K15" i="52" s="1"/>
  <c r="J7" i="52"/>
  <c r="J15" i="52" s="1"/>
  <c r="I7" i="52"/>
  <c r="I77" i="52" s="1"/>
  <c r="H7" i="52"/>
  <c r="H15" i="52" s="1"/>
  <c r="G7" i="52"/>
  <c r="F7" i="52"/>
  <c r="E7" i="52"/>
  <c r="E15" i="52" s="1"/>
  <c r="D7" i="52"/>
  <c r="C7" i="52"/>
  <c r="C15" i="52" s="1"/>
  <c r="AA6" i="52"/>
  <c r="V6" i="52"/>
  <c r="S6" i="52"/>
  <c r="N6" i="52"/>
  <c r="M6" i="52"/>
  <c r="L6" i="52"/>
  <c r="K6" i="52"/>
  <c r="K76" i="52" s="1"/>
  <c r="J6" i="52"/>
  <c r="I6" i="52"/>
  <c r="H6" i="52"/>
  <c r="G6" i="52"/>
  <c r="F6" i="52"/>
  <c r="E6" i="52"/>
  <c r="D6" i="52"/>
  <c r="C6" i="52"/>
  <c r="N5" i="52"/>
  <c r="N14" i="52" s="1"/>
  <c r="M5" i="52"/>
  <c r="L5" i="52"/>
  <c r="L14" i="52" s="1"/>
  <c r="K5" i="52"/>
  <c r="K14" i="52" s="1"/>
  <c r="J5" i="52"/>
  <c r="I5" i="52"/>
  <c r="I14" i="52" s="1"/>
  <c r="H5" i="52"/>
  <c r="G5" i="52"/>
  <c r="G14" i="52" s="1"/>
  <c r="F5" i="52"/>
  <c r="F14" i="52" s="1"/>
  <c r="E5" i="52"/>
  <c r="E75" i="52" s="1"/>
  <c r="D5" i="52"/>
  <c r="D14" i="52" s="1"/>
  <c r="C5" i="52"/>
  <c r="C14" i="52" s="1"/>
  <c r="Q3" i="52"/>
  <c r="D8" i="43"/>
  <c r="A12" i="44"/>
  <c r="U6" i="44" s="1"/>
  <c r="A13" i="44"/>
  <c r="A14" i="44"/>
  <c r="A15" i="44"/>
  <c r="A11" i="44"/>
  <c r="O68" i="44"/>
  <c r="O69" i="44"/>
  <c r="O70" i="44"/>
  <c r="O71" i="44"/>
  <c r="D61" i="44"/>
  <c r="E61" i="44"/>
  <c r="F61" i="44"/>
  <c r="G61" i="44"/>
  <c r="H61" i="44"/>
  <c r="I61" i="44"/>
  <c r="J61" i="44"/>
  <c r="K61" i="44"/>
  <c r="L61" i="44"/>
  <c r="M61" i="44"/>
  <c r="N61" i="44"/>
  <c r="D62" i="44"/>
  <c r="E62" i="44"/>
  <c r="F62" i="44"/>
  <c r="G62" i="44"/>
  <c r="H62" i="44"/>
  <c r="I62" i="44"/>
  <c r="J62" i="44"/>
  <c r="K62" i="44"/>
  <c r="L62" i="44"/>
  <c r="M62" i="44"/>
  <c r="N62" i="44"/>
  <c r="D63" i="44"/>
  <c r="E63" i="44"/>
  <c r="F63" i="44"/>
  <c r="G63" i="44"/>
  <c r="H63" i="44"/>
  <c r="I63" i="44"/>
  <c r="J63" i="44"/>
  <c r="K63" i="44"/>
  <c r="L63" i="44"/>
  <c r="M63" i="44"/>
  <c r="N63" i="44"/>
  <c r="C62" i="44"/>
  <c r="C63" i="44"/>
  <c r="C61" i="44"/>
  <c r="D47" i="44"/>
  <c r="E47" i="44"/>
  <c r="F47" i="44"/>
  <c r="G47" i="44"/>
  <c r="H47" i="44"/>
  <c r="I47" i="44"/>
  <c r="J47" i="44"/>
  <c r="K47" i="44"/>
  <c r="L47" i="44"/>
  <c r="M47" i="44"/>
  <c r="N47" i="44"/>
  <c r="D48" i="44"/>
  <c r="E48" i="44"/>
  <c r="F48" i="44"/>
  <c r="G48" i="44"/>
  <c r="H48" i="44"/>
  <c r="H50" i="44" s="1"/>
  <c r="I48" i="44"/>
  <c r="J48" i="44"/>
  <c r="K48" i="44"/>
  <c r="L48" i="44"/>
  <c r="M48" i="44"/>
  <c r="N48" i="44"/>
  <c r="D49" i="44"/>
  <c r="E49" i="44"/>
  <c r="F49" i="44"/>
  <c r="G49" i="44"/>
  <c r="H49" i="44"/>
  <c r="I49" i="44"/>
  <c r="J49" i="44"/>
  <c r="K49" i="44"/>
  <c r="L49" i="44"/>
  <c r="M49" i="44"/>
  <c r="N49" i="44"/>
  <c r="C48" i="44"/>
  <c r="C49" i="44"/>
  <c r="C47" i="44"/>
  <c r="D19" i="44"/>
  <c r="E19" i="44"/>
  <c r="F19" i="44"/>
  <c r="G19" i="44"/>
  <c r="H19" i="44"/>
  <c r="I19" i="44"/>
  <c r="J19" i="44"/>
  <c r="K19" i="44"/>
  <c r="L19" i="44"/>
  <c r="M19" i="44"/>
  <c r="N19" i="44"/>
  <c r="D20" i="44"/>
  <c r="E20" i="44"/>
  <c r="F20" i="44"/>
  <c r="G20" i="44"/>
  <c r="H20" i="44"/>
  <c r="I20" i="44"/>
  <c r="J20" i="44"/>
  <c r="K20" i="44"/>
  <c r="L20" i="44"/>
  <c r="M20" i="44"/>
  <c r="N20" i="44"/>
  <c r="D21" i="44"/>
  <c r="E21" i="44"/>
  <c r="F21" i="44"/>
  <c r="G21" i="44"/>
  <c r="H21" i="44"/>
  <c r="I21" i="44"/>
  <c r="J21" i="44"/>
  <c r="K21" i="44"/>
  <c r="L21" i="44"/>
  <c r="M21" i="44"/>
  <c r="N21" i="44"/>
  <c r="N72" i="44"/>
  <c r="F72" i="44"/>
  <c r="O67" i="44"/>
  <c r="F64" i="44"/>
  <c r="M72" i="44"/>
  <c r="L72" i="44"/>
  <c r="K72" i="44"/>
  <c r="I72" i="44"/>
  <c r="H72" i="44"/>
  <c r="G72" i="44"/>
  <c r="E72" i="44"/>
  <c r="D72" i="44"/>
  <c r="O57" i="44"/>
  <c r="O55" i="44"/>
  <c r="D33" i="44"/>
  <c r="E33" i="44"/>
  <c r="F33" i="44"/>
  <c r="G33" i="44"/>
  <c r="H33" i="44"/>
  <c r="I33" i="44"/>
  <c r="J33" i="44"/>
  <c r="K33" i="44"/>
  <c r="L33" i="44"/>
  <c r="M33" i="44"/>
  <c r="N33" i="44"/>
  <c r="D34" i="44"/>
  <c r="E34" i="44"/>
  <c r="F34" i="44"/>
  <c r="G34" i="44"/>
  <c r="H34" i="44"/>
  <c r="I34" i="44"/>
  <c r="I36" i="44" s="1"/>
  <c r="J34" i="44"/>
  <c r="K34" i="44"/>
  <c r="L34" i="44"/>
  <c r="M34" i="44"/>
  <c r="N34" i="44"/>
  <c r="D35" i="44"/>
  <c r="D36" i="44" s="1"/>
  <c r="E35" i="44"/>
  <c r="F35" i="44"/>
  <c r="G35" i="44"/>
  <c r="H35" i="44"/>
  <c r="I35" i="44"/>
  <c r="J35" i="44"/>
  <c r="K35" i="44"/>
  <c r="L35" i="44"/>
  <c r="L36" i="44" s="1"/>
  <c r="M35" i="44"/>
  <c r="N35" i="44"/>
  <c r="C34" i="44"/>
  <c r="C35" i="44"/>
  <c r="C33" i="44"/>
  <c r="E5" i="51"/>
  <c r="E5" i="8" s="1"/>
  <c r="F5" i="51"/>
  <c r="F5" i="8" s="1"/>
  <c r="G5" i="51"/>
  <c r="G5" i="8" s="1"/>
  <c r="H5" i="51"/>
  <c r="H5" i="8" s="1"/>
  <c r="I5" i="51"/>
  <c r="I5" i="8" s="1"/>
  <c r="J5" i="51"/>
  <c r="J5" i="8" s="1"/>
  <c r="K5" i="51"/>
  <c r="K5" i="8" s="1"/>
  <c r="L5" i="51"/>
  <c r="L5" i="8" s="1"/>
  <c r="M5" i="51"/>
  <c r="M5" i="8" s="1"/>
  <c r="N5" i="51"/>
  <c r="N5" i="8" s="1"/>
  <c r="O5" i="51"/>
  <c r="O5" i="8" s="1"/>
  <c r="E6" i="51"/>
  <c r="E6" i="8" s="1"/>
  <c r="F6" i="51"/>
  <c r="F6" i="8" s="1"/>
  <c r="G6" i="51"/>
  <c r="G6" i="8" s="1"/>
  <c r="H6" i="51"/>
  <c r="I6" i="51"/>
  <c r="I6" i="8" s="1"/>
  <c r="J6" i="51"/>
  <c r="J6" i="8" s="1"/>
  <c r="K6" i="51"/>
  <c r="K6" i="8" s="1"/>
  <c r="L6" i="51"/>
  <c r="L6" i="8" s="1"/>
  <c r="M6" i="51"/>
  <c r="M6" i="8" s="1"/>
  <c r="N6" i="51"/>
  <c r="N6" i="8" s="1"/>
  <c r="O6" i="51"/>
  <c r="E7" i="51"/>
  <c r="E7" i="8" s="1"/>
  <c r="F7" i="51"/>
  <c r="F7" i="8" s="1"/>
  <c r="G7" i="51"/>
  <c r="G7" i="8" s="1"/>
  <c r="H7" i="51"/>
  <c r="H7" i="8" s="1"/>
  <c r="I7" i="51"/>
  <c r="I7" i="8" s="1"/>
  <c r="J7" i="51"/>
  <c r="J7" i="8" s="1"/>
  <c r="K7" i="51"/>
  <c r="K7" i="8" s="1"/>
  <c r="L7" i="51"/>
  <c r="L7" i="8" s="1"/>
  <c r="M7" i="51"/>
  <c r="M7" i="8" s="1"/>
  <c r="N7" i="51"/>
  <c r="N7" i="8" s="1"/>
  <c r="O7" i="51"/>
  <c r="O7" i="8" s="1"/>
  <c r="D6" i="51"/>
  <c r="D6" i="8" s="1"/>
  <c r="D7" i="51"/>
  <c r="D7" i="8" s="1"/>
  <c r="D5" i="51"/>
  <c r="D5" i="8" s="1"/>
  <c r="C21" i="44"/>
  <c r="C20" i="44"/>
  <c r="C19" i="44"/>
  <c r="O8" i="50"/>
  <c r="N8" i="50"/>
  <c r="M8" i="50"/>
  <c r="L8" i="50"/>
  <c r="K8" i="50"/>
  <c r="J8" i="50"/>
  <c r="I8" i="50"/>
  <c r="H8" i="50"/>
  <c r="G8" i="50"/>
  <c r="F8" i="50"/>
  <c r="E8" i="50"/>
  <c r="D8" i="50"/>
  <c r="P7" i="50"/>
  <c r="P6" i="50"/>
  <c r="P5" i="50"/>
  <c r="O8" i="49"/>
  <c r="N8" i="49"/>
  <c r="M8" i="49"/>
  <c r="L8" i="49"/>
  <c r="K8" i="49"/>
  <c r="J8" i="49"/>
  <c r="I8" i="49"/>
  <c r="H8" i="49"/>
  <c r="G8" i="49"/>
  <c r="F8" i="49"/>
  <c r="E8" i="49"/>
  <c r="D8" i="49"/>
  <c r="P7" i="49"/>
  <c r="P6" i="49"/>
  <c r="P5" i="49"/>
  <c r="O8" i="48"/>
  <c r="N8" i="48"/>
  <c r="M8" i="48"/>
  <c r="L8" i="48"/>
  <c r="K8" i="48"/>
  <c r="J8" i="48"/>
  <c r="I8" i="48"/>
  <c r="H8" i="48"/>
  <c r="G8" i="48"/>
  <c r="F8" i="48"/>
  <c r="E8" i="48"/>
  <c r="D8" i="48"/>
  <c r="P7" i="48"/>
  <c r="P6" i="48"/>
  <c r="P5" i="48"/>
  <c r="O8" i="47"/>
  <c r="N8" i="47"/>
  <c r="M8" i="47"/>
  <c r="L8" i="47"/>
  <c r="K8" i="47"/>
  <c r="J8" i="47"/>
  <c r="I8" i="47"/>
  <c r="H8" i="47"/>
  <c r="G8" i="47"/>
  <c r="F8" i="47"/>
  <c r="E8" i="47"/>
  <c r="D8" i="47"/>
  <c r="P7" i="47"/>
  <c r="P6" i="47"/>
  <c r="P5" i="47"/>
  <c r="Q3" i="44"/>
  <c r="E11" i="50" s="1"/>
  <c r="D5" i="44"/>
  <c r="E5" i="44"/>
  <c r="E75" i="44" s="1"/>
  <c r="F5" i="44"/>
  <c r="G5" i="44"/>
  <c r="G75" i="44" s="1"/>
  <c r="H5" i="44"/>
  <c r="I5" i="44"/>
  <c r="J5" i="44"/>
  <c r="K5" i="44"/>
  <c r="L5" i="44"/>
  <c r="M5" i="44"/>
  <c r="N5" i="44"/>
  <c r="D6" i="44"/>
  <c r="E6" i="44"/>
  <c r="F6" i="44"/>
  <c r="G6" i="44"/>
  <c r="H6" i="44"/>
  <c r="I6" i="44"/>
  <c r="J6" i="44"/>
  <c r="K6" i="44"/>
  <c r="K76" i="44" s="1"/>
  <c r="L6" i="44"/>
  <c r="L76" i="44" s="1"/>
  <c r="M6" i="44"/>
  <c r="N6" i="44"/>
  <c r="D7" i="44"/>
  <c r="E7" i="44"/>
  <c r="F7" i="44"/>
  <c r="G7" i="44"/>
  <c r="G77" i="44" s="1"/>
  <c r="H7" i="44"/>
  <c r="H77" i="44" s="1"/>
  <c r="I7" i="44"/>
  <c r="I77" i="44" s="1"/>
  <c r="J7" i="44"/>
  <c r="K7" i="44"/>
  <c r="L7" i="44"/>
  <c r="M7" i="44"/>
  <c r="N7" i="44"/>
  <c r="C6" i="44"/>
  <c r="C7" i="44"/>
  <c r="C77" i="44" s="1"/>
  <c r="C5" i="44"/>
  <c r="C75" i="44" s="1"/>
  <c r="Q52" i="44"/>
  <c r="AC52" i="44" s="1"/>
  <c r="R45" i="44"/>
  <c r="Q35" i="44"/>
  <c r="AA35" i="44" s="1"/>
  <c r="Q29" i="44"/>
  <c r="V13" i="44"/>
  <c r="X13" i="44"/>
  <c r="R13" i="44"/>
  <c r="Q13" i="44"/>
  <c r="S13" i="44" s="1"/>
  <c r="Q18" i="44"/>
  <c r="T18" i="44" s="1"/>
  <c r="Q20" i="44"/>
  <c r="Y20" i="44" s="1"/>
  <c r="C44" i="46"/>
  <c r="Q46" i="52" s="1"/>
  <c r="Y46" i="52" s="1"/>
  <c r="C45" i="46"/>
  <c r="Q47" i="52" s="1"/>
  <c r="S47" i="52" s="1"/>
  <c r="C46" i="46"/>
  <c r="C47" i="46"/>
  <c r="C48" i="46"/>
  <c r="Q50" i="52" s="1"/>
  <c r="C49" i="46"/>
  <c r="C50" i="46"/>
  <c r="Q52" i="52" s="1"/>
  <c r="C51" i="46"/>
  <c r="C52" i="46"/>
  <c r="C41" i="46"/>
  <c r="Q43" i="52" s="1"/>
  <c r="V43" i="52" s="1"/>
  <c r="C42" i="46"/>
  <c r="C43" i="46"/>
  <c r="Q45" i="44" s="1"/>
  <c r="C40" i="46"/>
  <c r="Q42" i="52" s="1"/>
  <c r="C25" i="46"/>
  <c r="Q27" i="52" s="1"/>
  <c r="C26" i="46"/>
  <c r="C27" i="46"/>
  <c r="Q29" i="52" s="1"/>
  <c r="C28" i="46"/>
  <c r="Q30" i="52" s="1"/>
  <c r="C29" i="46"/>
  <c r="Q31" i="52" s="1"/>
  <c r="C30" i="46"/>
  <c r="C31" i="46"/>
  <c r="C32" i="46"/>
  <c r="Q34" i="52" s="1"/>
  <c r="S34" i="52" s="1"/>
  <c r="C33" i="46"/>
  <c r="Q35" i="52" s="1"/>
  <c r="V35" i="52" s="1"/>
  <c r="C34" i="46"/>
  <c r="Q36" i="44" s="1"/>
  <c r="AC36" i="44" s="1"/>
  <c r="C35" i="46"/>
  <c r="C36" i="46"/>
  <c r="C24" i="46"/>
  <c r="O53" i="46"/>
  <c r="N53" i="46"/>
  <c r="M53" i="46"/>
  <c r="L53" i="46"/>
  <c r="K53" i="46"/>
  <c r="J53" i="46"/>
  <c r="I53" i="46"/>
  <c r="H53" i="46"/>
  <c r="G53" i="46"/>
  <c r="F53" i="46"/>
  <c r="E53" i="46"/>
  <c r="D53" i="46"/>
  <c r="P52" i="46"/>
  <c r="P51" i="46"/>
  <c r="P50" i="46"/>
  <c r="P49" i="46"/>
  <c r="P48" i="46"/>
  <c r="P47" i="46"/>
  <c r="P46" i="46"/>
  <c r="P45" i="46"/>
  <c r="P44" i="46"/>
  <c r="P43" i="46"/>
  <c r="P42" i="46"/>
  <c r="P41" i="46"/>
  <c r="P40" i="46"/>
  <c r="O37" i="46"/>
  <c r="N37" i="46"/>
  <c r="M37" i="46"/>
  <c r="L37" i="46"/>
  <c r="K37" i="46"/>
  <c r="J37" i="46"/>
  <c r="I37" i="46"/>
  <c r="H37" i="46"/>
  <c r="G37" i="46"/>
  <c r="F37" i="46"/>
  <c r="E37" i="46"/>
  <c r="D37" i="46"/>
  <c r="P36" i="46"/>
  <c r="P35" i="46"/>
  <c r="P34" i="46"/>
  <c r="P33" i="46"/>
  <c r="P32" i="46"/>
  <c r="P31" i="46"/>
  <c r="P30" i="46"/>
  <c r="P29" i="46"/>
  <c r="P28" i="46"/>
  <c r="P27" i="46"/>
  <c r="P26" i="46"/>
  <c r="P25" i="46"/>
  <c r="P24" i="46"/>
  <c r="D21" i="46"/>
  <c r="P18" i="46"/>
  <c r="P17" i="46"/>
  <c r="P16" i="46"/>
  <c r="P15" i="46"/>
  <c r="P14" i="46"/>
  <c r="P13" i="46"/>
  <c r="P12" i="46"/>
  <c r="P11" i="46"/>
  <c r="P10" i="46"/>
  <c r="P9" i="46"/>
  <c r="P8" i="46"/>
  <c r="C9" i="46"/>
  <c r="C10" i="46"/>
  <c r="C11" i="46"/>
  <c r="Q13" i="52" s="1"/>
  <c r="C12" i="46"/>
  <c r="Q14" i="52" s="1"/>
  <c r="X14" i="52" s="1"/>
  <c r="C13" i="46"/>
  <c r="Q15" i="52" s="1"/>
  <c r="C14" i="46"/>
  <c r="C15" i="46"/>
  <c r="Q17" i="52" s="1"/>
  <c r="C16" i="46"/>
  <c r="Q18" i="52" s="1"/>
  <c r="C17" i="46"/>
  <c r="C18" i="46"/>
  <c r="Q20" i="52" s="1"/>
  <c r="C19" i="46"/>
  <c r="Q21" i="52" s="1"/>
  <c r="C20" i="46"/>
  <c r="Q22" i="52" s="1"/>
  <c r="AC22" i="52" s="1"/>
  <c r="C8" i="46"/>
  <c r="R17" i="41"/>
  <c r="R16" i="41"/>
  <c r="R15" i="41"/>
  <c r="R14" i="41"/>
  <c r="R13" i="41"/>
  <c r="R12" i="41"/>
  <c r="R11" i="41"/>
  <c r="R10" i="41"/>
  <c r="R9" i="41"/>
  <c r="R8" i="41"/>
  <c r="R7" i="41"/>
  <c r="R6" i="41"/>
  <c r="R5" i="41"/>
  <c r="N17" i="41"/>
  <c r="N16" i="41"/>
  <c r="N15" i="41"/>
  <c r="N14" i="41"/>
  <c r="N13" i="41"/>
  <c r="N12" i="41"/>
  <c r="N11" i="41"/>
  <c r="N10" i="41"/>
  <c r="N9" i="41"/>
  <c r="N8" i="41"/>
  <c r="N7" i="41"/>
  <c r="N6" i="41"/>
  <c r="N5" i="41"/>
  <c r="J6" i="41"/>
  <c r="J7" i="41"/>
  <c r="J8" i="41"/>
  <c r="J9" i="41"/>
  <c r="J10" i="41"/>
  <c r="J11" i="41"/>
  <c r="J12" i="41"/>
  <c r="J13" i="41"/>
  <c r="J14" i="41"/>
  <c r="J15" i="41"/>
  <c r="J16" i="41"/>
  <c r="J17" i="41"/>
  <c r="J5" i="41"/>
  <c r="P20" i="46"/>
  <c r="P19" i="46"/>
  <c r="O21" i="46"/>
  <c r="N21" i="46"/>
  <c r="M21" i="46"/>
  <c r="L21" i="46"/>
  <c r="K21" i="46"/>
  <c r="J21" i="46"/>
  <c r="I21" i="46"/>
  <c r="H21" i="46"/>
  <c r="G21" i="46"/>
  <c r="F21" i="46"/>
  <c r="E21" i="46"/>
  <c r="P5" i="46"/>
  <c r="I8" i="43"/>
  <c r="J8" i="43"/>
  <c r="K8" i="43"/>
  <c r="L8" i="43"/>
  <c r="E8" i="43"/>
  <c r="F8" i="43"/>
  <c r="G8" i="43"/>
  <c r="H8" i="43"/>
  <c r="M8" i="43"/>
  <c r="N8" i="43"/>
  <c r="O8" i="43"/>
  <c r="P7" i="43"/>
  <c r="P5" i="43"/>
  <c r="D4" i="1"/>
  <c r="E10" i="7"/>
  <c r="E19" i="8" s="1"/>
  <c r="F10" i="7"/>
  <c r="F19" i="8" s="1"/>
  <c r="G10" i="7"/>
  <c r="G19" i="8" s="1"/>
  <c r="H10" i="7"/>
  <c r="H19" i="8" s="1"/>
  <c r="I10" i="7"/>
  <c r="I19" i="8" s="1"/>
  <c r="J10" i="7"/>
  <c r="J19" i="8" s="1"/>
  <c r="K10" i="7"/>
  <c r="K19" i="8" s="1"/>
  <c r="L10" i="7"/>
  <c r="L19" i="8" s="1"/>
  <c r="M10" i="7"/>
  <c r="M19" i="8" s="1"/>
  <c r="N10" i="7"/>
  <c r="N19" i="8" s="1"/>
  <c r="O10" i="7"/>
  <c r="O19" i="8" s="1"/>
  <c r="E11" i="7"/>
  <c r="E20" i="8" s="1"/>
  <c r="F11" i="7"/>
  <c r="F20" i="8" s="1"/>
  <c r="G11" i="7"/>
  <c r="G20" i="8" s="1"/>
  <c r="H11" i="7"/>
  <c r="H20" i="8" s="1"/>
  <c r="I11" i="7"/>
  <c r="I20" i="8" s="1"/>
  <c r="J11" i="7"/>
  <c r="J20" i="8" s="1"/>
  <c r="K11" i="7"/>
  <c r="K20" i="8" s="1"/>
  <c r="L11" i="7"/>
  <c r="L20" i="8" s="1"/>
  <c r="M11" i="7"/>
  <c r="M20" i="8" s="1"/>
  <c r="N11" i="7"/>
  <c r="N20" i="8" s="1"/>
  <c r="O11" i="7"/>
  <c r="O20" i="8" s="1"/>
  <c r="E12" i="7"/>
  <c r="F12" i="7"/>
  <c r="G12" i="7"/>
  <c r="H12" i="7"/>
  <c r="I12" i="7"/>
  <c r="J12" i="7"/>
  <c r="K12" i="7"/>
  <c r="L12" i="7"/>
  <c r="M12" i="7"/>
  <c r="N12" i="7"/>
  <c r="O12" i="7"/>
  <c r="E13" i="7"/>
  <c r="F13" i="7"/>
  <c r="G13" i="7"/>
  <c r="H13" i="7"/>
  <c r="I13" i="7"/>
  <c r="J13" i="7"/>
  <c r="K13" i="7"/>
  <c r="L13" i="7"/>
  <c r="M13" i="7"/>
  <c r="N13" i="7"/>
  <c r="O13" i="7"/>
  <c r="E14" i="7"/>
  <c r="F14" i="7"/>
  <c r="G14" i="7"/>
  <c r="H14" i="7"/>
  <c r="I14" i="7"/>
  <c r="J14" i="7"/>
  <c r="K14" i="7"/>
  <c r="L14" i="7"/>
  <c r="M14" i="7"/>
  <c r="N14" i="7"/>
  <c r="O14" i="7"/>
  <c r="D14" i="7"/>
  <c r="D13" i="7"/>
  <c r="D12" i="7"/>
  <c r="D11" i="7"/>
  <c r="D20" i="8" s="1"/>
  <c r="D10" i="7"/>
  <c r="D19" i="8" s="1"/>
  <c r="M132" i="54" l="1"/>
  <c r="M129" i="54"/>
  <c r="M133" i="54"/>
  <c r="M131" i="54"/>
  <c r="K138" i="55"/>
  <c r="K137" i="55"/>
  <c r="K142" i="55"/>
  <c r="K141" i="55"/>
  <c r="K161" i="55" s="1"/>
  <c r="L20" i="59" s="1"/>
  <c r="F133" i="57"/>
  <c r="K140" i="55"/>
  <c r="F137" i="56"/>
  <c r="J141" i="56"/>
  <c r="F138" i="56"/>
  <c r="F142" i="56"/>
  <c r="H192" i="56"/>
  <c r="H198" i="56" s="1"/>
  <c r="H206" i="56" s="1"/>
  <c r="H140" i="56" s="1"/>
  <c r="F141" i="56"/>
  <c r="F161" i="56" s="1"/>
  <c r="G20" i="60" s="1"/>
  <c r="M152" i="54"/>
  <c r="F132" i="56"/>
  <c r="E125" i="54"/>
  <c r="H128" i="55"/>
  <c r="H132" i="55"/>
  <c r="D140" i="55"/>
  <c r="L141" i="55"/>
  <c r="I137" i="57"/>
  <c r="G129" i="54"/>
  <c r="G132" i="54"/>
  <c r="G131" i="55"/>
  <c r="G133" i="54"/>
  <c r="G162" i="54" s="1"/>
  <c r="H21" i="58" s="1"/>
  <c r="G128" i="54"/>
  <c r="G133" i="55"/>
  <c r="G131" i="54"/>
  <c r="G160" i="54" s="1"/>
  <c r="H19" i="58" s="1"/>
  <c r="M129" i="56"/>
  <c r="G129" i="55"/>
  <c r="G128" i="55"/>
  <c r="L142" i="54"/>
  <c r="F131" i="54"/>
  <c r="L140" i="54"/>
  <c r="K176" i="55"/>
  <c r="K184" i="55" s="1"/>
  <c r="K132" i="55" s="1"/>
  <c r="E141" i="55"/>
  <c r="D139" i="57"/>
  <c r="D159" i="57" s="1"/>
  <c r="E18" i="61" s="1"/>
  <c r="L138" i="54"/>
  <c r="L137" i="54"/>
  <c r="K177" i="55"/>
  <c r="K185" i="55" s="1"/>
  <c r="K133" i="55" s="1"/>
  <c r="K162" i="55" s="1"/>
  <c r="L21" i="59" s="1"/>
  <c r="K157" i="57"/>
  <c r="L16" i="61" s="1"/>
  <c r="D140" i="54"/>
  <c r="E192" i="57"/>
  <c r="E199" i="57" s="1"/>
  <c r="E207" i="57" s="1"/>
  <c r="E141" i="57" s="1"/>
  <c r="E161" i="57" s="1"/>
  <c r="F20" i="61" s="1"/>
  <c r="D137" i="55"/>
  <c r="H131" i="55"/>
  <c r="L140" i="55"/>
  <c r="J157" i="57"/>
  <c r="K16" i="61" s="1"/>
  <c r="K128" i="55"/>
  <c r="K173" i="55"/>
  <c r="K181" i="55" s="1"/>
  <c r="K129" i="55" s="1"/>
  <c r="K140" i="57"/>
  <c r="J133" i="56"/>
  <c r="K130" i="55"/>
  <c r="K159" i="55" s="1"/>
  <c r="L18" i="59" s="1"/>
  <c r="F157" i="57"/>
  <c r="G16" i="61" s="1"/>
  <c r="E139" i="55"/>
  <c r="E159" i="55" s="1"/>
  <c r="F18" i="59" s="1"/>
  <c r="K169" i="55"/>
  <c r="K172" i="55" s="1"/>
  <c r="K180" i="55" s="1"/>
  <c r="J132" i="56"/>
  <c r="E138" i="55"/>
  <c r="E140" i="55"/>
  <c r="E142" i="55"/>
  <c r="AA115" i="56"/>
  <c r="N131" i="54"/>
  <c r="D132" i="54"/>
  <c r="J129" i="56"/>
  <c r="K138" i="54"/>
  <c r="K156" i="54" s="1"/>
  <c r="F129" i="54"/>
  <c r="I125" i="55"/>
  <c r="H157" i="56"/>
  <c r="I16" i="60" s="1"/>
  <c r="E157" i="56"/>
  <c r="I142" i="56"/>
  <c r="I140" i="56"/>
  <c r="L141" i="56"/>
  <c r="I141" i="56"/>
  <c r="I142" i="55"/>
  <c r="L157" i="55"/>
  <c r="D128" i="55"/>
  <c r="H137" i="54"/>
  <c r="H138" i="54"/>
  <c r="E131" i="54"/>
  <c r="E160" i="54" s="1"/>
  <c r="F19" i="58" s="1"/>
  <c r="E129" i="54"/>
  <c r="E156" i="54" s="1"/>
  <c r="F15" i="58" s="1"/>
  <c r="E128" i="54"/>
  <c r="H142" i="54"/>
  <c r="H140" i="54"/>
  <c r="E133" i="54"/>
  <c r="E162" i="54" s="1"/>
  <c r="F21" i="58" s="1"/>
  <c r="C76" i="44"/>
  <c r="N50" i="44"/>
  <c r="D50" i="44"/>
  <c r="F76" i="52"/>
  <c r="N76" i="52"/>
  <c r="K36" i="44"/>
  <c r="D141" i="55"/>
  <c r="H129" i="55"/>
  <c r="N133" i="54"/>
  <c r="L137" i="55"/>
  <c r="L142" i="55"/>
  <c r="F131" i="55"/>
  <c r="F132" i="55"/>
  <c r="D142" i="55"/>
  <c r="F129" i="55"/>
  <c r="D131" i="57"/>
  <c r="M141" i="54"/>
  <c r="F130" i="55"/>
  <c r="F159" i="55" s="1"/>
  <c r="G18" i="59" s="1"/>
  <c r="D138" i="55"/>
  <c r="F133" i="55"/>
  <c r="F162" i="55" s="1"/>
  <c r="G21" i="59" s="1"/>
  <c r="L138" i="55"/>
  <c r="L156" i="55" s="1"/>
  <c r="M15" i="59" s="1"/>
  <c r="I131" i="54"/>
  <c r="I160" i="54" s="1"/>
  <c r="J19" i="58" s="1"/>
  <c r="F133" i="54"/>
  <c r="F162" i="54" s="1"/>
  <c r="G21" i="58" s="1"/>
  <c r="I152" i="56"/>
  <c r="D99" i="73"/>
  <c r="I99" i="70"/>
  <c r="D99" i="72"/>
  <c r="I99" i="71"/>
  <c r="F99" i="70"/>
  <c r="M99" i="70"/>
  <c r="D79" i="68"/>
  <c r="K99" i="70"/>
  <c r="F99" i="71"/>
  <c r="H99" i="74"/>
  <c r="K99" i="74"/>
  <c r="L99" i="72"/>
  <c r="E99" i="72"/>
  <c r="J99" i="71"/>
  <c r="E99" i="70"/>
  <c r="H79" i="68"/>
  <c r="E99" i="71"/>
  <c r="N99" i="71"/>
  <c r="N99" i="73"/>
  <c r="G99" i="73"/>
  <c r="H99" i="73"/>
  <c r="M99" i="72"/>
  <c r="F99" i="72"/>
  <c r="K99" i="71"/>
  <c r="L99" i="70"/>
  <c r="M99" i="71"/>
  <c r="J99" i="72"/>
  <c r="F99" i="73"/>
  <c r="J99" i="74"/>
  <c r="D99" i="74"/>
  <c r="I99" i="73"/>
  <c r="N99" i="72"/>
  <c r="G99" i="72"/>
  <c r="D99" i="71"/>
  <c r="I99" i="72"/>
  <c r="M79" i="68"/>
  <c r="M99" i="73"/>
  <c r="L79" i="68"/>
  <c r="L99" i="74"/>
  <c r="E99" i="74"/>
  <c r="J99" i="73"/>
  <c r="O99" i="72"/>
  <c r="L99" i="71"/>
  <c r="I99" i="74"/>
  <c r="E79" i="68"/>
  <c r="E99" i="73"/>
  <c r="D99" i="70"/>
  <c r="K79" i="68"/>
  <c r="M99" i="74"/>
  <c r="F99" i="74"/>
  <c r="K99" i="73"/>
  <c r="H99" i="72"/>
  <c r="N79" i="68"/>
  <c r="G99" i="71"/>
  <c r="O99" i="73"/>
  <c r="H99" i="70"/>
  <c r="O99" i="70"/>
  <c r="J79" i="68"/>
  <c r="N99" i="74"/>
  <c r="G99" i="74"/>
  <c r="O79" i="68"/>
  <c r="F79" i="68"/>
  <c r="O99" i="71"/>
  <c r="L99" i="73"/>
  <c r="H99" i="71"/>
  <c r="G99" i="70"/>
  <c r="N99" i="70"/>
  <c r="I79" i="68"/>
  <c r="O99" i="74"/>
  <c r="G79" i="68"/>
  <c r="J99" i="70"/>
  <c r="K99" i="72"/>
  <c r="H138" i="55"/>
  <c r="E128" i="55"/>
  <c r="H141" i="55"/>
  <c r="H140" i="55"/>
  <c r="H137" i="55"/>
  <c r="F128" i="54"/>
  <c r="D152" i="56"/>
  <c r="J76" i="44"/>
  <c r="C22" i="68"/>
  <c r="C23" i="68"/>
  <c r="C21" i="68"/>
  <c r="H6" i="68"/>
  <c r="D6" i="68"/>
  <c r="G24" i="68"/>
  <c r="O24" i="68"/>
  <c r="L25" i="68"/>
  <c r="D21" i="68"/>
  <c r="L21" i="68"/>
  <c r="I22" i="68"/>
  <c r="F23" i="68"/>
  <c r="N23" i="68"/>
  <c r="R12" i="82"/>
  <c r="I6" i="68"/>
  <c r="H24" i="68"/>
  <c r="E25" i="68"/>
  <c r="M25" i="68"/>
  <c r="E21" i="68"/>
  <c r="M21" i="68"/>
  <c r="J22" i="68"/>
  <c r="G23" i="68"/>
  <c r="O23" i="68"/>
  <c r="R11" i="82"/>
  <c r="J6" i="68"/>
  <c r="I24" i="68"/>
  <c r="F25" i="68"/>
  <c r="N25" i="68"/>
  <c r="F21" i="68"/>
  <c r="N21" i="68"/>
  <c r="K22" i="68"/>
  <c r="H23" i="68"/>
  <c r="D22" i="68"/>
  <c r="Q11" i="82"/>
  <c r="K6" i="68"/>
  <c r="J24" i="68"/>
  <c r="G25" i="68"/>
  <c r="O25" i="68"/>
  <c r="G21" i="68"/>
  <c r="O21" i="68"/>
  <c r="L22" i="68"/>
  <c r="I23" i="68"/>
  <c r="D23" i="68"/>
  <c r="L6" i="68"/>
  <c r="K24" i="68"/>
  <c r="H25" i="68"/>
  <c r="D25" i="68"/>
  <c r="H21" i="68"/>
  <c r="E22" i="68"/>
  <c r="M22" i="68"/>
  <c r="J23" i="68"/>
  <c r="E6" i="68"/>
  <c r="M6" i="68"/>
  <c r="L24" i="68"/>
  <c r="I25" i="68"/>
  <c r="D24" i="68"/>
  <c r="I21" i="68"/>
  <c r="F22" i="68"/>
  <c r="N22" i="68"/>
  <c r="K23" i="68"/>
  <c r="F6" i="68"/>
  <c r="N6" i="68"/>
  <c r="E24" i="68"/>
  <c r="M24" i="68"/>
  <c r="J25" i="68"/>
  <c r="C25" i="68"/>
  <c r="J21" i="68"/>
  <c r="G22" i="68"/>
  <c r="O22" i="68"/>
  <c r="L23" i="68"/>
  <c r="G6" i="68"/>
  <c r="O6" i="68"/>
  <c r="F24" i="68"/>
  <c r="N24" i="68"/>
  <c r="K25" i="68"/>
  <c r="C24" i="68"/>
  <c r="K21" i="68"/>
  <c r="H22" i="68"/>
  <c r="E23" i="68"/>
  <c r="M23" i="68"/>
  <c r="Z115" i="36"/>
  <c r="H76" i="44"/>
  <c r="C76" i="52"/>
  <c r="Q11" i="81"/>
  <c r="Q12" i="81"/>
  <c r="Q12" i="82"/>
  <c r="S12" i="82" s="1"/>
  <c r="D152" i="57"/>
  <c r="X115" i="36"/>
  <c r="N125" i="56"/>
  <c r="N152" i="56"/>
  <c r="H141" i="54"/>
  <c r="K157" i="54"/>
  <c r="L16" i="58" s="1"/>
  <c r="F132" i="57"/>
  <c r="N137" i="55"/>
  <c r="J125" i="54"/>
  <c r="J140" i="54"/>
  <c r="D133" i="56"/>
  <c r="D162" i="56" s="1"/>
  <c r="E21" i="60" s="1"/>
  <c r="I142" i="57"/>
  <c r="E157" i="57"/>
  <c r="F16" i="61" s="1"/>
  <c r="F131" i="57"/>
  <c r="J138" i="54"/>
  <c r="L139" i="54"/>
  <c r="L159" i="54" s="1"/>
  <c r="M18" i="58" s="1"/>
  <c r="D132" i="56"/>
  <c r="D161" i="56" s="1"/>
  <c r="M125" i="56"/>
  <c r="N140" i="54"/>
  <c r="E138" i="56"/>
  <c r="F128" i="57"/>
  <c r="F129" i="57"/>
  <c r="J157" i="55"/>
  <c r="K16" i="59" s="1"/>
  <c r="I140" i="57"/>
  <c r="D131" i="56"/>
  <c r="D160" i="56" s="1"/>
  <c r="E19" i="60" s="1"/>
  <c r="J139" i="54"/>
  <c r="J131" i="56"/>
  <c r="J142" i="54"/>
  <c r="N142" i="55"/>
  <c r="J137" i="54"/>
  <c r="F142" i="57"/>
  <c r="F162" i="57" s="1"/>
  <c r="G21" i="61" s="1"/>
  <c r="I138" i="57"/>
  <c r="D130" i="56"/>
  <c r="D159" i="56" s="1"/>
  <c r="E18" i="60" s="1"/>
  <c r="G152" i="55"/>
  <c r="H157" i="54"/>
  <c r="I16" i="58" s="1"/>
  <c r="J157" i="54"/>
  <c r="K16" i="58" s="1"/>
  <c r="D129" i="56"/>
  <c r="D156" i="56" s="1"/>
  <c r="E15" i="60" s="1"/>
  <c r="I141" i="57"/>
  <c r="N138" i="55"/>
  <c r="H152" i="55"/>
  <c r="I125" i="56"/>
  <c r="H157" i="57"/>
  <c r="I16" i="61" s="1"/>
  <c r="J142" i="55"/>
  <c r="K137" i="57"/>
  <c r="H125" i="57"/>
  <c r="E152" i="54"/>
  <c r="I138" i="56"/>
  <c r="J130" i="56"/>
  <c r="J159" i="56" s="1"/>
  <c r="K18" i="60" s="1"/>
  <c r="H159" i="55"/>
  <c r="G137" i="56"/>
  <c r="N137" i="56"/>
  <c r="K140" i="54"/>
  <c r="K160" i="54" s="1"/>
  <c r="L19" i="58" s="1"/>
  <c r="L132" i="54"/>
  <c r="L161" i="54" s="1"/>
  <c r="M20" i="58" s="1"/>
  <c r="R111" i="55"/>
  <c r="C111" i="55" s="1"/>
  <c r="F130" i="54"/>
  <c r="F159" i="54" s="1"/>
  <c r="G18" i="58" s="1"/>
  <c r="D157" i="55"/>
  <c r="E16" i="59" s="1"/>
  <c r="M137" i="56"/>
  <c r="D157" i="56"/>
  <c r="E16" i="60" s="1"/>
  <c r="N141" i="56"/>
  <c r="K142" i="57"/>
  <c r="N140" i="56"/>
  <c r="K137" i="54"/>
  <c r="M139" i="55"/>
  <c r="H142" i="55"/>
  <c r="D152" i="54"/>
  <c r="G141" i="55"/>
  <c r="K138" i="57"/>
  <c r="N130" i="54"/>
  <c r="N159" i="54" s="1"/>
  <c r="O18" i="58" s="1"/>
  <c r="K128" i="56"/>
  <c r="K141" i="57"/>
  <c r="F140" i="56"/>
  <c r="J142" i="57"/>
  <c r="G140" i="56"/>
  <c r="J138" i="57"/>
  <c r="I128" i="54"/>
  <c r="N132" i="57"/>
  <c r="N161" i="57" s="1"/>
  <c r="O20" i="61" s="1"/>
  <c r="N139" i="55"/>
  <c r="I157" i="56"/>
  <c r="J16" i="60" s="1"/>
  <c r="N142" i="56"/>
  <c r="J137" i="57"/>
  <c r="J141" i="57"/>
  <c r="G137" i="55"/>
  <c r="J140" i="57"/>
  <c r="E130" i="54"/>
  <c r="E159" i="54" s="1"/>
  <c r="F18" i="58" s="1"/>
  <c r="I137" i="56"/>
  <c r="H133" i="55"/>
  <c r="N141" i="55"/>
  <c r="N138" i="56"/>
  <c r="K142" i="54"/>
  <c r="K162" i="54" s="1"/>
  <c r="L21" i="58" s="1"/>
  <c r="K141" i="54"/>
  <c r="K161" i="54" s="1"/>
  <c r="L20" i="58" s="1"/>
  <c r="G138" i="57"/>
  <c r="N128" i="54"/>
  <c r="F125" i="57"/>
  <c r="L169" i="56"/>
  <c r="L177" i="56" s="1"/>
  <c r="L185" i="56" s="1"/>
  <c r="L133" i="56" s="1"/>
  <c r="L130" i="56"/>
  <c r="L159" i="56" s="1"/>
  <c r="M18" i="60" s="1"/>
  <c r="I169" i="57"/>
  <c r="I177" i="57" s="1"/>
  <c r="I185" i="57" s="1"/>
  <c r="I130" i="57"/>
  <c r="I159" i="57" s="1"/>
  <c r="J18" i="61" s="1"/>
  <c r="I133" i="57"/>
  <c r="I131" i="57"/>
  <c r="D175" i="54"/>
  <c r="D183" i="54" s="1"/>
  <c r="D131" i="54" s="1"/>
  <c r="N173" i="57"/>
  <c r="N181" i="57" s="1"/>
  <c r="N129" i="57" s="1"/>
  <c r="N156" i="57" s="1"/>
  <c r="D177" i="54"/>
  <c r="D185" i="54" s="1"/>
  <c r="D133" i="54" s="1"/>
  <c r="D172" i="54"/>
  <c r="D180" i="54" s="1"/>
  <c r="D128" i="54" s="1"/>
  <c r="I169" i="55"/>
  <c r="I172" i="55" s="1"/>
  <c r="I180" i="55" s="1"/>
  <c r="I128" i="55" s="1"/>
  <c r="I130" i="55"/>
  <c r="I159" i="55" s="1"/>
  <c r="J18" i="59" s="1"/>
  <c r="I132" i="55"/>
  <c r="I133" i="55"/>
  <c r="L169" i="57"/>
  <c r="L173" i="57" s="1"/>
  <c r="L181" i="57" s="1"/>
  <c r="L133" i="57"/>
  <c r="L129" i="57"/>
  <c r="L130" i="57"/>
  <c r="N169" i="56"/>
  <c r="N177" i="56" s="1"/>
  <c r="N185" i="56" s="1"/>
  <c r="N133" i="56"/>
  <c r="N129" i="56"/>
  <c r="N130" i="56"/>
  <c r="N159" i="56" s="1"/>
  <c r="O18" i="60" s="1"/>
  <c r="J130" i="54"/>
  <c r="G199" i="56"/>
  <c r="G207" i="56" s="1"/>
  <c r="G141" i="56" s="1"/>
  <c r="N172" i="57"/>
  <c r="N180" i="57" s="1"/>
  <c r="N128" i="57" s="1"/>
  <c r="J169" i="57"/>
  <c r="J172" i="57" s="1"/>
  <c r="J180" i="57" s="1"/>
  <c r="J130" i="57"/>
  <c r="J159" i="57" s="1"/>
  <c r="K18" i="61" s="1"/>
  <c r="J133" i="57"/>
  <c r="J128" i="57"/>
  <c r="H169" i="56"/>
  <c r="H177" i="56" s="1"/>
  <c r="H185" i="56" s="1"/>
  <c r="H130" i="56"/>
  <c r="H159" i="56" s="1"/>
  <c r="I18" i="60" s="1"/>
  <c r="H133" i="56"/>
  <c r="H129" i="56"/>
  <c r="N129" i="55"/>
  <c r="N156" i="55" s="1"/>
  <c r="O15" i="59" s="1"/>
  <c r="N130" i="55"/>
  <c r="M157" i="54"/>
  <c r="N16" i="58" s="1"/>
  <c r="G200" i="55"/>
  <c r="G208" i="55" s="1"/>
  <c r="G142" i="55" s="1"/>
  <c r="G162" i="55" s="1"/>
  <c r="H21" i="59" s="1"/>
  <c r="G200" i="56"/>
  <c r="G208" i="56" s="1"/>
  <c r="G142" i="56" s="1"/>
  <c r="N157" i="57"/>
  <c r="O16" i="61" s="1"/>
  <c r="N177" i="57"/>
  <c r="N185" i="57" s="1"/>
  <c r="N133" i="57" s="1"/>
  <c r="N162" i="57" s="1"/>
  <c r="O21" i="61" s="1"/>
  <c r="K132" i="57"/>
  <c r="K130" i="57"/>
  <c r="K159" i="57" s="1"/>
  <c r="L18" i="61" s="1"/>
  <c r="E133" i="56"/>
  <c r="E130" i="56"/>
  <c r="G132" i="55"/>
  <c r="G161" i="55" s="1"/>
  <c r="H20" i="59" s="1"/>
  <c r="G196" i="55"/>
  <c r="G204" i="55" s="1"/>
  <c r="G138" i="55" s="1"/>
  <c r="G156" i="55" s="1"/>
  <c r="H15" i="59" s="1"/>
  <c r="K177" i="56"/>
  <c r="K185" i="56" s="1"/>
  <c r="K133" i="56" s="1"/>
  <c r="K162" i="56" s="1"/>
  <c r="L21" i="60" s="1"/>
  <c r="M157" i="56"/>
  <c r="N16" i="60" s="1"/>
  <c r="K173" i="56"/>
  <c r="K181" i="56" s="1"/>
  <c r="K129" i="56" s="1"/>
  <c r="K156" i="56" s="1"/>
  <c r="L15" i="60" s="1"/>
  <c r="G198" i="55"/>
  <c r="G206" i="55" s="1"/>
  <c r="G140" i="55" s="1"/>
  <c r="G160" i="55" s="1"/>
  <c r="H19" i="59" s="1"/>
  <c r="J130" i="55"/>
  <c r="J159" i="55" s="1"/>
  <c r="K18" i="59" s="1"/>
  <c r="J133" i="55"/>
  <c r="M130" i="55"/>
  <c r="G196" i="56"/>
  <c r="G204" i="56" s="1"/>
  <c r="G138" i="56" s="1"/>
  <c r="K176" i="56"/>
  <c r="K184" i="56" s="1"/>
  <c r="K132" i="56" s="1"/>
  <c r="K161" i="56" s="1"/>
  <c r="L20" i="60" s="1"/>
  <c r="M157" i="57"/>
  <c r="N16" i="61" s="1"/>
  <c r="N175" i="57"/>
  <c r="N183" i="57" s="1"/>
  <c r="N131" i="57" s="1"/>
  <c r="N160" i="57" s="1"/>
  <c r="O19" i="61" s="1"/>
  <c r="H169" i="54"/>
  <c r="H172" i="54" s="1"/>
  <c r="H180" i="54" s="1"/>
  <c r="H128" i="54"/>
  <c r="H131" i="54"/>
  <c r="H130" i="54"/>
  <c r="H159" i="54" s="1"/>
  <c r="I18" i="58" s="1"/>
  <c r="K175" i="56"/>
  <c r="K183" i="56" s="1"/>
  <c r="K131" i="56" s="1"/>
  <c r="K160" i="56" s="1"/>
  <c r="L19" i="60" s="1"/>
  <c r="I169" i="56"/>
  <c r="I175" i="56" s="1"/>
  <c r="I183" i="56" s="1"/>
  <c r="I131" i="56" s="1"/>
  <c r="I130" i="56"/>
  <c r="I159" i="56" s="1"/>
  <c r="J18" i="60" s="1"/>
  <c r="I133" i="56"/>
  <c r="F157" i="55"/>
  <c r="G16" i="59" s="1"/>
  <c r="D173" i="54"/>
  <c r="D181" i="54" s="1"/>
  <c r="D129" i="54" s="1"/>
  <c r="G130" i="57"/>
  <c r="G159" i="57" s="1"/>
  <c r="H18" i="61" s="1"/>
  <c r="G128" i="57"/>
  <c r="M192" i="57"/>
  <c r="M199" i="57" s="1"/>
  <c r="M207" i="57" s="1"/>
  <c r="M139" i="57"/>
  <c r="M159" i="57" s="1"/>
  <c r="N18" i="61" s="1"/>
  <c r="M138" i="57"/>
  <c r="M141" i="57"/>
  <c r="M161" i="57" s="1"/>
  <c r="N20" i="61" s="1"/>
  <c r="L192" i="57"/>
  <c r="L199" i="57" s="1"/>
  <c r="L207" i="57" s="1"/>
  <c r="L139" i="57"/>
  <c r="L138" i="57"/>
  <c r="L141" i="57"/>
  <c r="F125" i="55"/>
  <c r="C139" i="55"/>
  <c r="C146" i="56"/>
  <c r="C151" i="56"/>
  <c r="O151" i="56" s="1"/>
  <c r="C147" i="56"/>
  <c r="O147" i="56" s="1"/>
  <c r="C150" i="56"/>
  <c r="O150" i="56" s="1"/>
  <c r="C149" i="56"/>
  <c r="O149" i="56" s="1"/>
  <c r="C148" i="56"/>
  <c r="O148" i="56" s="1"/>
  <c r="C130" i="56"/>
  <c r="C113" i="56"/>
  <c r="O113" i="56" s="1"/>
  <c r="C110" i="56"/>
  <c r="C112" i="56"/>
  <c r="O112" i="56" s="1"/>
  <c r="C114" i="56"/>
  <c r="O114" i="56" s="1"/>
  <c r="C109" i="56"/>
  <c r="C150" i="57"/>
  <c r="C151" i="57"/>
  <c r="C149" i="57"/>
  <c r="C148" i="57"/>
  <c r="C146" i="57"/>
  <c r="C147" i="57"/>
  <c r="C141" i="54"/>
  <c r="C139" i="54"/>
  <c r="C109" i="55"/>
  <c r="O109" i="55" s="1"/>
  <c r="C114" i="55"/>
  <c r="O114" i="55" s="1"/>
  <c r="C113" i="55"/>
  <c r="C112" i="55"/>
  <c r="O112" i="55" s="1"/>
  <c r="C110" i="55"/>
  <c r="C149" i="54"/>
  <c r="O149" i="54" s="1"/>
  <c r="C150" i="54"/>
  <c r="O150" i="54" s="1"/>
  <c r="C151" i="54"/>
  <c r="O151" i="54" s="1"/>
  <c r="C148" i="54"/>
  <c r="C146" i="54"/>
  <c r="C147" i="54"/>
  <c r="O147" i="54" s="1"/>
  <c r="C130" i="55"/>
  <c r="C121" i="56"/>
  <c r="C122" i="56"/>
  <c r="C123" i="56"/>
  <c r="C119" i="56"/>
  <c r="O119" i="56" s="1"/>
  <c r="C124" i="56"/>
  <c r="R118" i="56"/>
  <c r="C120" i="56" s="1"/>
  <c r="C118" i="56"/>
  <c r="C139" i="56"/>
  <c r="O139" i="56" s="1"/>
  <c r="R111" i="56"/>
  <c r="C111" i="56" s="1"/>
  <c r="C41" i="67"/>
  <c r="C35" i="9"/>
  <c r="H56" i="72"/>
  <c r="D56" i="69"/>
  <c r="E58" i="67"/>
  <c r="J56" i="69"/>
  <c r="H52" i="9"/>
  <c r="K56" i="70"/>
  <c r="K56" i="71"/>
  <c r="K56" i="72"/>
  <c r="G56" i="73"/>
  <c r="D58" i="67"/>
  <c r="M58" i="67"/>
  <c r="G56" i="70"/>
  <c r="M56" i="73"/>
  <c r="H56" i="71"/>
  <c r="N56" i="71"/>
  <c r="N56" i="69"/>
  <c r="D56" i="74"/>
  <c r="D56" i="71"/>
  <c r="H56" i="68"/>
  <c r="K56" i="69"/>
  <c r="E56" i="73"/>
  <c r="J58" i="67"/>
  <c r="N56" i="72"/>
  <c r="G52" i="9"/>
  <c r="M56" i="72"/>
  <c r="K56" i="68"/>
  <c r="G56" i="71"/>
  <c r="J52" i="9"/>
  <c r="J56" i="72"/>
  <c r="J56" i="71"/>
  <c r="G58" i="67"/>
  <c r="M56" i="74"/>
  <c r="H56" i="70"/>
  <c r="H56" i="74"/>
  <c r="M56" i="71"/>
  <c r="K56" i="73"/>
  <c r="E56" i="72"/>
  <c r="H56" i="69"/>
  <c r="D56" i="72"/>
  <c r="E56" i="69"/>
  <c r="D52" i="9"/>
  <c r="M52" i="9"/>
  <c r="E52" i="9"/>
  <c r="K52" i="9"/>
  <c r="E56" i="71"/>
  <c r="N56" i="70"/>
  <c r="J56" i="73"/>
  <c r="M56" i="70"/>
  <c r="G56" i="69"/>
  <c r="J56" i="70"/>
  <c r="M56" i="68"/>
  <c r="K56" i="74"/>
  <c r="H56" i="73"/>
  <c r="E56" i="74"/>
  <c r="D56" i="73"/>
  <c r="M56" i="69"/>
  <c r="K58" i="67"/>
  <c r="G56" i="74"/>
  <c r="E56" i="70"/>
  <c r="H58" i="67"/>
  <c r="D56" i="70"/>
  <c r="N58" i="67"/>
  <c r="N56" i="68"/>
  <c r="N56" i="73"/>
  <c r="G56" i="68"/>
  <c r="G56" i="72"/>
  <c r="N52" i="9"/>
  <c r="N56" i="74"/>
  <c r="E56" i="68"/>
  <c r="D56" i="68"/>
  <c r="J56" i="68"/>
  <c r="J56" i="74"/>
  <c r="G157" i="56"/>
  <c r="H16" i="60" s="1"/>
  <c r="I157" i="54"/>
  <c r="J16" i="58" s="1"/>
  <c r="V20" i="52"/>
  <c r="AC20" i="52"/>
  <c r="AB20" i="52"/>
  <c r="X20" i="52"/>
  <c r="W20" i="52"/>
  <c r="U20" i="52"/>
  <c r="T20" i="52"/>
  <c r="AB18" i="52"/>
  <c r="U18" i="52"/>
  <c r="S18" i="52"/>
  <c r="AC18" i="52"/>
  <c r="R18" i="52"/>
  <c r="Z18" i="52"/>
  <c r="X18" i="52"/>
  <c r="V18" i="52"/>
  <c r="AA18" i="52"/>
  <c r="W18" i="52"/>
  <c r="AA20" i="44"/>
  <c r="Y50" i="52"/>
  <c r="AC50" i="52"/>
  <c r="AB50" i="52"/>
  <c r="AA50" i="52"/>
  <c r="Z50" i="52"/>
  <c r="U50" i="52"/>
  <c r="T50" i="52"/>
  <c r="R50" i="52"/>
  <c r="M169" i="55"/>
  <c r="M176" i="55" s="1"/>
  <c r="M184" i="55" s="1"/>
  <c r="M132" i="55" s="1"/>
  <c r="AB15" i="52"/>
  <c r="S15" i="52"/>
  <c r="AC15" i="52"/>
  <c r="R15" i="52"/>
  <c r="AA15" i="52"/>
  <c r="X15" i="52"/>
  <c r="W15" i="52"/>
  <c r="U15" i="52"/>
  <c r="Q33" i="52"/>
  <c r="Q33" i="44"/>
  <c r="U35" i="44"/>
  <c r="AA21" i="52"/>
  <c r="AB21" i="52"/>
  <c r="T21" i="52"/>
  <c r="AB13" i="52"/>
  <c r="Z13" i="52"/>
  <c r="X13" i="52"/>
  <c r="W13" i="52"/>
  <c r="U13" i="52"/>
  <c r="S13" i="52"/>
  <c r="AA13" i="52"/>
  <c r="Q32" i="52"/>
  <c r="Q32" i="44"/>
  <c r="Q44" i="52"/>
  <c r="Q44" i="44"/>
  <c r="Q48" i="52"/>
  <c r="X48" i="52" s="1"/>
  <c r="Q48" i="44"/>
  <c r="Q17" i="44"/>
  <c r="V20" i="44"/>
  <c r="AB18" i="44"/>
  <c r="Q43" i="44"/>
  <c r="Q46" i="44"/>
  <c r="X52" i="44"/>
  <c r="Q10" i="52"/>
  <c r="Q10" i="44"/>
  <c r="M36" i="44"/>
  <c r="Z5" i="52"/>
  <c r="X5" i="52"/>
  <c r="V5" i="52"/>
  <c r="V7" i="52" s="1"/>
  <c r="R5" i="52"/>
  <c r="AC5" i="52"/>
  <c r="AC7" i="52" s="1"/>
  <c r="Y47" i="52"/>
  <c r="Z47" i="52"/>
  <c r="X47" i="52"/>
  <c r="W47" i="52"/>
  <c r="V47" i="52"/>
  <c r="U47" i="52"/>
  <c r="AC47" i="52"/>
  <c r="T47" i="52"/>
  <c r="AA47" i="52"/>
  <c r="R47" i="52"/>
  <c r="AD47" i="52" s="1"/>
  <c r="AA18" i="44"/>
  <c r="Y29" i="44"/>
  <c r="R29" i="44"/>
  <c r="Z29" i="44"/>
  <c r="E36" i="44"/>
  <c r="E40" i="44" s="1"/>
  <c r="F12" i="48" s="1"/>
  <c r="Q19" i="44"/>
  <c r="Q19" i="52"/>
  <c r="Q11" i="44"/>
  <c r="Q11" i="52"/>
  <c r="Q38" i="52"/>
  <c r="Q38" i="44"/>
  <c r="Y30" i="52"/>
  <c r="Z30" i="52"/>
  <c r="X30" i="52"/>
  <c r="W30" i="52"/>
  <c r="V30" i="52"/>
  <c r="U30" i="52"/>
  <c r="AC30" i="52"/>
  <c r="T30" i="52"/>
  <c r="AA30" i="52"/>
  <c r="R30" i="52"/>
  <c r="Q54" i="44"/>
  <c r="Q54" i="52"/>
  <c r="Q14" i="44"/>
  <c r="S20" i="44"/>
  <c r="Y18" i="44"/>
  <c r="W29" i="44"/>
  <c r="U36" i="44"/>
  <c r="Q47" i="44"/>
  <c r="Q50" i="44"/>
  <c r="F50" i="44"/>
  <c r="V15" i="52"/>
  <c r="S30" i="52"/>
  <c r="Q36" i="52"/>
  <c r="AB47" i="52"/>
  <c r="AC42" i="52"/>
  <c r="W42" i="52"/>
  <c r="V42" i="52"/>
  <c r="Q49" i="52"/>
  <c r="Q49" i="44"/>
  <c r="Q42" i="44"/>
  <c r="T42" i="52"/>
  <c r="Q26" i="44"/>
  <c r="Q26" i="52"/>
  <c r="W18" i="44"/>
  <c r="Q27" i="44"/>
  <c r="Q30" i="44"/>
  <c r="Z15" i="52"/>
  <c r="AB30" i="52"/>
  <c r="Q45" i="52"/>
  <c r="T20" i="44"/>
  <c r="AB20" i="44"/>
  <c r="R20" i="44"/>
  <c r="W20" i="44"/>
  <c r="X20" i="44"/>
  <c r="Z20" i="44"/>
  <c r="Y45" i="44"/>
  <c r="Z45" i="44"/>
  <c r="W45" i="44"/>
  <c r="AA31" i="52"/>
  <c r="V31" i="52"/>
  <c r="U31" i="52"/>
  <c r="T31" i="52"/>
  <c r="AC31" i="52"/>
  <c r="R31" i="52"/>
  <c r="AB31" i="52"/>
  <c r="Z31" i="52"/>
  <c r="W31" i="52"/>
  <c r="U20" i="44"/>
  <c r="Y29" i="52"/>
  <c r="AA29" i="52"/>
  <c r="U29" i="52"/>
  <c r="Y13" i="44"/>
  <c r="T13" i="44"/>
  <c r="AB13" i="44"/>
  <c r="U13" i="44"/>
  <c r="AC13" i="44"/>
  <c r="W13" i="44"/>
  <c r="Z17" i="52"/>
  <c r="AA17" i="52"/>
  <c r="X17" i="52"/>
  <c r="P37" i="46"/>
  <c r="W36" i="44"/>
  <c r="X36" i="44"/>
  <c r="Q28" i="52"/>
  <c r="AA28" i="52" s="1"/>
  <c r="Q28" i="44"/>
  <c r="AC52" i="52"/>
  <c r="X52" i="52"/>
  <c r="V52" i="52"/>
  <c r="Q22" i="44"/>
  <c r="AA13" i="44"/>
  <c r="Q31" i="44"/>
  <c r="Q34" i="44"/>
  <c r="J77" i="44"/>
  <c r="M76" i="44"/>
  <c r="E76" i="44"/>
  <c r="H75" i="44"/>
  <c r="G36" i="44"/>
  <c r="U5" i="52"/>
  <c r="S17" i="52"/>
  <c r="X31" i="52"/>
  <c r="X46" i="52"/>
  <c r="S50" i="52"/>
  <c r="AB35" i="44"/>
  <c r="W35" i="44"/>
  <c r="V35" i="44"/>
  <c r="S35" i="44"/>
  <c r="Z18" i="44"/>
  <c r="U18" i="44"/>
  <c r="AC18" i="44"/>
  <c r="V18" i="44"/>
  <c r="X18" i="44"/>
  <c r="AD18" i="44" s="1"/>
  <c r="R18" i="44"/>
  <c r="V52" i="44"/>
  <c r="W52" i="44"/>
  <c r="U52" i="44"/>
  <c r="Q12" i="52"/>
  <c r="Q12" i="44"/>
  <c r="AA43" i="52"/>
  <c r="T43" i="52"/>
  <c r="AC43" i="52"/>
  <c r="R43" i="52"/>
  <c r="AB43" i="52"/>
  <c r="Z43" i="52"/>
  <c r="X43" i="52"/>
  <c r="W43" i="52"/>
  <c r="U43" i="52"/>
  <c r="Q15" i="44"/>
  <c r="AC35" i="44"/>
  <c r="Q37" i="52"/>
  <c r="Q37" i="44"/>
  <c r="Q53" i="44"/>
  <c r="Q53" i="52"/>
  <c r="Q16" i="52"/>
  <c r="X16" i="52" s="1"/>
  <c r="Q16" i="44"/>
  <c r="P53" i="46"/>
  <c r="V27" i="52"/>
  <c r="Y27" i="52"/>
  <c r="Q51" i="44"/>
  <c r="Q51" i="52"/>
  <c r="Q21" i="44"/>
  <c r="AC20" i="44"/>
  <c r="S18" i="44"/>
  <c r="Z13" i="44"/>
  <c r="AD13" i="44" s="1"/>
  <c r="H75" i="52"/>
  <c r="D77" i="52"/>
  <c r="L77" i="52"/>
  <c r="R13" i="52"/>
  <c r="N77" i="44"/>
  <c r="F77" i="44"/>
  <c r="I76" i="44"/>
  <c r="L75" i="44"/>
  <c r="D75" i="44"/>
  <c r="N36" i="44"/>
  <c r="F36" i="44"/>
  <c r="I27" i="44"/>
  <c r="J13" i="47" s="1"/>
  <c r="J76" i="52"/>
  <c r="X6" i="52"/>
  <c r="H85" i="52"/>
  <c r="F27" i="52"/>
  <c r="H50" i="52"/>
  <c r="G64" i="52"/>
  <c r="K152" i="54"/>
  <c r="D125" i="56"/>
  <c r="G76" i="44"/>
  <c r="G78" i="44" s="1"/>
  <c r="J75" i="44"/>
  <c r="O63" i="44"/>
  <c r="O62" i="44"/>
  <c r="AB6" i="52"/>
  <c r="H22" i="52"/>
  <c r="O49" i="52"/>
  <c r="K77" i="44"/>
  <c r="N64" i="44"/>
  <c r="E76" i="52"/>
  <c r="M76" i="52"/>
  <c r="G36" i="52"/>
  <c r="G39" i="52" s="1"/>
  <c r="J64" i="52"/>
  <c r="M125" i="54"/>
  <c r="O35" i="52"/>
  <c r="O72" i="52"/>
  <c r="J152" i="55"/>
  <c r="L50" i="44"/>
  <c r="O49" i="44"/>
  <c r="J75" i="52"/>
  <c r="H76" i="52"/>
  <c r="F77" i="52"/>
  <c r="N77" i="52"/>
  <c r="F50" i="52"/>
  <c r="N50" i="52"/>
  <c r="C56" i="44"/>
  <c r="D14" i="49" s="1"/>
  <c r="I76" i="52"/>
  <c r="G77" i="52"/>
  <c r="K36" i="52"/>
  <c r="K39" i="52" s="1"/>
  <c r="O48" i="52"/>
  <c r="J125" i="57"/>
  <c r="D157" i="57"/>
  <c r="E16" i="61" s="1"/>
  <c r="K115" i="57"/>
  <c r="K157" i="55"/>
  <c r="L16" i="59" s="1"/>
  <c r="K125" i="57"/>
  <c r="P5" i="8"/>
  <c r="K85" i="52"/>
  <c r="N29" i="44"/>
  <c r="O15" i="47" s="1"/>
  <c r="C15" i="44"/>
  <c r="D15" i="43" s="1"/>
  <c r="K8" i="8"/>
  <c r="M195" i="54"/>
  <c r="M203" i="54" s="1"/>
  <c r="M137" i="54" s="1"/>
  <c r="D143" i="56"/>
  <c r="E125" i="55"/>
  <c r="H152" i="57"/>
  <c r="K125" i="55"/>
  <c r="F196" i="57"/>
  <c r="F204" i="57" s="1"/>
  <c r="F138" i="57" s="1"/>
  <c r="D157" i="54"/>
  <c r="E16" i="58" s="1"/>
  <c r="O21" i="55"/>
  <c r="J152" i="56"/>
  <c r="I125" i="54"/>
  <c r="K125" i="54"/>
  <c r="D125" i="54"/>
  <c r="H125" i="56"/>
  <c r="F157" i="54"/>
  <c r="G16" i="58" s="1"/>
  <c r="G159" i="55"/>
  <c r="G152" i="56"/>
  <c r="L152" i="54"/>
  <c r="G152" i="54"/>
  <c r="O35" i="56"/>
  <c r="L152" i="55"/>
  <c r="Y115" i="36"/>
  <c r="P12" i="7"/>
  <c r="P13" i="7"/>
  <c r="L152" i="57"/>
  <c r="D209" i="56"/>
  <c r="Z115" i="55"/>
  <c r="D125" i="55"/>
  <c r="G152" i="57"/>
  <c r="F152" i="54"/>
  <c r="D125" i="57"/>
  <c r="E152" i="55"/>
  <c r="F125" i="54"/>
  <c r="N125" i="57"/>
  <c r="E125" i="57"/>
  <c r="AA115" i="36"/>
  <c r="S115" i="36"/>
  <c r="L16" i="35"/>
  <c r="M21" i="8"/>
  <c r="J17" i="35"/>
  <c r="K22" i="8"/>
  <c r="M16" i="35"/>
  <c r="N21" i="8"/>
  <c r="E16" i="35"/>
  <c r="F21" i="8"/>
  <c r="M15" i="7"/>
  <c r="E15" i="7"/>
  <c r="G17" i="35"/>
  <c r="H22" i="8"/>
  <c r="J16" i="35"/>
  <c r="K21" i="8"/>
  <c r="P10" i="7"/>
  <c r="I17" i="35"/>
  <c r="J22" i="8"/>
  <c r="F15" i="7"/>
  <c r="K16" i="35"/>
  <c r="L21" i="8"/>
  <c r="P19" i="8"/>
  <c r="L15" i="7"/>
  <c r="N17" i="35"/>
  <c r="O22" i="8"/>
  <c r="F17" i="35"/>
  <c r="G22" i="8"/>
  <c r="I16" i="35"/>
  <c r="J21" i="8"/>
  <c r="P11" i="7"/>
  <c r="D16" i="35"/>
  <c r="E21" i="8"/>
  <c r="M17" i="35"/>
  <c r="N22" i="8"/>
  <c r="E17" i="35"/>
  <c r="F22" i="8"/>
  <c r="I21" i="8"/>
  <c r="H16" i="35"/>
  <c r="N15" i="7"/>
  <c r="I22" i="8"/>
  <c r="H17" i="35"/>
  <c r="D21" i="8"/>
  <c r="C16" i="35"/>
  <c r="L17" i="35"/>
  <c r="M22" i="8"/>
  <c r="D17" i="35"/>
  <c r="E22" i="8"/>
  <c r="G16" i="35"/>
  <c r="H21" i="8"/>
  <c r="D22" i="8"/>
  <c r="C17" i="35"/>
  <c r="K17" i="35"/>
  <c r="L22" i="8"/>
  <c r="N16" i="35"/>
  <c r="O21" i="8"/>
  <c r="F16" i="35"/>
  <c r="G21" i="8"/>
  <c r="D89" i="70"/>
  <c r="D89" i="74"/>
  <c r="D89" i="73"/>
  <c r="D89" i="72"/>
  <c r="D89" i="71"/>
  <c r="G125" i="56"/>
  <c r="K152" i="57"/>
  <c r="N152" i="55"/>
  <c r="J125" i="55"/>
  <c r="M125" i="57"/>
  <c r="H125" i="54"/>
  <c r="O42" i="55"/>
  <c r="J169" i="55"/>
  <c r="J177" i="55" s="1"/>
  <c r="J185" i="55" s="1"/>
  <c r="O35" i="55"/>
  <c r="N159" i="57"/>
  <c r="O18" i="61" s="1"/>
  <c r="J152" i="57"/>
  <c r="K157" i="56"/>
  <c r="L16" i="60" s="1"/>
  <c r="E125" i="56"/>
  <c r="H159" i="57"/>
  <c r="I18" i="61" s="1"/>
  <c r="H152" i="56"/>
  <c r="L125" i="55"/>
  <c r="N157" i="54"/>
  <c r="O16" i="58" s="1"/>
  <c r="H157" i="55"/>
  <c r="I16" i="59" s="1"/>
  <c r="K152" i="56"/>
  <c r="E152" i="57"/>
  <c r="M152" i="57"/>
  <c r="M125" i="55"/>
  <c r="L172" i="55"/>
  <c r="L180" i="55" s="1"/>
  <c r="L128" i="55" s="1"/>
  <c r="I152" i="57"/>
  <c r="M157" i="55"/>
  <c r="N152" i="57"/>
  <c r="G125" i="54"/>
  <c r="H125" i="55"/>
  <c r="F152" i="56"/>
  <c r="K152" i="55"/>
  <c r="N125" i="54"/>
  <c r="M196" i="56"/>
  <c r="M204" i="56" s="1"/>
  <c r="D152" i="55"/>
  <c r="N152" i="54"/>
  <c r="N125" i="55"/>
  <c r="D115" i="54"/>
  <c r="J195" i="55"/>
  <c r="J203" i="55" s="1"/>
  <c r="J137" i="55" s="1"/>
  <c r="F152" i="55"/>
  <c r="K125" i="56"/>
  <c r="L125" i="56"/>
  <c r="N157" i="55"/>
  <c r="O16" i="59" s="1"/>
  <c r="L177" i="57"/>
  <c r="L185" i="57" s="1"/>
  <c r="L175" i="54"/>
  <c r="L183" i="54" s="1"/>
  <c r="F152" i="57"/>
  <c r="J199" i="55"/>
  <c r="J207" i="55" s="1"/>
  <c r="J141" i="55" s="1"/>
  <c r="L177" i="54"/>
  <c r="L185" i="54" s="1"/>
  <c r="V115" i="36"/>
  <c r="O42" i="54"/>
  <c r="O42" i="56"/>
  <c r="N209" i="57"/>
  <c r="I173" i="54"/>
  <c r="I181" i="54" s="1"/>
  <c r="R115" i="36"/>
  <c r="M159" i="54"/>
  <c r="N18" i="58" s="1"/>
  <c r="M175" i="56"/>
  <c r="M183" i="56" s="1"/>
  <c r="M131" i="56" s="1"/>
  <c r="N176" i="55"/>
  <c r="N184" i="55" s="1"/>
  <c r="I176" i="54"/>
  <c r="I184" i="54" s="1"/>
  <c r="H161" i="57"/>
  <c r="I20" i="61" s="1"/>
  <c r="F115" i="55"/>
  <c r="F159" i="57"/>
  <c r="G18" i="61" s="1"/>
  <c r="G161" i="54"/>
  <c r="H20" i="58" s="1"/>
  <c r="G157" i="54"/>
  <c r="H16" i="58" s="1"/>
  <c r="I175" i="55"/>
  <c r="I183" i="55" s="1"/>
  <c r="I131" i="55" s="1"/>
  <c r="N143" i="57"/>
  <c r="J152" i="54"/>
  <c r="L152" i="56"/>
  <c r="H115" i="57"/>
  <c r="M152" i="55"/>
  <c r="I177" i="54"/>
  <c r="I185" i="54" s="1"/>
  <c r="H200" i="56"/>
  <c r="H208" i="56" s="1"/>
  <c r="L175" i="57"/>
  <c r="L183" i="57" s="1"/>
  <c r="L131" i="57" s="1"/>
  <c r="G199" i="57"/>
  <c r="G207" i="57" s="1"/>
  <c r="G141" i="57" s="1"/>
  <c r="L172" i="54"/>
  <c r="L180" i="54" s="1"/>
  <c r="L128" i="54" s="1"/>
  <c r="L176" i="57"/>
  <c r="L184" i="57" s="1"/>
  <c r="J196" i="55"/>
  <c r="J204" i="55" s="1"/>
  <c r="J138" i="55" s="1"/>
  <c r="K159" i="56"/>
  <c r="L18" i="60" s="1"/>
  <c r="D175" i="55"/>
  <c r="D183" i="55" s="1"/>
  <c r="D131" i="55" s="1"/>
  <c r="D160" i="55" s="1"/>
  <c r="E19" i="59" s="1"/>
  <c r="U115" i="36"/>
  <c r="J169" i="54"/>
  <c r="J172" i="54" s="1"/>
  <c r="J180" i="54" s="1"/>
  <c r="J128" i="54" s="1"/>
  <c r="E209" i="55"/>
  <c r="L125" i="54"/>
  <c r="F199" i="57"/>
  <c r="F207" i="57" s="1"/>
  <c r="J198" i="56"/>
  <c r="J206" i="56" s="1"/>
  <c r="G198" i="57"/>
  <c r="G206" i="57" s="1"/>
  <c r="G140" i="57" s="1"/>
  <c r="F195" i="57"/>
  <c r="F203" i="57" s="1"/>
  <c r="F137" i="57" s="1"/>
  <c r="L173" i="54"/>
  <c r="L181" i="54" s="1"/>
  <c r="E177" i="55"/>
  <c r="E185" i="55" s="1"/>
  <c r="L177" i="55"/>
  <c r="L185" i="55" s="1"/>
  <c r="L133" i="55" s="1"/>
  <c r="D177" i="55"/>
  <c r="D185" i="55" s="1"/>
  <c r="I177" i="55"/>
  <c r="I185" i="55" s="1"/>
  <c r="G177" i="56"/>
  <c r="G185" i="56" s="1"/>
  <c r="O113" i="55"/>
  <c r="J198" i="55"/>
  <c r="J206" i="55" s="1"/>
  <c r="J140" i="55" s="1"/>
  <c r="E173" i="55"/>
  <c r="E181" i="55" s="1"/>
  <c r="L176" i="55"/>
  <c r="L184" i="55" s="1"/>
  <c r="H199" i="56"/>
  <c r="H207" i="56" s="1"/>
  <c r="H141" i="56" s="1"/>
  <c r="M177" i="56"/>
  <c r="M185" i="56" s="1"/>
  <c r="M133" i="56" s="1"/>
  <c r="J177" i="57"/>
  <c r="J185" i="57" s="1"/>
  <c r="I152" i="55"/>
  <c r="G200" i="57"/>
  <c r="G208" i="57" s="1"/>
  <c r="G142" i="57" s="1"/>
  <c r="L157" i="54"/>
  <c r="M16" i="58" s="1"/>
  <c r="D196" i="54"/>
  <c r="D204" i="54" s="1"/>
  <c r="D138" i="54" s="1"/>
  <c r="I173" i="56"/>
  <c r="I181" i="56" s="1"/>
  <c r="G115" i="56"/>
  <c r="D199" i="54"/>
  <c r="D207" i="54" s="1"/>
  <c r="M199" i="55"/>
  <c r="M207" i="55" s="1"/>
  <c r="M141" i="55" s="1"/>
  <c r="I172" i="56"/>
  <c r="I180" i="56" s="1"/>
  <c r="M176" i="56"/>
  <c r="M184" i="56" s="1"/>
  <c r="M132" i="56" s="1"/>
  <c r="I209" i="56"/>
  <c r="G195" i="57"/>
  <c r="G203" i="57" s="1"/>
  <c r="G137" i="57" s="1"/>
  <c r="F198" i="57"/>
  <c r="F206" i="57" s="1"/>
  <c r="F140" i="57" s="1"/>
  <c r="D195" i="54"/>
  <c r="D203" i="54" s="1"/>
  <c r="D137" i="54" s="1"/>
  <c r="M195" i="55"/>
  <c r="M203" i="55" s="1"/>
  <c r="M137" i="55" s="1"/>
  <c r="I177" i="56"/>
  <c r="I185" i="56" s="1"/>
  <c r="AC115" i="36"/>
  <c r="M161" i="54"/>
  <c r="N20" i="58" s="1"/>
  <c r="F198" i="55"/>
  <c r="F206" i="55" s="1"/>
  <c r="G175" i="56"/>
  <c r="G183" i="56" s="1"/>
  <c r="H175" i="54"/>
  <c r="H183" i="54" s="1"/>
  <c r="J173" i="55"/>
  <c r="J181" i="55" s="1"/>
  <c r="J129" i="55" s="1"/>
  <c r="M198" i="55"/>
  <c r="M206" i="55" s="1"/>
  <c r="M140" i="55" s="1"/>
  <c r="E199" i="56"/>
  <c r="E207" i="56" s="1"/>
  <c r="E141" i="56" s="1"/>
  <c r="M198" i="56"/>
  <c r="M206" i="56" s="1"/>
  <c r="G176" i="56"/>
  <c r="G184" i="56" s="1"/>
  <c r="K177" i="57"/>
  <c r="K185" i="57" s="1"/>
  <c r="M200" i="54"/>
  <c r="M208" i="54" s="1"/>
  <c r="M198" i="54"/>
  <c r="M206" i="54" s="1"/>
  <c r="L115" i="54"/>
  <c r="J176" i="54"/>
  <c r="J184" i="54" s="1"/>
  <c r="N200" i="54"/>
  <c r="N208" i="54" s="1"/>
  <c r="D200" i="54"/>
  <c r="D208" i="54" s="1"/>
  <c r="D142" i="54" s="1"/>
  <c r="E175" i="55"/>
  <c r="E183" i="55" s="1"/>
  <c r="H195" i="56"/>
  <c r="H203" i="56" s="1"/>
  <c r="H137" i="56" s="1"/>
  <c r="E195" i="56"/>
  <c r="E203" i="56" s="1"/>
  <c r="E137" i="56" s="1"/>
  <c r="M172" i="56"/>
  <c r="M180" i="56" s="1"/>
  <c r="M128" i="56" s="1"/>
  <c r="L172" i="57"/>
  <c r="L180" i="57" s="1"/>
  <c r="L128" i="57" s="1"/>
  <c r="M196" i="54"/>
  <c r="M204" i="54" s="1"/>
  <c r="H209" i="55"/>
  <c r="M115" i="54"/>
  <c r="F196" i="55"/>
  <c r="F204" i="55" s="1"/>
  <c r="H198" i="57"/>
  <c r="H206" i="57" s="1"/>
  <c r="F199" i="55"/>
  <c r="F207" i="55" s="1"/>
  <c r="N172" i="55"/>
  <c r="N180" i="55" s="1"/>
  <c r="I173" i="55"/>
  <c r="I181" i="55" s="1"/>
  <c r="I129" i="55" s="1"/>
  <c r="M172" i="55"/>
  <c r="M180" i="55" s="1"/>
  <c r="M128" i="55" s="1"/>
  <c r="G173" i="56"/>
  <c r="G181" i="56" s="1"/>
  <c r="H173" i="56"/>
  <c r="H181" i="56" s="1"/>
  <c r="M198" i="57"/>
  <c r="M206" i="57" s="1"/>
  <c r="G175" i="57"/>
  <c r="G183" i="57" s="1"/>
  <c r="G131" i="57" s="1"/>
  <c r="H200" i="57"/>
  <c r="H208" i="57" s="1"/>
  <c r="AB115" i="36"/>
  <c r="F195" i="55"/>
  <c r="F203" i="55" s="1"/>
  <c r="E176" i="55"/>
  <c r="E184" i="55" s="1"/>
  <c r="N177" i="55"/>
  <c r="N185" i="55" s="1"/>
  <c r="N133" i="55" s="1"/>
  <c r="M196" i="55"/>
  <c r="M204" i="55" s="1"/>
  <c r="M138" i="55" s="1"/>
  <c r="D173" i="55"/>
  <c r="D181" i="55" s="1"/>
  <c r="I176" i="55"/>
  <c r="I184" i="55" s="1"/>
  <c r="H196" i="56"/>
  <c r="H204" i="56" s="1"/>
  <c r="H138" i="56" s="1"/>
  <c r="H172" i="56"/>
  <c r="H180" i="56" s="1"/>
  <c r="H128" i="56" s="1"/>
  <c r="G177" i="57"/>
  <c r="G185" i="57" s="1"/>
  <c r="G133" i="57" s="1"/>
  <c r="C167" i="57"/>
  <c r="C35" i="57"/>
  <c r="O35" i="57" s="1"/>
  <c r="K42" i="44"/>
  <c r="L14" i="48" s="1"/>
  <c r="M14" i="44"/>
  <c r="N14" i="43" s="1"/>
  <c r="E14" i="44"/>
  <c r="F14" i="43" s="1"/>
  <c r="J8" i="8"/>
  <c r="N90" i="74"/>
  <c r="F90" i="74"/>
  <c r="K89" i="74"/>
  <c r="R79" i="74"/>
  <c r="M90" i="74"/>
  <c r="E90" i="74"/>
  <c r="J89" i="74"/>
  <c r="Q79" i="74"/>
  <c r="L90" i="74"/>
  <c r="D90" i="74"/>
  <c r="I89" i="74"/>
  <c r="R98" i="74"/>
  <c r="K90" i="74"/>
  <c r="H89" i="74"/>
  <c r="C52" i="74"/>
  <c r="C16" i="74"/>
  <c r="Q98" i="74"/>
  <c r="J90" i="74"/>
  <c r="O89" i="74"/>
  <c r="G89" i="74"/>
  <c r="I90" i="74"/>
  <c r="N89" i="74"/>
  <c r="F89" i="74"/>
  <c r="C56" i="74"/>
  <c r="C53" i="74"/>
  <c r="C17" i="74"/>
  <c r="H90" i="74"/>
  <c r="M89" i="74"/>
  <c r="E89" i="74"/>
  <c r="O90" i="74"/>
  <c r="L89" i="74"/>
  <c r="G90" i="74"/>
  <c r="N90" i="73"/>
  <c r="F90" i="73"/>
  <c r="K89" i="73"/>
  <c r="R79" i="73"/>
  <c r="M90" i="73"/>
  <c r="E90" i="73"/>
  <c r="J89" i="73"/>
  <c r="Q79" i="73"/>
  <c r="L90" i="73"/>
  <c r="D90" i="73"/>
  <c r="I89" i="73"/>
  <c r="R98" i="73"/>
  <c r="K90" i="73"/>
  <c r="H89" i="73"/>
  <c r="C52" i="73"/>
  <c r="C16" i="73"/>
  <c r="Q98" i="73"/>
  <c r="J90" i="73"/>
  <c r="O89" i="73"/>
  <c r="G89" i="73"/>
  <c r="I90" i="73"/>
  <c r="N89" i="73"/>
  <c r="F89" i="73"/>
  <c r="C56" i="73"/>
  <c r="C53" i="73"/>
  <c r="C17" i="73"/>
  <c r="H90" i="73"/>
  <c r="M89" i="73"/>
  <c r="E89" i="73"/>
  <c r="O90" i="73"/>
  <c r="G90" i="73"/>
  <c r="L89" i="73"/>
  <c r="N90" i="72"/>
  <c r="F90" i="72"/>
  <c r="K89" i="72"/>
  <c r="R79" i="72"/>
  <c r="M90" i="72"/>
  <c r="E90" i="72"/>
  <c r="J89" i="72"/>
  <c r="Q79" i="72"/>
  <c r="L90" i="72"/>
  <c r="D90" i="72"/>
  <c r="I89" i="72"/>
  <c r="R98" i="72"/>
  <c r="K90" i="72"/>
  <c r="H89" i="72"/>
  <c r="C52" i="72"/>
  <c r="C16" i="72"/>
  <c r="Q98" i="72"/>
  <c r="J90" i="72"/>
  <c r="O89" i="72"/>
  <c r="G89" i="72"/>
  <c r="I90" i="72"/>
  <c r="N89" i="72"/>
  <c r="F89" i="72"/>
  <c r="C56" i="72"/>
  <c r="C53" i="72"/>
  <c r="C17" i="72"/>
  <c r="H90" i="72"/>
  <c r="M89" i="72"/>
  <c r="E89" i="72"/>
  <c r="O90" i="72"/>
  <c r="L89" i="72"/>
  <c r="G90" i="72"/>
  <c r="N90" i="71"/>
  <c r="F90" i="71"/>
  <c r="K89" i="71"/>
  <c r="R79" i="71"/>
  <c r="M90" i="71"/>
  <c r="E90" i="71"/>
  <c r="J89" i="71"/>
  <c r="Q79" i="71"/>
  <c r="L90" i="71"/>
  <c r="D90" i="71"/>
  <c r="I89" i="71"/>
  <c r="R98" i="71"/>
  <c r="K90" i="71"/>
  <c r="H89" i="71"/>
  <c r="C52" i="71"/>
  <c r="C16" i="71"/>
  <c r="I90" i="71"/>
  <c r="N89" i="71"/>
  <c r="F89" i="71"/>
  <c r="C56" i="71"/>
  <c r="C53" i="71"/>
  <c r="H90" i="71"/>
  <c r="M89" i="71"/>
  <c r="E89" i="71"/>
  <c r="O90" i="71"/>
  <c r="G90" i="71"/>
  <c r="L89" i="71"/>
  <c r="C17" i="71"/>
  <c r="Q98" i="71"/>
  <c r="G89" i="71"/>
  <c r="J90" i="71"/>
  <c r="O89" i="71"/>
  <c r="K23" i="8"/>
  <c r="J18" i="35"/>
  <c r="J23" i="8"/>
  <c r="I18" i="35"/>
  <c r="L23" i="8"/>
  <c r="K18" i="35"/>
  <c r="I23" i="8"/>
  <c r="H18" i="35"/>
  <c r="K15" i="7"/>
  <c r="D90" i="70"/>
  <c r="D23" i="8"/>
  <c r="C18" i="35"/>
  <c r="G18" i="35"/>
  <c r="H23" i="8"/>
  <c r="J15" i="7"/>
  <c r="N18" i="35"/>
  <c r="O23" i="8"/>
  <c r="F18" i="35"/>
  <c r="G23" i="8"/>
  <c r="I15" i="7"/>
  <c r="N23" i="8"/>
  <c r="M18" i="35"/>
  <c r="E18" i="35"/>
  <c r="F23" i="8"/>
  <c r="H15" i="7"/>
  <c r="P14" i="7"/>
  <c r="D15" i="7"/>
  <c r="L18" i="35"/>
  <c r="M23" i="8"/>
  <c r="D18" i="35"/>
  <c r="E23" i="8"/>
  <c r="O15" i="7"/>
  <c r="G15" i="7"/>
  <c r="L8" i="8"/>
  <c r="I8" i="8"/>
  <c r="G8" i="8"/>
  <c r="N8" i="8"/>
  <c r="F8" i="8"/>
  <c r="M8" i="8"/>
  <c r="E8" i="8"/>
  <c r="R98" i="70"/>
  <c r="I89" i="70"/>
  <c r="F90" i="70"/>
  <c r="N90" i="70"/>
  <c r="R79" i="70"/>
  <c r="J89" i="70"/>
  <c r="G90" i="70"/>
  <c r="O90" i="70"/>
  <c r="H89" i="70"/>
  <c r="Q98" i="70"/>
  <c r="K89" i="70"/>
  <c r="H90" i="70"/>
  <c r="Q79" i="70"/>
  <c r="L89" i="70"/>
  <c r="I90" i="70"/>
  <c r="E89" i="70"/>
  <c r="M89" i="70"/>
  <c r="J90" i="70"/>
  <c r="M90" i="70"/>
  <c r="F89" i="70"/>
  <c r="N89" i="70"/>
  <c r="K90" i="70"/>
  <c r="E90" i="70"/>
  <c r="G89" i="70"/>
  <c r="O89" i="70"/>
  <c r="L90" i="70"/>
  <c r="D8" i="8"/>
  <c r="P7" i="8"/>
  <c r="C56" i="70"/>
  <c r="C53" i="70"/>
  <c r="C17" i="70"/>
  <c r="C52" i="70"/>
  <c r="C16" i="70"/>
  <c r="C56" i="69"/>
  <c r="C53" i="69"/>
  <c r="C17" i="69"/>
  <c r="R79" i="69"/>
  <c r="Q79" i="69"/>
  <c r="C52" i="69"/>
  <c r="C16" i="69"/>
  <c r="Q79" i="68"/>
  <c r="R79" i="68"/>
  <c r="N23" i="9"/>
  <c r="F23" i="9"/>
  <c r="I22" i="9"/>
  <c r="L21" i="9"/>
  <c r="L89" i="9" s="1"/>
  <c r="O20" i="9"/>
  <c r="O88" i="9" s="1"/>
  <c r="G20" i="9"/>
  <c r="G88" i="9" s="1"/>
  <c r="J19" i="9"/>
  <c r="J87" i="9" s="1"/>
  <c r="O23" i="9"/>
  <c r="K19" i="9"/>
  <c r="K87" i="9" s="1"/>
  <c r="M23" i="9"/>
  <c r="E23" i="9"/>
  <c r="H22" i="9"/>
  <c r="K21" i="9"/>
  <c r="K89" i="9" s="1"/>
  <c r="N20" i="9"/>
  <c r="N88" i="9" s="1"/>
  <c r="F20" i="9"/>
  <c r="F88" i="9" s="1"/>
  <c r="I19" i="9"/>
  <c r="I87" i="9" s="1"/>
  <c r="M21" i="9"/>
  <c r="M89" i="9" s="1"/>
  <c r="L23" i="9"/>
  <c r="O22" i="9"/>
  <c r="G22" i="9"/>
  <c r="J21" i="9"/>
  <c r="J89" i="9" s="1"/>
  <c r="M20" i="9"/>
  <c r="M88" i="9" s="1"/>
  <c r="E20" i="9"/>
  <c r="E88" i="9" s="1"/>
  <c r="H19" i="9"/>
  <c r="H87" i="9" s="1"/>
  <c r="K23" i="9"/>
  <c r="N22" i="9"/>
  <c r="F22" i="9"/>
  <c r="I21" i="9"/>
  <c r="I89" i="9" s="1"/>
  <c r="L20" i="9"/>
  <c r="L88" i="9" s="1"/>
  <c r="O19" i="9"/>
  <c r="O87" i="9" s="1"/>
  <c r="G19" i="9"/>
  <c r="G87" i="9" s="1"/>
  <c r="C19" i="67"/>
  <c r="K22" i="9"/>
  <c r="L19" i="9"/>
  <c r="L87" i="9" s="1"/>
  <c r="G23" i="9"/>
  <c r="J23" i="9"/>
  <c r="M22" i="9"/>
  <c r="E22" i="9"/>
  <c r="H21" i="9"/>
  <c r="H89" i="9" s="1"/>
  <c r="K20" i="9"/>
  <c r="K88" i="9" s="1"/>
  <c r="N19" i="9"/>
  <c r="N87" i="9" s="1"/>
  <c r="F19" i="9"/>
  <c r="F87" i="9" s="1"/>
  <c r="N21" i="9"/>
  <c r="N89" i="9" s="1"/>
  <c r="E21" i="9"/>
  <c r="E89" i="9" s="1"/>
  <c r="I23" i="9"/>
  <c r="L22" i="9"/>
  <c r="O21" i="9"/>
  <c r="O89" i="9" s="1"/>
  <c r="G21" i="9"/>
  <c r="G89" i="9" s="1"/>
  <c r="J20" i="9"/>
  <c r="J88" i="9" s="1"/>
  <c r="M19" i="9"/>
  <c r="M87" i="9" s="1"/>
  <c r="E19" i="9"/>
  <c r="E87" i="9" s="1"/>
  <c r="H23" i="9"/>
  <c r="F21" i="9"/>
  <c r="F89" i="9" s="1"/>
  <c r="I20" i="9"/>
  <c r="I88" i="9" s="1"/>
  <c r="J22" i="9"/>
  <c r="H20" i="9"/>
  <c r="H88" i="9" s="1"/>
  <c r="C56" i="68"/>
  <c r="C53" i="68"/>
  <c r="C16" i="68"/>
  <c r="C17" i="68"/>
  <c r="C52" i="68"/>
  <c r="K27" i="67"/>
  <c r="C27" i="67"/>
  <c r="I26" i="67"/>
  <c r="O25" i="67"/>
  <c r="G25" i="67"/>
  <c r="M24" i="67"/>
  <c r="E24" i="67"/>
  <c r="K23" i="67"/>
  <c r="C23" i="67"/>
  <c r="C55" i="67"/>
  <c r="J27" i="67"/>
  <c r="H26" i="67"/>
  <c r="F25" i="67"/>
  <c r="N25" i="67"/>
  <c r="L24" i="67"/>
  <c r="I27" i="67"/>
  <c r="O26" i="67"/>
  <c r="G26" i="67"/>
  <c r="M25" i="67"/>
  <c r="E25" i="67"/>
  <c r="K24" i="67"/>
  <c r="C24" i="67"/>
  <c r="I23" i="67"/>
  <c r="H27" i="67"/>
  <c r="N26" i="67"/>
  <c r="F26" i="67"/>
  <c r="L25" i="67"/>
  <c r="D25" i="67"/>
  <c r="J24" i="67"/>
  <c r="H23" i="67"/>
  <c r="C17" i="67"/>
  <c r="N27" i="67"/>
  <c r="O27" i="67"/>
  <c r="G27" i="67"/>
  <c r="M26" i="67"/>
  <c r="E26" i="67"/>
  <c r="K25" i="67"/>
  <c r="C25" i="67"/>
  <c r="I24" i="67"/>
  <c r="O23" i="67"/>
  <c r="G23" i="67"/>
  <c r="C54" i="67"/>
  <c r="L27" i="67"/>
  <c r="D27" i="67"/>
  <c r="J26" i="67"/>
  <c r="H25" i="67"/>
  <c r="N24" i="67"/>
  <c r="F24" i="67"/>
  <c r="L23" i="67"/>
  <c r="D23" i="67"/>
  <c r="C58" i="67"/>
  <c r="D24" i="67"/>
  <c r="L26" i="67"/>
  <c r="H24" i="67"/>
  <c r="G24" i="67"/>
  <c r="I25" i="67"/>
  <c r="K26" i="67"/>
  <c r="F23" i="67"/>
  <c r="F27" i="67"/>
  <c r="E23" i="67"/>
  <c r="D26" i="67"/>
  <c r="N23" i="67"/>
  <c r="J25" i="67"/>
  <c r="E27" i="67"/>
  <c r="O24" i="67"/>
  <c r="C26" i="67"/>
  <c r="M23" i="67"/>
  <c r="J23" i="67"/>
  <c r="C16" i="67"/>
  <c r="M27" i="67"/>
  <c r="D14" i="35"/>
  <c r="L14" i="35"/>
  <c r="I15" i="35"/>
  <c r="C14" i="35"/>
  <c r="E14" i="35"/>
  <c r="M14" i="35"/>
  <c r="J15" i="35"/>
  <c r="C15" i="35"/>
  <c r="F14" i="35"/>
  <c r="N14" i="35"/>
  <c r="K15" i="35"/>
  <c r="H15" i="35"/>
  <c r="G14" i="35"/>
  <c r="D15" i="35"/>
  <c r="L15" i="35"/>
  <c r="G15" i="35"/>
  <c r="H14" i="35"/>
  <c r="E15" i="35"/>
  <c r="M15" i="35"/>
  <c r="N15" i="35"/>
  <c r="I14" i="35"/>
  <c r="F15" i="35"/>
  <c r="K14" i="35"/>
  <c r="J14" i="35"/>
  <c r="F13" i="44"/>
  <c r="G13" i="43" s="1"/>
  <c r="G27" i="44"/>
  <c r="H13" i="47" s="1"/>
  <c r="L27" i="44"/>
  <c r="M13" i="47" s="1"/>
  <c r="D27" i="44"/>
  <c r="E13" i="47" s="1"/>
  <c r="N27" i="44"/>
  <c r="O13" i="47" s="1"/>
  <c r="C49" i="9"/>
  <c r="C48" i="9"/>
  <c r="C52" i="9"/>
  <c r="J28" i="44"/>
  <c r="K14" i="47" s="1"/>
  <c r="D28" i="44"/>
  <c r="E14" i="47" s="1"/>
  <c r="X5" i="44"/>
  <c r="R5" i="44"/>
  <c r="K64" i="52"/>
  <c r="J64" i="44"/>
  <c r="O48" i="44"/>
  <c r="O34" i="52"/>
  <c r="C36" i="52"/>
  <c r="C39" i="52" s="1"/>
  <c r="L76" i="52"/>
  <c r="N76" i="44"/>
  <c r="G22" i="52"/>
  <c r="H8" i="51"/>
  <c r="H6" i="8"/>
  <c r="H8" i="8" s="1"/>
  <c r="O8" i="51"/>
  <c r="O6" i="8"/>
  <c r="O8" i="8" s="1"/>
  <c r="J8" i="51"/>
  <c r="G76" i="52"/>
  <c r="O20" i="52"/>
  <c r="H22" i="44"/>
  <c r="F27" i="44"/>
  <c r="G13" i="47" s="1"/>
  <c r="E27" i="44"/>
  <c r="F13" i="47" s="1"/>
  <c r="H42" i="44"/>
  <c r="I14" i="48" s="1"/>
  <c r="C27" i="44"/>
  <c r="D13" i="47" s="1"/>
  <c r="C22" i="9"/>
  <c r="C21" i="9"/>
  <c r="D23" i="9"/>
  <c r="C20" i="9"/>
  <c r="D19" i="9"/>
  <c r="D87" i="9" s="1"/>
  <c r="D22" i="9"/>
  <c r="C19" i="9"/>
  <c r="C23" i="9"/>
  <c r="D20" i="9"/>
  <c r="D88" i="9" s="1"/>
  <c r="C15" i="9"/>
  <c r="D21" i="9"/>
  <c r="D89" i="9" s="1"/>
  <c r="C14" i="9"/>
  <c r="K28" i="44"/>
  <c r="L14" i="47" s="1"/>
  <c r="C28" i="44"/>
  <c r="D14" i="47" s="1"/>
  <c r="M17" i="58"/>
  <c r="E16" i="63"/>
  <c r="E15" i="63"/>
  <c r="E17" i="63"/>
  <c r="E8" i="51"/>
  <c r="D13" i="44"/>
  <c r="E13" i="43" s="1"/>
  <c r="G8" i="51"/>
  <c r="M8" i="51"/>
  <c r="G115" i="57"/>
  <c r="K17" i="58"/>
  <c r="M16" i="59"/>
  <c r="G17" i="60"/>
  <c r="J17" i="61"/>
  <c r="I17" i="59"/>
  <c r="L16" i="63"/>
  <c r="N15" i="63"/>
  <c r="K16" i="63"/>
  <c r="I17" i="63"/>
  <c r="H17" i="63"/>
  <c r="F15" i="63"/>
  <c r="G15" i="63"/>
  <c r="O15" i="63"/>
  <c r="M16" i="63"/>
  <c r="J17" i="63"/>
  <c r="M15" i="63"/>
  <c r="H15" i="63"/>
  <c r="N16" i="63"/>
  <c r="K17" i="63"/>
  <c r="D17" i="63"/>
  <c r="I15" i="63"/>
  <c r="F16" i="63"/>
  <c r="O16" i="63"/>
  <c r="L17" i="63"/>
  <c r="D16" i="63"/>
  <c r="J15" i="63"/>
  <c r="G16" i="63"/>
  <c r="M17" i="63"/>
  <c r="D15" i="63"/>
  <c r="K15" i="63"/>
  <c r="H16" i="63"/>
  <c r="F17" i="63"/>
  <c r="N17" i="63"/>
  <c r="L15" i="63"/>
  <c r="I16" i="63"/>
  <c r="G17" i="63"/>
  <c r="O17" i="63"/>
  <c r="J16" i="63"/>
  <c r="O17" i="58"/>
  <c r="M17" i="60"/>
  <c r="L15" i="58"/>
  <c r="M16" i="61"/>
  <c r="O17" i="59"/>
  <c r="F17" i="59"/>
  <c r="J17" i="58"/>
  <c r="H17" i="58"/>
  <c r="N17" i="61"/>
  <c r="F16" i="58"/>
  <c r="I18" i="59"/>
  <c r="H18" i="59"/>
  <c r="M17" i="61"/>
  <c r="H17" i="59"/>
  <c r="J17" i="59"/>
  <c r="E17" i="61"/>
  <c r="J17" i="60"/>
  <c r="E20" i="60"/>
  <c r="H16" i="61"/>
  <c r="I17" i="61"/>
  <c r="G17" i="59"/>
  <c r="F17" i="61"/>
  <c r="K17" i="60"/>
  <c r="E17" i="60"/>
  <c r="F16" i="59"/>
  <c r="H17" i="61"/>
  <c r="H17" i="60"/>
  <c r="O17" i="61"/>
  <c r="K17" i="61"/>
  <c r="L17" i="58"/>
  <c r="M17" i="59"/>
  <c r="F16" i="60"/>
  <c r="O16" i="60"/>
  <c r="O15" i="61"/>
  <c r="F17" i="60"/>
  <c r="M16" i="60"/>
  <c r="N17" i="60"/>
  <c r="L17" i="60"/>
  <c r="I17" i="58"/>
  <c r="F17" i="58"/>
  <c r="H16" i="59"/>
  <c r="K16" i="60"/>
  <c r="J16" i="61"/>
  <c r="N17" i="58"/>
  <c r="K17" i="59"/>
  <c r="L17" i="59"/>
  <c r="I17" i="60"/>
  <c r="L17" i="61"/>
  <c r="G17" i="58"/>
  <c r="N16" i="59"/>
  <c r="J16" i="59"/>
  <c r="E17" i="58"/>
  <c r="O17" i="60"/>
  <c r="E17" i="59"/>
  <c r="N17" i="59"/>
  <c r="G17" i="61"/>
  <c r="R112" i="56"/>
  <c r="AD112" i="56" s="1"/>
  <c r="L159" i="55"/>
  <c r="M18" i="59" s="1"/>
  <c r="N115" i="54"/>
  <c r="G159" i="56"/>
  <c r="H18" i="60" s="1"/>
  <c r="O182" i="56"/>
  <c r="L115" i="57"/>
  <c r="I115" i="57"/>
  <c r="X115" i="57"/>
  <c r="S115" i="57"/>
  <c r="E159" i="56"/>
  <c r="F18" i="60" s="1"/>
  <c r="F157" i="56"/>
  <c r="G16" i="60" s="1"/>
  <c r="X115" i="56"/>
  <c r="N115" i="56"/>
  <c r="J115" i="56"/>
  <c r="AB115" i="56"/>
  <c r="Y115" i="56"/>
  <c r="N115" i="55"/>
  <c r="M115" i="55"/>
  <c r="T115" i="55"/>
  <c r="L115" i="55"/>
  <c r="E161" i="54"/>
  <c r="F20" i="58" s="1"/>
  <c r="AC115" i="54"/>
  <c r="Y115" i="54"/>
  <c r="T115" i="54"/>
  <c r="AB115" i="57"/>
  <c r="U115" i="57"/>
  <c r="D177" i="57"/>
  <c r="D185" i="57" s="1"/>
  <c r="D133" i="57" s="1"/>
  <c r="O182" i="57"/>
  <c r="D198" i="57"/>
  <c r="D206" i="57" s="1"/>
  <c r="J175" i="57"/>
  <c r="J183" i="57" s="1"/>
  <c r="J131" i="57" s="1"/>
  <c r="AA115" i="57"/>
  <c r="Y115" i="57"/>
  <c r="I173" i="57"/>
  <c r="I181" i="57" s="1"/>
  <c r="I129" i="57" s="1"/>
  <c r="E195" i="57"/>
  <c r="E203" i="57" s="1"/>
  <c r="E137" i="57" s="1"/>
  <c r="J209" i="57"/>
  <c r="L195" i="57"/>
  <c r="L203" i="57" s="1"/>
  <c r="L137" i="57" s="1"/>
  <c r="D173" i="57"/>
  <c r="D181" i="57" s="1"/>
  <c r="D129" i="57" s="1"/>
  <c r="D115" i="57"/>
  <c r="D196" i="57"/>
  <c r="D204" i="57" s="1"/>
  <c r="D138" i="57" s="1"/>
  <c r="E115" i="57"/>
  <c r="V115" i="57"/>
  <c r="M195" i="57"/>
  <c r="M203" i="57" s="1"/>
  <c r="M137" i="57" s="1"/>
  <c r="I176" i="57"/>
  <c r="I184" i="57" s="1"/>
  <c r="AC115" i="57"/>
  <c r="E198" i="57"/>
  <c r="E206" i="57" s="1"/>
  <c r="L198" i="57"/>
  <c r="L206" i="57" s="1"/>
  <c r="L140" i="57" s="1"/>
  <c r="D176" i="57"/>
  <c r="D184" i="57" s="1"/>
  <c r="D132" i="57" s="1"/>
  <c r="D199" i="57"/>
  <c r="D207" i="57" s="1"/>
  <c r="D141" i="57" s="1"/>
  <c r="T115" i="57"/>
  <c r="K172" i="57"/>
  <c r="K180" i="57" s="1"/>
  <c r="K128" i="57" s="1"/>
  <c r="I172" i="57"/>
  <c r="I180" i="57" s="1"/>
  <c r="I128" i="57" s="1"/>
  <c r="E200" i="57"/>
  <c r="E208" i="57" s="1"/>
  <c r="AD20" i="57"/>
  <c r="O21" i="57"/>
  <c r="O114" i="57"/>
  <c r="O112" i="57"/>
  <c r="O113" i="57"/>
  <c r="L200" i="57"/>
  <c r="L208" i="57" s="1"/>
  <c r="Z115" i="57"/>
  <c r="E186" i="57"/>
  <c r="K209" i="57"/>
  <c r="AD41" i="57"/>
  <c r="AD42" i="57"/>
  <c r="D200" i="57"/>
  <c r="D208" i="57" s="1"/>
  <c r="D142" i="57" s="1"/>
  <c r="M200" i="57"/>
  <c r="M208" i="57" s="1"/>
  <c r="I175" i="57"/>
  <c r="I183" i="57" s="1"/>
  <c r="O34" i="57"/>
  <c r="E196" i="57"/>
  <c r="E204" i="57" s="1"/>
  <c r="G173" i="57"/>
  <c r="G181" i="57" s="1"/>
  <c r="G129" i="57" s="1"/>
  <c r="N115" i="57"/>
  <c r="L196" i="57"/>
  <c r="L204" i="57" s="1"/>
  <c r="H186" i="57"/>
  <c r="J173" i="57"/>
  <c r="J181" i="57" s="1"/>
  <c r="J115" i="57"/>
  <c r="F115" i="57"/>
  <c r="O48" i="57"/>
  <c r="M196" i="57"/>
  <c r="M204" i="57" s="1"/>
  <c r="D172" i="57"/>
  <c r="D180" i="57" s="1"/>
  <c r="D128" i="57" s="1"/>
  <c r="I209" i="57"/>
  <c r="O205" i="57"/>
  <c r="J176" i="57"/>
  <c r="J184" i="57" s="1"/>
  <c r="H196" i="57"/>
  <c r="H204" i="57" s="1"/>
  <c r="K175" i="57"/>
  <c r="K183" i="57" s="1"/>
  <c r="K131" i="57" s="1"/>
  <c r="K173" i="57"/>
  <c r="K181" i="57" s="1"/>
  <c r="K129" i="57" s="1"/>
  <c r="E159" i="57"/>
  <c r="F18" i="61" s="1"/>
  <c r="M115" i="57"/>
  <c r="G176" i="57"/>
  <c r="G184" i="57" s="1"/>
  <c r="G132" i="57" s="1"/>
  <c r="F186" i="57"/>
  <c r="C190" i="57"/>
  <c r="O41" i="57"/>
  <c r="O42" i="57"/>
  <c r="M186" i="57"/>
  <c r="O28" i="57"/>
  <c r="O119" i="57"/>
  <c r="H195" i="57"/>
  <c r="H203" i="57" s="1"/>
  <c r="H137" i="57" s="1"/>
  <c r="W115" i="57"/>
  <c r="F209" i="56"/>
  <c r="J200" i="56"/>
  <c r="J208" i="56" s="1"/>
  <c r="E198" i="56"/>
  <c r="E206" i="56" s="1"/>
  <c r="E140" i="56" s="1"/>
  <c r="E173" i="56"/>
  <c r="E181" i="56" s="1"/>
  <c r="L115" i="56"/>
  <c r="M200" i="56"/>
  <c r="M208" i="56" s="1"/>
  <c r="F172" i="56"/>
  <c r="F180" i="56" s="1"/>
  <c r="F128" i="56" s="1"/>
  <c r="L173" i="56"/>
  <c r="L181" i="56" s="1"/>
  <c r="L129" i="56" s="1"/>
  <c r="I115" i="56"/>
  <c r="AD34" i="56"/>
  <c r="R35" i="56"/>
  <c r="AD35" i="56" s="1"/>
  <c r="N173" i="56"/>
  <c r="N181" i="56" s="1"/>
  <c r="R109" i="56"/>
  <c r="E200" i="56"/>
  <c r="E208" i="56" s="1"/>
  <c r="E176" i="56"/>
  <c r="E184" i="56" s="1"/>
  <c r="E132" i="56" s="1"/>
  <c r="L195" i="56"/>
  <c r="L203" i="56" s="1"/>
  <c r="L137" i="56" s="1"/>
  <c r="K209" i="56"/>
  <c r="K143" i="56"/>
  <c r="F175" i="56"/>
  <c r="F183" i="56" s="1"/>
  <c r="O28" i="56"/>
  <c r="L176" i="56"/>
  <c r="L184" i="56" s="1"/>
  <c r="L132" i="56" s="1"/>
  <c r="O21" i="56"/>
  <c r="N176" i="56"/>
  <c r="N184" i="56" s="1"/>
  <c r="V115" i="56"/>
  <c r="R113" i="56"/>
  <c r="AD113" i="56" s="1"/>
  <c r="F115" i="56"/>
  <c r="L198" i="56"/>
  <c r="L206" i="56" s="1"/>
  <c r="L140" i="56" s="1"/>
  <c r="M199" i="56"/>
  <c r="M207" i="56" s="1"/>
  <c r="M141" i="56" s="1"/>
  <c r="F159" i="56"/>
  <c r="G18" i="60" s="1"/>
  <c r="F177" i="56"/>
  <c r="F185" i="56" s="1"/>
  <c r="T115" i="56"/>
  <c r="I176" i="56"/>
  <c r="I184" i="56" s="1"/>
  <c r="I132" i="56" s="1"/>
  <c r="N209" i="56"/>
  <c r="M159" i="56"/>
  <c r="N18" i="60" s="1"/>
  <c r="H176" i="56"/>
  <c r="H184" i="56" s="1"/>
  <c r="H132" i="56" s="1"/>
  <c r="AC115" i="56"/>
  <c r="J186" i="56"/>
  <c r="U115" i="56"/>
  <c r="L200" i="56"/>
  <c r="L208" i="56" s="1"/>
  <c r="K115" i="56"/>
  <c r="S115" i="56"/>
  <c r="F125" i="56"/>
  <c r="R110" i="56"/>
  <c r="AD110" i="56" s="1"/>
  <c r="E172" i="56"/>
  <c r="E180" i="56" s="1"/>
  <c r="E128" i="56" s="1"/>
  <c r="L196" i="56"/>
  <c r="L204" i="56" s="1"/>
  <c r="L138" i="56" s="1"/>
  <c r="C192" i="56"/>
  <c r="C196" i="56" s="1"/>
  <c r="C204" i="56" s="1"/>
  <c r="C138" i="56" s="1"/>
  <c r="C169" i="56"/>
  <c r="C175" i="56" s="1"/>
  <c r="C183" i="56" s="1"/>
  <c r="C131" i="56" s="1"/>
  <c r="F173" i="56"/>
  <c r="F181" i="56" s="1"/>
  <c r="E115" i="56"/>
  <c r="L172" i="56"/>
  <c r="L180" i="56" s="1"/>
  <c r="L128" i="56" s="1"/>
  <c r="N172" i="56"/>
  <c r="N180" i="56" s="1"/>
  <c r="N128" i="56" s="1"/>
  <c r="H175" i="56"/>
  <c r="H183" i="56" s="1"/>
  <c r="H131" i="56" s="1"/>
  <c r="D155" i="56"/>
  <c r="D115" i="56"/>
  <c r="AD41" i="56"/>
  <c r="R42" i="56"/>
  <c r="AD42" i="56" s="1"/>
  <c r="R114" i="56"/>
  <c r="AD114" i="56" s="1"/>
  <c r="O49" i="56"/>
  <c r="J196" i="56"/>
  <c r="J204" i="56" s="1"/>
  <c r="D186" i="56"/>
  <c r="E175" i="56"/>
  <c r="E183" i="56" s="1"/>
  <c r="E131" i="56" s="1"/>
  <c r="L175" i="56"/>
  <c r="L183" i="56" s="1"/>
  <c r="L131" i="56" s="1"/>
  <c r="N175" i="56"/>
  <c r="N183" i="56" s="1"/>
  <c r="N131" i="56" s="1"/>
  <c r="M115" i="56"/>
  <c r="J195" i="56"/>
  <c r="J203" i="56" s="1"/>
  <c r="J137" i="56" s="1"/>
  <c r="O205" i="56"/>
  <c r="Z115" i="56"/>
  <c r="W115" i="56"/>
  <c r="H115" i="56"/>
  <c r="L209" i="55"/>
  <c r="W115" i="55"/>
  <c r="D115" i="55"/>
  <c r="G186" i="55"/>
  <c r="AB115" i="55"/>
  <c r="N209" i="55"/>
  <c r="R113" i="55"/>
  <c r="AD113" i="55" s="1"/>
  <c r="J176" i="55"/>
  <c r="J184" i="55" s="1"/>
  <c r="J132" i="55" s="1"/>
  <c r="O27" i="55"/>
  <c r="C28" i="55"/>
  <c r="I196" i="55"/>
  <c r="I204" i="55" s="1"/>
  <c r="I138" i="55" s="1"/>
  <c r="S115" i="55"/>
  <c r="AD34" i="55"/>
  <c r="R35" i="55"/>
  <c r="AD35" i="55" s="1"/>
  <c r="C192" i="55"/>
  <c r="C198" i="55" s="1"/>
  <c r="C206" i="55" s="1"/>
  <c r="C140" i="55" s="1"/>
  <c r="K160" i="55"/>
  <c r="L19" i="59" s="1"/>
  <c r="R110" i="55"/>
  <c r="AD110" i="55" s="1"/>
  <c r="J172" i="55"/>
  <c r="J180" i="55" s="1"/>
  <c r="J128" i="55" s="1"/>
  <c r="I199" i="55"/>
  <c r="I207" i="55" s="1"/>
  <c r="I141" i="55" s="1"/>
  <c r="AD41" i="55"/>
  <c r="R42" i="55"/>
  <c r="AD42" i="55" s="1"/>
  <c r="J115" i="55"/>
  <c r="R114" i="55"/>
  <c r="AD114" i="55" s="1"/>
  <c r="J175" i="55"/>
  <c r="J183" i="55" s="1"/>
  <c r="J131" i="55" s="1"/>
  <c r="I195" i="55"/>
  <c r="I203" i="55" s="1"/>
  <c r="I137" i="55" s="1"/>
  <c r="N175" i="55"/>
  <c r="N183" i="55" s="1"/>
  <c r="N131" i="55" s="1"/>
  <c r="L175" i="55"/>
  <c r="L183" i="55" s="1"/>
  <c r="D176" i="55"/>
  <c r="D184" i="55" s="1"/>
  <c r="D209" i="55"/>
  <c r="C169" i="55"/>
  <c r="C172" i="55" s="1"/>
  <c r="C180" i="55" s="1"/>
  <c r="C128" i="55" s="1"/>
  <c r="X115" i="55"/>
  <c r="V115" i="55"/>
  <c r="E115" i="55"/>
  <c r="AA115" i="55"/>
  <c r="I198" i="55"/>
  <c r="I206" i="55" s="1"/>
  <c r="I140" i="55" s="1"/>
  <c r="K209" i="55"/>
  <c r="K115" i="55"/>
  <c r="I115" i="55"/>
  <c r="AC115" i="55"/>
  <c r="D159" i="55"/>
  <c r="E18" i="59" s="1"/>
  <c r="U115" i="55"/>
  <c r="O182" i="55"/>
  <c r="R112" i="55"/>
  <c r="AD112" i="55" s="1"/>
  <c r="F186" i="55"/>
  <c r="H115" i="55"/>
  <c r="Y115" i="55"/>
  <c r="H186" i="55"/>
  <c r="G115" i="55"/>
  <c r="O205" i="55"/>
  <c r="O48" i="55"/>
  <c r="C49" i="55"/>
  <c r="K156" i="55"/>
  <c r="L15" i="59" s="1"/>
  <c r="R109" i="55"/>
  <c r="I209" i="54"/>
  <c r="I143" i="54"/>
  <c r="G186" i="54"/>
  <c r="H209" i="54"/>
  <c r="M186" i="54"/>
  <c r="H177" i="54"/>
  <c r="H185" i="54" s="1"/>
  <c r="H133" i="54" s="1"/>
  <c r="J115" i="54"/>
  <c r="W115" i="54"/>
  <c r="AD109" i="54"/>
  <c r="R115" i="54"/>
  <c r="K159" i="54"/>
  <c r="L18" i="58" s="1"/>
  <c r="X115" i="54"/>
  <c r="O20" i="54"/>
  <c r="C21" i="54"/>
  <c r="AD112" i="54"/>
  <c r="E209" i="54"/>
  <c r="E143" i="54"/>
  <c r="I115" i="54"/>
  <c r="AD113" i="54"/>
  <c r="U115" i="54"/>
  <c r="Z115" i="54"/>
  <c r="C192" i="54"/>
  <c r="C199" i="54" s="1"/>
  <c r="C207" i="54" s="1"/>
  <c r="AB115" i="54"/>
  <c r="F186" i="54"/>
  <c r="E186" i="54"/>
  <c r="F199" i="54"/>
  <c r="F207" i="54" s="1"/>
  <c r="K209" i="54"/>
  <c r="N196" i="54"/>
  <c r="N204" i="54" s="1"/>
  <c r="K186" i="54"/>
  <c r="AD34" i="54"/>
  <c r="R35" i="54"/>
  <c r="AD35" i="54" s="1"/>
  <c r="G159" i="54"/>
  <c r="H18" i="58" s="1"/>
  <c r="F195" i="54"/>
  <c r="F203" i="54" s="1"/>
  <c r="F137" i="54" s="1"/>
  <c r="O34" i="54"/>
  <c r="C167" i="54"/>
  <c r="C35" i="54"/>
  <c r="O35" i="54" s="1"/>
  <c r="AD110" i="54"/>
  <c r="G115" i="54"/>
  <c r="J209" i="54"/>
  <c r="O27" i="54"/>
  <c r="C28" i="54"/>
  <c r="G156" i="54"/>
  <c r="H15" i="58" s="1"/>
  <c r="F198" i="54"/>
  <c r="F206" i="54" s="1"/>
  <c r="H173" i="54"/>
  <c r="H181" i="54" s="1"/>
  <c r="H129" i="54" s="1"/>
  <c r="AD114" i="54"/>
  <c r="AD41" i="54"/>
  <c r="R42" i="54"/>
  <c r="AD42" i="54" s="1"/>
  <c r="F196" i="54"/>
  <c r="F204" i="54" s="1"/>
  <c r="G209" i="54"/>
  <c r="G143" i="54"/>
  <c r="H176" i="54"/>
  <c r="H184" i="54" s="1"/>
  <c r="O182" i="54"/>
  <c r="H115" i="54"/>
  <c r="AD111" i="54"/>
  <c r="N195" i="54"/>
  <c r="N203" i="54" s="1"/>
  <c r="N137" i="54" s="1"/>
  <c r="F115" i="54"/>
  <c r="D159" i="54"/>
  <c r="E18" i="58" s="1"/>
  <c r="O205" i="54"/>
  <c r="K115" i="54"/>
  <c r="N186" i="54"/>
  <c r="V115" i="54"/>
  <c r="I159" i="54"/>
  <c r="J18" i="58" s="1"/>
  <c r="N199" i="54"/>
  <c r="N207" i="54" s="1"/>
  <c r="O49" i="54"/>
  <c r="O148" i="54"/>
  <c r="AA115" i="54"/>
  <c r="E115" i="54"/>
  <c r="S115" i="54"/>
  <c r="L209" i="54"/>
  <c r="D40" i="44"/>
  <c r="E12" i="48" s="1"/>
  <c r="I40" i="44"/>
  <c r="J12" i="48" s="1"/>
  <c r="K40" i="44"/>
  <c r="L12" i="48" s="1"/>
  <c r="I42" i="44"/>
  <c r="J14" i="48" s="1"/>
  <c r="L40" i="44"/>
  <c r="M12" i="48" s="1"/>
  <c r="N56" i="44"/>
  <c r="N58" i="44" s="1"/>
  <c r="M40" i="44"/>
  <c r="N12" i="48" s="1"/>
  <c r="J42" i="44"/>
  <c r="K14" i="48" s="1"/>
  <c r="L56" i="44"/>
  <c r="M14" i="49" s="1"/>
  <c r="G40" i="44"/>
  <c r="H12" i="48" s="1"/>
  <c r="K56" i="44"/>
  <c r="L14" i="49" s="1"/>
  <c r="M27" i="44"/>
  <c r="N13" i="47" s="1"/>
  <c r="M8" i="52"/>
  <c r="D76" i="44"/>
  <c r="N13" i="44"/>
  <c r="O13" i="43" s="1"/>
  <c r="N8" i="51"/>
  <c r="F8" i="51"/>
  <c r="O6" i="52"/>
  <c r="M75" i="44"/>
  <c r="M8" i="44"/>
  <c r="E8" i="44"/>
  <c r="C13" i="44"/>
  <c r="D13" i="43" s="1"/>
  <c r="L8" i="44"/>
  <c r="D8" i="44"/>
  <c r="M13" i="44"/>
  <c r="N13" i="43" s="1"/>
  <c r="D76" i="52"/>
  <c r="F8" i="44"/>
  <c r="O6" i="44"/>
  <c r="L13" i="44"/>
  <c r="M13" i="43" s="1"/>
  <c r="G8" i="44"/>
  <c r="H13" i="44"/>
  <c r="I13" i="43" s="1"/>
  <c r="F76" i="44"/>
  <c r="AD20" i="36"/>
  <c r="T21" i="36"/>
  <c r="T111" i="36" s="1"/>
  <c r="W115" i="36"/>
  <c r="M77" i="44"/>
  <c r="E77" i="44"/>
  <c r="I8" i="44"/>
  <c r="D15" i="52"/>
  <c r="D85" i="52" s="1"/>
  <c r="L77" i="44"/>
  <c r="D77" i="44"/>
  <c r="H77" i="52"/>
  <c r="H78" i="44"/>
  <c r="I15" i="52"/>
  <c r="C78" i="44"/>
  <c r="O7" i="52"/>
  <c r="L15" i="52"/>
  <c r="L85" i="52" s="1"/>
  <c r="J77" i="52"/>
  <c r="C77" i="52"/>
  <c r="K77" i="52"/>
  <c r="I8" i="51"/>
  <c r="E77" i="52"/>
  <c r="M77" i="52"/>
  <c r="H8" i="44"/>
  <c r="K8" i="44"/>
  <c r="K8" i="51"/>
  <c r="P5" i="51"/>
  <c r="N75" i="44"/>
  <c r="F75" i="44"/>
  <c r="I75" i="52"/>
  <c r="J8" i="44"/>
  <c r="N8" i="44"/>
  <c r="N14" i="44"/>
  <c r="O14" i="43" s="1"/>
  <c r="K13" i="44"/>
  <c r="L13" i="43" s="1"/>
  <c r="K75" i="52"/>
  <c r="J13" i="44"/>
  <c r="K13" i="43" s="1"/>
  <c r="E14" i="52"/>
  <c r="K75" i="44"/>
  <c r="K78" i="44" s="1"/>
  <c r="D75" i="52"/>
  <c r="L75" i="52"/>
  <c r="H14" i="44"/>
  <c r="I14" i="43" s="1"/>
  <c r="I13" i="44"/>
  <c r="J13" i="43" s="1"/>
  <c r="E13" i="44"/>
  <c r="F13" i="43" s="1"/>
  <c r="I13" i="52"/>
  <c r="E8" i="52"/>
  <c r="H14" i="52"/>
  <c r="M75" i="52"/>
  <c r="F14" i="44"/>
  <c r="G14" i="43" s="1"/>
  <c r="C14" i="44"/>
  <c r="D14" i="43" s="1"/>
  <c r="J8" i="52"/>
  <c r="H8" i="52"/>
  <c r="M14" i="52"/>
  <c r="I75" i="44"/>
  <c r="F75" i="52"/>
  <c r="N75" i="52"/>
  <c r="G13" i="44"/>
  <c r="H13" i="43" s="1"/>
  <c r="C13" i="52"/>
  <c r="G75" i="52"/>
  <c r="C75" i="52"/>
  <c r="L13" i="52"/>
  <c r="L83" i="52" s="1"/>
  <c r="N18" i="36"/>
  <c r="N47" i="36"/>
  <c r="N39" i="36"/>
  <c r="N25" i="36"/>
  <c r="N19" i="36"/>
  <c r="N32" i="36"/>
  <c r="N40" i="36"/>
  <c r="N26" i="36"/>
  <c r="N46" i="36"/>
  <c r="N33" i="36"/>
  <c r="F18" i="36"/>
  <c r="F47" i="36"/>
  <c r="F39" i="36"/>
  <c r="F25" i="36"/>
  <c r="F19" i="36"/>
  <c r="F32" i="36"/>
  <c r="F40" i="36"/>
  <c r="F26" i="36"/>
  <c r="F46" i="36"/>
  <c r="F33" i="36"/>
  <c r="H46" i="36"/>
  <c r="H33" i="36"/>
  <c r="H18" i="36"/>
  <c r="H47" i="36"/>
  <c r="H39" i="36"/>
  <c r="H25" i="36"/>
  <c r="H32" i="36"/>
  <c r="H19" i="36"/>
  <c r="H40" i="36"/>
  <c r="H26" i="36"/>
  <c r="M33" i="36"/>
  <c r="M47" i="36"/>
  <c r="M39" i="36"/>
  <c r="M25" i="36"/>
  <c r="M19" i="36"/>
  <c r="M32" i="36"/>
  <c r="M46" i="36"/>
  <c r="M40" i="36"/>
  <c r="M26" i="36"/>
  <c r="M18" i="36"/>
  <c r="E47" i="36"/>
  <c r="E39" i="36"/>
  <c r="E25" i="36"/>
  <c r="E33" i="36"/>
  <c r="E19" i="36"/>
  <c r="E32" i="36"/>
  <c r="E40" i="36"/>
  <c r="E26" i="36"/>
  <c r="E46" i="36"/>
  <c r="E50" i="36" s="1"/>
  <c r="E48" i="36" s="1"/>
  <c r="E49" i="36" s="1"/>
  <c r="E18" i="36"/>
  <c r="C40" i="36"/>
  <c r="C39" i="36"/>
  <c r="C33" i="36"/>
  <c r="C47" i="36"/>
  <c r="C32" i="36"/>
  <c r="C26" i="36"/>
  <c r="C46" i="36"/>
  <c r="C19" i="36"/>
  <c r="C25" i="36"/>
  <c r="L47" i="36"/>
  <c r="L39" i="36"/>
  <c r="L25" i="36"/>
  <c r="L19" i="36"/>
  <c r="L18" i="36"/>
  <c r="L32" i="36"/>
  <c r="L40" i="36"/>
  <c r="L26" i="36"/>
  <c r="L46" i="36"/>
  <c r="L50" i="36" s="1"/>
  <c r="L48" i="36" s="1"/>
  <c r="L33" i="36"/>
  <c r="D47" i="36"/>
  <c r="D39" i="36"/>
  <c r="D25" i="36"/>
  <c r="D19" i="36"/>
  <c r="D32" i="36"/>
  <c r="D40" i="36"/>
  <c r="D26" i="36"/>
  <c r="D18" i="36"/>
  <c r="D46" i="36"/>
  <c r="D50" i="36" s="1"/>
  <c r="D48" i="36" s="1"/>
  <c r="D49" i="36" s="1"/>
  <c r="D33" i="36"/>
  <c r="K19" i="36"/>
  <c r="K32" i="36"/>
  <c r="K40" i="36"/>
  <c r="K26" i="36"/>
  <c r="K46" i="36"/>
  <c r="K33" i="36"/>
  <c r="K18" i="36"/>
  <c r="K47" i="36"/>
  <c r="K39" i="36"/>
  <c r="K25" i="36"/>
  <c r="J32" i="36"/>
  <c r="J40" i="36"/>
  <c r="J26" i="36"/>
  <c r="J47" i="36"/>
  <c r="J46" i="36"/>
  <c r="J33" i="36"/>
  <c r="J18" i="36"/>
  <c r="J39" i="36"/>
  <c r="J19" i="36"/>
  <c r="J25" i="36"/>
  <c r="G46" i="36"/>
  <c r="G33" i="36"/>
  <c r="G40" i="36"/>
  <c r="G18" i="36"/>
  <c r="G26" i="36"/>
  <c r="G47" i="36"/>
  <c r="G39" i="36"/>
  <c r="G25" i="36"/>
  <c r="G19" i="36"/>
  <c r="G32" i="36"/>
  <c r="I40" i="36"/>
  <c r="I26" i="36"/>
  <c r="I46" i="36"/>
  <c r="I33" i="36"/>
  <c r="I18" i="36"/>
  <c r="I47" i="36"/>
  <c r="I39" i="36"/>
  <c r="I25" i="36"/>
  <c r="I32" i="36"/>
  <c r="I19" i="36"/>
  <c r="O10" i="36"/>
  <c r="O11" i="36"/>
  <c r="O9" i="36"/>
  <c r="J14" i="44"/>
  <c r="K14" i="43" s="1"/>
  <c r="G56" i="44"/>
  <c r="H14" i="49" s="1"/>
  <c r="I14" i="44"/>
  <c r="J14" i="43" s="1"/>
  <c r="E56" i="44"/>
  <c r="F14" i="49" s="1"/>
  <c r="E29" i="44"/>
  <c r="F15" i="47" s="1"/>
  <c r="K15" i="44"/>
  <c r="L15" i="43" s="1"/>
  <c r="G14" i="44"/>
  <c r="H14" i="43" s="1"/>
  <c r="G42" i="44"/>
  <c r="H14" i="48" s="1"/>
  <c r="C42" i="44"/>
  <c r="D14" i="48" s="1"/>
  <c r="M56" i="44"/>
  <c r="N14" i="49" s="1"/>
  <c r="L14" i="44"/>
  <c r="M14" i="43" s="1"/>
  <c r="D14" i="44"/>
  <c r="E14" i="43" s="1"/>
  <c r="L28" i="44"/>
  <c r="M14" i="47" s="1"/>
  <c r="I56" i="44"/>
  <c r="J14" i="49" s="1"/>
  <c r="K14" i="44"/>
  <c r="L14" i="43" s="1"/>
  <c r="H56" i="44"/>
  <c r="H58" i="44" s="1"/>
  <c r="F40" i="44"/>
  <c r="G12" i="48" s="1"/>
  <c r="N40" i="44"/>
  <c r="F56" i="44"/>
  <c r="F58" i="44" s="1"/>
  <c r="E12" i="47"/>
  <c r="H11" i="49"/>
  <c r="D56" i="44"/>
  <c r="D58" i="44" s="1"/>
  <c r="H15" i="44"/>
  <c r="I15" i="43" s="1"/>
  <c r="D29" i="44"/>
  <c r="G15" i="44"/>
  <c r="H15" i="43" s="1"/>
  <c r="G29" i="44"/>
  <c r="H15" i="47" s="1"/>
  <c r="C29" i="44"/>
  <c r="D15" i="47" s="1"/>
  <c r="N15" i="44"/>
  <c r="O15" i="43" s="1"/>
  <c r="F15" i="44"/>
  <c r="G15" i="43" s="1"/>
  <c r="J29" i="44"/>
  <c r="K15" i="47" s="1"/>
  <c r="M15" i="44"/>
  <c r="N15" i="43" s="1"/>
  <c r="E15" i="44"/>
  <c r="F15" i="43" s="1"/>
  <c r="L29" i="44"/>
  <c r="M29" i="44"/>
  <c r="N15" i="47" s="1"/>
  <c r="L15" i="44"/>
  <c r="M15" i="43" s="1"/>
  <c r="D15" i="44"/>
  <c r="E15" i="43" s="1"/>
  <c r="K29" i="44"/>
  <c r="L15" i="47" s="1"/>
  <c r="I29" i="44"/>
  <c r="J15" i="47" s="1"/>
  <c r="J15" i="44"/>
  <c r="K15" i="43" s="1"/>
  <c r="F29" i="44"/>
  <c r="G15" i="47" s="1"/>
  <c r="I15" i="44"/>
  <c r="J15" i="43" s="1"/>
  <c r="L30" i="52"/>
  <c r="C85" i="52"/>
  <c r="I39" i="52"/>
  <c r="I40" i="52"/>
  <c r="Z33" i="52"/>
  <c r="R33" i="52"/>
  <c r="X33" i="52"/>
  <c r="K40" i="52"/>
  <c r="O5" i="52"/>
  <c r="Y5" i="52"/>
  <c r="W6" i="52"/>
  <c r="W7" i="52" s="1"/>
  <c r="I8" i="52"/>
  <c r="R10" i="52"/>
  <c r="Z10" i="52"/>
  <c r="R12" i="52"/>
  <c r="Z12" i="52"/>
  <c r="E13" i="52"/>
  <c r="M13" i="52"/>
  <c r="R14" i="52"/>
  <c r="Z14" i="52"/>
  <c r="R16" i="52"/>
  <c r="Z16" i="52"/>
  <c r="T17" i="52"/>
  <c r="AB17" i="52"/>
  <c r="U21" i="52"/>
  <c r="AC21" i="52"/>
  <c r="I22" i="52"/>
  <c r="S22" i="52"/>
  <c r="AB22" i="52"/>
  <c r="AC26" i="52"/>
  <c r="U26" i="52"/>
  <c r="Z26" i="52"/>
  <c r="G27" i="52"/>
  <c r="G30" i="52" s="1"/>
  <c r="Z27" i="52"/>
  <c r="R27" i="52"/>
  <c r="AA27" i="52"/>
  <c r="H28" i="52"/>
  <c r="R28" i="52"/>
  <c r="J29" i="52"/>
  <c r="J85" i="52" s="1"/>
  <c r="V29" i="52"/>
  <c r="H36" i="52"/>
  <c r="S33" i="52"/>
  <c r="AC33" i="52"/>
  <c r="R34" i="52"/>
  <c r="AB34" i="52"/>
  <c r="S35" i="52"/>
  <c r="L36" i="52"/>
  <c r="K42" i="52"/>
  <c r="K44" i="52" s="1"/>
  <c r="D56" i="52"/>
  <c r="D58" i="52" s="1"/>
  <c r="D50" i="52"/>
  <c r="L56" i="52"/>
  <c r="L58" i="52" s="1"/>
  <c r="L50" i="52"/>
  <c r="D13" i="52"/>
  <c r="Y16" i="52"/>
  <c r="W28" i="52"/>
  <c r="AC28" i="52"/>
  <c r="AA34" i="52"/>
  <c r="S10" i="52"/>
  <c r="AA10" i="52"/>
  <c r="S12" i="52"/>
  <c r="AA12" i="52"/>
  <c r="F13" i="52"/>
  <c r="N13" i="52"/>
  <c r="J14" i="52"/>
  <c r="S14" i="52"/>
  <c r="AA14" i="52"/>
  <c r="F15" i="52"/>
  <c r="F85" i="52" s="1"/>
  <c r="N15" i="52"/>
  <c r="N85" i="52" s="1"/>
  <c r="A16" i="52"/>
  <c r="S16" i="52"/>
  <c r="AA16" i="52"/>
  <c r="U17" i="52"/>
  <c r="AC17" i="52"/>
  <c r="Y20" i="52"/>
  <c r="V21" i="52"/>
  <c r="J22" i="52"/>
  <c r="T22" i="52"/>
  <c r="R26" i="52"/>
  <c r="AA26" i="52"/>
  <c r="H27" i="52"/>
  <c r="S27" i="52"/>
  <c r="AB27" i="52"/>
  <c r="S28" i="52"/>
  <c r="AB28" i="52"/>
  <c r="W29" i="52"/>
  <c r="AC32" i="52"/>
  <c r="U32" i="52"/>
  <c r="AA32" i="52"/>
  <c r="S32" i="52"/>
  <c r="AB32" i="52"/>
  <c r="I42" i="52"/>
  <c r="T33" i="52"/>
  <c r="U35" i="52"/>
  <c r="M36" i="52"/>
  <c r="C40" i="52"/>
  <c r="Y42" i="52"/>
  <c r="AC46" i="52"/>
  <c r="U46" i="52"/>
  <c r="AB46" i="52"/>
  <c r="T46" i="52"/>
  <c r="AA46" i="52"/>
  <c r="S46" i="52"/>
  <c r="Z46" i="52"/>
  <c r="R46" i="52"/>
  <c r="E56" i="52"/>
  <c r="E58" i="52" s="1"/>
  <c r="E50" i="52"/>
  <c r="M56" i="52"/>
  <c r="M58" i="52" s="1"/>
  <c r="M50" i="52"/>
  <c r="C64" i="52"/>
  <c r="O61" i="52"/>
  <c r="O63" i="52"/>
  <c r="Z22" i="52"/>
  <c r="R22" i="52"/>
  <c r="Z28" i="52"/>
  <c r="W34" i="52"/>
  <c r="AC34" i="52"/>
  <c r="U34" i="52"/>
  <c r="S5" i="52"/>
  <c r="S7" i="52" s="1"/>
  <c r="AA5" i="52"/>
  <c r="AA7" i="52" s="1"/>
  <c r="Y6" i="52"/>
  <c r="C8" i="52"/>
  <c r="K8" i="52"/>
  <c r="T10" i="52"/>
  <c r="AB10" i="52"/>
  <c r="T12" i="52"/>
  <c r="AB12" i="52"/>
  <c r="G13" i="52"/>
  <c r="T14" i="52"/>
  <c r="AB14" i="52"/>
  <c r="G15" i="52"/>
  <c r="G85" i="52" s="1"/>
  <c r="T16" i="52"/>
  <c r="AB16" i="52"/>
  <c r="V17" i="52"/>
  <c r="R20" i="52"/>
  <c r="Z20" i="52"/>
  <c r="W21" i="52"/>
  <c r="C22" i="52"/>
  <c r="K22" i="52"/>
  <c r="U22" i="52"/>
  <c r="S26" i="52"/>
  <c r="AB26" i="52"/>
  <c r="J27" i="52"/>
  <c r="T27" i="52"/>
  <c r="AC27" i="52"/>
  <c r="T28" i="52"/>
  <c r="X29" i="52"/>
  <c r="R32" i="52"/>
  <c r="J42" i="52"/>
  <c r="U33" i="52"/>
  <c r="T34" i="52"/>
  <c r="D36" i="52"/>
  <c r="AB42" i="52"/>
  <c r="V46" i="52"/>
  <c r="Y14" i="52"/>
  <c r="AB33" i="52"/>
  <c r="AB35" i="52"/>
  <c r="T35" i="52"/>
  <c r="Z35" i="52"/>
  <c r="R35" i="52"/>
  <c r="AC35" i="52"/>
  <c r="C56" i="52"/>
  <c r="O47" i="52"/>
  <c r="C50" i="52"/>
  <c r="T5" i="52"/>
  <c r="T7" i="52" s="1"/>
  <c r="AB5" i="52"/>
  <c r="AB7" i="52" s="1"/>
  <c r="R6" i="52"/>
  <c r="Z6" i="52"/>
  <c r="Z7" i="52" s="1"/>
  <c r="D8" i="52"/>
  <c r="L8" i="52"/>
  <c r="U10" i="52"/>
  <c r="AC10" i="52"/>
  <c r="Y11" i="52"/>
  <c r="U12" i="52"/>
  <c r="AC12" i="52"/>
  <c r="H13" i="52"/>
  <c r="Y13" i="52"/>
  <c r="U14" i="52"/>
  <c r="AC14" i="52"/>
  <c r="Y15" i="52"/>
  <c r="U16" i="52"/>
  <c r="AC16" i="52"/>
  <c r="W17" i="52"/>
  <c r="Y18" i="52"/>
  <c r="V19" i="52"/>
  <c r="S20" i="52"/>
  <c r="AA20" i="52"/>
  <c r="O21" i="52"/>
  <c r="X21" i="52"/>
  <c r="D22" i="52"/>
  <c r="L22" i="52"/>
  <c r="V22" i="52"/>
  <c r="T26" i="52"/>
  <c r="K27" i="52"/>
  <c r="K30" i="52" s="1"/>
  <c r="U27" i="52"/>
  <c r="U28" i="52"/>
  <c r="T32" i="52"/>
  <c r="O33" i="52"/>
  <c r="V33" i="52"/>
  <c r="V34" i="52"/>
  <c r="W35" i="52"/>
  <c r="E36" i="52"/>
  <c r="AC38" i="52"/>
  <c r="U38" i="52"/>
  <c r="AA38" i="52"/>
  <c r="S38" i="52"/>
  <c r="AB38" i="52"/>
  <c r="C42" i="52"/>
  <c r="W46" i="52"/>
  <c r="AA22" i="52"/>
  <c r="K56" i="52"/>
  <c r="K58" i="52" s="1"/>
  <c r="K50" i="52"/>
  <c r="V10" i="52"/>
  <c r="V12" i="52"/>
  <c r="V14" i="52"/>
  <c r="V16" i="52"/>
  <c r="F28" i="52"/>
  <c r="N28" i="52"/>
  <c r="N84" i="52" s="1"/>
  <c r="Y21" i="52"/>
  <c r="W22" i="52"/>
  <c r="C27" i="52"/>
  <c r="V28" i="52"/>
  <c r="E29" i="52"/>
  <c r="W33" i="52"/>
  <c r="X34" i="52"/>
  <c r="X35" i="52"/>
  <c r="AA42" i="52"/>
  <c r="S42" i="52"/>
  <c r="Z42" i="52"/>
  <c r="R42" i="52"/>
  <c r="X42" i="52"/>
  <c r="H56" i="52"/>
  <c r="H58" i="52" s="1"/>
  <c r="W48" i="52"/>
  <c r="V48" i="52"/>
  <c r="AC48" i="52"/>
  <c r="U48" i="52"/>
  <c r="AB48" i="52"/>
  <c r="T48" i="52"/>
  <c r="AA48" i="52"/>
  <c r="S48" i="52"/>
  <c r="Z48" i="52"/>
  <c r="R48" i="52"/>
  <c r="F64" i="52"/>
  <c r="N64" i="52"/>
  <c r="F8" i="52"/>
  <c r="N8" i="52"/>
  <c r="W10" i="52"/>
  <c r="W12" i="52"/>
  <c r="I27" i="52"/>
  <c r="J13" i="52"/>
  <c r="W14" i="52"/>
  <c r="W16" i="52"/>
  <c r="Y17" i="52"/>
  <c r="O19" i="52"/>
  <c r="I29" i="52"/>
  <c r="R21" i="52"/>
  <c r="Z21" i="52"/>
  <c r="F22" i="52"/>
  <c r="N22" i="52"/>
  <c r="X22" i="52"/>
  <c r="W26" i="52"/>
  <c r="D27" i="52"/>
  <c r="D30" i="52" s="1"/>
  <c r="M27" i="52"/>
  <c r="W27" i="52"/>
  <c r="M28" i="52"/>
  <c r="M84" i="52" s="1"/>
  <c r="X28" i="52"/>
  <c r="AB29" i="52"/>
  <c r="T29" i="52"/>
  <c r="Z29" i="52"/>
  <c r="R29" i="52"/>
  <c r="AC29" i="52"/>
  <c r="Y33" i="52"/>
  <c r="Y34" i="52"/>
  <c r="Y35" i="52"/>
  <c r="I56" i="52"/>
  <c r="I58" i="52" s="1"/>
  <c r="F56" i="52"/>
  <c r="F58" i="52" s="1"/>
  <c r="O62" i="52"/>
  <c r="U6" i="52"/>
  <c r="U7" i="52" s="1"/>
  <c r="G8" i="52"/>
  <c r="T11" i="52"/>
  <c r="K13" i="52"/>
  <c r="T13" i="52"/>
  <c r="T15" i="52"/>
  <c r="R17" i="52"/>
  <c r="T18" i="52"/>
  <c r="S21" i="52"/>
  <c r="Y22" i="52"/>
  <c r="X26" i="52"/>
  <c r="E27" i="52"/>
  <c r="E30" i="52" s="1"/>
  <c r="N27" i="52"/>
  <c r="X27" i="52"/>
  <c r="Y28" i="52"/>
  <c r="S29" i="52"/>
  <c r="X32" i="52"/>
  <c r="F36" i="52"/>
  <c r="N36" i="52"/>
  <c r="AA33" i="52"/>
  <c r="Z34" i="52"/>
  <c r="AA35" i="52"/>
  <c r="J36" i="52"/>
  <c r="V38" i="52"/>
  <c r="F42" i="52"/>
  <c r="U42" i="52"/>
  <c r="J56" i="52"/>
  <c r="J58" i="52" s="1"/>
  <c r="J50" i="52"/>
  <c r="Y48" i="52"/>
  <c r="Y54" i="52"/>
  <c r="G56" i="52"/>
  <c r="G58" i="52" s="1"/>
  <c r="Y53" i="52"/>
  <c r="R54" i="52"/>
  <c r="Z54" i="52"/>
  <c r="Y52" i="52"/>
  <c r="R53" i="52"/>
  <c r="Z53" i="52"/>
  <c r="S54" i="52"/>
  <c r="AA54" i="52"/>
  <c r="Y31" i="52"/>
  <c r="Y37" i="52"/>
  <c r="Y43" i="52"/>
  <c r="V44" i="52"/>
  <c r="X45" i="52"/>
  <c r="Y49" i="52"/>
  <c r="V50" i="52"/>
  <c r="X51" i="52"/>
  <c r="R52" i="52"/>
  <c r="Z52" i="52"/>
  <c r="S53" i="52"/>
  <c r="AA53" i="52"/>
  <c r="T54" i="52"/>
  <c r="AB54" i="52"/>
  <c r="Y45" i="52"/>
  <c r="W50" i="52"/>
  <c r="Y51" i="52"/>
  <c r="S52" i="52"/>
  <c r="AA52" i="52"/>
  <c r="T53" i="52"/>
  <c r="AB53" i="52"/>
  <c r="U54" i="52"/>
  <c r="AC54" i="52"/>
  <c r="S31" i="52"/>
  <c r="S37" i="52"/>
  <c r="S43" i="52"/>
  <c r="X44" i="52"/>
  <c r="R45" i="52"/>
  <c r="Z45" i="52"/>
  <c r="S49" i="52"/>
  <c r="X50" i="52"/>
  <c r="R51" i="52"/>
  <c r="Z51" i="52"/>
  <c r="T52" i="52"/>
  <c r="AB52" i="52"/>
  <c r="U53" i="52"/>
  <c r="AC53" i="52"/>
  <c r="V54" i="52"/>
  <c r="S45" i="52"/>
  <c r="S51" i="52"/>
  <c r="U52" i="52"/>
  <c r="H11" i="47"/>
  <c r="D11" i="49"/>
  <c r="D12" i="50"/>
  <c r="D11" i="47"/>
  <c r="L15" i="49"/>
  <c r="H15" i="50"/>
  <c r="H15" i="48"/>
  <c r="K14" i="50"/>
  <c r="N13" i="50"/>
  <c r="N13" i="48"/>
  <c r="J13" i="49"/>
  <c r="F13" i="50"/>
  <c r="F13" i="48"/>
  <c r="M12" i="49"/>
  <c r="I12" i="50"/>
  <c r="M12" i="47"/>
  <c r="E12" i="49"/>
  <c r="L11" i="50"/>
  <c r="AB6" i="44"/>
  <c r="T6" i="44"/>
  <c r="L12" i="47"/>
  <c r="O11" i="47"/>
  <c r="G11" i="47"/>
  <c r="O15" i="48"/>
  <c r="G15" i="48"/>
  <c r="M13" i="48"/>
  <c r="E13" i="48"/>
  <c r="D15" i="49"/>
  <c r="K15" i="49"/>
  <c r="I13" i="49"/>
  <c r="L12" i="49"/>
  <c r="O11" i="49"/>
  <c r="G11" i="49"/>
  <c r="O15" i="50"/>
  <c r="G15" i="50"/>
  <c r="J14" i="50"/>
  <c r="M13" i="50"/>
  <c r="E13" i="50"/>
  <c r="H12" i="50"/>
  <c r="K11" i="50"/>
  <c r="K12" i="47"/>
  <c r="N11" i="47"/>
  <c r="F11" i="47"/>
  <c r="N15" i="48"/>
  <c r="F15" i="48"/>
  <c r="L13" i="48"/>
  <c r="J15" i="49"/>
  <c r="H13" i="49"/>
  <c r="K12" i="49"/>
  <c r="N11" i="49"/>
  <c r="F11" i="49"/>
  <c r="N15" i="50"/>
  <c r="F15" i="50"/>
  <c r="I14" i="50"/>
  <c r="L13" i="50"/>
  <c r="O12" i="50"/>
  <c r="G12" i="50"/>
  <c r="J11" i="50"/>
  <c r="J12" i="47"/>
  <c r="M11" i="47"/>
  <c r="E11" i="47"/>
  <c r="M15" i="48"/>
  <c r="E15" i="48"/>
  <c r="K13" i="48"/>
  <c r="D13" i="49"/>
  <c r="I15" i="49"/>
  <c r="O13" i="49"/>
  <c r="G13" i="49"/>
  <c r="J12" i="49"/>
  <c r="M11" i="49"/>
  <c r="E11" i="49"/>
  <c r="M15" i="50"/>
  <c r="E15" i="50"/>
  <c r="H14" i="50"/>
  <c r="K13" i="50"/>
  <c r="N12" i="50"/>
  <c r="F12" i="50"/>
  <c r="I11" i="50"/>
  <c r="D12" i="47"/>
  <c r="I12" i="47"/>
  <c r="L11" i="47"/>
  <c r="L15" i="48"/>
  <c r="J13" i="48"/>
  <c r="D12" i="49"/>
  <c r="H15" i="49"/>
  <c r="N13" i="49"/>
  <c r="F13" i="49"/>
  <c r="I12" i="49"/>
  <c r="L11" i="49"/>
  <c r="D11" i="50"/>
  <c r="L15" i="50"/>
  <c r="O14" i="50"/>
  <c r="G14" i="50"/>
  <c r="J13" i="50"/>
  <c r="M12" i="50"/>
  <c r="E12" i="50"/>
  <c r="H11" i="50"/>
  <c r="H12" i="47"/>
  <c r="K11" i="47"/>
  <c r="D15" i="48"/>
  <c r="K15" i="48"/>
  <c r="I13" i="48"/>
  <c r="O15" i="49"/>
  <c r="G15" i="49"/>
  <c r="M13" i="49"/>
  <c r="E13" i="49"/>
  <c r="H12" i="49"/>
  <c r="K11" i="49"/>
  <c r="D15" i="50"/>
  <c r="K15" i="50"/>
  <c r="N14" i="50"/>
  <c r="F14" i="50"/>
  <c r="I13" i="50"/>
  <c r="L12" i="50"/>
  <c r="O11" i="50"/>
  <c r="G11" i="50"/>
  <c r="O12" i="47"/>
  <c r="G12" i="47"/>
  <c r="J11" i="47"/>
  <c r="J15" i="48"/>
  <c r="H13" i="48"/>
  <c r="N15" i="49"/>
  <c r="F15" i="49"/>
  <c r="L13" i="49"/>
  <c r="O12" i="49"/>
  <c r="G12" i="49"/>
  <c r="J11" i="49"/>
  <c r="D14" i="50"/>
  <c r="J15" i="50"/>
  <c r="M14" i="50"/>
  <c r="E14" i="50"/>
  <c r="H13" i="50"/>
  <c r="K12" i="50"/>
  <c r="N11" i="50"/>
  <c r="F11" i="50"/>
  <c r="N12" i="47"/>
  <c r="F12" i="47"/>
  <c r="I11" i="47"/>
  <c r="D13" i="48"/>
  <c r="I15" i="48"/>
  <c r="O13" i="48"/>
  <c r="G13" i="48"/>
  <c r="M15" i="49"/>
  <c r="E15" i="49"/>
  <c r="K13" i="49"/>
  <c r="N12" i="49"/>
  <c r="F12" i="49"/>
  <c r="I11" i="49"/>
  <c r="D13" i="50"/>
  <c r="I15" i="50"/>
  <c r="L14" i="50"/>
  <c r="O13" i="50"/>
  <c r="G13" i="50"/>
  <c r="J12" i="50"/>
  <c r="M11" i="50"/>
  <c r="A16" i="44"/>
  <c r="K39" i="44"/>
  <c r="L11" i="48" s="1"/>
  <c r="AA6" i="44"/>
  <c r="S6" i="44"/>
  <c r="V5" i="44"/>
  <c r="W5" i="44"/>
  <c r="D39" i="44"/>
  <c r="E11" i="48" s="1"/>
  <c r="L39" i="44"/>
  <c r="M11" i="48" s="1"/>
  <c r="Z6" i="44"/>
  <c r="AC5" i="44"/>
  <c r="U5" i="44"/>
  <c r="U7" i="44" s="1"/>
  <c r="M39" i="44"/>
  <c r="N11" i="48" s="1"/>
  <c r="Y6" i="44"/>
  <c r="AB5" i="44"/>
  <c r="T5" i="44"/>
  <c r="F39" i="44"/>
  <c r="N39" i="44"/>
  <c r="O11" i="48" s="1"/>
  <c r="X6" i="44"/>
  <c r="AA5" i="44"/>
  <c r="S5" i="44"/>
  <c r="G39" i="44"/>
  <c r="H11" i="48" s="1"/>
  <c r="R6" i="44"/>
  <c r="W6" i="44"/>
  <c r="Z5" i="44"/>
  <c r="J56" i="44"/>
  <c r="V6" i="44"/>
  <c r="Y5" i="44"/>
  <c r="I39" i="44"/>
  <c r="AC6" i="44"/>
  <c r="J72" i="44"/>
  <c r="G50" i="44"/>
  <c r="H29" i="44"/>
  <c r="D22" i="44"/>
  <c r="C72" i="44"/>
  <c r="O72" i="44" s="1"/>
  <c r="G64" i="44"/>
  <c r="O61" i="44"/>
  <c r="H64" i="44"/>
  <c r="I64" i="44"/>
  <c r="C64" i="44"/>
  <c r="K64" i="44"/>
  <c r="D64" i="44"/>
  <c r="L64" i="44"/>
  <c r="E64" i="44"/>
  <c r="M64" i="44"/>
  <c r="I50" i="44"/>
  <c r="J50" i="44"/>
  <c r="C50" i="44"/>
  <c r="K50" i="44"/>
  <c r="O47" i="44"/>
  <c r="E50" i="44"/>
  <c r="M50" i="44"/>
  <c r="O34" i="44"/>
  <c r="J36" i="44"/>
  <c r="J40" i="44" s="1"/>
  <c r="K12" i="48" s="1"/>
  <c r="C36" i="44"/>
  <c r="C39" i="44" s="1"/>
  <c r="O43" i="44"/>
  <c r="O33" i="44"/>
  <c r="H36" i="44"/>
  <c r="H40" i="44" s="1"/>
  <c r="I12" i="48" s="1"/>
  <c r="D42" i="44"/>
  <c r="L42" i="44"/>
  <c r="E42" i="44"/>
  <c r="F14" i="48" s="1"/>
  <c r="M42" i="44"/>
  <c r="O35" i="44"/>
  <c r="F42" i="44"/>
  <c r="N42" i="44"/>
  <c r="P6" i="51"/>
  <c r="P7" i="51"/>
  <c r="L8" i="51"/>
  <c r="D8" i="51"/>
  <c r="D5" i="67" s="1"/>
  <c r="P8" i="50"/>
  <c r="P8" i="49"/>
  <c r="P8" i="48"/>
  <c r="L22" i="44"/>
  <c r="J27" i="44"/>
  <c r="O20" i="44"/>
  <c r="H27" i="44"/>
  <c r="O21" i="44"/>
  <c r="E22" i="44"/>
  <c r="M22" i="44"/>
  <c r="K27" i="44"/>
  <c r="E28" i="44"/>
  <c r="F14" i="47" s="1"/>
  <c r="M28" i="44"/>
  <c r="N14" i="47" s="1"/>
  <c r="F22" i="44"/>
  <c r="N22" i="44"/>
  <c r="F28" i="44"/>
  <c r="G14" i="47" s="1"/>
  <c r="N28" i="44"/>
  <c r="O14" i="47" s="1"/>
  <c r="G22" i="44"/>
  <c r="G28" i="44"/>
  <c r="O19" i="44"/>
  <c r="H28" i="44"/>
  <c r="I14" i="47" s="1"/>
  <c r="I22" i="44"/>
  <c r="I28" i="44"/>
  <c r="J22" i="44"/>
  <c r="C22" i="44"/>
  <c r="K22" i="44"/>
  <c r="P8" i="47"/>
  <c r="O5" i="44"/>
  <c r="O7" i="44"/>
  <c r="C8" i="44"/>
  <c r="U42" i="44"/>
  <c r="AC42" i="44"/>
  <c r="S45" i="44"/>
  <c r="U46" i="44"/>
  <c r="AC46" i="44"/>
  <c r="Y48" i="44"/>
  <c r="U50" i="44"/>
  <c r="AC50" i="44"/>
  <c r="Y52" i="44"/>
  <c r="S53" i="44"/>
  <c r="AA53" i="44"/>
  <c r="U54" i="44"/>
  <c r="AC54" i="44"/>
  <c r="Y44" i="44"/>
  <c r="V42" i="44"/>
  <c r="X43" i="44"/>
  <c r="R44" i="44"/>
  <c r="Z44" i="44"/>
  <c r="T45" i="44"/>
  <c r="AB45" i="44"/>
  <c r="V46" i="44"/>
  <c r="X47" i="44"/>
  <c r="R48" i="44"/>
  <c r="Z48" i="44"/>
  <c r="V50" i="44"/>
  <c r="X51" i="44"/>
  <c r="R52" i="44"/>
  <c r="Z52" i="44"/>
  <c r="T53" i="44"/>
  <c r="AB53" i="44"/>
  <c r="V54" i="44"/>
  <c r="AA45" i="44"/>
  <c r="W42" i="44"/>
  <c r="Y43" i="44"/>
  <c r="S44" i="44"/>
  <c r="AA44" i="44"/>
  <c r="U45" i="44"/>
  <c r="AC45" i="44"/>
  <c r="W46" i="44"/>
  <c r="Y47" i="44"/>
  <c r="S48" i="44"/>
  <c r="AA48" i="44"/>
  <c r="W50" i="44"/>
  <c r="Y51" i="44"/>
  <c r="S52" i="44"/>
  <c r="AA52" i="44"/>
  <c r="U53" i="44"/>
  <c r="AC53" i="44"/>
  <c r="W54" i="44"/>
  <c r="X42" i="44"/>
  <c r="R43" i="44"/>
  <c r="Z43" i="44"/>
  <c r="T44" i="44"/>
  <c r="AB44" i="44"/>
  <c r="V45" i="44"/>
  <c r="X46" i="44"/>
  <c r="R47" i="44"/>
  <c r="Z47" i="44"/>
  <c r="T48" i="44"/>
  <c r="AB48" i="44"/>
  <c r="X50" i="44"/>
  <c r="R51" i="44"/>
  <c r="Z51" i="44"/>
  <c r="T52" i="44"/>
  <c r="AB52" i="44"/>
  <c r="V53" i="44"/>
  <c r="X54" i="44"/>
  <c r="Y42" i="44"/>
  <c r="Y46" i="44"/>
  <c r="Y50" i="44"/>
  <c r="Y54" i="44"/>
  <c r="R42" i="44"/>
  <c r="Z42" i="44"/>
  <c r="T43" i="44"/>
  <c r="X45" i="44"/>
  <c r="R46" i="44"/>
  <c r="Z46" i="44"/>
  <c r="T47" i="44"/>
  <c r="R50" i="44"/>
  <c r="Z50" i="44"/>
  <c r="T51" i="44"/>
  <c r="X53" i="44"/>
  <c r="R54" i="44"/>
  <c r="Z54" i="44"/>
  <c r="S42" i="44"/>
  <c r="S46" i="44"/>
  <c r="S50" i="44"/>
  <c r="S54" i="44"/>
  <c r="AC26" i="44"/>
  <c r="Y28" i="44"/>
  <c r="S29" i="44"/>
  <c r="Y32" i="44"/>
  <c r="S33" i="44"/>
  <c r="AA33" i="44"/>
  <c r="U34" i="44"/>
  <c r="AC34" i="44"/>
  <c r="Y36" i="44"/>
  <c r="S37" i="44"/>
  <c r="AA37" i="44"/>
  <c r="U38" i="44"/>
  <c r="AC38" i="44"/>
  <c r="U30" i="44"/>
  <c r="V26" i="44"/>
  <c r="X27" i="44"/>
  <c r="R28" i="44"/>
  <c r="Z28" i="44"/>
  <c r="T29" i="44"/>
  <c r="AB29" i="44"/>
  <c r="V30" i="44"/>
  <c r="X31" i="44"/>
  <c r="R32" i="44"/>
  <c r="Z32" i="44"/>
  <c r="T33" i="44"/>
  <c r="AB33" i="44"/>
  <c r="V34" i="44"/>
  <c r="X35" i="44"/>
  <c r="R36" i="44"/>
  <c r="Z36" i="44"/>
  <c r="T37" i="44"/>
  <c r="AB37" i="44"/>
  <c r="V38" i="44"/>
  <c r="U26" i="44"/>
  <c r="AC30" i="44"/>
  <c r="W26" i="44"/>
  <c r="Y27" i="44"/>
  <c r="S28" i="44"/>
  <c r="AA28" i="44"/>
  <c r="U29" i="44"/>
  <c r="AC29" i="44"/>
  <c r="W30" i="44"/>
  <c r="Y31" i="44"/>
  <c r="S32" i="44"/>
  <c r="AA32" i="44"/>
  <c r="U33" i="44"/>
  <c r="AC33" i="44"/>
  <c r="W34" i="44"/>
  <c r="Y35" i="44"/>
  <c r="S36" i="44"/>
  <c r="AA36" i="44"/>
  <c r="U37" i="44"/>
  <c r="AC37" i="44"/>
  <c r="W38" i="44"/>
  <c r="AA29" i="44"/>
  <c r="X26" i="44"/>
  <c r="R27" i="44"/>
  <c r="Z27" i="44"/>
  <c r="T28" i="44"/>
  <c r="AB28" i="44"/>
  <c r="V29" i="44"/>
  <c r="X30" i="44"/>
  <c r="R31" i="44"/>
  <c r="Z31" i="44"/>
  <c r="T32" i="44"/>
  <c r="AB32" i="44"/>
  <c r="V33" i="44"/>
  <c r="X34" i="44"/>
  <c r="R35" i="44"/>
  <c r="Z35" i="44"/>
  <c r="T36" i="44"/>
  <c r="AB36" i="44"/>
  <c r="V37" i="44"/>
  <c r="X38" i="44"/>
  <c r="Y26" i="44"/>
  <c r="Y30" i="44"/>
  <c r="Y34" i="44"/>
  <c r="Y38" i="44"/>
  <c r="R26" i="44"/>
  <c r="Z26" i="44"/>
  <c r="T27" i="44"/>
  <c r="X29" i="44"/>
  <c r="R30" i="44"/>
  <c r="Z30" i="44"/>
  <c r="T31" i="44"/>
  <c r="X33" i="44"/>
  <c r="R34" i="44"/>
  <c r="Z34" i="44"/>
  <c r="T35" i="44"/>
  <c r="V36" i="44"/>
  <c r="X37" i="44"/>
  <c r="R38" i="44"/>
  <c r="Z38" i="44"/>
  <c r="S26" i="44"/>
  <c r="S30" i="44"/>
  <c r="S34" i="44"/>
  <c r="S38" i="44"/>
  <c r="P21" i="46"/>
  <c r="P8" i="43"/>
  <c r="P6" i="43"/>
  <c r="P5" i="7"/>
  <c r="K143" i="55" l="1"/>
  <c r="F78" i="52"/>
  <c r="H156" i="55"/>
  <c r="I15" i="59" s="1"/>
  <c r="J161" i="56"/>
  <c r="K20" i="60" s="1"/>
  <c r="G134" i="54"/>
  <c r="O139" i="54"/>
  <c r="F143" i="56"/>
  <c r="H161" i="55"/>
  <c r="I20" i="59" s="1"/>
  <c r="D160" i="54"/>
  <c r="E19" i="58" s="1"/>
  <c r="N160" i="54"/>
  <c r="O19" i="58" s="1"/>
  <c r="H160" i="55"/>
  <c r="I19" i="59" s="1"/>
  <c r="D143" i="55"/>
  <c r="G36" i="36"/>
  <c r="G34" i="36" s="1"/>
  <c r="G167" i="36" s="1"/>
  <c r="K134" i="55"/>
  <c r="I162" i="57"/>
  <c r="J21" i="61" s="1"/>
  <c r="N78" i="52"/>
  <c r="L159" i="57"/>
  <c r="M18" i="61" s="1"/>
  <c r="K186" i="55"/>
  <c r="L143" i="54"/>
  <c r="F156" i="57"/>
  <c r="G15" i="61" s="1"/>
  <c r="I160" i="56"/>
  <c r="J19" i="60" s="1"/>
  <c r="E143" i="55"/>
  <c r="L162" i="55"/>
  <c r="M21" i="59" s="1"/>
  <c r="H162" i="55"/>
  <c r="I21" i="59" s="1"/>
  <c r="K143" i="57"/>
  <c r="H143" i="54"/>
  <c r="H143" i="55"/>
  <c r="F134" i="55"/>
  <c r="N159" i="55"/>
  <c r="O18" i="59" s="1"/>
  <c r="N143" i="55"/>
  <c r="J78" i="44"/>
  <c r="J83" i="52"/>
  <c r="I83" i="52"/>
  <c r="K161" i="57"/>
  <c r="L20" i="61" s="1"/>
  <c r="Q100" i="70"/>
  <c r="Q102" i="70" s="1"/>
  <c r="J143" i="57"/>
  <c r="J143" i="54"/>
  <c r="F97" i="9"/>
  <c r="U108" i="9" s="1"/>
  <c r="I78" i="44"/>
  <c r="H78" i="52"/>
  <c r="S11" i="82"/>
  <c r="G11" i="82" s="1"/>
  <c r="K79" i="69"/>
  <c r="K79" i="74"/>
  <c r="K79" i="73"/>
  <c r="K79" i="72"/>
  <c r="K79" i="70"/>
  <c r="K79" i="71"/>
  <c r="H79" i="70"/>
  <c r="H79" i="73"/>
  <c r="H79" i="71"/>
  <c r="H79" i="69"/>
  <c r="H79" i="74"/>
  <c r="H79" i="72"/>
  <c r="P99" i="70"/>
  <c r="P99" i="73"/>
  <c r="D79" i="71"/>
  <c r="D79" i="69"/>
  <c r="D79" i="74"/>
  <c r="D79" i="72"/>
  <c r="D79" i="70"/>
  <c r="D79" i="73"/>
  <c r="G79" i="74"/>
  <c r="G79" i="72"/>
  <c r="G79" i="70"/>
  <c r="G79" i="73"/>
  <c r="G79" i="71"/>
  <c r="G79" i="69"/>
  <c r="F79" i="70"/>
  <c r="F79" i="73"/>
  <c r="F79" i="71"/>
  <c r="F79" i="69"/>
  <c r="F79" i="74"/>
  <c r="F79" i="72"/>
  <c r="L79" i="73"/>
  <c r="L79" i="72"/>
  <c r="L79" i="71"/>
  <c r="L79" i="69"/>
  <c r="L79" i="74"/>
  <c r="L79" i="70"/>
  <c r="P99" i="74"/>
  <c r="O79" i="71"/>
  <c r="O79" i="69"/>
  <c r="O79" i="74"/>
  <c r="O79" i="72"/>
  <c r="O79" i="70"/>
  <c r="O79" i="73"/>
  <c r="N79" i="74"/>
  <c r="N79" i="72"/>
  <c r="N79" i="70"/>
  <c r="N79" i="73"/>
  <c r="N79" i="71"/>
  <c r="N79" i="69"/>
  <c r="E79" i="71"/>
  <c r="E79" i="69"/>
  <c r="E79" i="74"/>
  <c r="E79" i="73"/>
  <c r="E79" i="72"/>
  <c r="E79" i="70"/>
  <c r="I79" i="73"/>
  <c r="I79" i="71"/>
  <c r="I79" i="69"/>
  <c r="I79" i="74"/>
  <c r="I79" i="72"/>
  <c r="I79" i="70"/>
  <c r="M79" i="74"/>
  <c r="M79" i="72"/>
  <c r="M79" i="70"/>
  <c r="M79" i="73"/>
  <c r="M79" i="71"/>
  <c r="M79" i="69"/>
  <c r="P99" i="72"/>
  <c r="J79" i="72"/>
  <c r="J79" i="73"/>
  <c r="J79" i="71"/>
  <c r="J79" i="69"/>
  <c r="J79" i="74"/>
  <c r="J79" i="70"/>
  <c r="P99" i="71"/>
  <c r="D134" i="56"/>
  <c r="J159" i="54"/>
  <c r="K18" i="58" s="1"/>
  <c r="K143" i="54"/>
  <c r="D156" i="54"/>
  <c r="E15" i="58" s="1"/>
  <c r="P24" i="7"/>
  <c r="P23" i="7"/>
  <c r="C11" i="44"/>
  <c r="G40" i="52"/>
  <c r="C21" i="72"/>
  <c r="C21" i="71"/>
  <c r="C21" i="70"/>
  <c r="C21" i="74"/>
  <c r="C21" i="69"/>
  <c r="C21" i="73"/>
  <c r="C23" i="69"/>
  <c r="C23" i="72"/>
  <c r="C23" i="71"/>
  <c r="C23" i="70"/>
  <c r="C23" i="74"/>
  <c r="C23" i="73"/>
  <c r="C22" i="74"/>
  <c r="C22" i="69"/>
  <c r="C22" i="73"/>
  <c r="C22" i="72"/>
  <c r="C22" i="71"/>
  <c r="C22" i="70"/>
  <c r="K25" i="71"/>
  <c r="K25" i="74"/>
  <c r="K25" i="70"/>
  <c r="K25" i="69"/>
  <c r="K25" i="73"/>
  <c r="K25" i="72"/>
  <c r="J21" i="74"/>
  <c r="J21" i="69"/>
  <c r="J21" i="70"/>
  <c r="J21" i="71"/>
  <c r="J21" i="73"/>
  <c r="J21" i="72"/>
  <c r="K23" i="72"/>
  <c r="K23" i="71"/>
  <c r="K23" i="74"/>
  <c r="K23" i="70"/>
  <c r="K23" i="69"/>
  <c r="K23" i="73"/>
  <c r="J24" i="73"/>
  <c r="J24" i="72"/>
  <c r="J24" i="71"/>
  <c r="J24" i="74"/>
  <c r="J24" i="70"/>
  <c r="J24" i="69"/>
  <c r="F21" i="73"/>
  <c r="F21" i="69"/>
  <c r="F21" i="70"/>
  <c r="F21" i="72"/>
  <c r="F21" i="71"/>
  <c r="F21" i="74"/>
  <c r="O23" i="74"/>
  <c r="O23" i="70"/>
  <c r="O23" i="69"/>
  <c r="O23" i="73"/>
  <c r="O23" i="72"/>
  <c r="O23" i="71"/>
  <c r="O24" i="71"/>
  <c r="O24" i="74"/>
  <c r="O24" i="70"/>
  <c r="O24" i="69"/>
  <c r="O24" i="73"/>
  <c r="O24" i="72"/>
  <c r="N24" i="71"/>
  <c r="N24" i="74"/>
  <c r="N24" i="70"/>
  <c r="N24" i="69"/>
  <c r="N24" i="73"/>
  <c r="N24" i="72"/>
  <c r="C25" i="74"/>
  <c r="C25" i="70"/>
  <c r="C25" i="73"/>
  <c r="C25" i="69"/>
  <c r="C25" i="72"/>
  <c r="C25" i="71"/>
  <c r="N22" i="72"/>
  <c r="N22" i="71"/>
  <c r="N22" i="74"/>
  <c r="N22" i="70"/>
  <c r="N22" i="69"/>
  <c r="N22" i="73"/>
  <c r="J23" i="71"/>
  <c r="J23" i="74"/>
  <c r="J23" i="70"/>
  <c r="J23" i="69"/>
  <c r="J23" i="73"/>
  <c r="J23" i="72"/>
  <c r="D23" i="74"/>
  <c r="D23" i="70"/>
  <c r="D23" i="69"/>
  <c r="D23" i="73"/>
  <c r="D23" i="72"/>
  <c r="D23" i="71"/>
  <c r="N25" i="72"/>
  <c r="N25" i="71"/>
  <c r="N25" i="74"/>
  <c r="N25" i="70"/>
  <c r="N25" i="69"/>
  <c r="N25" i="73"/>
  <c r="G23" i="74"/>
  <c r="G23" i="70"/>
  <c r="G23" i="69"/>
  <c r="G23" i="73"/>
  <c r="G23" i="72"/>
  <c r="G23" i="71"/>
  <c r="G24" i="71"/>
  <c r="G24" i="74"/>
  <c r="G24" i="70"/>
  <c r="G24" i="69"/>
  <c r="G24" i="73"/>
  <c r="G24" i="72"/>
  <c r="F24" i="71"/>
  <c r="F24" i="74"/>
  <c r="F24" i="70"/>
  <c r="F24" i="69"/>
  <c r="F24" i="73"/>
  <c r="F24" i="72"/>
  <c r="J25" i="74"/>
  <c r="J25" i="70"/>
  <c r="J25" i="69"/>
  <c r="J25" i="73"/>
  <c r="J25" i="72"/>
  <c r="J25" i="71"/>
  <c r="F22" i="72"/>
  <c r="F22" i="71"/>
  <c r="F22" i="74"/>
  <c r="F22" i="70"/>
  <c r="F22" i="69"/>
  <c r="F22" i="73"/>
  <c r="M22" i="71"/>
  <c r="M22" i="74"/>
  <c r="M22" i="70"/>
  <c r="M22" i="69"/>
  <c r="M22" i="73"/>
  <c r="M22" i="72"/>
  <c r="I23" i="71"/>
  <c r="I23" i="74"/>
  <c r="I23" i="70"/>
  <c r="I23" i="69"/>
  <c r="I23" i="73"/>
  <c r="I23" i="72"/>
  <c r="F25" i="72"/>
  <c r="F25" i="71"/>
  <c r="F25" i="74"/>
  <c r="F25" i="70"/>
  <c r="F25" i="69"/>
  <c r="F25" i="73"/>
  <c r="J22" i="74"/>
  <c r="J22" i="70"/>
  <c r="J22" i="69"/>
  <c r="J22" i="73"/>
  <c r="J22" i="72"/>
  <c r="J22" i="71"/>
  <c r="N23" i="73"/>
  <c r="N23" i="72"/>
  <c r="N23" i="71"/>
  <c r="N23" i="74"/>
  <c r="N23" i="70"/>
  <c r="N23" i="69"/>
  <c r="M23" i="73"/>
  <c r="M23" i="72"/>
  <c r="M23" i="71"/>
  <c r="M23" i="74"/>
  <c r="M23" i="70"/>
  <c r="M23" i="69"/>
  <c r="M24" i="74"/>
  <c r="M24" i="70"/>
  <c r="M24" i="69"/>
  <c r="M24" i="73"/>
  <c r="M24" i="72"/>
  <c r="M24" i="71"/>
  <c r="I21" i="72"/>
  <c r="I21" i="69"/>
  <c r="I21" i="71"/>
  <c r="I21" i="70"/>
  <c r="I21" i="73"/>
  <c r="I21" i="74"/>
  <c r="E22" i="71"/>
  <c r="E22" i="74"/>
  <c r="E22" i="70"/>
  <c r="E22" i="69"/>
  <c r="E22" i="73"/>
  <c r="E22" i="72"/>
  <c r="L22" i="71"/>
  <c r="L22" i="74"/>
  <c r="L22" i="70"/>
  <c r="L22" i="69"/>
  <c r="L22" i="73"/>
  <c r="L22" i="72"/>
  <c r="I24" i="72"/>
  <c r="I24" i="71"/>
  <c r="I24" i="74"/>
  <c r="I24" i="70"/>
  <c r="I24" i="69"/>
  <c r="I24" i="73"/>
  <c r="M21" i="71"/>
  <c r="M21" i="74"/>
  <c r="M21" i="70"/>
  <c r="M21" i="72"/>
  <c r="M21" i="69"/>
  <c r="M21" i="73"/>
  <c r="F23" i="73"/>
  <c r="F23" i="72"/>
  <c r="F23" i="71"/>
  <c r="F23" i="74"/>
  <c r="F23" i="70"/>
  <c r="F23" i="69"/>
  <c r="L12" i="82"/>
  <c r="D12" i="82"/>
  <c r="G12" i="82"/>
  <c r="O12" i="82"/>
  <c r="E12" i="82"/>
  <c r="H12" i="82"/>
  <c r="M12" i="82"/>
  <c r="K12" i="82"/>
  <c r="I12" i="82"/>
  <c r="J12" i="82"/>
  <c r="F12" i="82"/>
  <c r="N12" i="82"/>
  <c r="E23" i="73"/>
  <c r="E23" i="72"/>
  <c r="E23" i="71"/>
  <c r="E23" i="74"/>
  <c r="E23" i="70"/>
  <c r="E23" i="69"/>
  <c r="E24" i="74"/>
  <c r="E24" i="70"/>
  <c r="E24" i="69"/>
  <c r="E24" i="73"/>
  <c r="E24" i="72"/>
  <c r="E24" i="71"/>
  <c r="D24" i="74"/>
  <c r="D24" i="70"/>
  <c r="D24" i="69"/>
  <c r="D24" i="73"/>
  <c r="D24" i="72"/>
  <c r="P24" i="68"/>
  <c r="D24" i="71"/>
  <c r="H21" i="70"/>
  <c r="H21" i="71"/>
  <c r="H21" i="72"/>
  <c r="H21" i="74"/>
  <c r="H21" i="69"/>
  <c r="H21" i="73"/>
  <c r="O21" i="70"/>
  <c r="O21" i="71"/>
  <c r="O21" i="72"/>
  <c r="O21" i="74"/>
  <c r="O21" i="73"/>
  <c r="O21" i="69"/>
  <c r="D22" i="73"/>
  <c r="D22" i="72"/>
  <c r="D22" i="71"/>
  <c r="D22" i="74"/>
  <c r="D22" i="70"/>
  <c r="D22" i="69"/>
  <c r="E21" i="71"/>
  <c r="E21" i="74"/>
  <c r="E21" i="70"/>
  <c r="E21" i="72"/>
  <c r="E21" i="69"/>
  <c r="E21" i="73"/>
  <c r="I22" i="73"/>
  <c r="I22" i="72"/>
  <c r="I22" i="71"/>
  <c r="I22" i="74"/>
  <c r="I22" i="70"/>
  <c r="I22" i="69"/>
  <c r="H22" i="73"/>
  <c r="H22" i="72"/>
  <c r="H22" i="71"/>
  <c r="H22" i="74"/>
  <c r="H22" i="70"/>
  <c r="H22" i="69"/>
  <c r="L23" i="72"/>
  <c r="L23" i="71"/>
  <c r="L23" i="74"/>
  <c r="L23" i="70"/>
  <c r="L23" i="69"/>
  <c r="L23" i="73"/>
  <c r="I25" i="74"/>
  <c r="I25" i="70"/>
  <c r="I25" i="69"/>
  <c r="I25" i="73"/>
  <c r="I25" i="72"/>
  <c r="I25" i="71"/>
  <c r="D25" i="71"/>
  <c r="D25" i="74"/>
  <c r="D25" i="70"/>
  <c r="D25" i="69"/>
  <c r="D25" i="73"/>
  <c r="D25" i="72"/>
  <c r="G21" i="70"/>
  <c r="G21" i="71"/>
  <c r="G21" i="72"/>
  <c r="G21" i="74"/>
  <c r="G21" i="73"/>
  <c r="G21" i="69"/>
  <c r="H23" i="74"/>
  <c r="H23" i="70"/>
  <c r="H23" i="69"/>
  <c r="H23" i="73"/>
  <c r="H23" i="72"/>
  <c r="H23" i="71"/>
  <c r="M25" i="72"/>
  <c r="M25" i="71"/>
  <c r="M25" i="74"/>
  <c r="M25" i="70"/>
  <c r="M25" i="69"/>
  <c r="M25" i="73"/>
  <c r="L21" i="71"/>
  <c r="L21" i="70"/>
  <c r="L21" i="72"/>
  <c r="L21" i="73"/>
  <c r="L21" i="74"/>
  <c r="L21" i="69"/>
  <c r="K21" i="74"/>
  <c r="K21" i="69"/>
  <c r="K21" i="73"/>
  <c r="K21" i="72"/>
  <c r="K21" i="71"/>
  <c r="K21" i="70"/>
  <c r="O22" i="72"/>
  <c r="O22" i="71"/>
  <c r="O22" i="74"/>
  <c r="O22" i="70"/>
  <c r="O22" i="69"/>
  <c r="O22" i="73"/>
  <c r="L24" i="74"/>
  <c r="L24" i="70"/>
  <c r="L24" i="69"/>
  <c r="L24" i="73"/>
  <c r="L24" i="72"/>
  <c r="L24" i="71"/>
  <c r="H25" i="73"/>
  <c r="H25" i="72"/>
  <c r="H25" i="71"/>
  <c r="H25" i="74"/>
  <c r="H25" i="70"/>
  <c r="H25" i="69"/>
  <c r="O25" i="73"/>
  <c r="O25" i="72"/>
  <c r="O25" i="71"/>
  <c r="O25" i="74"/>
  <c r="O25" i="70"/>
  <c r="O25" i="69"/>
  <c r="K22" i="74"/>
  <c r="K22" i="70"/>
  <c r="K22" i="69"/>
  <c r="K22" i="73"/>
  <c r="K22" i="72"/>
  <c r="K22" i="71"/>
  <c r="E25" i="72"/>
  <c r="E25" i="71"/>
  <c r="E25" i="74"/>
  <c r="E25" i="70"/>
  <c r="E25" i="69"/>
  <c r="E25" i="73"/>
  <c r="D21" i="72"/>
  <c r="D21" i="70"/>
  <c r="D21" i="73"/>
  <c r="D21" i="71"/>
  <c r="D21" i="69"/>
  <c r="D21" i="74"/>
  <c r="N85" i="44"/>
  <c r="O15" i="51"/>
  <c r="C24" i="71"/>
  <c r="C24" i="74"/>
  <c r="C24" i="70"/>
  <c r="C24" i="73"/>
  <c r="C24" i="69"/>
  <c r="C24" i="72"/>
  <c r="G22" i="72"/>
  <c r="G22" i="71"/>
  <c r="G22" i="74"/>
  <c r="G22" i="70"/>
  <c r="G22" i="69"/>
  <c r="G22" i="73"/>
  <c r="K24" i="73"/>
  <c r="K24" i="72"/>
  <c r="K24" i="71"/>
  <c r="K24" i="74"/>
  <c r="K24" i="70"/>
  <c r="K24" i="69"/>
  <c r="G25" i="73"/>
  <c r="G25" i="72"/>
  <c r="G25" i="71"/>
  <c r="G25" i="74"/>
  <c r="G25" i="70"/>
  <c r="G25" i="69"/>
  <c r="N21" i="73"/>
  <c r="N21" i="69"/>
  <c r="N21" i="70"/>
  <c r="N21" i="72"/>
  <c r="N21" i="71"/>
  <c r="N21" i="74"/>
  <c r="H24" i="72"/>
  <c r="H24" i="71"/>
  <c r="H24" i="74"/>
  <c r="H24" i="70"/>
  <c r="H24" i="69"/>
  <c r="H24" i="73"/>
  <c r="L25" i="71"/>
  <c r="L25" i="74"/>
  <c r="L25" i="70"/>
  <c r="L25" i="69"/>
  <c r="L25" i="73"/>
  <c r="L25" i="72"/>
  <c r="E39" i="44"/>
  <c r="F11" i="48" s="1"/>
  <c r="F16" i="48" s="1"/>
  <c r="J78" i="52"/>
  <c r="L78" i="52"/>
  <c r="E78" i="52"/>
  <c r="P12" i="83"/>
  <c r="I13" i="83"/>
  <c r="M13" i="83"/>
  <c r="O13" i="83"/>
  <c r="G13" i="83"/>
  <c r="N13" i="83"/>
  <c r="J13" i="83"/>
  <c r="H13" i="83"/>
  <c r="I12" i="81"/>
  <c r="J12" i="81"/>
  <c r="E12" i="81"/>
  <c r="K12" i="81"/>
  <c r="K12" i="84" s="1"/>
  <c r="O12" i="81"/>
  <c r="H12" i="81"/>
  <c r="L12" i="81"/>
  <c r="M12" i="81"/>
  <c r="D12" i="81"/>
  <c r="F12" i="81"/>
  <c r="N12" i="81"/>
  <c r="G12" i="81"/>
  <c r="L11" i="81"/>
  <c r="D11" i="81"/>
  <c r="H11" i="81"/>
  <c r="K11" i="81"/>
  <c r="E11" i="81"/>
  <c r="M11" i="81"/>
  <c r="J11" i="81"/>
  <c r="F11" i="81"/>
  <c r="N11" i="81"/>
  <c r="G11" i="81"/>
  <c r="O11" i="81"/>
  <c r="I11" i="81"/>
  <c r="I143" i="57"/>
  <c r="X7" i="44"/>
  <c r="D162" i="54"/>
  <c r="E21" i="58" s="1"/>
  <c r="N143" i="56"/>
  <c r="I143" i="56"/>
  <c r="G143" i="55"/>
  <c r="N162" i="56"/>
  <c r="O21" i="60" s="1"/>
  <c r="G143" i="56"/>
  <c r="O139" i="55"/>
  <c r="D186" i="54"/>
  <c r="N186" i="57"/>
  <c r="M159" i="55"/>
  <c r="N18" i="59" s="1"/>
  <c r="M161" i="55"/>
  <c r="N20" i="59" s="1"/>
  <c r="K186" i="56"/>
  <c r="E142" i="57"/>
  <c r="E162" i="57" s="1"/>
  <c r="F21" i="61" s="1"/>
  <c r="E132" i="55"/>
  <c r="E161" i="55" s="1"/>
  <c r="F20" i="59" s="1"/>
  <c r="D133" i="55"/>
  <c r="D162" i="55" s="1"/>
  <c r="E21" i="59" s="1"/>
  <c r="E131" i="55"/>
  <c r="E160" i="55" s="1"/>
  <c r="F19" i="59" s="1"/>
  <c r="F140" i="54"/>
  <c r="F160" i="54" s="1"/>
  <c r="G19" i="58" s="1"/>
  <c r="M177" i="55"/>
  <c r="M185" i="55" s="1"/>
  <c r="L142" i="56"/>
  <c r="L143" i="56" s="1"/>
  <c r="M142" i="56"/>
  <c r="M162" i="56" s="1"/>
  <c r="N21" i="60" s="1"/>
  <c r="G209" i="56"/>
  <c r="I160" i="57"/>
  <c r="J19" i="61" s="1"/>
  <c r="D140" i="57"/>
  <c r="D160" i="57" s="1"/>
  <c r="E19" i="61" s="1"/>
  <c r="M140" i="56"/>
  <c r="M160" i="56" s="1"/>
  <c r="N19" i="60" s="1"/>
  <c r="L132" i="55"/>
  <c r="L161" i="55" s="1"/>
  <c r="M20" i="59" s="1"/>
  <c r="E133" i="55"/>
  <c r="E162" i="55" s="1"/>
  <c r="F21" i="59" s="1"/>
  <c r="I133" i="54"/>
  <c r="I162" i="54" s="1"/>
  <c r="J21" i="58" s="1"/>
  <c r="I132" i="54"/>
  <c r="I161" i="54" s="1"/>
  <c r="J20" i="58" s="1"/>
  <c r="I129" i="54"/>
  <c r="I156" i="54" s="1"/>
  <c r="J15" i="58" s="1"/>
  <c r="L133" i="54"/>
  <c r="L162" i="54" s="1"/>
  <c r="M21" i="58" s="1"/>
  <c r="J162" i="55"/>
  <c r="K21" i="59" s="1"/>
  <c r="D148" i="36"/>
  <c r="D151" i="36"/>
  <c r="D146" i="36"/>
  <c r="D149" i="36"/>
  <c r="D150" i="36"/>
  <c r="D147" i="36"/>
  <c r="E138" i="57"/>
  <c r="E156" i="57" s="1"/>
  <c r="F15" i="61" s="1"/>
  <c r="M173" i="55"/>
  <c r="M181" i="55" s="1"/>
  <c r="M129" i="55" s="1"/>
  <c r="I161" i="56"/>
  <c r="J20" i="60" s="1"/>
  <c r="M175" i="55"/>
  <c r="M183" i="55" s="1"/>
  <c r="M131" i="55" s="1"/>
  <c r="M160" i="55" s="1"/>
  <c r="N19" i="59" s="1"/>
  <c r="H142" i="57"/>
  <c r="H162" i="57" s="1"/>
  <c r="I21" i="61" s="1"/>
  <c r="F141" i="55"/>
  <c r="F161" i="55" s="1"/>
  <c r="G20" i="59" s="1"/>
  <c r="N142" i="54"/>
  <c r="N162" i="54" s="1"/>
  <c r="O21" i="58" s="1"/>
  <c r="E129" i="55"/>
  <c r="L129" i="54"/>
  <c r="L156" i="54" s="1"/>
  <c r="M15" i="58" s="1"/>
  <c r="J132" i="57"/>
  <c r="J161" i="57" s="1"/>
  <c r="K20" i="61" s="1"/>
  <c r="E140" i="57"/>
  <c r="E160" i="57" s="1"/>
  <c r="F19" i="61" s="1"/>
  <c r="F141" i="57"/>
  <c r="F161" i="57" s="1"/>
  <c r="G20" i="61" s="1"/>
  <c r="J138" i="56"/>
  <c r="J156" i="56" s="1"/>
  <c r="K15" i="60" s="1"/>
  <c r="F140" i="55"/>
  <c r="F160" i="55" s="1"/>
  <c r="G19" i="59" s="1"/>
  <c r="N141" i="54"/>
  <c r="F138" i="54"/>
  <c r="F156" i="54" s="1"/>
  <c r="G15" i="58" s="1"/>
  <c r="N138" i="54"/>
  <c r="N156" i="54" s="1"/>
  <c r="O15" i="58" s="1"/>
  <c r="H162" i="54"/>
  <c r="I21" i="58" s="1"/>
  <c r="G209" i="55"/>
  <c r="N160" i="56"/>
  <c r="O19" i="60" s="1"/>
  <c r="F131" i="56"/>
  <c r="F160" i="56" s="1"/>
  <c r="G19" i="60" s="1"/>
  <c r="N156" i="56"/>
  <c r="O15" i="60" s="1"/>
  <c r="M138" i="54"/>
  <c r="M156" i="54" s="1"/>
  <c r="N15" i="58" s="1"/>
  <c r="I162" i="56"/>
  <c r="J21" i="60" s="1"/>
  <c r="M138" i="56"/>
  <c r="E129" i="56"/>
  <c r="E156" i="56" s="1"/>
  <c r="F15" i="60" s="1"/>
  <c r="I132" i="57"/>
  <c r="I161" i="57" s="1"/>
  <c r="J20" i="61" s="1"/>
  <c r="L161" i="56"/>
  <c r="M20" i="60" s="1"/>
  <c r="E150" i="36"/>
  <c r="E148" i="36"/>
  <c r="E151" i="36"/>
  <c r="E146" i="36"/>
  <c r="E149" i="36"/>
  <c r="E147" i="36"/>
  <c r="H160" i="56"/>
  <c r="I19" i="60" s="1"/>
  <c r="F133" i="56"/>
  <c r="F162" i="56" s="1"/>
  <c r="G21" i="60" s="1"/>
  <c r="L156" i="57"/>
  <c r="M15" i="61" s="1"/>
  <c r="D129" i="55"/>
  <c r="D156" i="55" s="1"/>
  <c r="E15" i="59" s="1"/>
  <c r="H140" i="57"/>
  <c r="H160" i="57" s="1"/>
  <c r="I19" i="61" s="1"/>
  <c r="D141" i="54"/>
  <c r="D161" i="54" s="1"/>
  <c r="E20" i="58" s="1"/>
  <c r="L131" i="54"/>
  <c r="L160" i="54" s="1"/>
  <c r="M19" i="58" s="1"/>
  <c r="O130" i="55"/>
  <c r="I129" i="56"/>
  <c r="I156" i="56" s="1"/>
  <c r="J15" i="60" s="1"/>
  <c r="H132" i="54"/>
  <c r="H161" i="54" s="1"/>
  <c r="N132" i="55"/>
  <c r="N161" i="55" s="1"/>
  <c r="O20" i="59" s="1"/>
  <c r="J129" i="57"/>
  <c r="J156" i="57" s="1"/>
  <c r="K15" i="61" s="1"/>
  <c r="J132" i="54"/>
  <c r="J161" i="54" s="1"/>
  <c r="K20" i="58" s="1"/>
  <c r="K160" i="57"/>
  <c r="L19" i="61" s="1"/>
  <c r="K133" i="57"/>
  <c r="K162" i="57" s="1"/>
  <c r="L21" i="61" s="1"/>
  <c r="E142" i="56"/>
  <c r="E162" i="56" s="1"/>
  <c r="F21" i="60" s="1"/>
  <c r="F137" i="55"/>
  <c r="G132" i="56"/>
  <c r="G161" i="56" s="1"/>
  <c r="H20" i="60" s="1"/>
  <c r="H142" i="56"/>
  <c r="H143" i="56" s="1"/>
  <c r="D132" i="55"/>
  <c r="D161" i="55" s="1"/>
  <c r="E20" i="59" s="1"/>
  <c r="J142" i="56"/>
  <c r="I156" i="57"/>
  <c r="J15" i="61" s="1"/>
  <c r="F138" i="55"/>
  <c r="F156" i="55" s="1"/>
  <c r="G15" i="59" s="1"/>
  <c r="M140" i="54"/>
  <c r="M160" i="54" s="1"/>
  <c r="N19" i="58" s="1"/>
  <c r="H160" i="54"/>
  <c r="I19" i="58" s="1"/>
  <c r="J162" i="57"/>
  <c r="K21" i="61" s="1"/>
  <c r="G133" i="56"/>
  <c r="G162" i="56" s="1"/>
  <c r="H21" i="60" s="1"/>
  <c r="J140" i="56"/>
  <c r="J160" i="56" s="1"/>
  <c r="K19" i="60" s="1"/>
  <c r="O130" i="56"/>
  <c r="M142" i="57"/>
  <c r="M162" i="57" s="1"/>
  <c r="N21" i="61" s="1"/>
  <c r="N160" i="55"/>
  <c r="O19" i="59" s="1"/>
  <c r="H156" i="54"/>
  <c r="I15" i="58" s="1"/>
  <c r="F129" i="56"/>
  <c r="F156" i="56" s="1"/>
  <c r="G15" i="60" s="1"/>
  <c r="H138" i="57"/>
  <c r="H156" i="57" s="1"/>
  <c r="I15" i="61" s="1"/>
  <c r="J160" i="57"/>
  <c r="K19" i="61" s="1"/>
  <c r="F141" i="54"/>
  <c r="F161" i="54" s="1"/>
  <c r="G20" i="58" s="1"/>
  <c r="L131" i="55"/>
  <c r="L160" i="55" s="1"/>
  <c r="M19" i="59" s="1"/>
  <c r="K156" i="57"/>
  <c r="L15" i="61" s="1"/>
  <c r="M156" i="57"/>
  <c r="N15" i="61" s="1"/>
  <c r="G156" i="57"/>
  <c r="H15" i="61" s="1"/>
  <c r="N162" i="55"/>
  <c r="O21" i="59" s="1"/>
  <c r="G129" i="56"/>
  <c r="M142" i="54"/>
  <c r="M162" i="54" s="1"/>
  <c r="N21" i="58" s="1"/>
  <c r="G131" i="56"/>
  <c r="G160" i="56" s="1"/>
  <c r="H19" i="60" s="1"/>
  <c r="I162" i="55"/>
  <c r="J21" i="59" s="1"/>
  <c r="L142" i="57"/>
  <c r="L162" i="57" s="1"/>
  <c r="M21" i="61" s="1"/>
  <c r="M140" i="57"/>
  <c r="I128" i="56"/>
  <c r="I155" i="56" s="1"/>
  <c r="N128" i="55"/>
  <c r="N155" i="55" s="1"/>
  <c r="N132" i="56"/>
  <c r="N161" i="56" s="1"/>
  <c r="O20" i="60" s="1"/>
  <c r="L132" i="57"/>
  <c r="L161" i="57" s="1"/>
  <c r="M20" i="61" s="1"/>
  <c r="R118" i="54"/>
  <c r="C120" i="54" s="1"/>
  <c r="C124" i="54"/>
  <c r="C121" i="54"/>
  <c r="C118" i="54"/>
  <c r="C123" i="54"/>
  <c r="C119" i="54"/>
  <c r="O119" i="54" s="1"/>
  <c r="C122" i="54"/>
  <c r="C130" i="54"/>
  <c r="O130" i="54" s="1"/>
  <c r="C129" i="54"/>
  <c r="C139" i="57"/>
  <c r="O139" i="57" s="1"/>
  <c r="C114" i="54"/>
  <c r="O114" i="54" s="1"/>
  <c r="C109" i="54"/>
  <c r="C110" i="54"/>
  <c r="C112" i="54"/>
  <c r="O112" i="54" s="1"/>
  <c r="C113" i="54"/>
  <c r="O113" i="54" s="1"/>
  <c r="C150" i="55"/>
  <c r="O150" i="55" s="1"/>
  <c r="C147" i="55"/>
  <c r="O147" i="55" s="1"/>
  <c r="C151" i="55"/>
  <c r="O151" i="55" s="1"/>
  <c r="C148" i="55"/>
  <c r="O148" i="55" s="1"/>
  <c r="C149" i="55"/>
  <c r="O149" i="55" s="1"/>
  <c r="C146" i="55"/>
  <c r="O110" i="55"/>
  <c r="R118" i="55"/>
  <c r="C120" i="55" s="1"/>
  <c r="C118" i="55"/>
  <c r="C119" i="55"/>
  <c r="C123" i="55"/>
  <c r="C122" i="55"/>
  <c r="C124" i="55"/>
  <c r="C121" i="55"/>
  <c r="C130" i="57"/>
  <c r="O130" i="57" s="1"/>
  <c r="D41" i="67"/>
  <c r="D35" i="9"/>
  <c r="N35" i="9"/>
  <c r="N41" i="67"/>
  <c r="L41" i="67"/>
  <c r="L35" i="9"/>
  <c r="K41" i="67"/>
  <c r="K35" i="9"/>
  <c r="O41" i="67"/>
  <c r="O35" i="9"/>
  <c r="I41" i="67"/>
  <c r="I35" i="9"/>
  <c r="G41" i="67"/>
  <c r="G35" i="9"/>
  <c r="J35" i="9"/>
  <c r="J41" i="67"/>
  <c r="F35" i="9"/>
  <c r="F41" i="67"/>
  <c r="E35" i="9"/>
  <c r="E41" i="67"/>
  <c r="H41" i="67"/>
  <c r="H35" i="9"/>
  <c r="M35" i="9"/>
  <c r="M41" i="67"/>
  <c r="AD5" i="52"/>
  <c r="Y49" i="44"/>
  <c r="Z49" i="44"/>
  <c r="W49" i="44"/>
  <c r="R49" i="44"/>
  <c r="V14" i="44"/>
  <c r="Y14" i="44"/>
  <c r="Z14" i="44"/>
  <c r="T14" i="44"/>
  <c r="AB14" i="44"/>
  <c r="S14" i="44"/>
  <c r="W14" i="44"/>
  <c r="AA14" i="44"/>
  <c r="U14" i="44"/>
  <c r="X14" i="44"/>
  <c r="R14" i="44"/>
  <c r="AC14" i="44"/>
  <c r="AD43" i="52"/>
  <c r="X16" i="44"/>
  <c r="S16" i="44"/>
  <c r="AA16" i="44"/>
  <c r="T16" i="44"/>
  <c r="AB16" i="44"/>
  <c r="R16" i="44"/>
  <c r="V16" i="44"/>
  <c r="Y16" i="44"/>
  <c r="Z16" i="44"/>
  <c r="W16" i="44"/>
  <c r="AC16" i="44"/>
  <c r="U16" i="44"/>
  <c r="AA30" i="44"/>
  <c r="AD30" i="44" s="1"/>
  <c r="AB30" i="44"/>
  <c r="T30" i="44"/>
  <c r="AA49" i="52"/>
  <c r="T49" i="52"/>
  <c r="AC49" i="52"/>
  <c r="R49" i="52"/>
  <c r="AB49" i="52"/>
  <c r="Z49" i="52"/>
  <c r="Z55" i="52" s="1"/>
  <c r="X49" i="52"/>
  <c r="W49" i="52"/>
  <c r="U49" i="52"/>
  <c r="V49" i="52"/>
  <c r="W54" i="52"/>
  <c r="X54" i="52"/>
  <c r="Y19" i="52"/>
  <c r="W19" i="52"/>
  <c r="AD19" i="52" s="1"/>
  <c r="U19" i="52"/>
  <c r="T19" i="52"/>
  <c r="AC19" i="52"/>
  <c r="AB19" i="52"/>
  <c r="R19" i="52"/>
  <c r="AA19" i="52"/>
  <c r="X19" i="52"/>
  <c r="Z19" i="52"/>
  <c r="Z23" i="52" s="1"/>
  <c r="S19" i="52"/>
  <c r="Z10" i="44"/>
  <c r="R10" i="44"/>
  <c r="U10" i="44"/>
  <c r="AC10" i="44"/>
  <c r="V10" i="44"/>
  <c r="X10" i="44"/>
  <c r="AA10" i="44"/>
  <c r="AB10" i="44"/>
  <c r="W10" i="44"/>
  <c r="Y10" i="44"/>
  <c r="S10" i="44"/>
  <c r="T10" i="44"/>
  <c r="V48" i="44"/>
  <c r="AC48" i="44"/>
  <c r="W48" i="44"/>
  <c r="AD48" i="44" s="1"/>
  <c r="X48" i="44"/>
  <c r="U48" i="44"/>
  <c r="AC49" i="44"/>
  <c r="AA49" i="44"/>
  <c r="AD18" i="52"/>
  <c r="F30" i="52"/>
  <c r="H30" i="52"/>
  <c r="E78" i="44"/>
  <c r="T12" i="44"/>
  <c r="AB12" i="44"/>
  <c r="R12" i="44"/>
  <c r="W12" i="44"/>
  <c r="X12" i="44"/>
  <c r="Z12" i="44"/>
  <c r="U12" i="44"/>
  <c r="V12" i="44"/>
  <c r="Y12" i="44"/>
  <c r="AA12" i="44"/>
  <c r="AC12" i="44"/>
  <c r="S12" i="44"/>
  <c r="S23" i="44" s="1"/>
  <c r="V28" i="44"/>
  <c r="X28" i="44"/>
  <c r="W28" i="44"/>
  <c r="U28" i="44"/>
  <c r="AC28" i="44"/>
  <c r="AB27" i="44"/>
  <c r="AA27" i="44"/>
  <c r="U27" i="44"/>
  <c r="U39" i="44" s="1"/>
  <c r="S27" i="44"/>
  <c r="W27" i="44"/>
  <c r="V27" i="44"/>
  <c r="AC27" i="44"/>
  <c r="AA50" i="44"/>
  <c r="T50" i="44"/>
  <c r="AB50" i="44"/>
  <c r="AA54" i="44"/>
  <c r="AD54" i="44" s="1"/>
  <c r="T54" i="44"/>
  <c r="AB54" i="44"/>
  <c r="W19" i="44"/>
  <c r="Z19" i="44"/>
  <c r="S19" i="44"/>
  <c r="AA19" i="44"/>
  <c r="U19" i="44"/>
  <c r="AC19" i="44"/>
  <c r="X19" i="44"/>
  <c r="Y19" i="44"/>
  <c r="AB19" i="44"/>
  <c r="V19" i="44"/>
  <c r="T19" i="44"/>
  <c r="R19" i="44"/>
  <c r="X10" i="52"/>
  <c r="Y10" i="52"/>
  <c r="Y23" i="52" s="1"/>
  <c r="Y33" i="44"/>
  <c r="Z33" i="44"/>
  <c r="W33" i="44"/>
  <c r="R33" i="44"/>
  <c r="S15" i="44"/>
  <c r="AA15" i="44"/>
  <c r="V15" i="44"/>
  <c r="R15" i="44"/>
  <c r="AD15" i="44" s="1"/>
  <c r="W15" i="44"/>
  <c r="Y15" i="44"/>
  <c r="T15" i="44"/>
  <c r="U15" i="44"/>
  <c r="X15" i="44"/>
  <c r="Z15" i="44"/>
  <c r="AB15" i="44"/>
  <c r="AC15" i="44"/>
  <c r="U49" i="44"/>
  <c r="S49" i="44"/>
  <c r="AD31" i="52"/>
  <c r="I78" i="52"/>
  <c r="Y21" i="44"/>
  <c r="T21" i="44"/>
  <c r="AB21" i="44"/>
  <c r="U21" i="44"/>
  <c r="AC21" i="44"/>
  <c r="W21" i="44"/>
  <c r="R21" i="44"/>
  <c r="Z21" i="44"/>
  <c r="S21" i="44"/>
  <c r="V21" i="44"/>
  <c r="X21" i="44"/>
  <c r="AA21" i="44"/>
  <c r="V53" i="52"/>
  <c r="X53" i="52"/>
  <c r="W53" i="52"/>
  <c r="X12" i="52"/>
  <c r="AD12" i="52" s="1"/>
  <c r="Y12" i="52"/>
  <c r="AA34" i="44"/>
  <c r="AB34" i="44"/>
  <c r="T34" i="44"/>
  <c r="AB47" i="44"/>
  <c r="W47" i="44"/>
  <c r="V47" i="44"/>
  <c r="S47" i="44"/>
  <c r="AD47" i="44" s="1"/>
  <c r="AC47" i="44"/>
  <c r="AA47" i="44"/>
  <c r="U47" i="44"/>
  <c r="V44" i="44"/>
  <c r="X44" i="44"/>
  <c r="W44" i="44"/>
  <c r="U44" i="44"/>
  <c r="AC44" i="44"/>
  <c r="AD44" i="44" s="1"/>
  <c r="U17" i="44"/>
  <c r="AC17" i="44"/>
  <c r="X17" i="44"/>
  <c r="Y17" i="44"/>
  <c r="S17" i="44"/>
  <c r="AA17" i="44"/>
  <c r="V17" i="44"/>
  <c r="Z17" i="44"/>
  <c r="T17" i="44"/>
  <c r="W17" i="44"/>
  <c r="R17" i="44"/>
  <c r="AB17" i="44"/>
  <c r="AD28" i="44"/>
  <c r="X49" i="44"/>
  <c r="X55" i="44" s="1"/>
  <c r="AD50" i="52"/>
  <c r="AD15" i="52"/>
  <c r="F83" i="52"/>
  <c r="AA51" i="52"/>
  <c r="AC51" i="52"/>
  <c r="AB51" i="52"/>
  <c r="W51" i="52"/>
  <c r="V51" i="52"/>
  <c r="AD51" i="52" s="1"/>
  <c r="U51" i="52"/>
  <c r="T51" i="52"/>
  <c r="Y53" i="44"/>
  <c r="W53" i="44"/>
  <c r="Z53" i="44"/>
  <c r="R53" i="44"/>
  <c r="AB31" i="44"/>
  <c r="U31" i="44"/>
  <c r="AD31" i="44" s="1"/>
  <c r="AC31" i="44"/>
  <c r="W31" i="44"/>
  <c r="S31" i="44"/>
  <c r="V31" i="44"/>
  <c r="AA31" i="44"/>
  <c r="Y26" i="52"/>
  <c r="Y39" i="52" s="1"/>
  <c r="V26" i="52"/>
  <c r="AA46" i="44"/>
  <c r="AD46" i="44" s="1"/>
  <c r="AB46" i="44"/>
  <c r="T46" i="44"/>
  <c r="Y44" i="52"/>
  <c r="AB44" i="52"/>
  <c r="AA44" i="52"/>
  <c r="Z44" i="52"/>
  <c r="W44" i="52"/>
  <c r="W55" i="52" s="1"/>
  <c r="U44" i="52"/>
  <c r="U55" i="52" s="1"/>
  <c r="T44" i="52"/>
  <c r="T55" i="52" s="1"/>
  <c r="AC44" i="52"/>
  <c r="AC55" i="52" s="1"/>
  <c r="R44" i="52"/>
  <c r="S44" i="52"/>
  <c r="N30" i="52"/>
  <c r="AD13" i="52"/>
  <c r="V39" i="52"/>
  <c r="AB51" i="44"/>
  <c r="W51" i="44"/>
  <c r="S51" i="44"/>
  <c r="AC51" i="44"/>
  <c r="V51" i="44"/>
  <c r="U51" i="44"/>
  <c r="AA51" i="44"/>
  <c r="Y37" i="44"/>
  <c r="R37" i="44"/>
  <c r="Z37" i="44"/>
  <c r="W37" i="44"/>
  <c r="AD37" i="44" s="1"/>
  <c r="AD20" i="44"/>
  <c r="AA26" i="44"/>
  <c r="AA39" i="44" s="1"/>
  <c r="AB26" i="44"/>
  <c r="T26" i="44"/>
  <c r="T39" i="44" s="1"/>
  <c r="AD30" i="52"/>
  <c r="AA38" i="44"/>
  <c r="AB38" i="44"/>
  <c r="T38" i="44"/>
  <c r="X7" i="52"/>
  <c r="AB43" i="44"/>
  <c r="U43" i="44"/>
  <c r="AC43" i="44"/>
  <c r="AC55" i="44" s="1"/>
  <c r="W43" i="44"/>
  <c r="AA43" i="44"/>
  <c r="V43" i="44"/>
  <c r="S43" i="44"/>
  <c r="AD43" i="44" s="1"/>
  <c r="V32" i="44"/>
  <c r="X32" i="44"/>
  <c r="AC32" i="44"/>
  <c r="W32" i="44"/>
  <c r="W39" i="44" s="1"/>
  <c r="U32" i="44"/>
  <c r="AC39" i="44"/>
  <c r="AD33" i="44"/>
  <c r="AB39" i="44"/>
  <c r="AB49" i="44"/>
  <c r="AD53" i="44"/>
  <c r="D11" i="48"/>
  <c r="K83" i="52"/>
  <c r="AA37" i="52"/>
  <c r="T37" i="52"/>
  <c r="AC37" i="52"/>
  <c r="R37" i="52"/>
  <c r="R39" i="52" s="1"/>
  <c r="AB37" i="52"/>
  <c r="Z37" i="52"/>
  <c r="X37" i="52"/>
  <c r="W37" i="52"/>
  <c r="U37" i="52"/>
  <c r="V37" i="52"/>
  <c r="V22" i="44"/>
  <c r="Y22" i="44"/>
  <c r="Z22" i="44"/>
  <c r="T22" i="44"/>
  <c r="AB22" i="44"/>
  <c r="W22" i="44"/>
  <c r="AA22" i="44"/>
  <c r="X22" i="44"/>
  <c r="R22" i="44"/>
  <c r="AC22" i="44"/>
  <c r="S22" i="44"/>
  <c r="U22" i="44"/>
  <c r="AA45" i="52"/>
  <c r="AC45" i="52"/>
  <c r="AB45" i="52"/>
  <c r="W45" i="52"/>
  <c r="V45" i="52"/>
  <c r="U45" i="52"/>
  <c r="AD45" i="52" s="1"/>
  <c r="T45" i="52"/>
  <c r="Y36" i="52"/>
  <c r="W36" i="52"/>
  <c r="V36" i="52"/>
  <c r="U36" i="52"/>
  <c r="AC36" i="52"/>
  <c r="T36" i="52"/>
  <c r="AB36" i="52"/>
  <c r="AB39" i="52" s="1"/>
  <c r="S36" i="52"/>
  <c r="AA36" i="52"/>
  <c r="R36" i="52"/>
  <c r="X36" i="52"/>
  <c r="X39" i="52" s="1"/>
  <c r="Z36" i="52"/>
  <c r="Z38" i="52"/>
  <c r="Y38" i="52"/>
  <c r="X38" i="52"/>
  <c r="W38" i="52"/>
  <c r="R38" i="52"/>
  <c r="AD38" i="52" s="1"/>
  <c r="T38" i="52"/>
  <c r="W32" i="52"/>
  <c r="W39" i="52" s="1"/>
  <c r="V32" i="52"/>
  <c r="Y32" i="52"/>
  <c r="Z32" i="52"/>
  <c r="W11" i="44"/>
  <c r="Z11" i="44"/>
  <c r="S11" i="44"/>
  <c r="AA11" i="44"/>
  <c r="U11" i="44"/>
  <c r="AC11" i="44"/>
  <c r="R11" i="44"/>
  <c r="T11" i="44"/>
  <c r="V11" i="44"/>
  <c r="X11" i="44"/>
  <c r="AB11" i="44"/>
  <c r="Y11" i="44"/>
  <c r="AD29" i="44"/>
  <c r="V49" i="44"/>
  <c r="T49" i="44"/>
  <c r="AD45" i="44"/>
  <c r="V55" i="52"/>
  <c r="L78" i="44"/>
  <c r="AA42" i="44"/>
  <c r="AA55" i="44" s="1"/>
  <c r="AB42" i="44"/>
  <c r="AB55" i="44" s="1"/>
  <c r="T42" i="44"/>
  <c r="T55" i="44" s="1"/>
  <c r="AB11" i="52"/>
  <c r="W11" i="52"/>
  <c r="W23" i="52" s="1"/>
  <c r="V11" i="52"/>
  <c r="U11" i="52"/>
  <c r="AC11" i="52"/>
  <c r="R11" i="52"/>
  <c r="AD11" i="52" s="1"/>
  <c r="AA11" i="52"/>
  <c r="X11" i="52"/>
  <c r="X23" i="52" s="1"/>
  <c r="Z11" i="52"/>
  <c r="S11" i="52"/>
  <c r="J161" i="55"/>
  <c r="K20" i="59" s="1"/>
  <c r="D24" i="8"/>
  <c r="M16" i="50"/>
  <c r="O29" i="52"/>
  <c r="I161" i="55"/>
  <c r="J20" i="59" s="1"/>
  <c r="F78" i="44"/>
  <c r="H155" i="56"/>
  <c r="I14" i="60" s="1"/>
  <c r="H156" i="56"/>
  <c r="I15" i="60" s="1"/>
  <c r="O17" i="35"/>
  <c r="O16" i="35"/>
  <c r="I186" i="54"/>
  <c r="E161" i="56"/>
  <c r="F20" i="60" s="1"/>
  <c r="L160" i="57"/>
  <c r="M19" i="61" s="1"/>
  <c r="L186" i="57"/>
  <c r="G161" i="57"/>
  <c r="H20" i="61" s="1"/>
  <c r="H161" i="56"/>
  <c r="I20" i="60" s="1"/>
  <c r="D209" i="54"/>
  <c r="C177" i="56"/>
  <c r="C185" i="56" s="1"/>
  <c r="N78" i="44"/>
  <c r="J203" i="71"/>
  <c r="J203" i="73"/>
  <c r="J204" i="68"/>
  <c r="J80" i="68" s="1"/>
  <c r="J203" i="72"/>
  <c r="J204" i="72" s="1"/>
  <c r="J204" i="69"/>
  <c r="J203" i="74"/>
  <c r="J204" i="74" s="1"/>
  <c r="L203" i="74"/>
  <c r="L204" i="74" s="1"/>
  <c r="L204" i="69"/>
  <c r="L203" i="71"/>
  <c r="L203" i="73"/>
  <c r="L204" i="70"/>
  <c r="L204" i="68"/>
  <c r="L80" i="68" s="1"/>
  <c r="L203" i="72"/>
  <c r="N203" i="72"/>
  <c r="N204" i="69"/>
  <c r="N203" i="74"/>
  <c r="N203" i="71"/>
  <c r="N204" i="71" s="1"/>
  <c r="N203" i="73"/>
  <c r="N204" i="68"/>
  <c r="N80" i="68" s="1"/>
  <c r="M204" i="69"/>
  <c r="M203" i="74"/>
  <c r="M204" i="74" s="1"/>
  <c r="M203" i="71"/>
  <c r="M203" i="73"/>
  <c r="M203" i="72"/>
  <c r="M204" i="68"/>
  <c r="M80" i="68" s="1"/>
  <c r="G6" i="67"/>
  <c r="G36" i="67" s="1"/>
  <c r="G203" i="73"/>
  <c r="G204" i="73" s="1"/>
  <c r="G204" i="68"/>
  <c r="G80" i="68" s="1"/>
  <c r="G203" i="72"/>
  <c r="G204" i="72" s="1"/>
  <c r="G203" i="71"/>
  <c r="G204" i="69"/>
  <c r="G203" i="74"/>
  <c r="D203" i="73"/>
  <c r="D204" i="73" s="1"/>
  <c r="D203" i="74"/>
  <c r="D204" i="68"/>
  <c r="D204" i="69"/>
  <c r="D203" i="71"/>
  <c r="D203" i="72"/>
  <c r="I160" i="55"/>
  <c r="J19" i="59" s="1"/>
  <c r="M143" i="55"/>
  <c r="L160" i="56"/>
  <c r="M19" i="60" s="1"/>
  <c r="J156" i="55"/>
  <c r="K15" i="59" s="1"/>
  <c r="G162" i="57"/>
  <c r="H21" i="61" s="1"/>
  <c r="L186" i="54"/>
  <c r="C173" i="56"/>
  <c r="C181" i="56" s="1"/>
  <c r="J173" i="54"/>
  <c r="J181" i="54" s="1"/>
  <c r="M134" i="56"/>
  <c r="M161" i="56"/>
  <c r="N20" i="60" s="1"/>
  <c r="M155" i="56"/>
  <c r="N14" i="60" s="1"/>
  <c r="C200" i="54"/>
  <c r="C208" i="54" s="1"/>
  <c r="K155" i="55"/>
  <c r="L14" i="59" s="1"/>
  <c r="L22" i="59" s="1"/>
  <c r="M186" i="56"/>
  <c r="I156" i="55"/>
  <c r="J15" i="59" s="1"/>
  <c r="I134" i="55"/>
  <c r="C195" i="56"/>
  <c r="C203" i="56" s="1"/>
  <c r="C137" i="56" s="1"/>
  <c r="G160" i="57"/>
  <c r="H19" i="61" s="1"/>
  <c r="M209" i="54"/>
  <c r="E186" i="55"/>
  <c r="J175" i="54"/>
  <c r="J183" i="54" s="1"/>
  <c r="J177" i="54"/>
  <c r="J185" i="54" s="1"/>
  <c r="C198" i="54"/>
  <c r="C206" i="54" s="1"/>
  <c r="C196" i="55"/>
  <c r="C204" i="55" s="1"/>
  <c r="G143" i="57"/>
  <c r="G209" i="57"/>
  <c r="C196" i="54"/>
  <c r="C204" i="54" s="1"/>
  <c r="F209" i="57"/>
  <c r="G186" i="56"/>
  <c r="J143" i="55"/>
  <c r="J209" i="55"/>
  <c r="C195" i="54"/>
  <c r="C203" i="54" s="1"/>
  <c r="I186" i="55"/>
  <c r="H209" i="56"/>
  <c r="M209" i="55"/>
  <c r="F209" i="55"/>
  <c r="E36" i="36"/>
  <c r="E34" i="36" s="1"/>
  <c r="E35" i="36" s="1"/>
  <c r="C175" i="55"/>
  <c r="C183" i="55" s="1"/>
  <c r="C169" i="57"/>
  <c r="C177" i="57" s="1"/>
  <c r="C185" i="57" s="1"/>
  <c r="O185" i="57" s="1"/>
  <c r="O204" i="70"/>
  <c r="O203" i="74"/>
  <c r="O203" i="71"/>
  <c r="O204" i="71" s="1"/>
  <c r="O204" i="69"/>
  <c r="O203" i="73"/>
  <c r="O204" i="68"/>
  <c r="O80" i="68" s="1"/>
  <c r="O203" i="72"/>
  <c r="K203" i="71"/>
  <c r="K204" i="69"/>
  <c r="K204" i="68"/>
  <c r="K80" i="68" s="1"/>
  <c r="K203" i="74"/>
  <c r="K204" i="74" s="1"/>
  <c r="K203" i="73"/>
  <c r="K204" i="73" s="1"/>
  <c r="K203" i="72"/>
  <c r="K204" i="72" s="1"/>
  <c r="I34" i="68"/>
  <c r="I204" i="69"/>
  <c r="I203" i="71"/>
  <c r="I203" i="72"/>
  <c r="I203" i="73"/>
  <c r="I203" i="74"/>
  <c r="I204" i="68"/>
  <c r="I80" i="68" s="1"/>
  <c r="O76" i="52"/>
  <c r="G78" i="52"/>
  <c r="H203" i="74"/>
  <c r="H204" i="68"/>
  <c r="H80" i="68" s="1"/>
  <c r="H204" i="69"/>
  <c r="H203" i="73"/>
  <c r="H204" i="70"/>
  <c r="H203" i="71"/>
  <c r="H203" i="72"/>
  <c r="H204" i="72" s="1"/>
  <c r="F5" i="67"/>
  <c r="F35" i="67" s="1"/>
  <c r="F203" i="72"/>
  <c r="F204" i="72" s="1"/>
  <c r="F204" i="69"/>
  <c r="F203" i="73"/>
  <c r="F204" i="70"/>
  <c r="F203" i="74"/>
  <c r="F203" i="71"/>
  <c r="F204" i="71" s="1"/>
  <c r="F204" i="68"/>
  <c r="F80" i="68" s="1"/>
  <c r="F6" i="69"/>
  <c r="F34" i="69" s="1"/>
  <c r="E203" i="73"/>
  <c r="E203" i="74"/>
  <c r="E203" i="72"/>
  <c r="E203" i="71"/>
  <c r="G58" i="44"/>
  <c r="AA7" i="44"/>
  <c r="H55" i="8"/>
  <c r="O55" i="8"/>
  <c r="J56" i="8"/>
  <c r="N54" i="8"/>
  <c r="E56" i="8"/>
  <c r="J55" i="8"/>
  <c r="K54" i="8"/>
  <c r="F55" i="8"/>
  <c r="M55" i="8"/>
  <c r="L55" i="8"/>
  <c r="E54" i="8"/>
  <c r="O56" i="8"/>
  <c r="I54" i="8"/>
  <c r="O54" i="8"/>
  <c r="E55" i="8"/>
  <c r="G56" i="8"/>
  <c r="M56" i="8"/>
  <c r="D56" i="8"/>
  <c r="G54" i="8"/>
  <c r="I55" i="8"/>
  <c r="G55" i="8"/>
  <c r="K56" i="8"/>
  <c r="F54" i="8"/>
  <c r="L54" i="8"/>
  <c r="J54" i="8"/>
  <c r="N55" i="8"/>
  <c r="H56" i="8"/>
  <c r="N56" i="8"/>
  <c r="D55" i="8"/>
  <c r="H54" i="8"/>
  <c r="I56" i="8"/>
  <c r="F56" i="8"/>
  <c r="L56" i="8"/>
  <c r="M54" i="8"/>
  <c r="K55" i="8"/>
  <c r="Q100" i="74"/>
  <c r="Q102" i="74" s="1"/>
  <c r="D83" i="44"/>
  <c r="E13" i="51" s="1"/>
  <c r="O14" i="49"/>
  <c r="O16" i="49" s="1"/>
  <c r="Q100" i="71"/>
  <c r="Q102" i="71" s="1"/>
  <c r="E6" i="69"/>
  <c r="E34" i="69" s="1"/>
  <c r="K78" i="52"/>
  <c r="J6" i="67"/>
  <c r="J36" i="67" s="1"/>
  <c r="I6" i="67"/>
  <c r="I36" i="67" s="1"/>
  <c r="J5" i="67"/>
  <c r="J35" i="67" s="1"/>
  <c r="J6" i="69"/>
  <c r="J34" i="69" s="1"/>
  <c r="L5" i="67"/>
  <c r="L35" i="67" s="1"/>
  <c r="O5" i="67"/>
  <c r="G6" i="69"/>
  <c r="G34" i="69" s="1"/>
  <c r="E6" i="67"/>
  <c r="E36" i="67" s="1"/>
  <c r="I6" i="69"/>
  <c r="I34" i="69" s="1"/>
  <c r="H5" i="67"/>
  <c r="H35" i="67" s="1"/>
  <c r="F53" i="74"/>
  <c r="F17" i="74" s="1"/>
  <c r="M53" i="74"/>
  <c r="M17" i="74" s="1"/>
  <c r="N52" i="74"/>
  <c r="N16" i="74" s="1"/>
  <c r="G53" i="74"/>
  <c r="G17" i="74" s="1"/>
  <c r="E53" i="74"/>
  <c r="E17" i="74" s="1"/>
  <c r="L52" i="74"/>
  <c r="L16" i="74" s="1"/>
  <c r="M52" i="74"/>
  <c r="M16" i="74" s="1"/>
  <c r="F52" i="74"/>
  <c r="F16" i="74" s="1"/>
  <c r="J52" i="74"/>
  <c r="J16" i="74" s="1"/>
  <c r="N53" i="74"/>
  <c r="N17" i="74" s="1"/>
  <c r="O53" i="74"/>
  <c r="O17" i="74" s="1"/>
  <c r="H53" i="74"/>
  <c r="H17" i="74" s="1"/>
  <c r="O52" i="74"/>
  <c r="O16" i="74" s="1"/>
  <c r="H52" i="74"/>
  <c r="H16" i="74" s="1"/>
  <c r="D53" i="74"/>
  <c r="D53" i="72"/>
  <c r="D17" i="72" s="1"/>
  <c r="J53" i="74"/>
  <c r="J17" i="74" s="1"/>
  <c r="L53" i="74"/>
  <c r="L17" i="74" s="1"/>
  <c r="N53" i="73"/>
  <c r="N17" i="73" s="1"/>
  <c r="I53" i="74"/>
  <c r="I17" i="74" s="1"/>
  <c r="P89" i="74"/>
  <c r="I52" i="74"/>
  <c r="I16" i="74" s="1"/>
  <c r="P90" i="74"/>
  <c r="G52" i="74"/>
  <c r="G16" i="74" s="1"/>
  <c r="K53" i="74"/>
  <c r="K17" i="74" s="1"/>
  <c r="K52" i="74"/>
  <c r="K16" i="74" s="1"/>
  <c r="D52" i="74"/>
  <c r="E52" i="74"/>
  <c r="E16" i="74" s="1"/>
  <c r="G52" i="73"/>
  <c r="G16" i="73" s="1"/>
  <c r="M52" i="73"/>
  <c r="M16" i="73" s="1"/>
  <c r="O52" i="73"/>
  <c r="O16" i="73" s="1"/>
  <c r="I53" i="73"/>
  <c r="I17" i="73" s="1"/>
  <c r="G53" i="73"/>
  <c r="G17" i="73" s="1"/>
  <c r="N52" i="73"/>
  <c r="N16" i="73" s="1"/>
  <c r="I52" i="73"/>
  <c r="I16" i="73" s="1"/>
  <c r="F52" i="73"/>
  <c r="F16" i="73" s="1"/>
  <c r="O52" i="72"/>
  <c r="O16" i="72" s="1"/>
  <c r="Q100" i="72"/>
  <c r="Q102" i="72" s="1"/>
  <c r="L52" i="72"/>
  <c r="L16" i="72" s="1"/>
  <c r="K53" i="73"/>
  <c r="K17" i="73" s="1"/>
  <c r="O53" i="73"/>
  <c r="O17" i="73" s="1"/>
  <c r="H53" i="73"/>
  <c r="H17" i="73" s="1"/>
  <c r="F52" i="72"/>
  <c r="F16" i="72" s="1"/>
  <c r="P90" i="73"/>
  <c r="M52" i="72"/>
  <c r="M16" i="72" s="1"/>
  <c r="Q100" i="73"/>
  <c r="Q102" i="73" s="1"/>
  <c r="E53" i="72"/>
  <c r="E17" i="72" s="1"/>
  <c r="J52" i="73"/>
  <c r="J16" i="73" s="1"/>
  <c r="K52" i="73"/>
  <c r="K16" i="73" s="1"/>
  <c r="D52" i="73"/>
  <c r="H52" i="73"/>
  <c r="H16" i="73" s="1"/>
  <c r="D53" i="73"/>
  <c r="E53" i="73"/>
  <c r="E17" i="73" s="1"/>
  <c r="L52" i="73"/>
  <c r="L16" i="73" s="1"/>
  <c r="J53" i="72"/>
  <c r="J17" i="72" s="1"/>
  <c r="P89" i="73"/>
  <c r="J53" i="73"/>
  <c r="J17" i="73" s="1"/>
  <c r="L53" i="73"/>
  <c r="L17" i="73" s="1"/>
  <c r="M53" i="73"/>
  <c r="M17" i="73" s="1"/>
  <c r="F53" i="73"/>
  <c r="F17" i="73" s="1"/>
  <c r="E52" i="73"/>
  <c r="E16" i="73" s="1"/>
  <c r="L53" i="72"/>
  <c r="L17" i="72" s="1"/>
  <c r="M53" i="72"/>
  <c r="M17" i="72" s="1"/>
  <c r="F53" i="72"/>
  <c r="F17" i="72" s="1"/>
  <c r="G53" i="72"/>
  <c r="G17" i="72" s="1"/>
  <c r="N52" i="72"/>
  <c r="N16" i="72" s="1"/>
  <c r="P89" i="72"/>
  <c r="I53" i="72"/>
  <c r="I17" i="72" s="1"/>
  <c r="I52" i="72"/>
  <c r="I16" i="72" s="1"/>
  <c r="N53" i="72"/>
  <c r="N17" i="72" s="1"/>
  <c r="O53" i="72"/>
  <c r="O17" i="72" s="1"/>
  <c r="H53" i="72"/>
  <c r="H17" i="72" s="1"/>
  <c r="I53" i="70"/>
  <c r="I17" i="70" s="1"/>
  <c r="K53" i="72"/>
  <c r="K17" i="72" s="1"/>
  <c r="G52" i="72"/>
  <c r="G16" i="72" s="1"/>
  <c r="P90" i="72"/>
  <c r="H52" i="72"/>
  <c r="H16" i="72" s="1"/>
  <c r="J52" i="72"/>
  <c r="J16" i="72" s="1"/>
  <c r="K52" i="72"/>
  <c r="K16" i="72" s="1"/>
  <c r="D52" i="72"/>
  <c r="E52" i="72"/>
  <c r="E16" i="72" s="1"/>
  <c r="H52" i="71"/>
  <c r="H16" i="71" s="1"/>
  <c r="N53" i="71"/>
  <c r="N17" i="71" s="1"/>
  <c r="M52" i="71"/>
  <c r="M16" i="71" s="1"/>
  <c r="F52" i="71"/>
  <c r="F16" i="71" s="1"/>
  <c r="J52" i="71"/>
  <c r="J16" i="71" s="1"/>
  <c r="J53" i="71"/>
  <c r="J17" i="71" s="1"/>
  <c r="K53" i="71"/>
  <c r="K17" i="71" s="1"/>
  <c r="G53" i="71"/>
  <c r="G17" i="71" s="1"/>
  <c r="N52" i="71"/>
  <c r="N16" i="71" s="1"/>
  <c r="O53" i="71"/>
  <c r="O17" i="71" s="1"/>
  <c r="H53" i="71"/>
  <c r="H17" i="71" s="1"/>
  <c r="L53" i="71"/>
  <c r="L17" i="71" s="1"/>
  <c r="P90" i="71"/>
  <c r="D53" i="71"/>
  <c r="G52" i="71"/>
  <c r="G16" i="71" s="1"/>
  <c r="O52" i="71"/>
  <c r="O16" i="71" s="1"/>
  <c r="K52" i="71"/>
  <c r="K16" i="71" s="1"/>
  <c r="D52" i="71"/>
  <c r="I53" i="71"/>
  <c r="I17" i="71" s="1"/>
  <c r="P89" i="71"/>
  <c r="E53" i="71"/>
  <c r="E17" i="71" s="1"/>
  <c r="L52" i="71"/>
  <c r="L16" i="71" s="1"/>
  <c r="L53" i="70"/>
  <c r="L17" i="70" s="1"/>
  <c r="I52" i="71"/>
  <c r="I16" i="71" s="1"/>
  <c r="M53" i="71"/>
  <c r="M17" i="71" s="1"/>
  <c r="F53" i="71"/>
  <c r="F17" i="71" s="1"/>
  <c r="E52" i="71"/>
  <c r="E16" i="71" s="1"/>
  <c r="O18" i="35"/>
  <c r="P15" i="7"/>
  <c r="I11" i="52"/>
  <c r="I12" i="52"/>
  <c r="I82" i="52" s="1"/>
  <c r="O6" i="67"/>
  <c r="O36" i="67" s="1"/>
  <c r="M6" i="67"/>
  <c r="M36" i="67" s="1"/>
  <c r="K6" i="67"/>
  <c r="K36" i="67" s="1"/>
  <c r="E5" i="67"/>
  <c r="K34" i="68"/>
  <c r="G34" i="68"/>
  <c r="G12" i="52"/>
  <c r="G82" i="52" s="1"/>
  <c r="G11" i="52"/>
  <c r="L6" i="67"/>
  <c r="L36" i="67" s="1"/>
  <c r="E34" i="68"/>
  <c r="N6" i="69"/>
  <c r="N34" i="69" s="1"/>
  <c r="H6" i="69"/>
  <c r="H34" i="69" s="1"/>
  <c r="O34" i="68"/>
  <c r="K12" i="52"/>
  <c r="K82" i="52" s="1"/>
  <c r="K11" i="52"/>
  <c r="E12" i="52"/>
  <c r="E11" i="52"/>
  <c r="M12" i="52"/>
  <c r="M11" i="52"/>
  <c r="N6" i="67"/>
  <c r="N36" i="67" s="1"/>
  <c r="M34" i="68"/>
  <c r="H34" i="68"/>
  <c r="M6" i="69"/>
  <c r="M34" i="69" s="1"/>
  <c r="N5" i="67"/>
  <c r="N35" i="67" s="1"/>
  <c r="L12" i="52"/>
  <c r="L11" i="52"/>
  <c r="H6" i="67"/>
  <c r="H36" i="67" s="1"/>
  <c r="F6" i="67"/>
  <c r="F36" i="67" s="1"/>
  <c r="G5" i="67"/>
  <c r="G35" i="67" s="1"/>
  <c r="J34" i="68"/>
  <c r="F34" i="68"/>
  <c r="N12" i="52"/>
  <c r="N11" i="52"/>
  <c r="D12" i="52"/>
  <c r="D11" i="52"/>
  <c r="H11" i="52"/>
  <c r="H12" i="52"/>
  <c r="I5" i="67"/>
  <c r="I35" i="67" s="1"/>
  <c r="L34" i="68"/>
  <c r="N34" i="68"/>
  <c r="L6" i="69"/>
  <c r="L34" i="69" s="1"/>
  <c r="O6" i="69"/>
  <c r="O34" i="69" s="1"/>
  <c r="F12" i="52"/>
  <c r="F11" i="52"/>
  <c r="J11" i="52"/>
  <c r="J12" i="52"/>
  <c r="K5" i="67"/>
  <c r="K35" i="67" s="1"/>
  <c r="M5" i="67"/>
  <c r="M35" i="67" s="1"/>
  <c r="K6" i="69"/>
  <c r="K34" i="69" s="1"/>
  <c r="O52" i="70"/>
  <c r="O16" i="70" s="1"/>
  <c r="D53" i="70"/>
  <c r="D17" i="70" s="1"/>
  <c r="D30" i="44"/>
  <c r="L52" i="70"/>
  <c r="L16" i="70" s="1"/>
  <c r="H53" i="70"/>
  <c r="H17" i="70" s="1"/>
  <c r="G53" i="70"/>
  <c r="G17" i="70" s="1"/>
  <c r="O53" i="70"/>
  <c r="O17" i="70" s="1"/>
  <c r="P89" i="70"/>
  <c r="P90" i="70"/>
  <c r="D6" i="69"/>
  <c r="D34" i="69" s="1"/>
  <c r="C11" i="52"/>
  <c r="C12" i="52"/>
  <c r="D34" i="68"/>
  <c r="D6" i="67"/>
  <c r="D36" i="67" s="1"/>
  <c r="D53" i="69"/>
  <c r="D17" i="69" s="1"/>
  <c r="F53" i="70"/>
  <c r="F17" i="70" s="1"/>
  <c r="M52" i="70"/>
  <c r="M16" i="70" s="1"/>
  <c r="N52" i="70"/>
  <c r="N16" i="70" s="1"/>
  <c r="G52" i="70"/>
  <c r="G16" i="70" s="1"/>
  <c r="J53" i="70"/>
  <c r="J17" i="70" s="1"/>
  <c r="J52" i="70"/>
  <c r="J16" i="70" s="1"/>
  <c r="K52" i="70"/>
  <c r="K16" i="70" s="1"/>
  <c r="I52" i="70"/>
  <c r="I16" i="70" s="1"/>
  <c r="E53" i="70"/>
  <c r="E17" i="70" s="1"/>
  <c r="H53" i="69"/>
  <c r="H17" i="69" s="1"/>
  <c r="M53" i="70"/>
  <c r="M17" i="70" s="1"/>
  <c r="N53" i="70"/>
  <c r="N17" i="70" s="1"/>
  <c r="K53" i="70"/>
  <c r="K17" i="70" s="1"/>
  <c r="D52" i="70"/>
  <c r="I53" i="69"/>
  <c r="I17" i="69" s="1"/>
  <c r="E52" i="70"/>
  <c r="E16" i="70" s="1"/>
  <c r="F52" i="70"/>
  <c r="F16" i="70" s="1"/>
  <c r="H52" i="70"/>
  <c r="H16" i="70" s="1"/>
  <c r="L52" i="69"/>
  <c r="L16" i="69" s="1"/>
  <c r="N52" i="69"/>
  <c r="N16" i="69" s="1"/>
  <c r="O52" i="69"/>
  <c r="O16" i="69" s="1"/>
  <c r="I52" i="69"/>
  <c r="I16" i="69" s="1"/>
  <c r="J52" i="69"/>
  <c r="J16" i="69" s="1"/>
  <c r="F53" i="69"/>
  <c r="F17" i="69" s="1"/>
  <c r="N53" i="69"/>
  <c r="N17" i="69" s="1"/>
  <c r="K53" i="69"/>
  <c r="K17" i="69" s="1"/>
  <c r="L53" i="69"/>
  <c r="L17" i="69" s="1"/>
  <c r="E52" i="69"/>
  <c r="E16" i="69" s="1"/>
  <c r="K52" i="69"/>
  <c r="K16" i="69" s="1"/>
  <c r="M52" i="69"/>
  <c r="M16" i="69" s="1"/>
  <c r="E53" i="69"/>
  <c r="E17" i="69" s="1"/>
  <c r="G53" i="69"/>
  <c r="G17" i="69" s="1"/>
  <c r="H52" i="69"/>
  <c r="H16" i="69" s="1"/>
  <c r="M53" i="69"/>
  <c r="M17" i="69" s="1"/>
  <c r="D52" i="69"/>
  <c r="O53" i="69"/>
  <c r="O17" i="69" s="1"/>
  <c r="F52" i="69"/>
  <c r="F16" i="69" s="1"/>
  <c r="G52" i="69"/>
  <c r="G16" i="69" s="1"/>
  <c r="J53" i="69"/>
  <c r="J17" i="69" s="1"/>
  <c r="M25" i="9"/>
  <c r="M72" i="9" s="1"/>
  <c r="H19" i="35"/>
  <c r="M48" i="9"/>
  <c r="M14" i="9" s="1"/>
  <c r="F52" i="68"/>
  <c r="F16" i="68" s="1"/>
  <c r="E49" i="9"/>
  <c r="E15" i="9" s="1"/>
  <c r="J49" i="9"/>
  <c r="J15" i="9" s="1"/>
  <c r="H48" i="9"/>
  <c r="H14" i="9" s="1"/>
  <c r="K48" i="9"/>
  <c r="K14" i="9" s="1"/>
  <c r="F48" i="9"/>
  <c r="F14" i="9" s="1"/>
  <c r="D55" i="67"/>
  <c r="D17" i="67" s="1"/>
  <c r="M53" i="68"/>
  <c r="M17" i="68" s="1"/>
  <c r="M52" i="68"/>
  <c r="M16" i="68" s="1"/>
  <c r="N53" i="68"/>
  <c r="N17" i="68" s="1"/>
  <c r="I48" i="9"/>
  <c r="I14" i="9" s="1"/>
  <c r="G48" i="9"/>
  <c r="G14" i="9" s="1"/>
  <c r="H49" i="9"/>
  <c r="H15" i="9" s="1"/>
  <c r="N48" i="9"/>
  <c r="N14" i="9" s="1"/>
  <c r="G53" i="68"/>
  <c r="G17" i="68" s="1"/>
  <c r="E25" i="9"/>
  <c r="F49" i="9"/>
  <c r="F15" i="9" s="1"/>
  <c r="L49" i="9"/>
  <c r="L15" i="9" s="1"/>
  <c r="K49" i="9"/>
  <c r="K15" i="9" s="1"/>
  <c r="N49" i="9"/>
  <c r="N15" i="9" s="1"/>
  <c r="J48" i="9"/>
  <c r="J14" i="9" s="1"/>
  <c r="D53" i="68"/>
  <c r="D17" i="68" s="1"/>
  <c r="G49" i="9"/>
  <c r="G15" i="9" s="1"/>
  <c r="L48" i="9"/>
  <c r="L14" i="9" s="1"/>
  <c r="O49" i="9"/>
  <c r="O15" i="9" s="1"/>
  <c r="M49" i="9"/>
  <c r="M15" i="9" s="1"/>
  <c r="I49" i="9"/>
  <c r="I15" i="9" s="1"/>
  <c r="E48" i="9"/>
  <c r="E14" i="9" s="1"/>
  <c r="O48" i="9"/>
  <c r="O14" i="9" s="1"/>
  <c r="F25" i="9"/>
  <c r="H25" i="9"/>
  <c r="I25" i="9"/>
  <c r="N25" i="9"/>
  <c r="D85" i="44"/>
  <c r="G25" i="9"/>
  <c r="K25" i="9"/>
  <c r="J25" i="9"/>
  <c r="O25" i="9"/>
  <c r="L25" i="9"/>
  <c r="G27" i="68"/>
  <c r="G70" i="68" s="1"/>
  <c r="H27" i="68"/>
  <c r="P29" i="68"/>
  <c r="E52" i="68"/>
  <c r="E16" i="68" s="1"/>
  <c r="P31" i="68"/>
  <c r="P25" i="68"/>
  <c r="J52" i="68"/>
  <c r="J16" i="68" s="1"/>
  <c r="L53" i="68"/>
  <c r="L17" i="68" s="1"/>
  <c r="J19" i="35"/>
  <c r="O53" i="68"/>
  <c r="O17" i="68" s="1"/>
  <c r="N52" i="68"/>
  <c r="N16" i="68" s="1"/>
  <c r="H52" i="68"/>
  <c r="H16" i="68" s="1"/>
  <c r="L27" i="68"/>
  <c r="I52" i="68"/>
  <c r="I16" i="68" s="1"/>
  <c r="I27" i="68"/>
  <c r="I54" i="67"/>
  <c r="I16" i="67" s="1"/>
  <c r="D52" i="68"/>
  <c r="F27" i="68"/>
  <c r="H53" i="68"/>
  <c r="H17" i="68" s="1"/>
  <c r="J53" i="68"/>
  <c r="J17" i="68" s="1"/>
  <c r="P23" i="68"/>
  <c r="F53" i="68"/>
  <c r="F17" i="68" s="1"/>
  <c r="P28" i="68"/>
  <c r="M54" i="67"/>
  <c r="M16" i="67" s="1"/>
  <c r="N27" i="68"/>
  <c r="J27" i="68"/>
  <c r="G52" i="68"/>
  <c r="G16" i="68" s="1"/>
  <c r="P10" i="68"/>
  <c r="K53" i="68"/>
  <c r="K17" i="68" s="1"/>
  <c r="E27" i="68"/>
  <c r="O27" i="68"/>
  <c r="K52" i="68"/>
  <c r="K16" i="68" s="1"/>
  <c r="P22" i="68"/>
  <c r="O52" i="68"/>
  <c r="O16" i="68" s="1"/>
  <c r="M27" i="68"/>
  <c r="K27" i="68"/>
  <c r="P21" i="68"/>
  <c r="D27" i="68"/>
  <c r="N29" i="67"/>
  <c r="E53" i="68"/>
  <c r="E17" i="68" s="1"/>
  <c r="I53" i="68"/>
  <c r="I17" i="68" s="1"/>
  <c r="L52" i="68"/>
  <c r="L16" i="68" s="1"/>
  <c r="M29" i="67"/>
  <c r="K55" i="67"/>
  <c r="K17" i="67" s="1"/>
  <c r="M55" i="67"/>
  <c r="M17" i="67" s="1"/>
  <c r="O55" i="67"/>
  <c r="O17" i="67" s="1"/>
  <c r="G55" i="67"/>
  <c r="G17" i="67" s="1"/>
  <c r="P25" i="67"/>
  <c r="I55" i="67"/>
  <c r="I17" i="67" s="1"/>
  <c r="J54" i="67"/>
  <c r="J16" i="67" s="1"/>
  <c r="P27" i="67"/>
  <c r="L55" i="67"/>
  <c r="L17" i="67" s="1"/>
  <c r="E29" i="67"/>
  <c r="P26" i="67"/>
  <c r="F55" i="67"/>
  <c r="F17" i="67" s="1"/>
  <c r="N55" i="67"/>
  <c r="N17" i="67" s="1"/>
  <c r="D29" i="67"/>
  <c r="P23" i="67"/>
  <c r="G29" i="67"/>
  <c r="I29" i="67"/>
  <c r="H54" i="67"/>
  <c r="H16" i="67" s="1"/>
  <c r="K19" i="35"/>
  <c r="J29" i="67"/>
  <c r="D54" i="67"/>
  <c r="F29" i="67"/>
  <c r="P24" i="67"/>
  <c r="L29" i="67"/>
  <c r="O29" i="67"/>
  <c r="F54" i="67"/>
  <c r="F16" i="67" s="1"/>
  <c r="J55" i="67"/>
  <c r="J17" i="67" s="1"/>
  <c r="L54" i="67"/>
  <c r="L16" i="67" s="1"/>
  <c r="K54" i="67"/>
  <c r="K16" i="67" s="1"/>
  <c r="N54" i="67"/>
  <c r="N16" i="67" s="1"/>
  <c r="H29" i="67"/>
  <c r="G54" i="67"/>
  <c r="G16" i="67" s="1"/>
  <c r="K29" i="67"/>
  <c r="I19" i="35"/>
  <c r="E55" i="67"/>
  <c r="E17" i="67" s="1"/>
  <c r="H55" i="67"/>
  <c r="H17" i="67" s="1"/>
  <c r="E54" i="67"/>
  <c r="E16" i="67" s="1"/>
  <c r="O54" i="67"/>
  <c r="O16" i="67" s="1"/>
  <c r="D25" i="9"/>
  <c r="N19" i="35"/>
  <c r="F83" i="44"/>
  <c r="G13" i="51" s="1"/>
  <c r="K84" i="44"/>
  <c r="L14" i="51" s="1"/>
  <c r="O15" i="35"/>
  <c r="M19" i="35"/>
  <c r="G19" i="35"/>
  <c r="E19" i="35"/>
  <c r="O14" i="35"/>
  <c r="C19" i="35"/>
  <c r="L19" i="35"/>
  <c r="F19" i="35"/>
  <c r="D19" i="35"/>
  <c r="E83" i="44"/>
  <c r="F13" i="51" s="1"/>
  <c r="E11" i="44"/>
  <c r="E12" i="44"/>
  <c r="I83" i="44"/>
  <c r="J13" i="51" s="1"/>
  <c r="I12" i="44"/>
  <c r="I11" i="44"/>
  <c r="K11" i="44"/>
  <c r="K12" i="44"/>
  <c r="L12" i="43" s="1"/>
  <c r="M11" i="44"/>
  <c r="N11" i="43" s="1"/>
  <c r="M12" i="44"/>
  <c r="G12" i="44"/>
  <c r="G11" i="44"/>
  <c r="H11" i="43" s="1"/>
  <c r="F11" i="44"/>
  <c r="F12" i="44"/>
  <c r="G12" i="43" s="1"/>
  <c r="H12" i="44"/>
  <c r="H11" i="44"/>
  <c r="I11" i="43" s="1"/>
  <c r="N83" i="44"/>
  <c r="O13" i="51" s="1"/>
  <c r="N11" i="44"/>
  <c r="N12" i="44"/>
  <c r="O12" i="43" s="1"/>
  <c r="C83" i="44"/>
  <c r="C12" i="44"/>
  <c r="D12" i="43" s="1"/>
  <c r="D11" i="44"/>
  <c r="D12" i="44"/>
  <c r="E12" i="43" s="1"/>
  <c r="L83" i="44"/>
  <c r="M13" i="51" s="1"/>
  <c r="L11" i="44"/>
  <c r="L12" i="44"/>
  <c r="J11" i="44"/>
  <c r="K11" i="43" s="1"/>
  <c r="J12" i="44"/>
  <c r="D48" i="9"/>
  <c r="D14" i="9" s="1"/>
  <c r="I14" i="49"/>
  <c r="I16" i="49" s="1"/>
  <c r="D49" i="9"/>
  <c r="D15" i="9" s="1"/>
  <c r="P6" i="8"/>
  <c r="P8" i="8"/>
  <c r="H39" i="44"/>
  <c r="H44" i="44" s="1"/>
  <c r="J39" i="44"/>
  <c r="K11" i="48" s="1"/>
  <c r="C40" i="44"/>
  <c r="D12" i="48" s="1"/>
  <c r="O76" i="44"/>
  <c r="H85" i="44"/>
  <c r="P20" i="9"/>
  <c r="P22" i="9"/>
  <c r="H83" i="44"/>
  <c r="I44" i="44"/>
  <c r="D54" i="8"/>
  <c r="D19" i="63"/>
  <c r="AB7" i="44"/>
  <c r="P19" i="9"/>
  <c r="P23" i="9"/>
  <c r="E85" i="44"/>
  <c r="F15" i="51" s="1"/>
  <c r="P21" i="9"/>
  <c r="J85" i="44"/>
  <c r="K15" i="51" s="1"/>
  <c r="E14" i="49"/>
  <c r="E16" i="49" s="1"/>
  <c r="M85" i="44"/>
  <c r="N15" i="51" s="1"/>
  <c r="K19" i="63"/>
  <c r="M19" i="63"/>
  <c r="I85" i="52"/>
  <c r="O75" i="44"/>
  <c r="D78" i="44"/>
  <c r="H19" i="63"/>
  <c r="P15" i="63"/>
  <c r="N19" i="63"/>
  <c r="I19" i="63"/>
  <c r="E19" i="63"/>
  <c r="P17" i="63"/>
  <c r="O19" i="63"/>
  <c r="L19" i="63"/>
  <c r="G19" i="63"/>
  <c r="J19" i="63"/>
  <c r="F19" i="63"/>
  <c r="P16" i="63"/>
  <c r="H155" i="54"/>
  <c r="I14" i="58" s="1"/>
  <c r="D156" i="57"/>
  <c r="E15" i="61" s="1"/>
  <c r="I155" i="54"/>
  <c r="J14" i="58" s="1"/>
  <c r="D163" i="56"/>
  <c r="E14" i="60"/>
  <c r="E22" i="60" s="1"/>
  <c r="L156" i="56"/>
  <c r="M15" i="60" s="1"/>
  <c r="D161" i="57"/>
  <c r="E20" i="61" s="1"/>
  <c r="O123" i="57"/>
  <c r="O122" i="57"/>
  <c r="O49" i="57"/>
  <c r="O151" i="57"/>
  <c r="O150" i="57"/>
  <c r="O149" i="57"/>
  <c r="O147" i="57"/>
  <c r="O148" i="57"/>
  <c r="E209" i="57"/>
  <c r="D162" i="57"/>
  <c r="E21" i="61" s="1"/>
  <c r="J155" i="57"/>
  <c r="C158" i="57"/>
  <c r="O124" i="57"/>
  <c r="C192" i="57"/>
  <c r="C196" i="57" s="1"/>
  <c r="C204" i="57" s="1"/>
  <c r="C138" i="57" s="1"/>
  <c r="J186" i="57"/>
  <c r="O118" i="57"/>
  <c r="F134" i="57"/>
  <c r="F155" i="57"/>
  <c r="O109" i="57"/>
  <c r="I186" i="57"/>
  <c r="H209" i="57"/>
  <c r="O120" i="57"/>
  <c r="AD118" i="57"/>
  <c r="D209" i="57"/>
  <c r="O110" i="57"/>
  <c r="K186" i="57"/>
  <c r="M209" i="57"/>
  <c r="G134" i="57"/>
  <c r="AD21" i="57"/>
  <c r="R114" i="57"/>
  <c r="AD114" i="57" s="1"/>
  <c r="R112" i="57"/>
  <c r="AD112" i="57" s="1"/>
  <c r="R110" i="57"/>
  <c r="AD110" i="57" s="1"/>
  <c r="R113" i="57"/>
  <c r="AD113" i="57" s="1"/>
  <c r="R109" i="57"/>
  <c r="O121" i="57"/>
  <c r="M134" i="57"/>
  <c r="E134" i="57"/>
  <c r="N134" i="57"/>
  <c r="N155" i="57"/>
  <c r="L209" i="57"/>
  <c r="G186" i="57"/>
  <c r="D186" i="57"/>
  <c r="H134" i="57"/>
  <c r="O183" i="56"/>
  <c r="O204" i="56"/>
  <c r="C152" i="56"/>
  <c r="O152" i="56" s="1"/>
  <c r="O146" i="56"/>
  <c r="E186" i="56"/>
  <c r="K134" i="56"/>
  <c r="K155" i="56"/>
  <c r="L209" i="56"/>
  <c r="AD111" i="56"/>
  <c r="C115" i="56"/>
  <c r="O115" i="56" s="1"/>
  <c r="N186" i="56"/>
  <c r="C176" i="56"/>
  <c r="C184" i="56" s="1"/>
  <c r="C132" i="56" s="1"/>
  <c r="C198" i="56"/>
  <c r="C206" i="56" s="1"/>
  <c r="C140" i="56" s="1"/>
  <c r="O122" i="56"/>
  <c r="L186" i="56"/>
  <c r="C199" i="56"/>
  <c r="C207" i="56" s="1"/>
  <c r="C141" i="56" s="1"/>
  <c r="C200" i="56"/>
  <c r="C208" i="56" s="1"/>
  <c r="C142" i="56" s="1"/>
  <c r="H186" i="56"/>
  <c r="O121" i="56"/>
  <c r="E209" i="56"/>
  <c r="O110" i="56"/>
  <c r="C172" i="56"/>
  <c r="C180" i="56" s="1"/>
  <c r="C128" i="56" s="1"/>
  <c r="H134" i="56"/>
  <c r="G155" i="56"/>
  <c r="F186" i="56"/>
  <c r="J209" i="56"/>
  <c r="O118" i="56"/>
  <c r="C159" i="56"/>
  <c r="AD118" i="56"/>
  <c r="O120" i="56"/>
  <c r="M209" i="56"/>
  <c r="J134" i="56"/>
  <c r="O109" i="56"/>
  <c r="C158" i="56"/>
  <c r="O124" i="56"/>
  <c r="R115" i="56"/>
  <c r="AD115" i="56" s="1"/>
  <c r="AD109" i="56"/>
  <c r="E160" i="56"/>
  <c r="F19" i="60" s="1"/>
  <c r="I186" i="56"/>
  <c r="O123" i="56"/>
  <c r="O180" i="55"/>
  <c r="O206" i="55"/>
  <c r="M155" i="55"/>
  <c r="AD111" i="55"/>
  <c r="C199" i="55"/>
  <c r="C207" i="55" s="1"/>
  <c r="C141" i="55" s="1"/>
  <c r="C200" i="55"/>
  <c r="C208" i="55" s="1"/>
  <c r="C142" i="55" s="1"/>
  <c r="O28" i="55"/>
  <c r="L186" i="55"/>
  <c r="L143" i="55"/>
  <c r="L155" i="55"/>
  <c r="O49" i="55"/>
  <c r="N186" i="55"/>
  <c r="G134" i="55"/>
  <c r="G155" i="55"/>
  <c r="I209" i="55"/>
  <c r="D186" i="55"/>
  <c r="C177" i="55"/>
  <c r="C185" i="55" s="1"/>
  <c r="C133" i="55" s="1"/>
  <c r="C173" i="55"/>
  <c r="C181" i="55" s="1"/>
  <c r="C129" i="55" s="1"/>
  <c r="J186" i="55"/>
  <c r="E155" i="55"/>
  <c r="C176" i="55"/>
  <c r="C184" i="55" s="1"/>
  <c r="C132" i="55" s="1"/>
  <c r="D155" i="55"/>
  <c r="H134" i="55"/>
  <c r="H155" i="55"/>
  <c r="C195" i="55"/>
  <c r="C203" i="55" s="1"/>
  <c r="C137" i="55" s="1"/>
  <c r="R115" i="55"/>
  <c r="AD115" i="55" s="1"/>
  <c r="AD109" i="55"/>
  <c r="O207" i="54"/>
  <c r="C152" i="54"/>
  <c r="O152" i="54" s="1"/>
  <c r="O146" i="54"/>
  <c r="AD115" i="54"/>
  <c r="N209" i="54"/>
  <c r="F209" i="54"/>
  <c r="C169" i="54"/>
  <c r="C173" i="54" s="1"/>
  <c r="C181" i="54" s="1"/>
  <c r="O111" i="54"/>
  <c r="D134" i="54"/>
  <c r="D155" i="54"/>
  <c r="O21" i="54"/>
  <c r="N134" i="54"/>
  <c r="H186" i="54"/>
  <c r="F134" i="54"/>
  <c r="G155" i="54"/>
  <c r="J155" i="54"/>
  <c r="E134" i="54"/>
  <c r="E155" i="54"/>
  <c r="O28" i="54"/>
  <c r="K134" i="54"/>
  <c r="K155" i="54"/>
  <c r="M134" i="54"/>
  <c r="M155" i="54"/>
  <c r="E15" i="47"/>
  <c r="E16" i="47" s="1"/>
  <c r="G14" i="49"/>
  <c r="G16" i="49" s="1"/>
  <c r="L44" i="44"/>
  <c r="D44" i="44"/>
  <c r="M44" i="44"/>
  <c r="D84" i="44"/>
  <c r="K44" i="44"/>
  <c r="M83" i="44"/>
  <c r="N13" i="51" s="1"/>
  <c r="N44" i="44"/>
  <c r="O12" i="48"/>
  <c r="C84" i="44"/>
  <c r="D14" i="51" s="1"/>
  <c r="T7" i="44"/>
  <c r="J83" i="44"/>
  <c r="O13" i="44"/>
  <c r="J84" i="44"/>
  <c r="D78" i="52"/>
  <c r="M78" i="44"/>
  <c r="O77" i="52"/>
  <c r="C78" i="52"/>
  <c r="G169" i="36"/>
  <c r="G175" i="36" s="1"/>
  <c r="G183" i="36" s="1"/>
  <c r="M36" i="36"/>
  <c r="M34" i="36" s="1"/>
  <c r="M167" i="36" s="1"/>
  <c r="H22" i="36"/>
  <c r="H20" i="36" s="1"/>
  <c r="H21" i="36" s="1"/>
  <c r="T109" i="36"/>
  <c r="T112" i="36"/>
  <c r="AD112" i="36" s="1"/>
  <c r="AD21" i="36"/>
  <c r="T113" i="36"/>
  <c r="AD113" i="36" s="1"/>
  <c r="T110" i="36"/>
  <c r="AD110" i="36" s="1"/>
  <c r="T114" i="36"/>
  <c r="AD114" i="36" s="1"/>
  <c r="J29" i="36"/>
  <c r="J27" i="36" s="1"/>
  <c r="J28" i="36" s="1"/>
  <c r="N50" i="36"/>
  <c r="N48" i="36" s="1"/>
  <c r="N49" i="36" s="1"/>
  <c r="L49" i="36"/>
  <c r="E29" i="36"/>
  <c r="G35" i="36"/>
  <c r="G130" i="36" s="1"/>
  <c r="H50" i="36"/>
  <c r="H48" i="36" s="1"/>
  <c r="H49" i="36" s="1"/>
  <c r="O77" i="44"/>
  <c r="M78" i="52"/>
  <c r="O8" i="44"/>
  <c r="P8" i="51"/>
  <c r="O14" i="44"/>
  <c r="K83" i="44"/>
  <c r="G83" i="44"/>
  <c r="H13" i="51" s="1"/>
  <c r="O75" i="52"/>
  <c r="G22" i="36"/>
  <c r="G20" i="36" s="1"/>
  <c r="G21" i="36" s="1"/>
  <c r="C43" i="36"/>
  <c r="C41" i="36" s="1"/>
  <c r="I36" i="36"/>
  <c r="I34" i="36" s="1"/>
  <c r="O24" i="36"/>
  <c r="J36" i="36"/>
  <c r="J34" i="36" s="1"/>
  <c r="H29" i="36"/>
  <c r="I50" i="36"/>
  <c r="I48" i="36" s="1"/>
  <c r="I49" i="36" s="1"/>
  <c r="G29" i="36"/>
  <c r="C29" i="36"/>
  <c r="C27" i="36" s="1"/>
  <c r="C28" i="36" s="1"/>
  <c r="D36" i="36"/>
  <c r="D34" i="36" s="1"/>
  <c r="I29" i="36"/>
  <c r="I43" i="36"/>
  <c r="I41" i="36" s="1"/>
  <c r="E22" i="36"/>
  <c r="E20" i="36" s="1"/>
  <c r="E21" i="36" s="1"/>
  <c r="F36" i="36"/>
  <c r="F34" i="36" s="1"/>
  <c r="K29" i="36"/>
  <c r="M22" i="36"/>
  <c r="M20" i="36" s="1"/>
  <c r="M21" i="36" s="1"/>
  <c r="N43" i="36"/>
  <c r="N41" i="36" s="1"/>
  <c r="F50" i="36"/>
  <c r="F48" i="36" s="1"/>
  <c r="F49" i="36" s="1"/>
  <c r="L29" i="36"/>
  <c r="D22" i="36"/>
  <c r="D20" i="36" s="1"/>
  <c r="D21" i="36" s="1"/>
  <c r="C50" i="36"/>
  <c r="C48" i="36" s="1"/>
  <c r="C49" i="36" s="1"/>
  <c r="F43" i="36"/>
  <c r="F41" i="36" s="1"/>
  <c r="K43" i="36"/>
  <c r="K41" i="36" s="1"/>
  <c r="L43" i="36"/>
  <c r="L41" i="36" s="1"/>
  <c r="K36" i="36"/>
  <c r="K34" i="36" s="1"/>
  <c r="J43" i="36"/>
  <c r="J41" i="36" s="1"/>
  <c r="D29" i="36"/>
  <c r="F22" i="36"/>
  <c r="F20" i="36" s="1"/>
  <c r="F21" i="36" s="1"/>
  <c r="J22" i="36"/>
  <c r="J20" i="36" s="1"/>
  <c r="J21" i="36" s="1"/>
  <c r="K22" i="36"/>
  <c r="K20" i="36" s="1"/>
  <c r="K21" i="36" s="1"/>
  <c r="L22" i="36"/>
  <c r="L20" i="36" s="1"/>
  <c r="L21" i="36" s="1"/>
  <c r="C36" i="36"/>
  <c r="C34" i="36" s="1"/>
  <c r="E43" i="36"/>
  <c r="E41" i="36" s="1"/>
  <c r="M29" i="36"/>
  <c r="H36" i="36"/>
  <c r="H34" i="36" s="1"/>
  <c r="N22" i="36"/>
  <c r="N20" i="36" s="1"/>
  <c r="N21" i="36" s="1"/>
  <c r="I22" i="36"/>
  <c r="I20" i="36" s="1"/>
  <c r="I21" i="36" s="1"/>
  <c r="L36" i="36"/>
  <c r="L34" i="36" s="1"/>
  <c r="H43" i="36"/>
  <c r="H41" i="36" s="1"/>
  <c r="N29" i="36"/>
  <c r="G50" i="36"/>
  <c r="G48" i="36" s="1"/>
  <c r="G49" i="36" s="1"/>
  <c r="K50" i="36"/>
  <c r="K48" i="36" s="1"/>
  <c r="K49" i="36" s="1"/>
  <c r="F29" i="36"/>
  <c r="O17" i="36"/>
  <c r="J50" i="36"/>
  <c r="J48" i="36" s="1"/>
  <c r="J49" i="36" s="1"/>
  <c r="M43" i="36"/>
  <c r="M41" i="36" s="1"/>
  <c r="N36" i="36"/>
  <c r="N34" i="36" s="1"/>
  <c r="O39" i="36"/>
  <c r="O19" i="36"/>
  <c r="O26" i="36"/>
  <c r="M50" i="36"/>
  <c r="M48" i="36" s="1"/>
  <c r="M49" i="36" s="1"/>
  <c r="O45" i="36"/>
  <c r="O46" i="36"/>
  <c r="O38" i="36"/>
  <c r="C22" i="36"/>
  <c r="O18" i="36"/>
  <c r="O31" i="36"/>
  <c r="O32" i="36"/>
  <c r="O33" i="36"/>
  <c r="O40" i="36"/>
  <c r="G43" i="36"/>
  <c r="G41" i="36" s="1"/>
  <c r="D43" i="36"/>
  <c r="D41" i="36" s="1"/>
  <c r="O25" i="36"/>
  <c r="O47" i="36"/>
  <c r="K85" i="44"/>
  <c r="L15" i="51" s="1"/>
  <c r="G84" i="44"/>
  <c r="L84" i="44"/>
  <c r="I84" i="44"/>
  <c r="L30" i="44"/>
  <c r="G85" i="44"/>
  <c r="H15" i="51" s="1"/>
  <c r="L85" i="44"/>
  <c r="M15" i="47"/>
  <c r="O56" i="44"/>
  <c r="O15" i="44"/>
  <c r="F44" i="44"/>
  <c r="P12" i="49"/>
  <c r="G44" i="44"/>
  <c r="F16" i="50"/>
  <c r="N16" i="50"/>
  <c r="G14" i="48"/>
  <c r="K13" i="47"/>
  <c r="K16" i="47" s="1"/>
  <c r="L13" i="47"/>
  <c r="L16" i="47" s="1"/>
  <c r="K14" i="49"/>
  <c r="K16" i="49" s="1"/>
  <c r="O14" i="48"/>
  <c r="H14" i="47"/>
  <c r="H16" i="47" s="1"/>
  <c r="E14" i="48"/>
  <c r="E16" i="48" s="1"/>
  <c r="J14" i="47"/>
  <c r="J16" i="47" s="1"/>
  <c r="I15" i="47"/>
  <c r="M14" i="48"/>
  <c r="M16" i="48" s="1"/>
  <c r="N14" i="48"/>
  <c r="N16" i="48" s="1"/>
  <c r="I85" i="44"/>
  <c r="J15" i="51" s="1"/>
  <c r="J11" i="48"/>
  <c r="J16" i="48" s="1"/>
  <c r="I13" i="47"/>
  <c r="G11" i="48"/>
  <c r="C85" i="44"/>
  <c r="F85" i="44"/>
  <c r="G15" i="51" s="1"/>
  <c r="E84" i="52"/>
  <c r="G83" i="52"/>
  <c r="J30" i="52"/>
  <c r="M30" i="52"/>
  <c r="I84" i="52"/>
  <c r="N39" i="52"/>
  <c r="N40" i="52"/>
  <c r="C83" i="52"/>
  <c r="O13" i="52"/>
  <c r="X55" i="52"/>
  <c r="AD20" i="52"/>
  <c r="H84" i="52"/>
  <c r="AD46" i="52"/>
  <c r="Y55" i="52"/>
  <c r="J84" i="52"/>
  <c r="AD27" i="52"/>
  <c r="AD14" i="52"/>
  <c r="AD10" i="52"/>
  <c r="R23" i="52"/>
  <c r="I44" i="52"/>
  <c r="F40" i="52"/>
  <c r="F39" i="52"/>
  <c r="AD42" i="52"/>
  <c r="R55" i="52"/>
  <c r="AC23" i="52"/>
  <c r="O50" i="52"/>
  <c r="AA39" i="52"/>
  <c r="N83" i="52"/>
  <c r="M83" i="52"/>
  <c r="L84" i="52"/>
  <c r="AD52" i="52"/>
  <c r="AD54" i="52"/>
  <c r="E40" i="52"/>
  <c r="E39" i="52"/>
  <c r="U23" i="52"/>
  <c r="S39" i="52"/>
  <c r="AB23" i="52"/>
  <c r="M40" i="52"/>
  <c r="M39" i="52"/>
  <c r="AD26" i="52"/>
  <c r="H40" i="52"/>
  <c r="H39" i="52"/>
  <c r="E83" i="52"/>
  <c r="K84" i="52"/>
  <c r="S55" i="52"/>
  <c r="T39" i="52"/>
  <c r="C58" i="52"/>
  <c r="O58" i="52" s="1"/>
  <c r="O56" i="52"/>
  <c r="AD32" i="52"/>
  <c r="T23" i="52"/>
  <c r="O64" i="52"/>
  <c r="D83" i="52"/>
  <c r="Z39" i="52"/>
  <c r="Y7" i="52"/>
  <c r="O14" i="52"/>
  <c r="G84" i="52"/>
  <c r="J40" i="52"/>
  <c r="J39" i="52"/>
  <c r="AD17" i="52"/>
  <c r="I30" i="52"/>
  <c r="AA55" i="52"/>
  <c r="C30" i="52"/>
  <c r="O27" i="52"/>
  <c r="O42" i="52"/>
  <c r="H83" i="52"/>
  <c r="L39" i="52"/>
  <c r="L40" i="52"/>
  <c r="U39" i="52"/>
  <c r="C84" i="52"/>
  <c r="C44" i="52"/>
  <c r="F84" i="52"/>
  <c r="AD21" i="52"/>
  <c r="AD48" i="52"/>
  <c r="G44" i="52"/>
  <c r="AB55" i="52"/>
  <c r="O22" i="52"/>
  <c r="O8" i="52"/>
  <c r="AA23" i="52"/>
  <c r="AD28" i="52"/>
  <c r="AC39" i="52"/>
  <c r="O28" i="52"/>
  <c r="E85" i="52"/>
  <c r="O15" i="52"/>
  <c r="AD53" i="52"/>
  <c r="AD6" i="52"/>
  <c r="AD35" i="52"/>
  <c r="O36" i="52"/>
  <c r="AD22" i="52"/>
  <c r="S23" i="52"/>
  <c r="AD16" i="52"/>
  <c r="AD29" i="52"/>
  <c r="V23" i="52"/>
  <c r="D39" i="52"/>
  <c r="D40" i="52"/>
  <c r="AD34" i="52"/>
  <c r="AD33" i="52"/>
  <c r="D84" i="52"/>
  <c r="R7" i="52"/>
  <c r="L16" i="50"/>
  <c r="K16" i="50"/>
  <c r="P12" i="47"/>
  <c r="P15" i="50"/>
  <c r="P12" i="50"/>
  <c r="P13" i="50"/>
  <c r="P14" i="50"/>
  <c r="E16" i="50"/>
  <c r="I16" i="50"/>
  <c r="P11" i="49"/>
  <c r="D16" i="49"/>
  <c r="R7" i="44"/>
  <c r="L16" i="48"/>
  <c r="N84" i="44"/>
  <c r="AD6" i="44"/>
  <c r="V7" i="44"/>
  <c r="J16" i="50"/>
  <c r="G16" i="50"/>
  <c r="D16" i="50"/>
  <c r="P11" i="47"/>
  <c r="P11" i="50"/>
  <c r="P13" i="48"/>
  <c r="O16" i="50"/>
  <c r="H16" i="49"/>
  <c r="L16" i="49"/>
  <c r="P13" i="49"/>
  <c r="P15" i="48"/>
  <c r="H16" i="50"/>
  <c r="F16" i="47"/>
  <c r="M16" i="49"/>
  <c r="N16" i="47"/>
  <c r="G16" i="47"/>
  <c r="N16" i="49"/>
  <c r="J16" i="49"/>
  <c r="O16" i="47"/>
  <c r="D16" i="47"/>
  <c r="P15" i="49"/>
  <c r="F16" i="49"/>
  <c r="H16" i="48"/>
  <c r="S7" i="44"/>
  <c r="AC7" i="44"/>
  <c r="Z7" i="44"/>
  <c r="Y7" i="44"/>
  <c r="W7" i="44"/>
  <c r="AD5" i="44"/>
  <c r="E84" i="44"/>
  <c r="F84" i="44"/>
  <c r="M84" i="44"/>
  <c r="O29" i="44"/>
  <c r="H30" i="44"/>
  <c r="H84" i="44"/>
  <c r="O64" i="44"/>
  <c r="K58" i="44"/>
  <c r="L58" i="44"/>
  <c r="O50" i="44"/>
  <c r="J58" i="44"/>
  <c r="M58" i="44"/>
  <c r="I58" i="44"/>
  <c r="O42" i="44"/>
  <c r="O36" i="44"/>
  <c r="O41" i="44"/>
  <c r="O27" i="44"/>
  <c r="O28" i="44"/>
  <c r="N30" i="44"/>
  <c r="F30" i="44"/>
  <c r="G30" i="44"/>
  <c r="O22" i="44"/>
  <c r="Z55" i="44"/>
  <c r="V55" i="44"/>
  <c r="AD50" i="44"/>
  <c r="R55" i="44"/>
  <c r="AD42" i="44"/>
  <c r="AD52" i="44"/>
  <c r="U55" i="44"/>
  <c r="AD51" i="44"/>
  <c r="Y55" i="44"/>
  <c r="Z39" i="44"/>
  <c r="X39" i="44"/>
  <c r="AD34" i="44"/>
  <c r="R39" i="44"/>
  <c r="V39" i="44"/>
  <c r="S39" i="44"/>
  <c r="AD35" i="44"/>
  <c r="AD36" i="44"/>
  <c r="AD38" i="44"/>
  <c r="Y39" i="44"/>
  <c r="D11" i="82" l="1"/>
  <c r="D143" i="57"/>
  <c r="E143" i="56"/>
  <c r="D143" i="54"/>
  <c r="I134" i="56"/>
  <c r="L143" i="57"/>
  <c r="J27" i="73"/>
  <c r="J70" i="73" s="1"/>
  <c r="F108" i="9"/>
  <c r="F109" i="9" s="1"/>
  <c r="I12" i="84"/>
  <c r="I98" i="74" s="1"/>
  <c r="I34" i="74" s="1"/>
  <c r="N82" i="52"/>
  <c r="N27" i="71"/>
  <c r="N70" i="71" s="1"/>
  <c r="AJ108" i="9"/>
  <c r="AJ111" i="9" s="1"/>
  <c r="I134" i="54"/>
  <c r="L134" i="57"/>
  <c r="E134" i="55"/>
  <c r="J27" i="74"/>
  <c r="J70" i="74" s="1"/>
  <c r="O12" i="84"/>
  <c r="O98" i="74" s="1"/>
  <c r="O34" i="74" s="1"/>
  <c r="G12" i="84"/>
  <c r="G98" i="74" s="1"/>
  <c r="G34" i="74" s="1"/>
  <c r="D27" i="73"/>
  <c r="D70" i="73" s="1"/>
  <c r="N12" i="84"/>
  <c r="F12" i="84"/>
  <c r="F98" i="71" s="1"/>
  <c r="F34" i="71" s="1"/>
  <c r="J12" i="84"/>
  <c r="J98" i="74" s="1"/>
  <c r="J34" i="74" s="1"/>
  <c r="F27" i="70"/>
  <c r="F70" i="70" s="1"/>
  <c r="F27" i="74"/>
  <c r="F70" i="74" s="1"/>
  <c r="D16" i="48"/>
  <c r="J27" i="70"/>
  <c r="J70" i="70" s="1"/>
  <c r="P24" i="69"/>
  <c r="G13" i="82"/>
  <c r="L27" i="73"/>
  <c r="L70" i="73" s="1"/>
  <c r="E27" i="70"/>
  <c r="E70" i="70" s="1"/>
  <c r="P23" i="74"/>
  <c r="N27" i="72"/>
  <c r="N70" i="72" s="1"/>
  <c r="O27" i="69"/>
  <c r="O70" i="69" s="1"/>
  <c r="G27" i="74"/>
  <c r="G70" i="74" s="1"/>
  <c r="M27" i="69"/>
  <c r="M70" i="69" s="1"/>
  <c r="L11" i="82"/>
  <c r="L13" i="82" s="1"/>
  <c r="F11" i="82"/>
  <c r="D12" i="84"/>
  <c r="D98" i="70" s="1"/>
  <c r="K11" i="82"/>
  <c r="K13" i="82" s="1"/>
  <c r="E11" i="82"/>
  <c r="E11" i="84" s="1"/>
  <c r="L12" i="84"/>
  <c r="L98" i="70" s="1"/>
  <c r="L34" i="70" s="1"/>
  <c r="L27" i="69"/>
  <c r="L70" i="69" s="1"/>
  <c r="H27" i="71"/>
  <c r="H70" i="71" s="1"/>
  <c r="G27" i="69"/>
  <c r="G70" i="69" s="1"/>
  <c r="P24" i="74"/>
  <c r="I27" i="71"/>
  <c r="I70" i="71" s="1"/>
  <c r="O11" i="82"/>
  <c r="O13" i="82" s="1"/>
  <c r="G11" i="84"/>
  <c r="D11" i="84"/>
  <c r="G27" i="72"/>
  <c r="G70" i="72" s="1"/>
  <c r="J11" i="82"/>
  <c r="J13" i="82" s="1"/>
  <c r="N11" i="82"/>
  <c r="N13" i="82" s="1"/>
  <c r="E44" i="44"/>
  <c r="I11" i="82"/>
  <c r="I11" i="84" s="1"/>
  <c r="M11" i="82"/>
  <c r="M11" i="84" s="1"/>
  <c r="H11" i="82"/>
  <c r="H11" i="84" s="1"/>
  <c r="L27" i="74"/>
  <c r="L70" i="74" s="1"/>
  <c r="K27" i="70"/>
  <c r="K70" i="70" s="1"/>
  <c r="D27" i="72"/>
  <c r="D70" i="72" s="1"/>
  <c r="E12" i="84"/>
  <c r="E98" i="70" s="1"/>
  <c r="E34" i="70" s="1"/>
  <c r="H12" i="84"/>
  <c r="H98" i="73" s="1"/>
  <c r="P22" i="72"/>
  <c r="U109" i="9"/>
  <c r="U111" i="9"/>
  <c r="D13" i="51"/>
  <c r="D29" i="8" s="1"/>
  <c r="P25" i="73"/>
  <c r="K27" i="73"/>
  <c r="K70" i="73" s="1"/>
  <c r="G27" i="73"/>
  <c r="G70" i="73" s="1"/>
  <c r="I27" i="69"/>
  <c r="I70" i="69" s="1"/>
  <c r="J27" i="69"/>
  <c r="J70" i="69" s="1"/>
  <c r="L27" i="71"/>
  <c r="L70" i="71" s="1"/>
  <c r="H27" i="73"/>
  <c r="H70" i="73" s="1"/>
  <c r="O27" i="71"/>
  <c r="O70" i="71" s="1"/>
  <c r="P23" i="71"/>
  <c r="P22" i="69"/>
  <c r="O27" i="74"/>
  <c r="P25" i="74"/>
  <c r="F143" i="54"/>
  <c r="L134" i="55"/>
  <c r="H134" i="54"/>
  <c r="M186" i="55"/>
  <c r="P21" i="69"/>
  <c r="M27" i="73"/>
  <c r="M70" i="73" s="1"/>
  <c r="K27" i="71"/>
  <c r="K70" i="71" s="1"/>
  <c r="O27" i="73"/>
  <c r="O70" i="73" s="1"/>
  <c r="P25" i="7"/>
  <c r="H27" i="70"/>
  <c r="H70" i="70" s="1"/>
  <c r="O27" i="72"/>
  <c r="O70" i="72" s="1"/>
  <c r="H27" i="74"/>
  <c r="H70" i="74" s="1"/>
  <c r="L27" i="72"/>
  <c r="L70" i="72" s="1"/>
  <c r="I27" i="73"/>
  <c r="I70" i="73" s="1"/>
  <c r="H27" i="72"/>
  <c r="H70" i="72" s="1"/>
  <c r="P22" i="74"/>
  <c r="D27" i="71"/>
  <c r="D70" i="71" s="1"/>
  <c r="E27" i="72"/>
  <c r="E70" i="72" s="1"/>
  <c r="M27" i="70"/>
  <c r="M70" i="70" s="1"/>
  <c r="I27" i="72"/>
  <c r="I70" i="72" s="1"/>
  <c r="M27" i="72"/>
  <c r="M70" i="72" s="1"/>
  <c r="I27" i="70"/>
  <c r="I70" i="70" s="1"/>
  <c r="F27" i="71"/>
  <c r="F70" i="71" s="1"/>
  <c r="H27" i="69"/>
  <c r="H70" i="69" s="1"/>
  <c r="P24" i="73"/>
  <c r="P21" i="74"/>
  <c r="P25" i="70"/>
  <c r="F27" i="73"/>
  <c r="F70" i="73" s="1"/>
  <c r="D27" i="70"/>
  <c r="D70" i="70" s="1"/>
  <c r="N27" i="74"/>
  <c r="J27" i="71"/>
  <c r="J70" i="71" s="1"/>
  <c r="K27" i="69"/>
  <c r="K70" i="69" s="1"/>
  <c r="E27" i="74"/>
  <c r="E70" i="74" s="1"/>
  <c r="P24" i="71"/>
  <c r="G27" i="71"/>
  <c r="E27" i="73"/>
  <c r="E70" i="73" s="1"/>
  <c r="P22" i="70"/>
  <c r="E27" i="71"/>
  <c r="E70" i="71" s="1"/>
  <c r="N27" i="73"/>
  <c r="P25" i="69"/>
  <c r="M27" i="71"/>
  <c r="M70" i="71" s="1"/>
  <c r="P25" i="72"/>
  <c r="P24" i="70"/>
  <c r="N27" i="69"/>
  <c r="N70" i="69" s="1"/>
  <c r="D27" i="69"/>
  <c r="D70" i="69" s="1"/>
  <c r="N27" i="70"/>
  <c r="N70" i="70" s="1"/>
  <c r="P21" i="71"/>
  <c r="K27" i="72"/>
  <c r="K70" i="72" s="1"/>
  <c r="P22" i="71"/>
  <c r="P23" i="72"/>
  <c r="K27" i="74"/>
  <c r="P21" i="70"/>
  <c r="E27" i="69"/>
  <c r="E70" i="69" s="1"/>
  <c r="O27" i="70"/>
  <c r="O70" i="70" s="1"/>
  <c r="M27" i="74"/>
  <c r="M70" i="74" s="1"/>
  <c r="I27" i="74"/>
  <c r="P21" i="72"/>
  <c r="J27" i="72"/>
  <c r="P23" i="69"/>
  <c r="F27" i="69"/>
  <c r="F70" i="69" s="1"/>
  <c r="P23" i="70"/>
  <c r="P24" i="72"/>
  <c r="D27" i="74"/>
  <c r="P25" i="71"/>
  <c r="P21" i="73"/>
  <c r="P22" i="73"/>
  <c r="M12" i="84"/>
  <c r="M98" i="70" s="1"/>
  <c r="M34" i="70" s="1"/>
  <c r="L27" i="70"/>
  <c r="P23" i="73"/>
  <c r="F27" i="72"/>
  <c r="F70" i="72" s="1"/>
  <c r="G27" i="70"/>
  <c r="G70" i="70" s="1"/>
  <c r="D11" i="43"/>
  <c r="D16" i="43" s="1"/>
  <c r="C81" i="44"/>
  <c r="I81" i="44"/>
  <c r="J11" i="43"/>
  <c r="O39" i="68"/>
  <c r="O39" i="69"/>
  <c r="I39" i="68"/>
  <c r="I39" i="69"/>
  <c r="K80" i="69"/>
  <c r="K80" i="72"/>
  <c r="K80" i="70"/>
  <c r="K80" i="73"/>
  <c r="K80" i="74"/>
  <c r="K80" i="71"/>
  <c r="M80" i="71"/>
  <c r="M80" i="69"/>
  <c r="M80" i="72"/>
  <c r="M80" i="70"/>
  <c r="M80" i="73"/>
  <c r="M80" i="74"/>
  <c r="J82" i="44"/>
  <c r="K12" i="43"/>
  <c r="F81" i="44"/>
  <c r="G11" i="43"/>
  <c r="G11" i="51" s="1"/>
  <c r="I82" i="44"/>
  <c r="J12" i="43"/>
  <c r="E39" i="68"/>
  <c r="E39" i="69"/>
  <c r="O98" i="72"/>
  <c r="O34" i="72" s="1"/>
  <c r="N39" i="68"/>
  <c r="N39" i="69"/>
  <c r="H80" i="72"/>
  <c r="H80" i="70"/>
  <c r="H80" i="73"/>
  <c r="H80" i="74"/>
  <c r="H80" i="71"/>
  <c r="H80" i="69"/>
  <c r="K98" i="74"/>
  <c r="K98" i="72"/>
  <c r="K34" i="72" s="1"/>
  <c r="K98" i="70"/>
  <c r="K34" i="70" s="1"/>
  <c r="K98" i="73"/>
  <c r="K34" i="73" s="1"/>
  <c r="K98" i="71"/>
  <c r="K34" i="71" s="1"/>
  <c r="L82" i="44"/>
  <c r="M12" i="43"/>
  <c r="G82" i="44"/>
  <c r="H12" i="43"/>
  <c r="E82" i="44"/>
  <c r="F12" i="43"/>
  <c r="J39" i="68"/>
  <c r="J39" i="69"/>
  <c r="N98" i="73"/>
  <c r="N34" i="73" s="1"/>
  <c r="N98" i="74"/>
  <c r="N34" i="74" s="1"/>
  <c r="N98" i="71"/>
  <c r="N34" i="71" s="1"/>
  <c r="N98" i="70"/>
  <c r="N34" i="70" s="1"/>
  <c r="N98" i="72"/>
  <c r="N34" i="72" s="1"/>
  <c r="E98" i="72"/>
  <c r="L81" i="44"/>
  <c r="M11" i="43"/>
  <c r="N81" i="44"/>
  <c r="O11" i="43"/>
  <c r="M82" i="44"/>
  <c r="N12" i="43"/>
  <c r="E81" i="44"/>
  <c r="F11" i="43"/>
  <c r="K39" i="68"/>
  <c r="K39" i="69"/>
  <c r="O80" i="73"/>
  <c r="O80" i="74"/>
  <c r="O80" i="71"/>
  <c r="O80" i="69"/>
  <c r="O80" i="72"/>
  <c r="O80" i="70"/>
  <c r="F98" i="74"/>
  <c r="G39" i="68"/>
  <c r="G39" i="69"/>
  <c r="F80" i="74"/>
  <c r="F80" i="71"/>
  <c r="F80" i="69"/>
  <c r="F80" i="72"/>
  <c r="F80" i="70"/>
  <c r="F80" i="73"/>
  <c r="G80" i="73"/>
  <c r="G80" i="74"/>
  <c r="G80" i="71"/>
  <c r="G80" i="69"/>
  <c r="G80" i="72"/>
  <c r="G80" i="70"/>
  <c r="L80" i="69"/>
  <c r="L80" i="72"/>
  <c r="L80" i="70"/>
  <c r="L80" i="73"/>
  <c r="L80" i="74"/>
  <c r="L80" i="71"/>
  <c r="D39" i="71"/>
  <c r="D39" i="70"/>
  <c r="D39" i="69"/>
  <c r="D39" i="68"/>
  <c r="H39" i="68"/>
  <c r="H39" i="69"/>
  <c r="M39" i="68"/>
  <c r="M39" i="69"/>
  <c r="I80" i="72"/>
  <c r="I80" i="70"/>
  <c r="I80" i="73"/>
  <c r="I80" i="74"/>
  <c r="I80" i="71"/>
  <c r="I80" i="69"/>
  <c r="N80" i="74"/>
  <c r="N80" i="71"/>
  <c r="N80" i="69"/>
  <c r="N80" i="72"/>
  <c r="N80" i="70"/>
  <c r="N80" i="73"/>
  <c r="J80" i="72"/>
  <c r="J80" i="70"/>
  <c r="J80" i="73"/>
  <c r="J80" i="74"/>
  <c r="J80" i="71"/>
  <c r="J80" i="69"/>
  <c r="D81" i="44"/>
  <c r="E11" i="43"/>
  <c r="H82" i="44"/>
  <c r="I12" i="43"/>
  <c r="K81" i="44"/>
  <c r="L11" i="43"/>
  <c r="L11" i="51" s="1"/>
  <c r="F39" i="68"/>
  <c r="F39" i="69"/>
  <c r="L39" i="68"/>
  <c r="L39" i="69"/>
  <c r="C155" i="56"/>
  <c r="F13" i="81"/>
  <c r="F11" i="84"/>
  <c r="I13" i="81"/>
  <c r="K13" i="81"/>
  <c r="J13" i="81"/>
  <c r="N13" i="81"/>
  <c r="K13" i="83"/>
  <c r="E13" i="83"/>
  <c r="F13" i="82"/>
  <c r="D13" i="83"/>
  <c r="P11" i="83"/>
  <c r="L13" i="83"/>
  <c r="F13" i="83"/>
  <c r="E13" i="81"/>
  <c r="P11" i="81"/>
  <c r="D13" i="81"/>
  <c r="H13" i="81"/>
  <c r="L13" i="81"/>
  <c r="O13" i="81"/>
  <c r="G13" i="81"/>
  <c r="P12" i="82"/>
  <c r="D13" i="82"/>
  <c r="M13" i="81"/>
  <c r="P12" i="81"/>
  <c r="G131" i="36"/>
  <c r="C44" i="44"/>
  <c r="P12" i="48"/>
  <c r="D134" i="55"/>
  <c r="N134" i="55"/>
  <c r="E143" i="57"/>
  <c r="G134" i="56"/>
  <c r="J143" i="56"/>
  <c r="J134" i="57"/>
  <c r="G156" i="56"/>
  <c r="H15" i="60" s="1"/>
  <c r="F143" i="55"/>
  <c r="M143" i="57"/>
  <c r="M143" i="54"/>
  <c r="C155" i="55"/>
  <c r="N143" i="54"/>
  <c r="O138" i="56"/>
  <c r="O14" i="59"/>
  <c r="O22" i="59" s="1"/>
  <c r="N163" i="55"/>
  <c r="J14" i="60"/>
  <c r="J22" i="60" s="1"/>
  <c r="I163" i="56"/>
  <c r="I20" i="58"/>
  <c r="I22" i="58" s="1"/>
  <c r="H163" i="54"/>
  <c r="G147" i="36"/>
  <c r="G150" i="36"/>
  <c r="G148" i="36"/>
  <c r="G151" i="36"/>
  <c r="G149" i="36"/>
  <c r="G146" i="36"/>
  <c r="J129" i="54"/>
  <c r="J156" i="54" s="1"/>
  <c r="H149" i="36"/>
  <c r="H147" i="36"/>
  <c r="H150" i="36"/>
  <c r="H151" i="36"/>
  <c r="H148" i="36"/>
  <c r="H146" i="36"/>
  <c r="O141" i="54"/>
  <c r="M143" i="56"/>
  <c r="H143" i="57"/>
  <c r="M156" i="55"/>
  <c r="N15" i="59" s="1"/>
  <c r="J162" i="56"/>
  <c r="K21" i="60" s="1"/>
  <c r="F155" i="55"/>
  <c r="M156" i="56"/>
  <c r="N15" i="60" s="1"/>
  <c r="N22" i="60" s="1"/>
  <c r="M160" i="57"/>
  <c r="N19" i="61" s="1"/>
  <c r="I146" i="36"/>
  <c r="I149" i="36"/>
  <c r="I147" i="36"/>
  <c r="I150" i="36"/>
  <c r="I148" i="36"/>
  <c r="I151" i="36"/>
  <c r="L148" i="36"/>
  <c r="L151" i="36"/>
  <c r="L146" i="36"/>
  <c r="L149" i="36"/>
  <c r="L150" i="36"/>
  <c r="L147" i="36"/>
  <c r="L134" i="54"/>
  <c r="N161" i="54"/>
  <c r="O20" i="58" s="1"/>
  <c r="E156" i="55"/>
  <c r="F15" i="59" s="1"/>
  <c r="L162" i="56"/>
  <c r="M21" i="60" s="1"/>
  <c r="N147" i="36"/>
  <c r="N150" i="36"/>
  <c r="N148" i="36"/>
  <c r="N151" i="36"/>
  <c r="N146" i="36"/>
  <c r="N149" i="36"/>
  <c r="J22" i="58"/>
  <c r="H162" i="56"/>
  <c r="I21" i="60" s="1"/>
  <c r="I22" i="60" s="1"/>
  <c r="M133" i="55"/>
  <c r="M134" i="55" s="1"/>
  <c r="Y118" i="36"/>
  <c r="J120" i="36" s="1"/>
  <c r="J157" i="36" s="1"/>
  <c r="K16" i="53" s="1"/>
  <c r="K16" i="62" s="1"/>
  <c r="K37" i="8" s="1"/>
  <c r="J151" i="36"/>
  <c r="J146" i="36"/>
  <c r="J149" i="36"/>
  <c r="J147" i="36"/>
  <c r="J150" i="36"/>
  <c r="J148" i="36"/>
  <c r="M150" i="36"/>
  <c r="M148" i="36"/>
  <c r="M151" i="36"/>
  <c r="M146" i="36"/>
  <c r="M149" i="36"/>
  <c r="M147" i="36"/>
  <c r="J133" i="54"/>
  <c r="J162" i="54" s="1"/>
  <c r="K21" i="58" s="1"/>
  <c r="K148" i="36"/>
  <c r="K151" i="36"/>
  <c r="K146" i="36"/>
  <c r="K149" i="36"/>
  <c r="K147" i="36"/>
  <c r="K150" i="36"/>
  <c r="F147" i="36"/>
  <c r="F150" i="36"/>
  <c r="F148" i="36"/>
  <c r="F151" i="36"/>
  <c r="F146" i="36"/>
  <c r="F149" i="36"/>
  <c r="O131" i="56"/>
  <c r="J131" i="54"/>
  <c r="J160" i="54" s="1"/>
  <c r="K19" i="58" s="1"/>
  <c r="C140" i="54"/>
  <c r="O140" i="54" s="1"/>
  <c r="O203" i="54"/>
  <c r="C137" i="54"/>
  <c r="O137" i="54" s="1"/>
  <c r="C138" i="55"/>
  <c r="C156" i="55" s="1"/>
  <c r="C133" i="56"/>
  <c r="O133" i="56" s="1"/>
  <c r="C121" i="36"/>
  <c r="R118" i="36"/>
  <c r="C120" i="36" s="1"/>
  <c r="C118" i="36"/>
  <c r="C122" i="36"/>
  <c r="C123" i="36"/>
  <c r="C119" i="36"/>
  <c r="C124" i="36"/>
  <c r="C158" i="36" s="1"/>
  <c r="D17" i="53" s="1"/>
  <c r="C133" i="57"/>
  <c r="C138" i="54"/>
  <c r="C156" i="54" s="1"/>
  <c r="O181" i="56"/>
  <c r="C129" i="56"/>
  <c r="C156" i="56" s="1"/>
  <c r="C148" i="36"/>
  <c r="C150" i="36"/>
  <c r="C151" i="36"/>
  <c r="C147" i="36"/>
  <c r="C146" i="36"/>
  <c r="C149" i="36"/>
  <c r="O208" i="54"/>
  <c r="C142" i="54"/>
  <c r="O142" i="54" s="1"/>
  <c r="O183" i="55"/>
  <c r="C131" i="55"/>
  <c r="O131" i="55" s="1"/>
  <c r="L39" i="74"/>
  <c r="M39" i="72"/>
  <c r="P35" i="9"/>
  <c r="P41" i="67"/>
  <c r="E82" i="52"/>
  <c r="E16" i="52"/>
  <c r="F66" i="9"/>
  <c r="F72" i="9"/>
  <c r="J66" i="9"/>
  <c r="J72" i="9"/>
  <c r="K66" i="9"/>
  <c r="K72" i="9"/>
  <c r="L66" i="9"/>
  <c r="L72" i="9"/>
  <c r="G66" i="9"/>
  <c r="G72" i="9"/>
  <c r="J44" i="44"/>
  <c r="O66" i="9"/>
  <c r="O72" i="9"/>
  <c r="N66" i="9"/>
  <c r="N72" i="9"/>
  <c r="I66" i="9"/>
  <c r="I72" i="9"/>
  <c r="E66" i="9"/>
  <c r="E72" i="9"/>
  <c r="H66" i="9"/>
  <c r="H72" i="9"/>
  <c r="D66" i="9"/>
  <c r="D72" i="9"/>
  <c r="AD27" i="44"/>
  <c r="X23" i="44"/>
  <c r="AD16" i="44"/>
  <c r="AD14" i="44"/>
  <c r="AD32" i="44"/>
  <c r="W55" i="44"/>
  <c r="AD11" i="44"/>
  <c r="AD19" i="44"/>
  <c r="AA23" i="44"/>
  <c r="AD37" i="52"/>
  <c r="V23" i="44"/>
  <c r="S55" i="44"/>
  <c r="AD44" i="52"/>
  <c r="AD36" i="52"/>
  <c r="AD49" i="52"/>
  <c r="AD12" i="44"/>
  <c r="T23" i="44"/>
  <c r="AC23" i="44"/>
  <c r="U23" i="44"/>
  <c r="AD17" i="44"/>
  <c r="AD49" i="44"/>
  <c r="Y23" i="44"/>
  <c r="AD10" i="44"/>
  <c r="R23" i="44"/>
  <c r="AD23" i="44" s="1"/>
  <c r="AD22" i="44"/>
  <c r="AD21" i="44"/>
  <c r="W23" i="44"/>
  <c r="Z23" i="44"/>
  <c r="AD26" i="44"/>
  <c r="AD55" i="44"/>
  <c r="AB23" i="44"/>
  <c r="G155" i="57"/>
  <c r="H14" i="61" s="1"/>
  <c r="H22" i="61" s="1"/>
  <c r="F58" i="8"/>
  <c r="D15" i="51"/>
  <c r="E39" i="71"/>
  <c r="G39" i="71"/>
  <c r="J39" i="71"/>
  <c r="D204" i="70"/>
  <c r="O35" i="67"/>
  <c r="E35" i="67"/>
  <c r="P79" i="72"/>
  <c r="O31" i="8"/>
  <c r="P79" i="73"/>
  <c r="P79" i="70"/>
  <c r="L58" i="8"/>
  <c r="P79" i="74"/>
  <c r="P79" i="71"/>
  <c r="M58" i="8"/>
  <c r="L39" i="71"/>
  <c r="O39" i="71"/>
  <c r="F39" i="71"/>
  <c r="H39" i="71"/>
  <c r="N39" i="71"/>
  <c r="I39" i="71"/>
  <c r="K39" i="71"/>
  <c r="M39" i="71"/>
  <c r="O140" i="55"/>
  <c r="G173" i="36"/>
  <c r="G181" i="36" s="1"/>
  <c r="G129" i="36" s="1"/>
  <c r="O185" i="56"/>
  <c r="O206" i="54"/>
  <c r="O203" i="56"/>
  <c r="C209" i="54"/>
  <c r="O209" i="54" s="1"/>
  <c r="C172" i="57"/>
  <c r="C180" i="57" s="1"/>
  <c r="C175" i="57"/>
  <c r="C183" i="57" s="1"/>
  <c r="J16" i="52"/>
  <c r="H16" i="52"/>
  <c r="G204" i="70"/>
  <c r="M204" i="71"/>
  <c r="L204" i="72"/>
  <c r="N204" i="72"/>
  <c r="N204" i="70"/>
  <c r="G204" i="74"/>
  <c r="M204" i="72"/>
  <c r="N204" i="73"/>
  <c r="L204" i="73"/>
  <c r="J204" i="70"/>
  <c r="G204" i="71"/>
  <c r="M204" i="70"/>
  <c r="L204" i="71"/>
  <c r="J204" i="73"/>
  <c r="M204" i="73"/>
  <c r="N204" i="74"/>
  <c r="J204" i="71"/>
  <c r="D204" i="72"/>
  <c r="D204" i="71"/>
  <c r="D204" i="74"/>
  <c r="C177" i="54"/>
  <c r="C185" i="54" s="1"/>
  <c r="C176" i="57"/>
  <c r="C184" i="57" s="1"/>
  <c r="C175" i="54"/>
  <c r="C183" i="54" s="1"/>
  <c r="M35" i="36"/>
  <c r="M130" i="36" s="1"/>
  <c r="O204" i="54"/>
  <c r="K163" i="55"/>
  <c r="O181" i="54"/>
  <c r="C173" i="57"/>
  <c r="C181" i="57" s="1"/>
  <c r="O204" i="55"/>
  <c r="G176" i="36"/>
  <c r="G184" i="36" s="1"/>
  <c r="G132" i="36" s="1"/>
  <c r="L155" i="54"/>
  <c r="L163" i="54" s="1"/>
  <c r="J186" i="54"/>
  <c r="J160" i="55"/>
  <c r="K19" i="59" s="1"/>
  <c r="F160" i="57"/>
  <c r="F143" i="57"/>
  <c r="C198" i="57"/>
  <c r="C206" i="57" s="1"/>
  <c r="E167" i="36"/>
  <c r="E169" i="36" s="1"/>
  <c r="E175" i="36" s="1"/>
  <c r="E183" i="36" s="1"/>
  <c r="C125" i="56"/>
  <c r="O125" i="56" s="1"/>
  <c r="C200" i="57"/>
  <c r="C208" i="57" s="1"/>
  <c r="G172" i="36"/>
  <c r="G180" i="36" s="1"/>
  <c r="G128" i="36" s="1"/>
  <c r="C199" i="57"/>
  <c r="C207" i="57" s="1"/>
  <c r="C172" i="54"/>
  <c r="C180" i="54" s="1"/>
  <c r="C195" i="57"/>
  <c r="C203" i="57" s="1"/>
  <c r="C176" i="54"/>
  <c r="C184" i="54" s="1"/>
  <c r="O204" i="72"/>
  <c r="O204" i="73"/>
  <c r="O204" i="74"/>
  <c r="K204" i="70"/>
  <c r="K204" i="71"/>
  <c r="I204" i="74"/>
  <c r="I204" i="73"/>
  <c r="I204" i="72"/>
  <c r="I204" i="71"/>
  <c r="I204" i="70"/>
  <c r="H204" i="73"/>
  <c r="H204" i="71"/>
  <c r="H204" i="74"/>
  <c r="F204" i="74"/>
  <c r="F204" i="73"/>
  <c r="E204" i="68"/>
  <c r="E204" i="69"/>
  <c r="P203" i="69"/>
  <c r="E204" i="72"/>
  <c r="P203" i="72"/>
  <c r="E204" i="74"/>
  <c r="P203" i="74"/>
  <c r="E204" i="71"/>
  <c r="P203" i="71"/>
  <c r="E204" i="73"/>
  <c r="P203" i="73"/>
  <c r="P203" i="70"/>
  <c r="E204" i="70"/>
  <c r="G39" i="74"/>
  <c r="M39" i="74"/>
  <c r="N58" i="8"/>
  <c r="E39" i="74"/>
  <c r="G58" i="8"/>
  <c r="I58" i="8"/>
  <c r="E58" i="8"/>
  <c r="O39" i="74"/>
  <c r="F39" i="74"/>
  <c r="H39" i="74"/>
  <c r="N39" i="74"/>
  <c r="I39" i="74"/>
  <c r="J39" i="74"/>
  <c r="K39" i="74"/>
  <c r="D39" i="74"/>
  <c r="H58" i="8"/>
  <c r="K58" i="8"/>
  <c r="O58" i="8"/>
  <c r="J58" i="8"/>
  <c r="O40" i="44"/>
  <c r="D58" i="8"/>
  <c r="P55" i="8"/>
  <c r="P56" i="8"/>
  <c r="O14" i="51"/>
  <c r="N9" i="35" s="1"/>
  <c r="K34" i="74"/>
  <c r="K39" i="72"/>
  <c r="G16" i="44"/>
  <c r="I11" i="48"/>
  <c r="I16" i="48" s="1"/>
  <c r="O39" i="44"/>
  <c r="H81" i="44"/>
  <c r="I14" i="51"/>
  <c r="I30" i="8" s="1"/>
  <c r="H16" i="44"/>
  <c r="M39" i="70"/>
  <c r="H39" i="70"/>
  <c r="E16" i="44"/>
  <c r="J16" i="44"/>
  <c r="M16" i="44"/>
  <c r="H19" i="67"/>
  <c r="O39" i="72"/>
  <c r="K16" i="44"/>
  <c r="O85" i="52"/>
  <c r="L19" i="67"/>
  <c r="H82" i="52"/>
  <c r="O78" i="44"/>
  <c r="M16" i="52"/>
  <c r="J19" i="67"/>
  <c r="I19" i="67"/>
  <c r="P53" i="74"/>
  <c r="D17" i="74"/>
  <c r="P17" i="74" s="1"/>
  <c r="M19" i="67"/>
  <c r="D16" i="74"/>
  <c r="P16" i="74" s="1"/>
  <c r="P52" i="74"/>
  <c r="H39" i="72"/>
  <c r="F39" i="72"/>
  <c r="I39" i="72"/>
  <c r="N39" i="72"/>
  <c r="J39" i="72"/>
  <c r="D16" i="73"/>
  <c r="P16" i="73" s="1"/>
  <c r="P52" i="73"/>
  <c r="P53" i="73"/>
  <c r="D17" i="73"/>
  <c r="P17" i="73" s="1"/>
  <c r="D39" i="72"/>
  <c r="L39" i="72"/>
  <c r="N39" i="73"/>
  <c r="F39" i="73"/>
  <c r="M39" i="73"/>
  <c r="E39" i="73"/>
  <c r="L39" i="73"/>
  <c r="D39" i="73"/>
  <c r="K39" i="73"/>
  <c r="J39" i="73"/>
  <c r="I39" i="73"/>
  <c r="H39" i="73"/>
  <c r="G39" i="73"/>
  <c r="O39" i="73"/>
  <c r="G39" i="72"/>
  <c r="E39" i="72"/>
  <c r="P53" i="72"/>
  <c r="K19" i="67"/>
  <c r="D16" i="72"/>
  <c r="P16" i="72" s="1"/>
  <c r="P52" i="72"/>
  <c r="P17" i="72"/>
  <c r="F39" i="70"/>
  <c r="E39" i="70"/>
  <c r="L39" i="70"/>
  <c r="D16" i="71"/>
  <c r="P16" i="71" s="1"/>
  <c r="P52" i="71"/>
  <c r="K39" i="70"/>
  <c r="J39" i="70"/>
  <c r="E19" i="67"/>
  <c r="O39" i="70"/>
  <c r="I39" i="70"/>
  <c r="P53" i="71"/>
  <c r="D17" i="71"/>
  <c r="P17" i="71" s="1"/>
  <c r="N39" i="70"/>
  <c r="G39" i="70"/>
  <c r="M81" i="44"/>
  <c r="N11" i="51" s="1"/>
  <c r="N27" i="8" s="1"/>
  <c r="N19" i="67"/>
  <c r="G19" i="67"/>
  <c r="P36" i="67"/>
  <c r="P34" i="69"/>
  <c r="F19" i="67"/>
  <c r="O19" i="67"/>
  <c r="P5" i="67"/>
  <c r="K82" i="44"/>
  <c r="L12" i="51" s="1"/>
  <c r="K7" i="35" s="1"/>
  <c r="P34" i="68"/>
  <c r="M82" i="52"/>
  <c r="P6" i="69"/>
  <c r="D35" i="67"/>
  <c r="P6" i="68"/>
  <c r="P6" i="67"/>
  <c r="D19" i="67"/>
  <c r="P52" i="70"/>
  <c r="D16" i="70"/>
  <c r="P16" i="70" s="1"/>
  <c r="P53" i="70"/>
  <c r="P17" i="70"/>
  <c r="P53" i="69"/>
  <c r="P79" i="69"/>
  <c r="P17" i="69"/>
  <c r="D16" i="69"/>
  <c r="P16" i="69" s="1"/>
  <c r="P52" i="69"/>
  <c r="N16" i="44"/>
  <c r="F16" i="44"/>
  <c r="P17" i="67"/>
  <c r="N82" i="44"/>
  <c r="O12" i="51" s="1"/>
  <c r="O28" i="8" s="1"/>
  <c r="P79" i="68"/>
  <c r="O16" i="48"/>
  <c r="L16" i="44"/>
  <c r="F82" i="44"/>
  <c r="G12" i="51" s="1"/>
  <c r="G28" i="8" s="1"/>
  <c r="O12" i="44"/>
  <c r="M72" i="67"/>
  <c r="N72" i="67"/>
  <c r="K70" i="68"/>
  <c r="J70" i="68"/>
  <c r="O70" i="68"/>
  <c r="I70" i="68"/>
  <c r="N70" i="68"/>
  <c r="P17" i="68"/>
  <c r="P53" i="68"/>
  <c r="L70" i="68"/>
  <c r="E70" i="68"/>
  <c r="M70" i="68"/>
  <c r="F70" i="68"/>
  <c r="P52" i="68"/>
  <c r="D16" i="68"/>
  <c r="P16" i="68" s="1"/>
  <c r="D70" i="68"/>
  <c r="P27" i="68"/>
  <c r="H70" i="68"/>
  <c r="P55" i="67"/>
  <c r="H72" i="67"/>
  <c r="L72" i="67"/>
  <c r="M66" i="9"/>
  <c r="D72" i="67"/>
  <c r="P29" i="67"/>
  <c r="E72" i="67"/>
  <c r="F72" i="67"/>
  <c r="I72" i="67"/>
  <c r="K72" i="67"/>
  <c r="D16" i="67"/>
  <c r="P16" i="67" s="1"/>
  <c r="P54" i="67"/>
  <c r="P54" i="8"/>
  <c r="O72" i="67"/>
  <c r="J72" i="67"/>
  <c r="G72" i="67"/>
  <c r="D82" i="44"/>
  <c r="E12" i="51" s="1"/>
  <c r="D7" i="35" s="1"/>
  <c r="D16" i="44"/>
  <c r="O19" i="35"/>
  <c r="P15" i="9"/>
  <c r="P14" i="9"/>
  <c r="P48" i="9"/>
  <c r="P49" i="9"/>
  <c r="C82" i="44"/>
  <c r="D12" i="51" s="1"/>
  <c r="D28" i="8" s="1"/>
  <c r="C16" i="44"/>
  <c r="E44" i="52"/>
  <c r="N10" i="35"/>
  <c r="I16" i="44"/>
  <c r="E14" i="51"/>
  <c r="M15" i="51"/>
  <c r="E15" i="51"/>
  <c r="J10" i="35"/>
  <c r="K31" i="8"/>
  <c r="E29" i="8"/>
  <c r="D8" i="35"/>
  <c r="H31" i="8"/>
  <c r="G10" i="35"/>
  <c r="M29" i="8"/>
  <c r="L8" i="35"/>
  <c r="P13" i="47"/>
  <c r="I8" i="35"/>
  <c r="J29" i="8"/>
  <c r="G31" i="8"/>
  <c r="F10" i="35"/>
  <c r="D30" i="8"/>
  <c r="C9" i="35"/>
  <c r="C25" i="35" s="1"/>
  <c r="N29" i="8"/>
  <c r="M8" i="35"/>
  <c r="P25" i="9"/>
  <c r="K10" i="35"/>
  <c r="L31" i="8"/>
  <c r="M16" i="47"/>
  <c r="L30" i="8"/>
  <c r="K9" i="35"/>
  <c r="G29" i="8"/>
  <c r="F8" i="35"/>
  <c r="J31" i="8"/>
  <c r="I10" i="35"/>
  <c r="N31" i="8"/>
  <c r="M10" i="35"/>
  <c r="F31" i="8"/>
  <c r="E10" i="35"/>
  <c r="G81" i="44"/>
  <c r="H11" i="51" s="1"/>
  <c r="F29" i="8"/>
  <c r="E8" i="35"/>
  <c r="H29" i="8"/>
  <c r="G8" i="35"/>
  <c r="O29" i="8"/>
  <c r="N8" i="35"/>
  <c r="G16" i="48"/>
  <c r="J81" i="44"/>
  <c r="K11" i="51" s="1"/>
  <c r="E81" i="52"/>
  <c r="J82" i="52"/>
  <c r="I163" i="54"/>
  <c r="P19" i="63"/>
  <c r="H155" i="57"/>
  <c r="H163" i="57" s="1"/>
  <c r="N163" i="57"/>
  <c r="O14" i="61"/>
  <c r="O22" i="61" s="1"/>
  <c r="G14" i="61"/>
  <c r="J163" i="57"/>
  <c r="K14" i="61"/>
  <c r="K22" i="61" s="1"/>
  <c r="O158" i="57"/>
  <c r="D17" i="61"/>
  <c r="P17" i="61" s="1"/>
  <c r="H14" i="60"/>
  <c r="K163" i="56"/>
  <c r="L14" i="60"/>
  <c r="L22" i="60" s="1"/>
  <c r="O159" i="56"/>
  <c r="D18" i="60"/>
  <c r="P18" i="60" s="1"/>
  <c r="C209" i="56"/>
  <c r="O209" i="56" s="1"/>
  <c r="O158" i="56"/>
  <c r="D17" i="60"/>
  <c r="P17" i="60" s="1"/>
  <c r="F14" i="59"/>
  <c r="H163" i="55"/>
  <c r="I14" i="59"/>
  <c r="D163" i="55"/>
  <c r="E14" i="59"/>
  <c r="E22" i="59" s="1"/>
  <c r="G163" i="55"/>
  <c r="H14" i="59"/>
  <c r="H22" i="59" s="1"/>
  <c r="L163" i="55"/>
  <c r="M14" i="59"/>
  <c r="M22" i="59" s="1"/>
  <c r="N14" i="59"/>
  <c r="K14" i="58"/>
  <c r="D163" i="54"/>
  <c r="E14" i="58"/>
  <c r="G163" i="54"/>
  <c r="H14" i="58"/>
  <c r="K163" i="54"/>
  <c r="L14" i="58"/>
  <c r="E163" i="54"/>
  <c r="F14" i="58"/>
  <c r="M163" i="54"/>
  <c r="N14" i="58"/>
  <c r="O129" i="54"/>
  <c r="J155" i="56"/>
  <c r="E155" i="57"/>
  <c r="L155" i="57"/>
  <c r="C125" i="57"/>
  <c r="O125" i="57" s="1"/>
  <c r="F155" i="54"/>
  <c r="O204" i="57"/>
  <c r="O138" i="57"/>
  <c r="D134" i="57"/>
  <c r="D155" i="57"/>
  <c r="I134" i="57"/>
  <c r="I155" i="57"/>
  <c r="C152" i="57"/>
  <c r="O152" i="57" s="1"/>
  <c r="O146" i="57"/>
  <c r="K134" i="57"/>
  <c r="K155" i="57"/>
  <c r="M155" i="57"/>
  <c r="AD111" i="57"/>
  <c r="C159" i="57"/>
  <c r="R115" i="57"/>
  <c r="AD115" i="57" s="1"/>
  <c r="AD109" i="57"/>
  <c r="O206" i="56"/>
  <c r="O137" i="56"/>
  <c r="O208" i="56"/>
  <c r="O184" i="56"/>
  <c r="C186" i="56"/>
  <c r="O186" i="56" s="1"/>
  <c r="O180" i="56"/>
  <c r="O207" i="56"/>
  <c r="O141" i="56"/>
  <c r="N134" i="56"/>
  <c r="N155" i="56"/>
  <c r="L134" i="56"/>
  <c r="L155" i="56"/>
  <c r="C157" i="56"/>
  <c r="O111" i="56"/>
  <c r="E134" i="56"/>
  <c r="E155" i="56"/>
  <c r="F134" i="56"/>
  <c r="F155" i="56"/>
  <c r="AD118" i="55"/>
  <c r="O120" i="55"/>
  <c r="I143" i="55"/>
  <c r="I155" i="55"/>
  <c r="O119" i="55"/>
  <c r="O208" i="55"/>
  <c r="O142" i="55"/>
  <c r="C209" i="55"/>
  <c r="O209" i="55" s="1"/>
  <c r="O203" i="55"/>
  <c r="D14" i="59"/>
  <c r="C152" i="55"/>
  <c r="O152" i="55" s="1"/>
  <c r="O146" i="55"/>
  <c r="C158" i="55"/>
  <c r="O124" i="55"/>
  <c r="O207" i="55"/>
  <c r="O141" i="55"/>
  <c r="J134" i="55"/>
  <c r="J155" i="55"/>
  <c r="O118" i="55"/>
  <c r="O122" i="55"/>
  <c r="C159" i="55"/>
  <c r="O128" i="55"/>
  <c r="O181" i="55"/>
  <c r="O129" i="55"/>
  <c r="O121" i="55"/>
  <c r="O111" i="55"/>
  <c r="C115" i="55"/>
  <c r="O115" i="55" s="1"/>
  <c r="O184" i="55"/>
  <c r="O132" i="55"/>
  <c r="O185" i="55"/>
  <c r="O123" i="55"/>
  <c r="C186" i="55"/>
  <c r="O124" i="54"/>
  <c r="C158" i="54"/>
  <c r="O122" i="54"/>
  <c r="O121" i="54"/>
  <c r="N155" i="54"/>
  <c r="O110" i="54"/>
  <c r="O123" i="54"/>
  <c r="C115" i="54"/>
  <c r="O115" i="54" s="1"/>
  <c r="O109" i="54"/>
  <c r="AD118" i="54"/>
  <c r="C159" i="54"/>
  <c r="O118" i="54"/>
  <c r="O83" i="44"/>
  <c r="G14" i="51"/>
  <c r="P14" i="48"/>
  <c r="O11" i="44"/>
  <c r="P15" i="47"/>
  <c r="P14" i="49"/>
  <c r="O85" i="44"/>
  <c r="K14" i="51"/>
  <c r="K16" i="48"/>
  <c r="O78" i="52"/>
  <c r="G42" i="36"/>
  <c r="G190" i="36"/>
  <c r="M42" i="36"/>
  <c r="M190" i="36"/>
  <c r="L35" i="36"/>
  <c r="L167" i="36"/>
  <c r="F42" i="36"/>
  <c r="F190" i="36"/>
  <c r="F35" i="36"/>
  <c r="F167" i="36"/>
  <c r="J35" i="36"/>
  <c r="J167" i="36"/>
  <c r="T115" i="36"/>
  <c r="AD115" i="36" s="1"/>
  <c r="AD109" i="36"/>
  <c r="H35" i="36"/>
  <c r="H167" i="36"/>
  <c r="I42" i="36"/>
  <c r="I190" i="36"/>
  <c r="J42" i="36"/>
  <c r="J190" i="36"/>
  <c r="I35" i="36"/>
  <c r="I167" i="36"/>
  <c r="M169" i="36"/>
  <c r="M172" i="36" s="1"/>
  <c r="M180" i="36" s="1"/>
  <c r="M128" i="36" s="1"/>
  <c r="E42" i="36"/>
  <c r="E190" i="36"/>
  <c r="K35" i="36"/>
  <c r="K167" i="36"/>
  <c r="N42" i="36"/>
  <c r="N190" i="36"/>
  <c r="D35" i="36"/>
  <c r="D167" i="36"/>
  <c r="E111" i="36"/>
  <c r="O111" i="36" s="1"/>
  <c r="AD111" i="36"/>
  <c r="C42" i="36"/>
  <c r="C190" i="36"/>
  <c r="C35" i="36"/>
  <c r="C167" i="36"/>
  <c r="L42" i="36"/>
  <c r="L190" i="36"/>
  <c r="G177" i="36"/>
  <c r="G185" i="36" s="1"/>
  <c r="G133" i="36" s="1"/>
  <c r="D42" i="36"/>
  <c r="D190" i="36"/>
  <c r="N35" i="36"/>
  <c r="N167" i="36"/>
  <c r="H42" i="36"/>
  <c r="H190" i="36"/>
  <c r="K42" i="36"/>
  <c r="K190" i="36"/>
  <c r="E152" i="36"/>
  <c r="J119" i="36"/>
  <c r="J118" i="36"/>
  <c r="J124" i="36"/>
  <c r="J158" i="36" s="1"/>
  <c r="K17" i="53" s="1"/>
  <c r="K17" i="62" s="1"/>
  <c r="J123" i="36"/>
  <c r="J122" i="36"/>
  <c r="J121" i="36"/>
  <c r="D152" i="36"/>
  <c r="L114" i="36"/>
  <c r="L113" i="36"/>
  <c r="L112" i="36"/>
  <c r="L110" i="36"/>
  <c r="L109" i="36"/>
  <c r="I109" i="36"/>
  <c r="I112" i="36"/>
  <c r="I114" i="36"/>
  <c r="I110" i="36"/>
  <c r="I113" i="36"/>
  <c r="J114" i="36"/>
  <c r="J109" i="36"/>
  <c r="J110" i="36"/>
  <c r="J113" i="36"/>
  <c r="J112" i="36"/>
  <c r="E113" i="36"/>
  <c r="E114" i="36"/>
  <c r="E112" i="36"/>
  <c r="E110" i="36"/>
  <c r="E109" i="36"/>
  <c r="N110" i="36"/>
  <c r="N109" i="36"/>
  <c r="N112" i="36"/>
  <c r="N113" i="36"/>
  <c r="N114" i="36"/>
  <c r="F110" i="36"/>
  <c r="F109" i="36"/>
  <c r="F113" i="36"/>
  <c r="F112" i="36"/>
  <c r="F114" i="36"/>
  <c r="D109" i="36"/>
  <c r="D114" i="36"/>
  <c r="D113" i="36"/>
  <c r="D112" i="36"/>
  <c r="D110" i="36"/>
  <c r="H109" i="36"/>
  <c r="H114" i="36"/>
  <c r="H112" i="36"/>
  <c r="H113" i="36"/>
  <c r="H110" i="36"/>
  <c r="K110" i="36"/>
  <c r="K109" i="36"/>
  <c r="K113" i="36"/>
  <c r="K114" i="36"/>
  <c r="K112" i="36"/>
  <c r="M113" i="36"/>
  <c r="M114" i="36"/>
  <c r="M110" i="36"/>
  <c r="M109" i="36"/>
  <c r="M112" i="36"/>
  <c r="G113" i="36"/>
  <c r="G110" i="36"/>
  <c r="G112" i="36"/>
  <c r="G114" i="36"/>
  <c r="G109" i="36"/>
  <c r="O49" i="36"/>
  <c r="K27" i="36"/>
  <c r="K28" i="36" s="1"/>
  <c r="G27" i="36"/>
  <c r="G28" i="36" s="1"/>
  <c r="H27" i="36"/>
  <c r="H28" i="36" s="1"/>
  <c r="F27" i="36"/>
  <c r="F28" i="36" s="1"/>
  <c r="D27" i="36"/>
  <c r="L27" i="36"/>
  <c r="L28" i="36" s="1"/>
  <c r="M27" i="36"/>
  <c r="M28" i="36" s="1"/>
  <c r="I27" i="36"/>
  <c r="I28" i="36" s="1"/>
  <c r="N27" i="36"/>
  <c r="N28" i="36" s="1"/>
  <c r="E27" i="36"/>
  <c r="E28" i="36" s="1"/>
  <c r="O29" i="36"/>
  <c r="O34" i="36"/>
  <c r="O36" i="36"/>
  <c r="O43" i="36"/>
  <c r="O41" i="36"/>
  <c r="O50" i="36"/>
  <c r="O48" i="36"/>
  <c r="C20" i="36"/>
  <c r="O22" i="36"/>
  <c r="P14" i="47"/>
  <c r="I13" i="51"/>
  <c r="I16" i="47"/>
  <c r="P13" i="43"/>
  <c r="P16" i="50"/>
  <c r="H44" i="52"/>
  <c r="O40" i="52"/>
  <c r="M44" i="52"/>
  <c r="J44" i="52"/>
  <c r="AD7" i="52"/>
  <c r="J81" i="52"/>
  <c r="M81" i="52"/>
  <c r="C82" i="52"/>
  <c r="O12" i="52"/>
  <c r="K81" i="52"/>
  <c r="K86" i="52" s="1"/>
  <c r="K16" i="52"/>
  <c r="AD55" i="52"/>
  <c r="H81" i="52"/>
  <c r="D82" i="52"/>
  <c r="G81" i="52"/>
  <c r="G86" i="52" s="1"/>
  <c r="G16" i="52"/>
  <c r="C81" i="52"/>
  <c r="C16" i="52"/>
  <c r="O11" i="52"/>
  <c r="O84" i="52"/>
  <c r="D81" i="52"/>
  <c r="D16" i="52"/>
  <c r="F44" i="52"/>
  <c r="F81" i="52"/>
  <c r="F16" i="52"/>
  <c r="F82" i="52"/>
  <c r="D44" i="52"/>
  <c r="O39" i="52"/>
  <c r="O83" i="52"/>
  <c r="N81" i="52"/>
  <c r="N16" i="52"/>
  <c r="L44" i="52"/>
  <c r="O30" i="52"/>
  <c r="L81" i="52"/>
  <c r="L16" i="52"/>
  <c r="AD23" i="52"/>
  <c r="L82" i="52"/>
  <c r="AD39" i="52"/>
  <c r="I81" i="52"/>
  <c r="I86" i="52" s="1"/>
  <c r="I16" i="52"/>
  <c r="N44" i="52"/>
  <c r="P16" i="49"/>
  <c r="AD7" i="44"/>
  <c r="M14" i="51"/>
  <c r="L13" i="51"/>
  <c r="J14" i="51"/>
  <c r="H14" i="51"/>
  <c r="F14" i="51"/>
  <c r="O84" i="44"/>
  <c r="I15" i="51"/>
  <c r="P15" i="43"/>
  <c r="K13" i="51"/>
  <c r="O54" i="44"/>
  <c r="O53" i="44"/>
  <c r="C58" i="44"/>
  <c r="E58" i="44"/>
  <c r="E30" i="44"/>
  <c r="I30" i="44"/>
  <c r="M30" i="44"/>
  <c r="O26" i="44"/>
  <c r="K30" i="44"/>
  <c r="C30" i="44"/>
  <c r="O25" i="44"/>
  <c r="J30" i="44"/>
  <c r="AD39" i="44"/>
  <c r="O44" i="44" l="1"/>
  <c r="N11" i="84"/>
  <c r="M5" i="1"/>
  <c r="M11" i="1" s="1"/>
  <c r="M18" i="1" s="1"/>
  <c r="Q5" i="1"/>
  <c r="Q11" i="1" s="1"/>
  <c r="Q18" i="1" s="1"/>
  <c r="I98" i="71"/>
  <c r="I34" i="71" s="1"/>
  <c r="I98" i="70"/>
  <c r="I34" i="70" s="1"/>
  <c r="I98" i="73"/>
  <c r="I34" i="73" s="1"/>
  <c r="I98" i="72"/>
  <c r="I34" i="72" s="1"/>
  <c r="O98" i="73"/>
  <c r="O34" i="73" s="1"/>
  <c r="H13" i="82"/>
  <c r="F111" i="9"/>
  <c r="M14" i="58"/>
  <c r="H98" i="71"/>
  <c r="F98" i="73"/>
  <c r="F34" i="73" s="1"/>
  <c r="L11" i="84"/>
  <c r="L13" i="84" s="1"/>
  <c r="N86" i="52"/>
  <c r="E86" i="52"/>
  <c r="AJ109" i="9"/>
  <c r="AJ110" i="9" s="1"/>
  <c r="K5" i="1"/>
  <c r="K11" i="1" s="1"/>
  <c r="K18" i="1" s="1"/>
  <c r="U5" i="1"/>
  <c r="U11" i="1" s="1"/>
  <c r="U18" i="1" s="1"/>
  <c r="E98" i="73"/>
  <c r="E34" i="73" s="1"/>
  <c r="E98" i="71"/>
  <c r="E34" i="71" s="1"/>
  <c r="F98" i="72"/>
  <c r="F34" i="72" s="1"/>
  <c r="E98" i="74"/>
  <c r="E34" i="74" s="1"/>
  <c r="F98" i="70"/>
  <c r="F34" i="70" s="1"/>
  <c r="J98" i="71"/>
  <c r="J34" i="71" s="1"/>
  <c r="J98" i="73"/>
  <c r="J34" i="73" s="1"/>
  <c r="J98" i="72"/>
  <c r="J34" i="72" s="1"/>
  <c r="D13" i="84"/>
  <c r="D98" i="71"/>
  <c r="D100" i="71" s="1"/>
  <c r="D101" i="71" s="1"/>
  <c r="J98" i="70"/>
  <c r="J34" i="70" s="1"/>
  <c r="D98" i="74"/>
  <c r="D34" i="74" s="1"/>
  <c r="D98" i="73"/>
  <c r="D100" i="73" s="1"/>
  <c r="D98" i="72"/>
  <c r="D34" i="72" s="1"/>
  <c r="P5" i="1"/>
  <c r="P11" i="1" s="1"/>
  <c r="P18" i="1" s="1"/>
  <c r="V5" i="1"/>
  <c r="V11" i="1" s="1"/>
  <c r="V18" i="1" s="1"/>
  <c r="L5" i="1"/>
  <c r="L11" i="1" s="1"/>
  <c r="L18" i="1" s="1"/>
  <c r="C8" i="35"/>
  <c r="C24" i="35" s="1"/>
  <c r="R5" i="1"/>
  <c r="R11" i="1" s="1"/>
  <c r="R18" i="1" s="1"/>
  <c r="O98" i="71"/>
  <c r="O34" i="71" s="1"/>
  <c r="O98" i="70"/>
  <c r="O34" i="70" s="1"/>
  <c r="L71" i="69"/>
  <c r="L74" i="69" s="1"/>
  <c r="N5" i="1"/>
  <c r="N11" i="1" s="1"/>
  <c r="N18" i="1" s="1"/>
  <c r="G98" i="70"/>
  <c r="G34" i="70" s="1"/>
  <c r="G98" i="73"/>
  <c r="G34" i="73" s="1"/>
  <c r="I70" i="74"/>
  <c r="I71" i="74" s="1"/>
  <c r="I72" i="74" s="1"/>
  <c r="E13" i="82"/>
  <c r="J11" i="84"/>
  <c r="J13" i="84" s="1"/>
  <c r="F16" i="43"/>
  <c r="M16" i="43"/>
  <c r="K11" i="84"/>
  <c r="K13" i="84" s="1"/>
  <c r="L98" i="74"/>
  <c r="L34" i="74" s="1"/>
  <c r="G98" i="71"/>
  <c r="G34" i="71" s="1"/>
  <c r="H98" i="72"/>
  <c r="H34" i="72" s="1"/>
  <c r="H98" i="74"/>
  <c r="H34" i="74" s="1"/>
  <c r="P27" i="69"/>
  <c r="T5" i="1"/>
  <c r="T11" i="1" s="1"/>
  <c r="T18" i="1" s="1"/>
  <c r="H98" i="70"/>
  <c r="H34" i="70" s="1"/>
  <c r="M13" i="82"/>
  <c r="L98" i="73"/>
  <c r="L34" i="73" s="1"/>
  <c r="L98" i="71"/>
  <c r="L34" i="71" s="1"/>
  <c r="G98" i="72"/>
  <c r="G34" i="72" s="1"/>
  <c r="O11" i="84"/>
  <c r="O13" i="84" s="1"/>
  <c r="L98" i="72"/>
  <c r="L34" i="72" s="1"/>
  <c r="G13" i="84"/>
  <c r="O186" i="55"/>
  <c r="E13" i="84"/>
  <c r="H13" i="84"/>
  <c r="I86" i="44"/>
  <c r="M13" i="84"/>
  <c r="I13" i="82"/>
  <c r="P11" i="82"/>
  <c r="L86" i="44"/>
  <c r="J16" i="43"/>
  <c r="J11" i="51"/>
  <c r="I6" i="35" s="1"/>
  <c r="P19" i="67"/>
  <c r="N70" i="74"/>
  <c r="O70" i="74"/>
  <c r="E34" i="72"/>
  <c r="P27" i="71"/>
  <c r="K70" i="74"/>
  <c r="L71" i="74" s="1"/>
  <c r="M98" i="72"/>
  <c r="O5" i="1"/>
  <c r="O11" i="1" s="1"/>
  <c r="O18" i="1" s="1"/>
  <c r="P12" i="84"/>
  <c r="M98" i="71"/>
  <c r="M34" i="71" s="1"/>
  <c r="M98" i="74"/>
  <c r="M34" i="74" s="1"/>
  <c r="M98" i="73"/>
  <c r="M34" i="73" s="1"/>
  <c r="P27" i="74"/>
  <c r="G70" i="71"/>
  <c r="I71" i="71" s="1"/>
  <c r="I72" i="71" s="1"/>
  <c r="AJ112" i="9"/>
  <c r="P27" i="73"/>
  <c r="N70" i="73"/>
  <c r="P70" i="73" s="1"/>
  <c r="D70" i="74"/>
  <c r="F71" i="74" s="1"/>
  <c r="P27" i="72"/>
  <c r="O133" i="55"/>
  <c r="J70" i="72"/>
  <c r="P70" i="72" s="1"/>
  <c r="P39" i="68"/>
  <c r="P27" i="70"/>
  <c r="J12" i="51"/>
  <c r="P39" i="69"/>
  <c r="L70" i="70"/>
  <c r="L71" i="70" s="1"/>
  <c r="L74" i="70" s="1"/>
  <c r="S5" i="1"/>
  <c r="S11" i="1" s="1"/>
  <c r="S18" i="1" s="1"/>
  <c r="E86" i="44"/>
  <c r="E11" i="51"/>
  <c r="E16" i="51" s="1"/>
  <c r="H12" i="51"/>
  <c r="H16" i="51" s="1"/>
  <c r="I16" i="43"/>
  <c r="N12" i="51"/>
  <c r="M11" i="51"/>
  <c r="M12" i="51"/>
  <c r="I12" i="51"/>
  <c r="F11" i="51"/>
  <c r="I13" i="84"/>
  <c r="K12" i="51"/>
  <c r="N13" i="84"/>
  <c r="F12" i="51"/>
  <c r="F13" i="84"/>
  <c r="O11" i="51"/>
  <c r="O16" i="51" s="1"/>
  <c r="P13" i="83"/>
  <c r="F22" i="59"/>
  <c r="P13" i="81"/>
  <c r="F34" i="74"/>
  <c r="H34" i="73"/>
  <c r="H34" i="71"/>
  <c r="D34" i="70"/>
  <c r="E163" i="55"/>
  <c r="H22" i="60"/>
  <c r="M163" i="56"/>
  <c r="G163" i="56"/>
  <c r="J134" i="54"/>
  <c r="G163" i="57"/>
  <c r="I67" i="9"/>
  <c r="I69" i="9" s="1"/>
  <c r="M162" i="55"/>
  <c r="N21" i="59" s="1"/>
  <c r="N22" i="59" s="1"/>
  <c r="O138" i="54"/>
  <c r="H163" i="56"/>
  <c r="K15" i="58"/>
  <c r="K22" i="58" s="1"/>
  <c r="J163" i="54"/>
  <c r="K139" i="36"/>
  <c r="AA118" i="36"/>
  <c r="L120" i="36" s="1"/>
  <c r="L157" i="36" s="1"/>
  <c r="M16" i="53" s="1"/>
  <c r="M16" i="62" s="1"/>
  <c r="L139" i="36"/>
  <c r="H130" i="36"/>
  <c r="F139" i="36"/>
  <c r="E139" i="36"/>
  <c r="H139" i="36"/>
  <c r="D130" i="36"/>
  <c r="E130" i="36"/>
  <c r="E131" i="36"/>
  <c r="L130" i="36"/>
  <c r="W118" i="36"/>
  <c r="H120" i="36" s="1"/>
  <c r="H157" i="36" s="1"/>
  <c r="I16" i="53" s="1"/>
  <c r="I16" i="62" s="1"/>
  <c r="N130" i="36"/>
  <c r="N139" i="36"/>
  <c r="I14" i="61"/>
  <c r="I22" i="61" s="1"/>
  <c r="G14" i="59"/>
  <c r="G22" i="59" s="1"/>
  <c r="F163" i="55"/>
  <c r="I130" i="36"/>
  <c r="T118" i="36"/>
  <c r="E120" i="36" s="1"/>
  <c r="E157" i="36" s="1"/>
  <c r="F16" i="53" s="1"/>
  <c r="F16" i="62" s="1"/>
  <c r="J139" i="36"/>
  <c r="J132" i="36"/>
  <c r="J130" i="36"/>
  <c r="M139" i="36"/>
  <c r="M142" i="36"/>
  <c r="F163" i="57"/>
  <c r="G19" i="61"/>
  <c r="G22" i="61" s="1"/>
  <c r="Z118" i="36"/>
  <c r="K120" i="36" s="1"/>
  <c r="K157" i="36" s="1"/>
  <c r="L16" i="53" s="1"/>
  <c r="L16" i="62" s="1"/>
  <c r="D139" i="36"/>
  <c r="K130" i="36"/>
  <c r="AB118" i="36"/>
  <c r="M120" i="36" s="1"/>
  <c r="M157" i="36" s="1"/>
  <c r="N16" i="53" s="1"/>
  <c r="N16" i="62" s="1"/>
  <c r="U118" i="36"/>
  <c r="F120" i="36" s="1"/>
  <c r="F157" i="36" s="1"/>
  <c r="G16" i="53" s="1"/>
  <c r="G16" i="62" s="1"/>
  <c r="V118" i="36"/>
  <c r="G120" i="36" s="1"/>
  <c r="G157" i="36" s="1"/>
  <c r="H16" i="53" s="1"/>
  <c r="H16" i="62" s="1"/>
  <c r="AC118" i="36"/>
  <c r="N120" i="36" s="1"/>
  <c r="N157" i="36" s="1"/>
  <c r="O16" i="53" s="1"/>
  <c r="O16" i="62" s="1"/>
  <c r="X118" i="36"/>
  <c r="I120" i="36" s="1"/>
  <c r="I157" i="36" s="1"/>
  <c r="J16" i="53" s="1"/>
  <c r="J16" i="62" s="1"/>
  <c r="I139" i="36"/>
  <c r="I140" i="36"/>
  <c r="F130" i="36"/>
  <c r="G139" i="36"/>
  <c r="G159" i="36" s="1"/>
  <c r="H18" i="53" s="1"/>
  <c r="H18" i="62" s="1"/>
  <c r="O129" i="56"/>
  <c r="C139" i="36"/>
  <c r="O138" i="55"/>
  <c r="O184" i="54"/>
  <c r="C132" i="54"/>
  <c r="O206" i="57"/>
  <c r="C140" i="57"/>
  <c r="O140" i="57" s="1"/>
  <c r="O183" i="57"/>
  <c r="C131" i="57"/>
  <c r="O131" i="57" s="1"/>
  <c r="O203" i="57"/>
  <c r="C137" i="57"/>
  <c r="O183" i="54"/>
  <c r="C131" i="54"/>
  <c r="O131" i="54" s="1"/>
  <c r="C128" i="57"/>
  <c r="C128" i="54"/>
  <c r="C155" i="54" s="1"/>
  <c r="D14" i="58" s="1"/>
  <c r="O181" i="57"/>
  <c r="C129" i="57"/>
  <c r="C156" i="57" s="1"/>
  <c r="O184" i="57"/>
  <c r="C132" i="57"/>
  <c r="O132" i="57" s="1"/>
  <c r="C130" i="36"/>
  <c r="C132" i="36"/>
  <c r="O208" i="57"/>
  <c r="C142" i="57"/>
  <c r="C162" i="57" s="1"/>
  <c r="O207" i="57"/>
  <c r="C141" i="57"/>
  <c r="O141" i="57" s="1"/>
  <c r="O185" i="54"/>
  <c r="C133" i="54"/>
  <c r="O133" i="54" s="1"/>
  <c r="F67" i="9"/>
  <c r="F70" i="9" s="1"/>
  <c r="P39" i="70"/>
  <c r="P39" i="74"/>
  <c r="P39" i="73"/>
  <c r="P39" i="71"/>
  <c r="P39" i="72"/>
  <c r="L67" i="9"/>
  <c r="L70" i="9" s="1"/>
  <c r="M86" i="52"/>
  <c r="O67" i="9"/>
  <c r="O68" i="9" s="1"/>
  <c r="F73" i="9"/>
  <c r="N73" i="9"/>
  <c r="G73" i="9"/>
  <c r="O73" i="9"/>
  <c r="O74" i="9" s="1"/>
  <c r="H73" i="9"/>
  <c r="E73" i="9"/>
  <c r="I73" i="9"/>
  <c r="D73" i="9"/>
  <c r="J73" i="9"/>
  <c r="P72" i="9"/>
  <c r="L73" i="9"/>
  <c r="K73" i="9"/>
  <c r="M73" i="9"/>
  <c r="H86" i="52"/>
  <c r="C10" i="35"/>
  <c r="C26" i="35" s="1"/>
  <c r="C34" i="35" s="1"/>
  <c r="D31" i="8"/>
  <c r="P11" i="48"/>
  <c r="P14" i="43"/>
  <c r="P35" i="67"/>
  <c r="K87" i="71"/>
  <c r="K30" i="71" s="1"/>
  <c r="K87" i="72"/>
  <c r="K30" i="72" s="1"/>
  <c r="K87" i="70"/>
  <c r="K30" i="70" s="1"/>
  <c r="K87" i="73"/>
  <c r="K30" i="73" s="1"/>
  <c r="K87" i="74"/>
  <c r="K30" i="74" s="1"/>
  <c r="O30" i="8"/>
  <c r="D10" i="35"/>
  <c r="K28" i="9"/>
  <c r="L10" i="35"/>
  <c r="O180" i="54"/>
  <c r="O180" i="57"/>
  <c r="C186" i="54"/>
  <c r="O186" i="54" s="1"/>
  <c r="C186" i="57"/>
  <c r="O186" i="57" s="1"/>
  <c r="K86" i="44"/>
  <c r="P204" i="70"/>
  <c r="G16" i="43"/>
  <c r="C143" i="54"/>
  <c r="O143" i="54" s="1"/>
  <c r="C160" i="55"/>
  <c r="O160" i="55" s="1"/>
  <c r="E177" i="36"/>
  <c r="E185" i="36" s="1"/>
  <c r="E133" i="36" s="1"/>
  <c r="C209" i="57"/>
  <c r="O209" i="57" s="1"/>
  <c r="O35" i="36"/>
  <c r="P204" i="71"/>
  <c r="P204" i="72"/>
  <c r="P204" i="74"/>
  <c r="P204" i="73"/>
  <c r="P204" i="69"/>
  <c r="E80" i="68"/>
  <c r="P204" i="68"/>
  <c r="P58" i="8"/>
  <c r="H86" i="44"/>
  <c r="E16" i="43"/>
  <c r="H9" i="35"/>
  <c r="E28" i="8"/>
  <c r="L28" i="8"/>
  <c r="P16" i="48"/>
  <c r="I11" i="51"/>
  <c r="F7" i="35"/>
  <c r="F86" i="44"/>
  <c r="J86" i="52"/>
  <c r="M86" i="44"/>
  <c r="M6" i="35"/>
  <c r="I71" i="73"/>
  <c r="F71" i="73"/>
  <c r="L71" i="73"/>
  <c r="F71" i="72"/>
  <c r="O71" i="72"/>
  <c r="O71" i="71"/>
  <c r="O74" i="71" s="1"/>
  <c r="I71" i="72"/>
  <c r="F71" i="71"/>
  <c r="L71" i="71"/>
  <c r="P16" i="47"/>
  <c r="N7" i="35"/>
  <c r="K30" i="69"/>
  <c r="O16" i="43"/>
  <c r="N86" i="44"/>
  <c r="P12" i="43"/>
  <c r="O71" i="70"/>
  <c r="I71" i="70"/>
  <c r="I71" i="69"/>
  <c r="I73" i="69" s="1"/>
  <c r="F71" i="70"/>
  <c r="O71" i="69"/>
  <c r="F71" i="69"/>
  <c r="P70" i="69"/>
  <c r="O73" i="67"/>
  <c r="O74" i="67" s="1"/>
  <c r="K30" i="68"/>
  <c r="O82" i="44"/>
  <c r="K32" i="67"/>
  <c r="D86" i="44"/>
  <c r="K29" i="9"/>
  <c r="K33" i="67"/>
  <c r="I73" i="67"/>
  <c r="I76" i="67" s="1"/>
  <c r="O71" i="68"/>
  <c r="O74" i="68" s="1"/>
  <c r="I71" i="68"/>
  <c r="I73" i="68" s="1"/>
  <c r="L71" i="68"/>
  <c r="F71" i="68"/>
  <c r="P70" i="68"/>
  <c r="L73" i="67"/>
  <c r="L76" i="67" s="1"/>
  <c r="P66" i="9"/>
  <c r="F73" i="67"/>
  <c r="P72" i="67"/>
  <c r="O16" i="44"/>
  <c r="E31" i="8"/>
  <c r="C7" i="35"/>
  <c r="C23" i="35" s="1"/>
  <c r="C86" i="44"/>
  <c r="K38" i="8"/>
  <c r="M31" i="8"/>
  <c r="J86" i="44"/>
  <c r="L16" i="43"/>
  <c r="K16" i="43"/>
  <c r="H16" i="43"/>
  <c r="P11" i="43"/>
  <c r="G86" i="44"/>
  <c r="O81" i="44"/>
  <c r="H30" i="8"/>
  <c r="G9" i="35"/>
  <c r="K30" i="8"/>
  <c r="J9" i="35"/>
  <c r="J30" i="8"/>
  <c r="I9" i="35"/>
  <c r="H8" i="35"/>
  <c r="I29" i="8"/>
  <c r="F9" i="35"/>
  <c r="G30" i="8"/>
  <c r="C33" i="35"/>
  <c r="E30" i="8"/>
  <c r="D9" i="35"/>
  <c r="D25" i="35" s="1"/>
  <c r="K27" i="8"/>
  <c r="J6" i="35"/>
  <c r="F6" i="35"/>
  <c r="G27" i="8"/>
  <c r="L27" i="8"/>
  <c r="K6" i="35"/>
  <c r="G6" i="35"/>
  <c r="H27" i="8"/>
  <c r="P15" i="51"/>
  <c r="I31" i="8"/>
  <c r="H10" i="35"/>
  <c r="E9" i="35"/>
  <c r="F30" i="8"/>
  <c r="L16" i="51"/>
  <c r="L29" i="8"/>
  <c r="K8" i="35"/>
  <c r="M30" i="8"/>
  <c r="L9" i="35"/>
  <c r="J8" i="35"/>
  <c r="K29" i="8"/>
  <c r="G16" i="51"/>
  <c r="O42" i="36"/>
  <c r="C162" i="55"/>
  <c r="C143" i="56"/>
  <c r="O143" i="56" s="1"/>
  <c r="I163" i="57"/>
  <c r="J14" i="61"/>
  <c r="J22" i="61" s="1"/>
  <c r="L163" i="57"/>
  <c r="M14" i="61"/>
  <c r="M22" i="61" s="1"/>
  <c r="K163" i="57"/>
  <c r="L14" i="61"/>
  <c r="L22" i="61" s="1"/>
  <c r="D163" i="57"/>
  <c r="E14" i="61"/>
  <c r="E22" i="61" s="1"/>
  <c r="E163" i="57"/>
  <c r="F14" i="61"/>
  <c r="F22" i="61" s="1"/>
  <c r="M163" i="57"/>
  <c r="N14" i="61"/>
  <c r="N22" i="61" s="1"/>
  <c r="O159" i="57"/>
  <c r="D18" i="61"/>
  <c r="P18" i="61" s="1"/>
  <c r="J163" i="56"/>
  <c r="K14" i="60"/>
  <c r="K22" i="60" s="1"/>
  <c r="L163" i="56"/>
  <c r="M14" i="60"/>
  <c r="M22" i="60" s="1"/>
  <c r="E163" i="56"/>
  <c r="F14" i="60"/>
  <c r="F22" i="60" s="1"/>
  <c r="F163" i="56"/>
  <c r="G14" i="60"/>
  <c r="G22" i="60" s="1"/>
  <c r="N163" i="56"/>
  <c r="O14" i="60"/>
  <c r="O22" i="60" s="1"/>
  <c r="O157" i="56"/>
  <c r="D16" i="60"/>
  <c r="P16" i="60" s="1"/>
  <c r="O156" i="56"/>
  <c r="D15" i="60"/>
  <c r="P15" i="60" s="1"/>
  <c r="I163" i="55"/>
  <c r="J14" i="59"/>
  <c r="I22" i="59"/>
  <c r="J163" i="55"/>
  <c r="K14" i="59"/>
  <c r="K22" i="59" s="1"/>
  <c r="O159" i="55"/>
  <c r="D18" i="59"/>
  <c r="P18" i="59" s="1"/>
  <c r="O158" i="55"/>
  <c r="D17" i="59"/>
  <c r="P17" i="59" s="1"/>
  <c r="L22" i="58"/>
  <c r="N22" i="58"/>
  <c r="H22" i="58"/>
  <c r="F22" i="58"/>
  <c r="E22" i="58"/>
  <c r="N163" i="54"/>
  <c r="O14" i="58"/>
  <c r="F163" i="54"/>
  <c r="G14" i="58"/>
  <c r="M22" i="58"/>
  <c r="O158" i="54"/>
  <c r="D17" i="58"/>
  <c r="O159" i="54"/>
  <c r="D18" i="58"/>
  <c r="O156" i="54"/>
  <c r="D15" i="58"/>
  <c r="C157" i="55"/>
  <c r="C125" i="55"/>
  <c r="O125" i="55" s="1"/>
  <c r="O133" i="57"/>
  <c r="C157" i="57"/>
  <c r="O111" i="57"/>
  <c r="C115" i="57"/>
  <c r="O115" i="57" s="1"/>
  <c r="O132" i="56"/>
  <c r="C161" i="56"/>
  <c r="O142" i="56"/>
  <c r="C162" i="56"/>
  <c r="O128" i="56"/>
  <c r="C134" i="56"/>
  <c r="O134" i="56" s="1"/>
  <c r="D14" i="60"/>
  <c r="O140" i="56"/>
  <c r="C160" i="56"/>
  <c r="C161" i="55"/>
  <c r="O155" i="55"/>
  <c r="C134" i="55"/>
  <c r="O134" i="55" s="1"/>
  <c r="C143" i="55"/>
  <c r="O143" i="55" s="1"/>
  <c r="O137" i="55"/>
  <c r="O120" i="54"/>
  <c r="C157" i="54"/>
  <c r="C125" i="54"/>
  <c r="O125" i="54" s="1"/>
  <c r="O151" i="36"/>
  <c r="H192" i="36"/>
  <c r="H200" i="36" s="1"/>
  <c r="H208" i="36" s="1"/>
  <c r="H142" i="36" s="1"/>
  <c r="I169" i="36"/>
  <c r="I175" i="36" s="1"/>
  <c r="I183" i="36" s="1"/>
  <c r="I131" i="36" s="1"/>
  <c r="F192" i="36"/>
  <c r="F198" i="36" s="1"/>
  <c r="F206" i="36" s="1"/>
  <c r="F140" i="36" s="1"/>
  <c r="C169" i="36"/>
  <c r="C176" i="36" s="1"/>
  <c r="C184" i="36" s="1"/>
  <c r="N169" i="36"/>
  <c r="N175" i="36" s="1"/>
  <c r="N183" i="36" s="1"/>
  <c r="N131" i="36" s="1"/>
  <c r="E173" i="36"/>
  <c r="E181" i="36" s="1"/>
  <c r="E129" i="36" s="1"/>
  <c r="J192" i="36"/>
  <c r="J195" i="36" s="1"/>
  <c r="J203" i="36" s="1"/>
  <c r="J137" i="36" s="1"/>
  <c r="L169" i="36"/>
  <c r="L172" i="36" s="1"/>
  <c r="L180" i="36" s="1"/>
  <c r="L128" i="36" s="1"/>
  <c r="N192" i="36"/>
  <c r="N200" i="36" s="1"/>
  <c r="N208" i="36" s="1"/>
  <c r="N142" i="36" s="1"/>
  <c r="C192" i="36"/>
  <c r="C195" i="36" s="1"/>
  <c r="C203" i="36" s="1"/>
  <c r="C137" i="36" s="1"/>
  <c r="E176" i="36"/>
  <c r="E184" i="36" s="1"/>
  <c r="E132" i="36" s="1"/>
  <c r="K169" i="36"/>
  <c r="K172" i="36" s="1"/>
  <c r="K180" i="36" s="1"/>
  <c r="K128" i="36" s="1"/>
  <c r="M177" i="36"/>
  <c r="M185" i="36" s="1"/>
  <c r="M133" i="36" s="1"/>
  <c r="D192" i="36"/>
  <c r="D195" i="36" s="1"/>
  <c r="D203" i="36" s="1"/>
  <c r="D137" i="36" s="1"/>
  <c r="E172" i="36"/>
  <c r="E180" i="36" s="1"/>
  <c r="E128" i="36" s="1"/>
  <c r="M173" i="36"/>
  <c r="M181" i="36" s="1"/>
  <c r="M129" i="36" s="1"/>
  <c r="J169" i="36"/>
  <c r="J176" i="36" s="1"/>
  <c r="J184" i="36" s="1"/>
  <c r="M192" i="36"/>
  <c r="M200" i="36" s="1"/>
  <c r="M208" i="36" s="1"/>
  <c r="M159" i="36"/>
  <c r="N18" i="53" s="1"/>
  <c r="N18" i="62" s="1"/>
  <c r="E192" i="36"/>
  <c r="E196" i="36" s="1"/>
  <c r="E204" i="36" s="1"/>
  <c r="E138" i="36" s="1"/>
  <c r="M176" i="36"/>
  <c r="M184" i="36" s="1"/>
  <c r="M132" i="36" s="1"/>
  <c r="I192" i="36"/>
  <c r="I198" i="36" s="1"/>
  <c r="I206" i="36" s="1"/>
  <c r="K192" i="36"/>
  <c r="K198" i="36" s="1"/>
  <c r="K206" i="36" s="1"/>
  <c r="K140" i="36" s="1"/>
  <c r="M175" i="36"/>
  <c r="M183" i="36" s="1"/>
  <c r="M131" i="36" s="1"/>
  <c r="F169" i="36"/>
  <c r="F172" i="36" s="1"/>
  <c r="F180" i="36" s="1"/>
  <c r="F128" i="36" s="1"/>
  <c r="G192" i="36"/>
  <c r="G198" i="36" s="1"/>
  <c r="G206" i="36" s="1"/>
  <c r="G140" i="36" s="1"/>
  <c r="L192" i="36"/>
  <c r="L199" i="36" s="1"/>
  <c r="L207" i="36" s="1"/>
  <c r="L141" i="36" s="1"/>
  <c r="D169" i="36"/>
  <c r="D177" i="36" s="1"/>
  <c r="D185" i="36" s="1"/>
  <c r="D133" i="36" s="1"/>
  <c r="G186" i="36"/>
  <c r="H169" i="36"/>
  <c r="H175" i="36" s="1"/>
  <c r="H183" i="36" s="1"/>
  <c r="H131" i="36" s="1"/>
  <c r="C125" i="36"/>
  <c r="C157" i="36"/>
  <c r="D16" i="53" s="1"/>
  <c r="O149" i="36"/>
  <c r="J152" i="36"/>
  <c r="N152" i="36"/>
  <c r="H123" i="36"/>
  <c r="H121" i="36"/>
  <c r="H119" i="36"/>
  <c r="H124" i="36"/>
  <c r="H158" i="36" s="1"/>
  <c r="I17" i="53" s="1"/>
  <c r="I17" i="62" s="1"/>
  <c r="H118" i="36"/>
  <c r="H122" i="36"/>
  <c r="N121" i="36"/>
  <c r="N119" i="36"/>
  <c r="N124" i="36"/>
  <c r="N158" i="36" s="1"/>
  <c r="O17" i="53" s="1"/>
  <c r="O17" i="62" s="1"/>
  <c r="N118" i="36"/>
  <c r="N123" i="36"/>
  <c r="N122" i="36"/>
  <c r="K122" i="36"/>
  <c r="K121" i="36"/>
  <c r="K119" i="36"/>
  <c r="K124" i="36"/>
  <c r="K158" i="36" s="1"/>
  <c r="L17" i="53" s="1"/>
  <c r="L17" i="62" s="1"/>
  <c r="K118" i="36"/>
  <c r="K123" i="36"/>
  <c r="O148" i="36"/>
  <c r="G152" i="36"/>
  <c r="G118" i="36"/>
  <c r="G121" i="36"/>
  <c r="G119" i="36"/>
  <c r="G124" i="36"/>
  <c r="G158" i="36" s="1"/>
  <c r="H17" i="53" s="1"/>
  <c r="H17" i="62" s="1"/>
  <c r="G123" i="36"/>
  <c r="G122" i="36"/>
  <c r="I119" i="36"/>
  <c r="I124" i="36"/>
  <c r="I158" i="36" s="1"/>
  <c r="J17" i="53" s="1"/>
  <c r="J17" i="62" s="1"/>
  <c r="I118" i="36"/>
  <c r="I123" i="36"/>
  <c r="I122" i="36"/>
  <c r="I121" i="36"/>
  <c r="I115" i="36"/>
  <c r="H152" i="36"/>
  <c r="J125" i="36"/>
  <c r="L115" i="36"/>
  <c r="K152" i="36"/>
  <c r="G134" i="36"/>
  <c r="E124" i="36"/>
  <c r="E158" i="36" s="1"/>
  <c r="F17" i="53" s="1"/>
  <c r="F17" i="62" s="1"/>
  <c r="E121" i="36"/>
  <c r="E119" i="36"/>
  <c r="E118" i="36"/>
  <c r="E123" i="36"/>
  <c r="E122" i="36"/>
  <c r="L119" i="36"/>
  <c r="L121" i="36"/>
  <c r="L118" i="36"/>
  <c r="L124" i="36"/>
  <c r="L158" i="36" s="1"/>
  <c r="M17" i="53" s="1"/>
  <c r="M17" i="62" s="1"/>
  <c r="L123" i="36"/>
  <c r="L122" i="36"/>
  <c r="C152" i="36"/>
  <c r="O146" i="36"/>
  <c r="F152" i="36"/>
  <c r="M124" i="36"/>
  <c r="M158" i="36" s="1"/>
  <c r="N17" i="53" s="1"/>
  <c r="N17" i="62" s="1"/>
  <c r="M121" i="36"/>
  <c r="M119" i="36"/>
  <c r="M118" i="36"/>
  <c r="M123" i="36"/>
  <c r="M122" i="36"/>
  <c r="I152" i="36"/>
  <c r="O150" i="36"/>
  <c r="F121" i="36"/>
  <c r="F119" i="36"/>
  <c r="F124" i="36"/>
  <c r="F158" i="36" s="1"/>
  <c r="G17" i="53" s="1"/>
  <c r="G17" i="62" s="1"/>
  <c r="F118" i="36"/>
  <c r="F123" i="36"/>
  <c r="F122" i="36"/>
  <c r="O147" i="36"/>
  <c r="L152" i="36"/>
  <c r="M152" i="36"/>
  <c r="F115" i="36"/>
  <c r="E115" i="36"/>
  <c r="D115" i="36"/>
  <c r="J115" i="36"/>
  <c r="G115" i="36"/>
  <c r="K115" i="36"/>
  <c r="H115" i="36"/>
  <c r="M115" i="36"/>
  <c r="N115" i="36"/>
  <c r="O27" i="36"/>
  <c r="D28" i="36"/>
  <c r="S118" i="36" s="1"/>
  <c r="O20" i="36"/>
  <c r="C21" i="36"/>
  <c r="N16" i="43"/>
  <c r="N14" i="51"/>
  <c r="D86" i="52"/>
  <c r="O44" i="52"/>
  <c r="L86" i="52"/>
  <c r="O16" i="52"/>
  <c r="O81" i="52"/>
  <c r="C86" i="52"/>
  <c r="F86" i="52"/>
  <c r="O82" i="52"/>
  <c r="D11" i="51"/>
  <c r="P13" i="51"/>
  <c r="O58" i="44"/>
  <c r="O30" i="44"/>
  <c r="D34" i="71" l="1"/>
  <c r="W5" i="1"/>
  <c r="C5" i="10" s="1"/>
  <c r="E159" i="36"/>
  <c r="F18" i="53" s="1"/>
  <c r="F18" i="62" s="1"/>
  <c r="D34" i="73"/>
  <c r="D100" i="74"/>
  <c r="E100" i="74" s="1"/>
  <c r="F100" i="74" s="1"/>
  <c r="L73" i="69"/>
  <c r="L72" i="69"/>
  <c r="D100" i="72"/>
  <c r="E100" i="72" s="1"/>
  <c r="E101" i="72" s="1"/>
  <c r="E6" i="72" s="1"/>
  <c r="P34" i="70"/>
  <c r="O71" i="73"/>
  <c r="O73" i="73" s="1"/>
  <c r="P11" i="84"/>
  <c r="O71" i="74"/>
  <c r="O73" i="74" s="1"/>
  <c r="P34" i="74"/>
  <c r="L73" i="70"/>
  <c r="P98" i="74"/>
  <c r="L72" i="70"/>
  <c r="P98" i="72"/>
  <c r="P13" i="82"/>
  <c r="P70" i="70"/>
  <c r="I74" i="74"/>
  <c r="P70" i="74"/>
  <c r="J16" i="51"/>
  <c r="J27" i="8"/>
  <c r="F16" i="51"/>
  <c r="M34" i="72"/>
  <c r="P34" i="72" s="1"/>
  <c r="I16" i="51"/>
  <c r="L69" i="9"/>
  <c r="P70" i="71"/>
  <c r="I73" i="74"/>
  <c r="L71" i="72"/>
  <c r="L72" i="72" s="1"/>
  <c r="J28" i="8"/>
  <c r="I7" i="35"/>
  <c r="I11" i="35" s="1"/>
  <c r="P12" i="51"/>
  <c r="K16" i="51"/>
  <c r="F69" i="9"/>
  <c r="F68" i="9"/>
  <c r="O70" i="9"/>
  <c r="M16" i="51"/>
  <c r="H28" i="8"/>
  <c r="H32" i="8" s="1"/>
  <c r="G7" i="35"/>
  <c r="G11" i="35" s="1"/>
  <c r="D6" i="35"/>
  <c r="D11" i="35" s="1"/>
  <c r="E27" i="8"/>
  <c r="E32" i="8" s="1"/>
  <c r="P13" i="84"/>
  <c r="M7" i="35"/>
  <c r="N28" i="8"/>
  <c r="M27" i="8"/>
  <c r="L6" i="35"/>
  <c r="F27" i="8"/>
  <c r="E6" i="35"/>
  <c r="I28" i="8"/>
  <c r="H7" i="35"/>
  <c r="L7" i="35"/>
  <c r="M28" i="8"/>
  <c r="E7" i="35"/>
  <c r="F28" i="8"/>
  <c r="K28" i="8"/>
  <c r="K32" i="8" s="1"/>
  <c r="J7" i="35"/>
  <c r="J11" i="35" s="1"/>
  <c r="E80" i="71"/>
  <c r="P80" i="71" s="1"/>
  <c r="E80" i="69"/>
  <c r="P80" i="69" s="1"/>
  <c r="E80" i="72"/>
  <c r="P80" i="72" s="1"/>
  <c r="E80" i="70"/>
  <c r="P80" i="70" s="1"/>
  <c r="E80" i="73"/>
  <c r="P80" i="73" s="1"/>
  <c r="E80" i="74"/>
  <c r="P80" i="74" s="1"/>
  <c r="N6" i="35"/>
  <c r="N11" i="35" s="1"/>
  <c r="O27" i="8"/>
  <c r="O32" i="8" s="1"/>
  <c r="O155" i="54"/>
  <c r="O142" i="57"/>
  <c r="P34" i="71"/>
  <c r="P98" i="70"/>
  <c r="D100" i="70"/>
  <c r="E100" i="70" s="1"/>
  <c r="E101" i="70" s="1"/>
  <c r="E6" i="70" s="1"/>
  <c r="P98" i="71"/>
  <c r="P34" i="73"/>
  <c r="P98" i="73"/>
  <c r="I68" i="9"/>
  <c r="I70" i="9"/>
  <c r="M163" i="55"/>
  <c r="C134" i="54"/>
  <c r="O134" i="54" s="1"/>
  <c r="C162" i="54"/>
  <c r="J159" i="36"/>
  <c r="K18" i="53" s="1"/>
  <c r="K18" i="62" s="1"/>
  <c r="K39" i="8" s="1"/>
  <c r="O162" i="55"/>
  <c r="D21" i="59"/>
  <c r="P21" i="59" s="1"/>
  <c r="O87" i="73"/>
  <c r="O30" i="73" s="1"/>
  <c r="O87" i="70"/>
  <c r="O30" i="70" s="1"/>
  <c r="O30" i="69"/>
  <c r="O37" i="8"/>
  <c r="O87" i="74"/>
  <c r="O30" i="74" s="1"/>
  <c r="O30" i="68"/>
  <c r="O87" i="72"/>
  <c r="O30" i="72" s="1"/>
  <c r="O87" i="71"/>
  <c r="O30" i="71" s="1"/>
  <c r="O28" i="9"/>
  <c r="O32" i="67"/>
  <c r="H87" i="70"/>
  <c r="H30" i="70" s="1"/>
  <c r="H30" i="69"/>
  <c r="H28" i="9"/>
  <c r="H37" i="8"/>
  <c r="H87" i="73"/>
  <c r="H30" i="73" s="1"/>
  <c r="H87" i="74"/>
  <c r="H30" i="74" s="1"/>
  <c r="H32" i="67"/>
  <c r="H30" i="68"/>
  <c r="H87" i="71"/>
  <c r="H30" i="71" s="1"/>
  <c r="H87" i="72"/>
  <c r="H30" i="72" s="1"/>
  <c r="J87" i="72"/>
  <c r="J30" i="72" s="1"/>
  <c r="J87" i="73"/>
  <c r="J30" i="73" s="1"/>
  <c r="J87" i="71"/>
  <c r="J30" i="71" s="1"/>
  <c r="J28" i="9"/>
  <c r="J30" i="68"/>
  <c r="J37" i="8"/>
  <c r="J30" i="69"/>
  <c r="J32" i="67"/>
  <c r="J87" i="74"/>
  <c r="J30" i="74" s="1"/>
  <c r="J87" i="70"/>
  <c r="J30" i="70" s="1"/>
  <c r="N87" i="71"/>
  <c r="N30" i="71" s="1"/>
  <c r="N87" i="74"/>
  <c r="N30" i="74" s="1"/>
  <c r="N87" i="72"/>
  <c r="N30" i="72" s="1"/>
  <c r="N30" i="69"/>
  <c r="N30" i="68"/>
  <c r="N87" i="73"/>
  <c r="N30" i="73" s="1"/>
  <c r="N87" i="70"/>
  <c r="N30" i="70" s="1"/>
  <c r="N28" i="9"/>
  <c r="N37" i="8"/>
  <c r="N32" i="67"/>
  <c r="M87" i="71"/>
  <c r="M30" i="71" s="1"/>
  <c r="M32" i="67"/>
  <c r="M37" i="8"/>
  <c r="M28" i="9"/>
  <c r="M30" i="68"/>
  <c r="M87" i="73"/>
  <c r="M30" i="73" s="1"/>
  <c r="M87" i="70"/>
  <c r="M30" i="70" s="1"/>
  <c r="M87" i="72"/>
  <c r="M30" i="72" s="1"/>
  <c r="M30" i="69"/>
  <c r="M87" i="74"/>
  <c r="M30" i="74" s="1"/>
  <c r="I87" i="70"/>
  <c r="I30" i="70" s="1"/>
  <c r="I30" i="68"/>
  <c r="I37" i="8"/>
  <c r="I30" i="69"/>
  <c r="I32" i="67"/>
  <c r="I87" i="71"/>
  <c r="I30" i="71" s="1"/>
  <c r="I87" i="73"/>
  <c r="I30" i="73" s="1"/>
  <c r="I87" i="74"/>
  <c r="I30" i="74" s="1"/>
  <c r="I87" i="72"/>
  <c r="I30" i="72" s="1"/>
  <c r="I28" i="9"/>
  <c r="G87" i="73"/>
  <c r="G30" i="73" s="1"/>
  <c r="G30" i="68"/>
  <c r="G87" i="74"/>
  <c r="G30" i="74" s="1"/>
  <c r="G87" i="71"/>
  <c r="G30" i="71" s="1"/>
  <c r="G28" i="9"/>
  <c r="G37" i="8"/>
  <c r="G87" i="72"/>
  <c r="G30" i="72" s="1"/>
  <c r="G87" i="70"/>
  <c r="G30" i="70" s="1"/>
  <c r="G30" i="69"/>
  <c r="G32" i="67"/>
  <c r="L28" i="9"/>
  <c r="L87" i="71"/>
  <c r="L30" i="71" s="1"/>
  <c r="L32" i="67"/>
  <c r="L30" i="69"/>
  <c r="L30" i="68"/>
  <c r="L37" i="8"/>
  <c r="L87" i="73"/>
  <c r="L30" i="73" s="1"/>
  <c r="L87" i="72"/>
  <c r="L30" i="72" s="1"/>
  <c r="L87" i="74"/>
  <c r="L30" i="74" s="1"/>
  <c r="L87" i="70"/>
  <c r="L30" i="70" s="1"/>
  <c r="O139" i="36"/>
  <c r="O152" i="36"/>
  <c r="O130" i="36"/>
  <c r="D19" i="59"/>
  <c r="P19" i="59" s="1"/>
  <c r="C134" i="57"/>
  <c r="O134" i="57" s="1"/>
  <c r="C155" i="57"/>
  <c r="D14" i="61" s="1"/>
  <c r="P14" i="61" s="1"/>
  <c r="O128" i="57"/>
  <c r="O129" i="57"/>
  <c r="O128" i="54"/>
  <c r="C161" i="54"/>
  <c r="O132" i="54"/>
  <c r="L68" i="9"/>
  <c r="C113" i="36"/>
  <c r="C114" i="36"/>
  <c r="C109" i="36"/>
  <c r="C112" i="36"/>
  <c r="C110" i="36"/>
  <c r="P67" i="9"/>
  <c r="O69" i="9"/>
  <c r="E74" i="9"/>
  <c r="F75" i="9" s="1"/>
  <c r="M74" i="9"/>
  <c r="N75" i="9" s="1"/>
  <c r="H74" i="9"/>
  <c r="I75" i="9" s="1"/>
  <c r="K74" i="9"/>
  <c r="L75" i="9" s="1"/>
  <c r="G74" i="9"/>
  <c r="H75" i="9" s="1"/>
  <c r="N74" i="9"/>
  <c r="O75" i="9" s="1"/>
  <c r="O76" i="9" s="1"/>
  <c r="O78" i="9" s="1"/>
  <c r="L74" i="9"/>
  <c r="M75" i="9" s="1"/>
  <c r="J74" i="9"/>
  <c r="K75" i="9" s="1"/>
  <c r="F74" i="9"/>
  <c r="G75" i="9" s="1"/>
  <c r="D74" i="9"/>
  <c r="I74" i="9"/>
  <c r="J75" i="9" s="1"/>
  <c r="D26" i="35"/>
  <c r="D34" i="35" s="1"/>
  <c r="C160" i="57"/>
  <c r="D19" i="61" s="1"/>
  <c r="P19" i="61" s="1"/>
  <c r="C161" i="57"/>
  <c r="O161" i="57" s="1"/>
  <c r="O10" i="35"/>
  <c r="F28" i="9"/>
  <c r="F87" i="70"/>
  <c r="F30" i="70" s="1"/>
  <c r="F87" i="73"/>
  <c r="F30" i="73" s="1"/>
  <c r="F87" i="71"/>
  <c r="F30" i="71" s="1"/>
  <c r="F87" i="72"/>
  <c r="F30" i="72" s="1"/>
  <c r="F87" i="74"/>
  <c r="F30" i="74" s="1"/>
  <c r="O137" i="57"/>
  <c r="C143" i="57"/>
  <c r="O143" i="57" s="1"/>
  <c r="F30" i="68"/>
  <c r="F30" i="69"/>
  <c r="F32" i="67"/>
  <c r="F37" i="8"/>
  <c r="H88" i="71"/>
  <c r="H32" i="71" s="1"/>
  <c r="H88" i="73"/>
  <c r="H32" i="73" s="1"/>
  <c r="H88" i="74"/>
  <c r="H32" i="74" s="1"/>
  <c r="H88" i="70"/>
  <c r="H32" i="70" s="1"/>
  <c r="H88" i="72"/>
  <c r="H32" i="72" s="1"/>
  <c r="F88" i="70"/>
  <c r="F32" i="70" s="1"/>
  <c r="F88" i="71"/>
  <c r="F32" i="71" s="1"/>
  <c r="F88" i="74"/>
  <c r="F32" i="74" s="1"/>
  <c r="F88" i="72"/>
  <c r="F32" i="72" s="1"/>
  <c r="F88" i="73"/>
  <c r="F32" i="73" s="1"/>
  <c r="N88" i="70"/>
  <c r="N32" i="70" s="1"/>
  <c r="N88" i="73"/>
  <c r="N32" i="73" s="1"/>
  <c r="N88" i="71"/>
  <c r="N32" i="71" s="1"/>
  <c r="N88" i="74"/>
  <c r="N32" i="74" s="1"/>
  <c r="N88" i="72"/>
  <c r="N32" i="72" s="1"/>
  <c r="W11" i="1"/>
  <c r="X12" i="1" s="1"/>
  <c r="C160" i="54"/>
  <c r="K195" i="36"/>
  <c r="K203" i="36" s="1"/>
  <c r="K137" i="36" s="1"/>
  <c r="K159" i="36"/>
  <c r="L18" i="53" s="1"/>
  <c r="L18" i="62" s="1"/>
  <c r="L30" i="9" s="1"/>
  <c r="G200" i="36"/>
  <c r="G208" i="36" s="1"/>
  <c r="F159" i="36"/>
  <c r="G18" i="53" s="1"/>
  <c r="G18" i="62" s="1"/>
  <c r="G39" i="8" s="1"/>
  <c r="D176" i="36"/>
  <c r="D184" i="36" s="1"/>
  <c r="D132" i="36" s="1"/>
  <c r="N159" i="36"/>
  <c r="O18" i="53" s="1"/>
  <c r="O18" i="62" s="1"/>
  <c r="O34" i="67" s="1"/>
  <c r="D175" i="36"/>
  <c r="D183" i="36" s="1"/>
  <c r="D131" i="36" s="1"/>
  <c r="G196" i="36"/>
  <c r="G204" i="36" s="1"/>
  <c r="K200" i="36"/>
  <c r="K208" i="36" s="1"/>
  <c r="K142" i="36" s="1"/>
  <c r="D173" i="36"/>
  <c r="D181" i="36" s="1"/>
  <c r="D129" i="36" s="1"/>
  <c r="G199" i="36"/>
  <c r="G207" i="36" s="1"/>
  <c r="E100" i="71"/>
  <c r="F100" i="71" s="1"/>
  <c r="I159" i="36"/>
  <c r="J18" i="53" s="1"/>
  <c r="J18" i="62" s="1"/>
  <c r="J30" i="9" s="1"/>
  <c r="J200" i="36"/>
  <c r="J208" i="36" s="1"/>
  <c r="J142" i="36" s="1"/>
  <c r="D159" i="36"/>
  <c r="E18" i="53" s="1"/>
  <c r="E18" i="62" s="1"/>
  <c r="E39" i="8" s="1"/>
  <c r="C196" i="36"/>
  <c r="C204" i="36" s="1"/>
  <c r="C138" i="36" s="1"/>
  <c r="C200" i="36"/>
  <c r="C208" i="36" s="1"/>
  <c r="C142" i="36" s="1"/>
  <c r="C198" i="36"/>
  <c r="C206" i="36" s="1"/>
  <c r="C140" i="36" s="1"/>
  <c r="M199" i="36"/>
  <c r="M207" i="36" s="1"/>
  <c r="D198" i="36"/>
  <c r="D206" i="36" s="1"/>
  <c r="D140" i="36" s="1"/>
  <c r="D200" i="36"/>
  <c r="D208" i="36" s="1"/>
  <c r="D142" i="36" s="1"/>
  <c r="D196" i="36"/>
  <c r="D204" i="36" s="1"/>
  <c r="D138" i="36" s="1"/>
  <c r="D199" i="36"/>
  <c r="D207" i="36" s="1"/>
  <c r="D141" i="36" s="1"/>
  <c r="M196" i="36"/>
  <c r="M204" i="36" s="1"/>
  <c r="K196" i="36"/>
  <c r="K204" i="36" s="1"/>
  <c r="K138" i="36" s="1"/>
  <c r="E195" i="36"/>
  <c r="E203" i="36" s="1"/>
  <c r="E137" i="36" s="1"/>
  <c r="C199" i="36"/>
  <c r="C207" i="36" s="1"/>
  <c r="C141" i="36" s="1"/>
  <c r="I200" i="36"/>
  <c r="I208" i="36" s="1"/>
  <c r="I142" i="36" s="1"/>
  <c r="N177" i="36"/>
  <c r="N185" i="36" s="1"/>
  <c r="I177" i="36"/>
  <c r="I185" i="36" s="1"/>
  <c r="I133" i="36" s="1"/>
  <c r="L159" i="36"/>
  <c r="M18" i="53" s="1"/>
  <c r="M18" i="62" s="1"/>
  <c r="M39" i="8" s="1"/>
  <c r="F175" i="36"/>
  <c r="F183" i="36" s="1"/>
  <c r="K199" i="36"/>
  <c r="K207" i="36" s="1"/>
  <c r="K141" i="36" s="1"/>
  <c r="I199" i="36"/>
  <c r="I207" i="36" s="1"/>
  <c r="I141" i="36" s="1"/>
  <c r="K175" i="36"/>
  <c r="K183" i="36" s="1"/>
  <c r="N173" i="36"/>
  <c r="N181" i="36" s="1"/>
  <c r="N129" i="36" s="1"/>
  <c r="I196" i="36"/>
  <c r="I204" i="36" s="1"/>
  <c r="I138" i="36" s="1"/>
  <c r="M134" i="36"/>
  <c r="J196" i="36"/>
  <c r="J204" i="36" s="1"/>
  <c r="J138" i="36" s="1"/>
  <c r="I173" i="36"/>
  <c r="I181" i="36" s="1"/>
  <c r="I129" i="36" s="1"/>
  <c r="I176" i="36"/>
  <c r="I184" i="36" s="1"/>
  <c r="I132" i="36" s="1"/>
  <c r="I195" i="36"/>
  <c r="I203" i="36" s="1"/>
  <c r="I137" i="36" s="1"/>
  <c r="N196" i="36"/>
  <c r="N204" i="36" s="1"/>
  <c r="N138" i="36" s="1"/>
  <c r="F196" i="36"/>
  <c r="F204" i="36" s="1"/>
  <c r="F138" i="36" s="1"/>
  <c r="I172" i="36"/>
  <c r="I180" i="36" s="1"/>
  <c r="I128" i="36" s="1"/>
  <c r="E199" i="36"/>
  <c r="E207" i="36" s="1"/>
  <c r="N199" i="36"/>
  <c r="N207" i="36" s="1"/>
  <c r="N141" i="36" s="1"/>
  <c r="F200" i="36"/>
  <c r="F208" i="36" s="1"/>
  <c r="F142" i="36" s="1"/>
  <c r="C175" i="36"/>
  <c r="C183" i="36" s="1"/>
  <c r="C131" i="36" s="1"/>
  <c r="C173" i="36"/>
  <c r="C181" i="36" s="1"/>
  <c r="C129" i="36" s="1"/>
  <c r="C172" i="36"/>
  <c r="C180" i="36" s="1"/>
  <c r="C128" i="36" s="1"/>
  <c r="P80" i="68"/>
  <c r="O73" i="71"/>
  <c r="H6" i="35"/>
  <c r="I27" i="8"/>
  <c r="I73" i="71"/>
  <c r="I74" i="71"/>
  <c r="O72" i="71"/>
  <c r="L72" i="74"/>
  <c r="L73" i="74"/>
  <c r="L74" i="74"/>
  <c r="O75" i="67"/>
  <c r="F74" i="74"/>
  <c r="F72" i="74"/>
  <c r="P71" i="74"/>
  <c r="F73" i="74"/>
  <c r="F74" i="73"/>
  <c r="F72" i="73"/>
  <c r="F73" i="73"/>
  <c r="I72" i="73"/>
  <c r="I73" i="73"/>
  <c r="I74" i="73"/>
  <c r="I75" i="67"/>
  <c r="E100" i="73"/>
  <c r="D101" i="73"/>
  <c r="L72" i="73"/>
  <c r="L73" i="73"/>
  <c r="L74" i="73"/>
  <c r="O73" i="72"/>
  <c r="O74" i="72"/>
  <c r="O72" i="72"/>
  <c r="F74" i="72"/>
  <c r="F72" i="72"/>
  <c r="F73" i="72"/>
  <c r="I72" i="72"/>
  <c r="I73" i="72"/>
  <c r="I74" i="72"/>
  <c r="I74" i="67"/>
  <c r="L72" i="71"/>
  <c r="L73" i="71"/>
  <c r="L74" i="71"/>
  <c r="F74" i="71"/>
  <c r="F72" i="71"/>
  <c r="P71" i="71"/>
  <c r="F73" i="71"/>
  <c r="D6" i="71"/>
  <c r="O86" i="44"/>
  <c r="P31" i="8"/>
  <c r="N32" i="69"/>
  <c r="H32" i="69"/>
  <c r="F32" i="69"/>
  <c r="I73" i="70"/>
  <c r="I74" i="70"/>
  <c r="I72" i="70"/>
  <c r="O76" i="67"/>
  <c r="I74" i="69"/>
  <c r="I72" i="69"/>
  <c r="O74" i="70"/>
  <c r="O72" i="70"/>
  <c r="O73" i="70"/>
  <c r="F73" i="70"/>
  <c r="F74" i="70"/>
  <c r="P71" i="70"/>
  <c r="F72" i="70"/>
  <c r="F73" i="69"/>
  <c r="F74" i="69"/>
  <c r="F72" i="69"/>
  <c r="P71" i="69"/>
  <c r="O74" i="69"/>
  <c r="O73" i="69"/>
  <c r="O72" i="69"/>
  <c r="P16" i="43"/>
  <c r="O29" i="9"/>
  <c r="O33" i="67"/>
  <c r="H32" i="68"/>
  <c r="H34" i="67"/>
  <c r="H30" i="9"/>
  <c r="H29" i="9"/>
  <c r="H33" i="67"/>
  <c r="F34" i="67"/>
  <c r="F32" i="68"/>
  <c r="F30" i="9"/>
  <c r="M29" i="9"/>
  <c r="M33" i="67"/>
  <c r="F29" i="9"/>
  <c r="F33" i="67"/>
  <c r="L33" i="67"/>
  <c r="L29" i="9"/>
  <c r="N33" i="67"/>
  <c r="N29" i="9"/>
  <c r="O73" i="68"/>
  <c r="O72" i="68"/>
  <c r="I72" i="68"/>
  <c r="J29" i="9"/>
  <c r="J33" i="67"/>
  <c r="I33" i="67"/>
  <c r="I29" i="9"/>
  <c r="G34" i="67"/>
  <c r="N34" i="67"/>
  <c r="N30" i="9"/>
  <c r="N32" i="68"/>
  <c r="I74" i="68"/>
  <c r="G33" i="67"/>
  <c r="G29" i="9"/>
  <c r="L74" i="68"/>
  <c r="L72" i="68"/>
  <c r="L73" i="68"/>
  <c r="F73" i="68"/>
  <c r="F74" i="68"/>
  <c r="F72" i="68"/>
  <c r="P71" i="68"/>
  <c r="L75" i="67"/>
  <c r="L74" i="67"/>
  <c r="F75" i="67"/>
  <c r="F76" i="67"/>
  <c r="P73" i="67"/>
  <c r="F74" i="67"/>
  <c r="O38" i="8"/>
  <c r="H39" i="8"/>
  <c r="L38" i="8"/>
  <c r="F39" i="8"/>
  <c r="H38" i="8"/>
  <c r="F38" i="8"/>
  <c r="N38" i="8"/>
  <c r="G38" i="8"/>
  <c r="J38" i="8"/>
  <c r="I38" i="8"/>
  <c r="N39" i="8"/>
  <c r="M38" i="8"/>
  <c r="G32" i="8"/>
  <c r="P29" i="8"/>
  <c r="F11" i="35"/>
  <c r="O8" i="35"/>
  <c r="K11" i="35"/>
  <c r="L32" i="8"/>
  <c r="D33" i="35"/>
  <c r="E25" i="35"/>
  <c r="C31" i="35"/>
  <c r="D23" i="35"/>
  <c r="P14" i="59"/>
  <c r="C6" i="35"/>
  <c r="C22" i="35" s="1"/>
  <c r="D27" i="8"/>
  <c r="D32" i="8" s="1"/>
  <c r="N16" i="51"/>
  <c r="N30" i="8"/>
  <c r="M9" i="35"/>
  <c r="M11" i="35" s="1"/>
  <c r="C32" i="35"/>
  <c r="D24" i="35"/>
  <c r="C159" i="36"/>
  <c r="H159" i="36"/>
  <c r="I18" i="53" s="1"/>
  <c r="I18" i="62" s="1"/>
  <c r="I160" i="36"/>
  <c r="J19" i="53" s="1"/>
  <c r="J19" i="62" s="1"/>
  <c r="P14" i="58"/>
  <c r="O157" i="57"/>
  <c r="D16" i="61"/>
  <c r="P16" i="61" s="1"/>
  <c r="O156" i="57"/>
  <c r="D15" i="61"/>
  <c r="O162" i="57"/>
  <c r="D21" i="61"/>
  <c r="P21" i="61" s="1"/>
  <c r="P14" i="60"/>
  <c r="O162" i="56"/>
  <c r="D21" i="60"/>
  <c r="P21" i="60" s="1"/>
  <c r="O161" i="56"/>
  <c r="D20" i="60"/>
  <c r="P20" i="60" s="1"/>
  <c r="O160" i="56"/>
  <c r="D19" i="60"/>
  <c r="P19" i="60" s="1"/>
  <c r="J22" i="59"/>
  <c r="O156" i="55"/>
  <c r="D15" i="59"/>
  <c r="O157" i="55"/>
  <c r="D16" i="59"/>
  <c r="P16" i="59" s="1"/>
  <c r="O161" i="55"/>
  <c r="D20" i="59"/>
  <c r="P20" i="59" s="1"/>
  <c r="G22" i="58"/>
  <c r="O22" i="58"/>
  <c r="P18" i="58"/>
  <c r="D17" i="62"/>
  <c r="D29" i="9" s="1"/>
  <c r="P17" i="58"/>
  <c r="P15" i="58"/>
  <c r="O162" i="54"/>
  <c r="D21" i="58"/>
  <c r="O157" i="54"/>
  <c r="D16" i="58"/>
  <c r="O155" i="56"/>
  <c r="C163" i="56"/>
  <c r="O163" i="56" s="1"/>
  <c r="C163" i="55"/>
  <c r="O163" i="55" s="1"/>
  <c r="E156" i="36"/>
  <c r="F15" i="53" s="1"/>
  <c r="H173" i="36"/>
  <c r="H181" i="36" s="1"/>
  <c r="H129" i="36" s="1"/>
  <c r="L195" i="36"/>
  <c r="L203" i="36" s="1"/>
  <c r="L137" i="36" s="1"/>
  <c r="J175" i="36"/>
  <c r="J183" i="36" s="1"/>
  <c r="J131" i="36" s="1"/>
  <c r="K176" i="36"/>
  <c r="K184" i="36" s="1"/>
  <c r="K132" i="36" s="1"/>
  <c r="L175" i="36"/>
  <c r="L183" i="36" s="1"/>
  <c r="L131" i="36" s="1"/>
  <c r="J198" i="36"/>
  <c r="J206" i="36" s="1"/>
  <c r="J140" i="36" s="1"/>
  <c r="J177" i="36"/>
  <c r="J185" i="36" s="1"/>
  <c r="J133" i="36" s="1"/>
  <c r="L177" i="36"/>
  <c r="L185" i="36" s="1"/>
  <c r="L133" i="36" s="1"/>
  <c r="M195" i="36"/>
  <c r="M203" i="36" s="1"/>
  <c r="M137" i="36" s="1"/>
  <c r="J173" i="36"/>
  <c r="J181" i="36" s="1"/>
  <c r="K177" i="36"/>
  <c r="K185" i="36" s="1"/>
  <c r="N195" i="36"/>
  <c r="N203" i="36" s="1"/>
  <c r="N137" i="36" s="1"/>
  <c r="L173" i="36"/>
  <c r="L181" i="36" s="1"/>
  <c r="L129" i="36" s="1"/>
  <c r="N176" i="36"/>
  <c r="N184" i="36" s="1"/>
  <c r="N132" i="36" s="1"/>
  <c r="H196" i="36"/>
  <c r="H204" i="36" s="1"/>
  <c r="H138" i="36" s="1"/>
  <c r="H177" i="36"/>
  <c r="H185" i="36" s="1"/>
  <c r="D172" i="36"/>
  <c r="D180" i="36" s="1"/>
  <c r="D128" i="36" s="1"/>
  <c r="L198" i="36"/>
  <c r="L206" i="36" s="1"/>
  <c r="L140" i="36" s="1"/>
  <c r="F177" i="36"/>
  <c r="F185" i="36" s="1"/>
  <c r="F133" i="36" s="1"/>
  <c r="K173" i="36"/>
  <c r="K181" i="36" s="1"/>
  <c r="K129" i="36" s="1"/>
  <c r="N198" i="36"/>
  <c r="N206" i="36" s="1"/>
  <c r="L176" i="36"/>
  <c r="L184" i="36" s="1"/>
  <c r="N172" i="36"/>
  <c r="N180" i="36" s="1"/>
  <c r="N128" i="36" s="1"/>
  <c r="F199" i="36"/>
  <c r="F207" i="36" s="1"/>
  <c r="F141" i="36" s="1"/>
  <c r="H199" i="36"/>
  <c r="H207" i="36" s="1"/>
  <c r="H141" i="36" s="1"/>
  <c r="H176" i="36"/>
  <c r="H184" i="36" s="1"/>
  <c r="H132" i="36" s="1"/>
  <c r="L200" i="36"/>
  <c r="L208" i="36" s="1"/>
  <c r="L142" i="36" s="1"/>
  <c r="F173" i="36"/>
  <c r="F181" i="36" s="1"/>
  <c r="F129" i="36" s="1"/>
  <c r="E198" i="36"/>
  <c r="E206" i="36" s="1"/>
  <c r="E140" i="36" s="1"/>
  <c r="E186" i="36"/>
  <c r="E134" i="36"/>
  <c r="H195" i="36"/>
  <c r="H203" i="36" s="1"/>
  <c r="H137" i="36" s="1"/>
  <c r="M162" i="36"/>
  <c r="N21" i="53" s="1"/>
  <c r="N21" i="62" s="1"/>
  <c r="G160" i="36"/>
  <c r="H19" i="53" s="1"/>
  <c r="H19" i="62" s="1"/>
  <c r="H172" i="36"/>
  <c r="H180" i="36" s="1"/>
  <c r="H128" i="36" s="1"/>
  <c r="L196" i="36"/>
  <c r="L204" i="36" s="1"/>
  <c r="L138" i="36" s="1"/>
  <c r="G195" i="36"/>
  <c r="G203" i="36" s="1"/>
  <c r="G137" i="36" s="1"/>
  <c r="F176" i="36"/>
  <c r="F184" i="36" s="1"/>
  <c r="F132" i="36" s="1"/>
  <c r="E200" i="36"/>
  <c r="E208" i="36" s="1"/>
  <c r="E142" i="36" s="1"/>
  <c r="M198" i="36"/>
  <c r="M206" i="36" s="1"/>
  <c r="J172" i="36"/>
  <c r="J180" i="36" s="1"/>
  <c r="J128" i="36" s="1"/>
  <c r="J199" i="36"/>
  <c r="J207" i="36" s="1"/>
  <c r="C177" i="36"/>
  <c r="C185" i="36" s="1"/>
  <c r="C133" i="36" s="1"/>
  <c r="F195" i="36"/>
  <c r="F203" i="36" s="1"/>
  <c r="F137" i="36" s="1"/>
  <c r="H198" i="36"/>
  <c r="H206" i="36" s="1"/>
  <c r="M186" i="36"/>
  <c r="N125" i="36"/>
  <c r="D120" i="36"/>
  <c r="AD118" i="36"/>
  <c r="E125" i="36"/>
  <c r="H125" i="36"/>
  <c r="G125" i="36"/>
  <c r="M125" i="36"/>
  <c r="L125" i="36"/>
  <c r="F125" i="36"/>
  <c r="O28" i="36"/>
  <c r="D119" i="36"/>
  <c r="D121" i="36"/>
  <c r="D118" i="36"/>
  <c r="D122" i="36"/>
  <c r="D124" i="36"/>
  <c r="D123" i="36"/>
  <c r="K125" i="36"/>
  <c r="I125" i="36"/>
  <c r="O21" i="36"/>
  <c r="P14" i="51"/>
  <c r="O86" i="52"/>
  <c r="D16" i="51"/>
  <c r="P11" i="51"/>
  <c r="D101" i="74" l="1"/>
  <c r="E101" i="74"/>
  <c r="L74" i="72"/>
  <c r="L73" i="72"/>
  <c r="P71" i="72"/>
  <c r="K30" i="9"/>
  <c r="K88" i="71"/>
  <c r="K32" i="71" s="1"/>
  <c r="O30" i="9"/>
  <c r="K34" i="67"/>
  <c r="K32" i="68"/>
  <c r="K32" i="69"/>
  <c r="K88" i="74"/>
  <c r="K32" i="74" s="1"/>
  <c r="K88" i="73"/>
  <c r="K32" i="73" s="1"/>
  <c r="K88" i="70"/>
  <c r="K32" i="70" s="1"/>
  <c r="K88" i="72"/>
  <c r="K32" i="72" s="1"/>
  <c r="D101" i="72"/>
  <c r="D6" i="72" s="1"/>
  <c r="F100" i="72"/>
  <c r="F101" i="72" s="1"/>
  <c r="F6" i="72" s="1"/>
  <c r="G30" i="9"/>
  <c r="G32" i="68"/>
  <c r="P71" i="73"/>
  <c r="O74" i="74"/>
  <c r="P74" i="74" s="1"/>
  <c r="O72" i="74"/>
  <c r="P72" i="74" s="1"/>
  <c r="O72" i="73"/>
  <c r="P72" i="73" s="1"/>
  <c r="O74" i="73"/>
  <c r="P74" i="73" s="1"/>
  <c r="J32" i="8"/>
  <c r="C163" i="54"/>
  <c r="O163" i="54" s="1"/>
  <c r="E32" i="68"/>
  <c r="E30" i="9"/>
  <c r="M30" i="9"/>
  <c r="E32" i="69"/>
  <c r="M34" i="67"/>
  <c r="E34" i="67"/>
  <c r="M32" i="68"/>
  <c r="N32" i="8"/>
  <c r="M32" i="8"/>
  <c r="P69" i="9"/>
  <c r="P70" i="9"/>
  <c r="D101" i="70"/>
  <c r="D6" i="70" s="1"/>
  <c r="P28" i="8"/>
  <c r="F32" i="8"/>
  <c r="O7" i="35"/>
  <c r="L11" i="35"/>
  <c r="H11" i="35"/>
  <c r="I32" i="8"/>
  <c r="E11" i="35"/>
  <c r="O155" i="57"/>
  <c r="P68" i="9"/>
  <c r="H76" i="9"/>
  <c r="H78" i="9" s="1"/>
  <c r="E26" i="35"/>
  <c r="F26" i="35" s="1"/>
  <c r="L39" i="8"/>
  <c r="C163" i="57"/>
  <c r="O163" i="57" s="1"/>
  <c r="D20" i="61"/>
  <c r="P20" i="61" s="1"/>
  <c r="L32" i="68"/>
  <c r="L32" i="69"/>
  <c r="L34" i="67"/>
  <c r="M32" i="69"/>
  <c r="K133" i="36"/>
  <c r="K162" i="36" s="1"/>
  <c r="L21" i="53" s="1"/>
  <c r="L21" i="62" s="1"/>
  <c r="L42" i="8" s="1"/>
  <c r="J141" i="36"/>
  <c r="J161" i="36" s="1"/>
  <c r="K20" i="53" s="1"/>
  <c r="K20" i="62" s="1"/>
  <c r="F131" i="36"/>
  <c r="F160" i="36" s="1"/>
  <c r="G19" i="53" s="1"/>
  <c r="G19" i="62" s="1"/>
  <c r="G138" i="36"/>
  <c r="G156" i="36" s="1"/>
  <c r="H15" i="53" s="1"/>
  <c r="H15" i="62" s="1"/>
  <c r="M140" i="36"/>
  <c r="M160" i="36" s="1"/>
  <c r="N19" i="53" s="1"/>
  <c r="N19" i="62" s="1"/>
  <c r="J129" i="36"/>
  <c r="J156" i="36" s="1"/>
  <c r="K15" i="53" s="1"/>
  <c r="K15" i="62" s="1"/>
  <c r="M138" i="36"/>
  <c r="M156" i="36" s="1"/>
  <c r="N15" i="53" s="1"/>
  <c r="N15" i="62" s="1"/>
  <c r="O32" i="69"/>
  <c r="O32" i="68"/>
  <c r="N133" i="36"/>
  <c r="N162" i="36" s="1"/>
  <c r="O21" i="53" s="1"/>
  <c r="O21" i="62" s="1"/>
  <c r="O42" i="8" s="1"/>
  <c r="E141" i="36"/>
  <c r="E161" i="36" s="1"/>
  <c r="F20" i="53" s="1"/>
  <c r="F20" i="62" s="1"/>
  <c r="F41" i="8" s="1"/>
  <c r="L132" i="36"/>
  <c r="L134" i="36" s="1"/>
  <c r="H133" i="36"/>
  <c r="H162" i="36" s="1"/>
  <c r="I21" i="53" s="1"/>
  <c r="I21" i="62" s="1"/>
  <c r="I42" i="8" s="1"/>
  <c r="H140" i="36"/>
  <c r="H160" i="36" s="1"/>
  <c r="I19" i="53" s="1"/>
  <c r="I19" i="62" s="1"/>
  <c r="N140" i="36"/>
  <c r="N160" i="36" s="1"/>
  <c r="O19" i="53" s="1"/>
  <c r="O19" i="62" s="1"/>
  <c r="K131" i="36"/>
  <c r="M141" i="36"/>
  <c r="M161" i="36" s="1"/>
  <c r="N20" i="53" s="1"/>
  <c r="N20" i="62" s="1"/>
  <c r="G141" i="36"/>
  <c r="G161" i="36" s="1"/>
  <c r="H20" i="53" s="1"/>
  <c r="H20" i="62" s="1"/>
  <c r="G142" i="36"/>
  <c r="G162" i="36" s="1"/>
  <c r="H21" i="53" s="1"/>
  <c r="H21" i="62" s="1"/>
  <c r="O161" i="54"/>
  <c r="D20" i="58"/>
  <c r="P20" i="58" s="1"/>
  <c r="C156" i="36"/>
  <c r="O160" i="54"/>
  <c r="D19" i="58"/>
  <c r="P19" i="58" s="1"/>
  <c r="C155" i="36"/>
  <c r="D14" i="53" s="1"/>
  <c r="O160" i="57"/>
  <c r="N55" i="70"/>
  <c r="N14" i="70" s="1"/>
  <c r="N57" i="67"/>
  <c r="N14" i="67" s="1"/>
  <c r="N55" i="74"/>
  <c r="N14" i="74" s="1"/>
  <c r="N51" i="9"/>
  <c r="N12" i="9" s="1"/>
  <c r="N55" i="73"/>
  <c r="N14" i="73" s="1"/>
  <c r="N55" i="72"/>
  <c r="N14" i="72" s="1"/>
  <c r="N55" i="71"/>
  <c r="N14" i="71" s="1"/>
  <c r="N55" i="69"/>
  <c r="N14" i="69" s="1"/>
  <c r="N55" i="68"/>
  <c r="N14" i="68" s="1"/>
  <c r="G32" i="69"/>
  <c r="M76" i="9"/>
  <c r="M78" i="9" s="1"/>
  <c r="K76" i="9"/>
  <c r="K78" i="9" s="1"/>
  <c r="G76" i="9"/>
  <c r="G78" i="9" s="1"/>
  <c r="L76" i="9"/>
  <c r="N76" i="9"/>
  <c r="N78" i="9" s="1"/>
  <c r="O77" i="9"/>
  <c r="O81" i="9" s="1"/>
  <c r="J76" i="9"/>
  <c r="J78" i="9" s="1"/>
  <c r="I76" i="9"/>
  <c r="E75" i="9"/>
  <c r="D75" i="9"/>
  <c r="D76" i="9" s="1"/>
  <c r="F76" i="9"/>
  <c r="F78" i="9" s="1"/>
  <c r="N156" i="36"/>
  <c r="O15" i="53" s="1"/>
  <c r="O15" i="62" s="1"/>
  <c r="F100" i="70"/>
  <c r="G100" i="70" s="1"/>
  <c r="J32" i="68"/>
  <c r="J32" i="69"/>
  <c r="J34" i="67"/>
  <c r="J39" i="8"/>
  <c r="J88" i="73"/>
  <c r="J32" i="73" s="1"/>
  <c r="J88" i="70"/>
  <c r="J32" i="70" s="1"/>
  <c r="J88" i="74"/>
  <c r="J32" i="74" s="1"/>
  <c r="J88" i="71"/>
  <c r="J32" i="71" s="1"/>
  <c r="J88" i="72"/>
  <c r="J32" i="72" s="1"/>
  <c r="X13" i="1"/>
  <c r="O39" i="8"/>
  <c r="O88" i="70"/>
  <c r="O32" i="70" s="1"/>
  <c r="O88" i="72"/>
  <c r="O32" i="72" s="1"/>
  <c r="O88" i="73"/>
  <c r="O32" i="73" s="1"/>
  <c r="O88" i="71"/>
  <c r="O32" i="71" s="1"/>
  <c r="O88" i="74"/>
  <c r="O32" i="74" s="1"/>
  <c r="G88" i="72"/>
  <c r="G32" i="72" s="1"/>
  <c r="G88" i="73"/>
  <c r="G32" i="73" s="1"/>
  <c r="G88" i="71"/>
  <c r="G32" i="71" s="1"/>
  <c r="G88" i="74"/>
  <c r="G32" i="74" s="1"/>
  <c r="G88" i="70"/>
  <c r="G32" i="70" s="1"/>
  <c r="I88" i="71"/>
  <c r="I32" i="71" s="1"/>
  <c r="I88" i="72"/>
  <c r="I32" i="72" s="1"/>
  <c r="I88" i="74"/>
  <c r="I32" i="74" s="1"/>
  <c r="I88" i="70"/>
  <c r="I32" i="70" s="1"/>
  <c r="I88" i="73"/>
  <c r="I32" i="73" s="1"/>
  <c r="L88" i="71"/>
  <c r="L32" i="71" s="1"/>
  <c r="L88" i="73"/>
  <c r="L32" i="73" s="1"/>
  <c r="L88" i="74"/>
  <c r="L32" i="74" s="1"/>
  <c r="L88" i="72"/>
  <c r="L32" i="72" s="1"/>
  <c r="L88" i="70"/>
  <c r="L32" i="70" s="1"/>
  <c r="M88" i="72"/>
  <c r="M32" i="72" s="1"/>
  <c r="M88" i="74"/>
  <c r="M32" i="74" s="1"/>
  <c r="M88" i="73"/>
  <c r="M32" i="73" s="1"/>
  <c r="M88" i="70"/>
  <c r="M32" i="70" s="1"/>
  <c r="M88" i="71"/>
  <c r="M32" i="71" s="1"/>
  <c r="E88" i="72"/>
  <c r="E32" i="72" s="1"/>
  <c r="E88" i="74"/>
  <c r="E32" i="74" s="1"/>
  <c r="E88" i="73"/>
  <c r="E32" i="73" s="1"/>
  <c r="E88" i="70"/>
  <c r="E32" i="70" s="1"/>
  <c r="E88" i="71"/>
  <c r="E32" i="71" s="1"/>
  <c r="E101" i="71"/>
  <c r="E6" i="71" s="1"/>
  <c r="L160" i="36"/>
  <c r="M19" i="53" s="1"/>
  <c r="M19" i="62" s="1"/>
  <c r="M40" i="8" s="1"/>
  <c r="I162" i="36"/>
  <c r="J21" i="53" s="1"/>
  <c r="J21" i="62" s="1"/>
  <c r="J162" i="36"/>
  <c r="K21" i="53" s="1"/>
  <c r="K21" i="62" s="1"/>
  <c r="I143" i="36"/>
  <c r="F161" i="36"/>
  <c r="G20" i="53" s="1"/>
  <c r="G20" i="62" s="1"/>
  <c r="G41" i="8" s="1"/>
  <c r="L156" i="36"/>
  <c r="M15" i="53" s="1"/>
  <c r="M15" i="62" s="1"/>
  <c r="C209" i="36"/>
  <c r="H156" i="36"/>
  <c r="I15" i="53" s="1"/>
  <c r="I15" i="62" s="1"/>
  <c r="I161" i="36"/>
  <c r="J20" i="53" s="1"/>
  <c r="J20" i="62" s="1"/>
  <c r="L162" i="36"/>
  <c r="M21" i="53" s="1"/>
  <c r="M21" i="62" s="1"/>
  <c r="I209" i="36"/>
  <c r="F156" i="36"/>
  <c r="G15" i="53" s="1"/>
  <c r="G15" i="62" s="1"/>
  <c r="D209" i="36"/>
  <c r="D143" i="36"/>
  <c r="I156" i="36"/>
  <c r="J15" i="53" s="1"/>
  <c r="J15" i="62" s="1"/>
  <c r="J36" i="8" s="1"/>
  <c r="I155" i="36"/>
  <c r="J14" i="53" s="1"/>
  <c r="K143" i="36"/>
  <c r="I134" i="36"/>
  <c r="K156" i="36"/>
  <c r="L15" i="53" s="1"/>
  <c r="L15" i="62" s="1"/>
  <c r="O183" i="36"/>
  <c r="I186" i="36"/>
  <c r="H161" i="36"/>
  <c r="I20" i="53" s="1"/>
  <c r="I20" i="62" s="1"/>
  <c r="I41" i="8" s="1"/>
  <c r="N161" i="36"/>
  <c r="O20" i="53" s="1"/>
  <c r="O20" i="62" s="1"/>
  <c r="O41" i="8" s="1"/>
  <c r="F162" i="36"/>
  <c r="G21" i="53" s="1"/>
  <c r="G21" i="62" s="1"/>
  <c r="K161" i="36"/>
  <c r="L20" i="53" s="1"/>
  <c r="L20" i="62" s="1"/>
  <c r="L41" i="8" s="1"/>
  <c r="O142" i="36"/>
  <c r="K209" i="36"/>
  <c r="P73" i="71"/>
  <c r="H50" i="72"/>
  <c r="H12" i="72" s="1"/>
  <c r="H50" i="71"/>
  <c r="H12" i="71" s="1"/>
  <c r="H50" i="74"/>
  <c r="H12" i="74" s="1"/>
  <c r="H50" i="73"/>
  <c r="H12" i="73" s="1"/>
  <c r="J50" i="72"/>
  <c r="J12" i="72" s="1"/>
  <c r="J50" i="71"/>
  <c r="J12" i="71" s="1"/>
  <c r="J50" i="74"/>
  <c r="J12" i="74" s="1"/>
  <c r="J50" i="73"/>
  <c r="J12" i="73" s="1"/>
  <c r="P73" i="74"/>
  <c r="P72" i="71"/>
  <c r="G100" i="74"/>
  <c r="F101" i="74"/>
  <c r="F6" i="74" s="1"/>
  <c r="P72" i="72"/>
  <c r="D6" i="73"/>
  <c r="P73" i="73"/>
  <c r="F100" i="73"/>
  <c r="E101" i="73"/>
  <c r="E6" i="73" s="1"/>
  <c r="P74" i="72"/>
  <c r="P73" i="72"/>
  <c r="P74" i="71"/>
  <c r="G100" i="71"/>
  <c r="F101" i="71"/>
  <c r="P74" i="70"/>
  <c r="P73" i="70"/>
  <c r="H50" i="70"/>
  <c r="H12" i="70" s="1"/>
  <c r="H50" i="69"/>
  <c r="H12" i="69" s="1"/>
  <c r="J50" i="70"/>
  <c r="J12" i="70" s="1"/>
  <c r="J50" i="69"/>
  <c r="J12" i="69" s="1"/>
  <c r="I32" i="69"/>
  <c r="E11" i="68"/>
  <c r="E11" i="69"/>
  <c r="P76" i="67"/>
  <c r="P72" i="70"/>
  <c r="P72" i="69"/>
  <c r="P74" i="69"/>
  <c r="P73" i="69"/>
  <c r="E9" i="9"/>
  <c r="E11" i="67"/>
  <c r="C30" i="35"/>
  <c r="D22" i="35"/>
  <c r="P75" i="67"/>
  <c r="P73" i="68"/>
  <c r="H46" i="9"/>
  <c r="H10" i="9" s="1"/>
  <c r="H50" i="68"/>
  <c r="H12" i="68" s="1"/>
  <c r="H52" i="67"/>
  <c r="H12" i="67" s="1"/>
  <c r="J46" i="9"/>
  <c r="J10" i="9" s="1"/>
  <c r="J52" i="67"/>
  <c r="J12" i="67" s="1"/>
  <c r="J50" i="68"/>
  <c r="J12" i="68" s="1"/>
  <c r="D8" i="9"/>
  <c r="D33" i="67"/>
  <c r="D10" i="67"/>
  <c r="I30" i="9"/>
  <c r="I34" i="67"/>
  <c r="I32" i="68"/>
  <c r="P74" i="67"/>
  <c r="P72" i="68"/>
  <c r="P74" i="68"/>
  <c r="N42" i="8"/>
  <c r="D38" i="8"/>
  <c r="I39" i="8"/>
  <c r="H40" i="8"/>
  <c r="J40" i="8"/>
  <c r="E23" i="35"/>
  <c r="D31" i="35"/>
  <c r="P27" i="8"/>
  <c r="C11" i="35"/>
  <c r="P30" i="8"/>
  <c r="P16" i="51"/>
  <c r="O6" i="35"/>
  <c r="O9" i="35"/>
  <c r="F25" i="35"/>
  <c r="E33" i="35"/>
  <c r="D32" i="35"/>
  <c r="E24" i="35"/>
  <c r="F15" i="62"/>
  <c r="K155" i="36"/>
  <c r="L14" i="53" s="1"/>
  <c r="F134" i="36"/>
  <c r="O159" i="36"/>
  <c r="D18" i="53"/>
  <c r="O207" i="36"/>
  <c r="P15" i="61"/>
  <c r="D22" i="60"/>
  <c r="P22" i="60" s="1"/>
  <c r="P15" i="59"/>
  <c r="D22" i="59"/>
  <c r="P22" i="59" s="1"/>
  <c r="D16" i="62"/>
  <c r="P16" i="58"/>
  <c r="P21" i="58"/>
  <c r="G209" i="36"/>
  <c r="O204" i="36"/>
  <c r="N186" i="36"/>
  <c r="D186" i="36"/>
  <c r="O181" i="36"/>
  <c r="E209" i="36"/>
  <c r="E162" i="36"/>
  <c r="F21" i="53" s="1"/>
  <c r="F21" i="62" s="1"/>
  <c r="L186" i="36"/>
  <c r="O184" i="36"/>
  <c r="F143" i="36"/>
  <c r="F209" i="36"/>
  <c r="F186" i="36"/>
  <c r="O185" i="36"/>
  <c r="H186" i="36"/>
  <c r="E160" i="36"/>
  <c r="F19" i="53" s="1"/>
  <c r="F19" i="62" s="1"/>
  <c r="O208" i="36"/>
  <c r="C143" i="36"/>
  <c r="J209" i="36"/>
  <c r="H143" i="36"/>
  <c r="H209" i="36"/>
  <c r="N209" i="36"/>
  <c r="O203" i="36"/>
  <c r="J186" i="36"/>
  <c r="E155" i="36"/>
  <c r="F14" i="53" s="1"/>
  <c r="J160" i="36"/>
  <c r="K19" i="53" s="1"/>
  <c r="K19" i="62" s="1"/>
  <c r="O180" i="36"/>
  <c r="O206" i="36"/>
  <c r="L209" i="36"/>
  <c r="C186" i="36"/>
  <c r="M209" i="36"/>
  <c r="K186" i="36"/>
  <c r="O114" i="36"/>
  <c r="C115" i="36"/>
  <c r="O115" i="36" s="1"/>
  <c r="O113" i="36"/>
  <c r="C161" i="36"/>
  <c r="D20" i="53" s="1"/>
  <c r="O123" i="36"/>
  <c r="D162" i="36"/>
  <c r="E21" i="53" s="1"/>
  <c r="E21" i="62" s="1"/>
  <c r="D157" i="36"/>
  <c r="E16" i="53" s="1"/>
  <c r="E16" i="62" s="1"/>
  <c r="O120" i="36"/>
  <c r="O110" i="36"/>
  <c r="O122" i="36"/>
  <c r="D161" i="36"/>
  <c r="E20" i="53" s="1"/>
  <c r="E20" i="62" s="1"/>
  <c r="O121" i="36"/>
  <c r="D160" i="36"/>
  <c r="E19" i="53" s="1"/>
  <c r="E19" i="62" s="1"/>
  <c r="O119" i="36"/>
  <c r="D156" i="36"/>
  <c r="E15" i="53" s="1"/>
  <c r="O124" i="36"/>
  <c r="D158" i="36"/>
  <c r="E17" i="53" s="1"/>
  <c r="E17" i="62" s="1"/>
  <c r="O112" i="36"/>
  <c r="C160" i="36"/>
  <c r="D125" i="36"/>
  <c r="O125" i="36" s="1"/>
  <c r="O118" i="36"/>
  <c r="O109" i="36"/>
  <c r="E6" i="74" l="1"/>
  <c r="G100" i="72"/>
  <c r="D22" i="61"/>
  <c r="P22" i="61" s="1"/>
  <c r="O133" i="36"/>
  <c r="K134" i="36"/>
  <c r="J143" i="36"/>
  <c r="P32" i="8"/>
  <c r="O131" i="36"/>
  <c r="E34" i="35"/>
  <c r="F11" i="67" s="1"/>
  <c r="N143" i="36"/>
  <c r="O140" i="36"/>
  <c r="O138" i="36"/>
  <c r="O11" i="35"/>
  <c r="M50" i="74"/>
  <c r="M12" i="74" s="1"/>
  <c r="D20" i="62"/>
  <c r="D41" i="8" s="1"/>
  <c r="H77" i="9"/>
  <c r="H81" i="9" s="1"/>
  <c r="H82" i="9" s="1"/>
  <c r="K77" i="9"/>
  <c r="K81" i="9" s="1"/>
  <c r="K83" i="9" s="1"/>
  <c r="M77" i="9"/>
  <c r="M81" i="9" s="1"/>
  <c r="M83" i="9" s="1"/>
  <c r="O129" i="36"/>
  <c r="G50" i="74"/>
  <c r="G12" i="74" s="1"/>
  <c r="G50" i="71"/>
  <c r="G12" i="71" s="1"/>
  <c r="G46" i="9"/>
  <c r="G10" i="9" s="1"/>
  <c r="G50" i="73"/>
  <c r="G12" i="73" s="1"/>
  <c r="G50" i="68"/>
  <c r="G12" i="68" s="1"/>
  <c r="G40" i="8"/>
  <c r="G50" i="72"/>
  <c r="G12" i="72" s="1"/>
  <c r="G50" i="70"/>
  <c r="G12" i="70" s="1"/>
  <c r="G52" i="67"/>
  <c r="G12" i="67" s="1"/>
  <c r="G50" i="69"/>
  <c r="G12" i="69" s="1"/>
  <c r="N57" i="72"/>
  <c r="N13" i="72" s="1"/>
  <c r="N53" i="9"/>
  <c r="N11" i="9" s="1"/>
  <c r="O141" i="36"/>
  <c r="D22" i="58"/>
  <c r="P22" i="58" s="1"/>
  <c r="E143" i="36"/>
  <c r="H53" i="9"/>
  <c r="H11" i="9" s="1"/>
  <c r="H41" i="8"/>
  <c r="H59" i="67"/>
  <c r="H13" i="67" s="1"/>
  <c r="H57" i="74"/>
  <c r="H13" i="74" s="1"/>
  <c r="H57" i="68"/>
  <c r="H13" i="68" s="1"/>
  <c r="H57" i="69"/>
  <c r="H13" i="69" s="1"/>
  <c r="H57" i="72"/>
  <c r="H13" i="72" s="1"/>
  <c r="H57" i="73"/>
  <c r="H13" i="73" s="1"/>
  <c r="H57" i="70"/>
  <c r="H13" i="70" s="1"/>
  <c r="H57" i="71"/>
  <c r="H13" i="71" s="1"/>
  <c r="N50" i="74"/>
  <c r="N12" i="74" s="1"/>
  <c r="N50" i="70"/>
  <c r="N12" i="70" s="1"/>
  <c r="N52" i="67"/>
  <c r="N12" i="67" s="1"/>
  <c r="N50" i="72"/>
  <c r="N12" i="72" s="1"/>
  <c r="N50" i="73"/>
  <c r="N12" i="73" s="1"/>
  <c r="N50" i="69"/>
  <c r="N12" i="69" s="1"/>
  <c r="N40" i="8"/>
  <c r="N50" i="71"/>
  <c r="N12" i="71" s="1"/>
  <c r="N46" i="9"/>
  <c r="N10" i="9" s="1"/>
  <c r="N50" i="68"/>
  <c r="N12" i="68" s="1"/>
  <c r="H31" i="67"/>
  <c r="H27" i="9"/>
  <c r="H36" i="8"/>
  <c r="H55" i="74"/>
  <c r="H14" i="74" s="1"/>
  <c r="H55" i="71"/>
  <c r="H14" i="71" s="1"/>
  <c r="H55" i="69"/>
  <c r="H14" i="69" s="1"/>
  <c r="H55" i="73"/>
  <c r="H14" i="73" s="1"/>
  <c r="H57" i="67"/>
  <c r="H14" i="67" s="1"/>
  <c r="H55" i="70"/>
  <c r="H14" i="70" s="1"/>
  <c r="H42" i="8"/>
  <c r="H51" i="9"/>
  <c r="H12" i="9" s="1"/>
  <c r="H55" i="68"/>
  <c r="H14" i="68" s="1"/>
  <c r="H55" i="72"/>
  <c r="H14" i="72" s="1"/>
  <c r="O50" i="71"/>
  <c r="O12" i="71" s="1"/>
  <c r="O50" i="69"/>
  <c r="O12" i="69" s="1"/>
  <c r="O52" i="67"/>
  <c r="O12" i="67" s="1"/>
  <c r="O50" i="74"/>
  <c r="O12" i="74" s="1"/>
  <c r="O50" i="72"/>
  <c r="O12" i="72" s="1"/>
  <c r="O50" i="68"/>
  <c r="O12" i="68" s="1"/>
  <c r="O50" i="73"/>
  <c r="O12" i="73" s="1"/>
  <c r="O46" i="9"/>
  <c r="O10" i="9" s="1"/>
  <c r="O50" i="70"/>
  <c r="O12" i="70" s="1"/>
  <c r="O40" i="8"/>
  <c r="K57" i="72"/>
  <c r="K13" i="72" s="1"/>
  <c r="K57" i="70"/>
  <c r="K13" i="70" s="1"/>
  <c r="K57" i="74"/>
  <c r="K13" i="74" s="1"/>
  <c r="K41" i="8"/>
  <c r="K59" i="67"/>
  <c r="K13" i="67" s="1"/>
  <c r="K57" i="71"/>
  <c r="K13" i="71" s="1"/>
  <c r="K57" i="69"/>
  <c r="K13" i="69" s="1"/>
  <c r="K53" i="9"/>
  <c r="K11" i="9" s="1"/>
  <c r="K57" i="73"/>
  <c r="K13" i="73" s="1"/>
  <c r="K57" i="68"/>
  <c r="K13" i="68" s="1"/>
  <c r="I50" i="74"/>
  <c r="I12" i="74" s="1"/>
  <c r="I50" i="68"/>
  <c r="I12" i="68" s="1"/>
  <c r="I50" i="71"/>
  <c r="I12" i="71" s="1"/>
  <c r="I46" i="9"/>
  <c r="I10" i="9" s="1"/>
  <c r="I50" i="72"/>
  <c r="I12" i="72" s="1"/>
  <c r="I50" i="69"/>
  <c r="I12" i="69" s="1"/>
  <c r="I52" i="67"/>
  <c r="I12" i="67" s="1"/>
  <c r="I50" i="73"/>
  <c r="I12" i="73" s="1"/>
  <c r="I50" i="70"/>
  <c r="I12" i="70" s="1"/>
  <c r="I40" i="8"/>
  <c r="N57" i="69"/>
  <c r="N13" i="69" s="1"/>
  <c r="N59" i="67"/>
  <c r="N13" i="67" s="1"/>
  <c r="K160" i="36"/>
  <c r="L19" i="53" s="1"/>
  <c r="L19" i="62" s="1"/>
  <c r="L161" i="36"/>
  <c r="M20" i="53" s="1"/>
  <c r="M20" i="62" s="1"/>
  <c r="N57" i="70"/>
  <c r="N13" i="70" s="1"/>
  <c r="M46" i="9"/>
  <c r="M10" i="9" s="1"/>
  <c r="N57" i="73"/>
  <c r="N13" i="73" s="1"/>
  <c r="M50" i="70"/>
  <c r="M12" i="70" s="1"/>
  <c r="O132" i="36"/>
  <c r="J27" i="9"/>
  <c r="M50" i="72"/>
  <c r="M12" i="72" s="1"/>
  <c r="N57" i="68"/>
  <c r="N13" i="68" s="1"/>
  <c r="N57" i="74"/>
  <c r="N13" i="74" s="1"/>
  <c r="M52" i="67"/>
  <c r="M12" i="67" s="1"/>
  <c r="J31" i="67"/>
  <c r="M50" i="73"/>
  <c r="M12" i="73" s="1"/>
  <c r="N57" i="71"/>
  <c r="N13" i="71" s="1"/>
  <c r="N41" i="8"/>
  <c r="M50" i="68"/>
  <c r="M12" i="68" s="1"/>
  <c r="M50" i="69"/>
  <c r="M12" i="69" s="1"/>
  <c r="M50" i="71"/>
  <c r="M12" i="71" s="1"/>
  <c r="M42" i="8"/>
  <c r="M55" i="68"/>
  <c r="M14" i="68" s="1"/>
  <c r="M55" i="71"/>
  <c r="M14" i="71" s="1"/>
  <c r="M55" i="74"/>
  <c r="M14" i="74" s="1"/>
  <c r="M51" i="9"/>
  <c r="M12" i="9" s="1"/>
  <c r="M57" i="67"/>
  <c r="M14" i="67" s="1"/>
  <c r="M55" i="70"/>
  <c r="M14" i="70" s="1"/>
  <c r="M55" i="73"/>
  <c r="M14" i="73" s="1"/>
  <c r="M55" i="69"/>
  <c r="M14" i="69" s="1"/>
  <c r="M55" i="72"/>
  <c r="M14" i="72" s="1"/>
  <c r="J42" i="8"/>
  <c r="J55" i="74"/>
  <c r="J14" i="74" s="1"/>
  <c r="J55" i="71"/>
  <c r="J14" i="71" s="1"/>
  <c r="J51" i="9"/>
  <c r="J12" i="9" s="1"/>
  <c r="J55" i="68"/>
  <c r="J14" i="68" s="1"/>
  <c r="J55" i="72"/>
  <c r="J14" i="72" s="1"/>
  <c r="J55" i="69"/>
  <c r="J14" i="69" s="1"/>
  <c r="J55" i="70"/>
  <c r="J14" i="70" s="1"/>
  <c r="J55" i="73"/>
  <c r="J14" i="73" s="1"/>
  <c r="J57" i="67"/>
  <c r="J14" i="67" s="1"/>
  <c r="G42" i="8"/>
  <c r="G55" i="74"/>
  <c r="G14" i="74" s="1"/>
  <c r="G55" i="73"/>
  <c r="G14" i="73" s="1"/>
  <c r="G55" i="70"/>
  <c r="G14" i="70" s="1"/>
  <c r="G55" i="72"/>
  <c r="G14" i="72" s="1"/>
  <c r="G55" i="68"/>
  <c r="G14" i="68" s="1"/>
  <c r="G55" i="71"/>
  <c r="G14" i="71" s="1"/>
  <c r="G51" i="9"/>
  <c r="G12" i="9" s="1"/>
  <c r="G55" i="69"/>
  <c r="G14" i="69" s="1"/>
  <c r="G57" i="67"/>
  <c r="G14" i="67" s="1"/>
  <c r="J41" i="8"/>
  <c r="J57" i="68"/>
  <c r="J13" i="68" s="1"/>
  <c r="J57" i="73"/>
  <c r="J13" i="73" s="1"/>
  <c r="J57" i="70"/>
  <c r="J13" i="70" s="1"/>
  <c r="J59" i="67"/>
  <c r="J13" i="67" s="1"/>
  <c r="J57" i="72"/>
  <c r="J13" i="72" s="1"/>
  <c r="J57" i="74"/>
  <c r="J13" i="74" s="1"/>
  <c r="J53" i="9"/>
  <c r="J11" i="9" s="1"/>
  <c r="J57" i="69"/>
  <c r="J13" i="69" s="1"/>
  <c r="J57" i="71"/>
  <c r="J13" i="71" s="1"/>
  <c r="K42" i="8"/>
  <c r="K55" i="71"/>
  <c r="K14" i="71" s="1"/>
  <c r="K55" i="74"/>
  <c r="K14" i="74" s="1"/>
  <c r="K57" i="67"/>
  <c r="K14" i="67" s="1"/>
  <c r="K55" i="69"/>
  <c r="K14" i="69" s="1"/>
  <c r="K55" i="70"/>
  <c r="K14" i="70" s="1"/>
  <c r="K55" i="68"/>
  <c r="K14" i="68" s="1"/>
  <c r="K55" i="72"/>
  <c r="K14" i="72" s="1"/>
  <c r="K51" i="9"/>
  <c r="K12" i="9" s="1"/>
  <c r="K55" i="73"/>
  <c r="K14" i="73" s="1"/>
  <c r="E55" i="69"/>
  <c r="E14" i="69" s="1"/>
  <c r="E55" i="68"/>
  <c r="E14" i="68" s="1"/>
  <c r="E57" i="67"/>
  <c r="E14" i="67" s="1"/>
  <c r="E55" i="70"/>
  <c r="E14" i="70" s="1"/>
  <c r="E55" i="72"/>
  <c r="E14" i="72" s="1"/>
  <c r="E55" i="74"/>
  <c r="E14" i="74" s="1"/>
  <c r="E55" i="73"/>
  <c r="E14" i="73" s="1"/>
  <c r="E51" i="9"/>
  <c r="E12" i="9" s="1"/>
  <c r="E55" i="71"/>
  <c r="E14" i="71" s="1"/>
  <c r="D30" i="68"/>
  <c r="D32" i="67"/>
  <c r="D30" i="69"/>
  <c r="G57" i="73"/>
  <c r="G13" i="73" s="1"/>
  <c r="G53" i="9"/>
  <c r="G11" i="9" s="1"/>
  <c r="G59" i="67"/>
  <c r="G13" i="67" s="1"/>
  <c r="G57" i="72"/>
  <c r="G13" i="72" s="1"/>
  <c r="G57" i="71"/>
  <c r="G13" i="71" s="1"/>
  <c r="G57" i="68"/>
  <c r="G13" i="68" s="1"/>
  <c r="G57" i="74"/>
  <c r="G13" i="74" s="1"/>
  <c r="G57" i="70"/>
  <c r="G13" i="70" s="1"/>
  <c r="G57" i="69"/>
  <c r="G13" i="69" s="1"/>
  <c r="D57" i="74"/>
  <c r="D13" i="74" s="1"/>
  <c r="D53" i="9"/>
  <c r="D11" i="9" s="1"/>
  <c r="D57" i="70"/>
  <c r="E59" i="67"/>
  <c r="E13" i="67" s="1"/>
  <c r="E57" i="73"/>
  <c r="E13" i="73" s="1"/>
  <c r="E57" i="68"/>
  <c r="E13" i="68" s="1"/>
  <c r="E57" i="70"/>
  <c r="E13" i="70" s="1"/>
  <c r="E57" i="71"/>
  <c r="E13" i="71" s="1"/>
  <c r="E53" i="9"/>
  <c r="E11" i="9" s="1"/>
  <c r="E57" i="74"/>
  <c r="E13" i="74" s="1"/>
  <c r="E57" i="72"/>
  <c r="E13" i="72" s="1"/>
  <c r="E57" i="69"/>
  <c r="E13" i="69" s="1"/>
  <c r="F77" i="9"/>
  <c r="F81" i="9" s="1"/>
  <c r="F82" i="9" s="1"/>
  <c r="N77" i="9"/>
  <c r="N81" i="9" s="1"/>
  <c r="N83" i="9" s="1"/>
  <c r="O80" i="9"/>
  <c r="G77" i="9"/>
  <c r="G81" i="9" s="1"/>
  <c r="G83" i="9" s="1"/>
  <c r="O82" i="9"/>
  <c r="O83" i="9"/>
  <c r="L78" i="9"/>
  <c r="L80" i="9" s="1"/>
  <c r="L77" i="9"/>
  <c r="D77" i="9"/>
  <c r="D78" i="9"/>
  <c r="E76" i="9"/>
  <c r="E78" i="9" s="1"/>
  <c r="I78" i="9"/>
  <c r="I77" i="9"/>
  <c r="J77" i="9"/>
  <c r="F101" i="70"/>
  <c r="F6" i="70" s="1"/>
  <c r="E87" i="72"/>
  <c r="E30" i="72" s="1"/>
  <c r="E87" i="74"/>
  <c r="E30" i="74" s="1"/>
  <c r="E87" i="70"/>
  <c r="E30" i="70" s="1"/>
  <c r="E87" i="73"/>
  <c r="E30" i="73" s="1"/>
  <c r="E87" i="71"/>
  <c r="E30" i="71" s="1"/>
  <c r="D87" i="73"/>
  <c r="D91" i="73" s="1"/>
  <c r="D87" i="72"/>
  <c r="D87" i="71"/>
  <c r="D87" i="70"/>
  <c r="D87" i="74"/>
  <c r="C162" i="36"/>
  <c r="C163" i="36" s="1"/>
  <c r="I163" i="36"/>
  <c r="F155" i="36"/>
  <c r="G14" i="53" s="1"/>
  <c r="G22" i="53" s="1"/>
  <c r="F42" i="8"/>
  <c r="F50" i="73"/>
  <c r="F50" i="74"/>
  <c r="F50" i="72"/>
  <c r="F50" i="71"/>
  <c r="K50" i="73"/>
  <c r="K50" i="71"/>
  <c r="K50" i="72"/>
  <c r="K50" i="74"/>
  <c r="E50" i="73"/>
  <c r="E12" i="73" s="1"/>
  <c r="E50" i="72"/>
  <c r="E12" i="72" s="1"/>
  <c r="E50" i="71"/>
  <c r="E12" i="71" s="1"/>
  <c r="E50" i="74"/>
  <c r="E12" i="74" s="1"/>
  <c r="H100" i="74"/>
  <c r="G101" i="74"/>
  <c r="G6" i="74" s="1"/>
  <c r="G100" i="73"/>
  <c r="F101" i="73"/>
  <c r="F6" i="73" s="1"/>
  <c r="H100" i="72"/>
  <c r="G101" i="72"/>
  <c r="F6" i="71"/>
  <c r="H100" i="71"/>
  <c r="G101" i="71"/>
  <c r="G6" i="71" s="1"/>
  <c r="K50" i="70"/>
  <c r="K12" i="70" s="1"/>
  <c r="K50" i="69"/>
  <c r="K12" i="69" s="1"/>
  <c r="E50" i="70"/>
  <c r="E12" i="70" s="1"/>
  <c r="E50" i="69"/>
  <c r="E12" i="69" s="1"/>
  <c r="E30" i="69"/>
  <c r="E9" i="69"/>
  <c r="F50" i="70"/>
  <c r="F12" i="70" s="1"/>
  <c r="F50" i="69"/>
  <c r="F12" i="69" s="1"/>
  <c r="D9" i="68"/>
  <c r="D9" i="69"/>
  <c r="H100" i="70"/>
  <c r="G101" i="70"/>
  <c r="G6" i="70" s="1"/>
  <c r="F8" i="9"/>
  <c r="F10" i="67"/>
  <c r="M27" i="9"/>
  <c r="M31" i="67"/>
  <c r="O27" i="9"/>
  <c r="O31" i="67"/>
  <c r="E8" i="9"/>
  <c r="E10" i="67"/>
  <c r="E29" i="9"/>
  <c r="P29" i="9" s="1"/>
  <c r="E33" i="67"/>
  <c r="P33" i="67" s="1"/>
  <c r="F27" i="9"/>
  <c r="F31" i="67"/>
  <c r="E7" i="9"/>
  <c r="E32" i="67"/>
  <c r="E9" i="68"/>
  <c r="E9" i="67"/>
  <c r="E28" i="9"/>
  <c r="E30" i="68"/>
  <c r="N31" i="67"/>
  <c r="N27" i="9"/>
  <c r="E46" i="9"/>
  <c r="E10" i="9" s="1"/>
  <c r="E52" i="67"/>
  <c r="E12" i="67" s="1"/>
  <c r="E50" i="68"/>
  <c r="E12" i="68" s="1"/>
  <c r="I31" i="67"/>
  <c r="I27" i="9"/>
  <c r="L27" i="9"/>
  <c r="L31" i="67"/>
  <c r="F46" i="9"/>
  <c r="F10" i="9" s="1"/>
  <c r="F50" i="68"/>
  <c r="F12" i="68" s="1"/>
  <c r="F52" i="67"/>
  <c r="F12" i="67" s="1"/>
  <c r="D7" i="9"/>
  <c r="D9" i="67"/>
  <c r="K31" i="67"/>
  <c r="K27" i="9"/>
  <c r="K46" i="9"/>
  <c r="K10" i="9" s="1"/>
  <c r="K50" i="68"/>
  <c r="K12" i="68" s="1"/>
  <c r="K52" i="67"/>
  <c r="K12" i="67" s="1"/>
  <c r="G31" i="67"/>
  <c r="G27" i="9"/>
  <c r="E41" i="8"/>
  <c r="E42" i="8"/>
  <c r="K36" i="8"/>
  <c r="F36" i="8"/>
  <c r="G36" i="8"/>
  <c r="N36" i="8"/>
  <c r="E37" i="8"/>
  <c r="E40" i="8"/>
  <c r="M36" i="8"/>
  <c r="I36" i="8"/>
  <c r="O36" i="8"/>
  <c r="L36" i="8"/>
  <c r="K40" i="8"/>
  <c r="F40" i="8"/>
  <c r="D37" i="8"/>
  <c r="D28" i="9"/>
  <c r="G26" i="35"/>
  <c r="F34" i="35"/>
  <c r="E32" i="35"/>
  <c r="F9" i="69" s="1"/>
  <c r="F24" i="35"/>
  <c r="C27" i="35"/>
  <c r="F23" i="35"/>
  <c r="E31" i="35"/>
  <c r="F6" i="9" s="1"/>
  <c r="G25" i="35"/>
  <c r="F33" i="35"/>
  <c r="F14" i="62"/>
  <c r="F81" i="68" s="1"/>
  <c r="F16" i="8"/>
  <c r="G16" i="8"/>
  <c r="D14" i="62"/>
  <c r="P17" i="62"/>
  <c r="E38" i="8"/>
  <c r="P38" i="8" s="1"/>
  <c r="E15" i="62"/>
  <c r="L14" i="62"/>
  <c r="L81" i="68" s="1"/>
  <c r="L16" i="8"/>
  <c r="J14" i="62"/>
  <c r="J81" i="68" s="1"/>
  <c r="J16" i="8"/>
  <c r="D15" i="53"/>
  <c r="C134" i="36"/>
  <c r="O186" i="36"/>
  <c r="D19" i="53"/>
  <c r="D19" i="62" s="1"/>
  <c r="J22" i="53"/>
  <c r="O209" i="36"/>
  <c r="P18" i="53"/>
  <c r="D18" i="62"/>
  <c r="D88" i="70" s="1"/>
  <c r="P16" i="62"/>
  <c r="O158" i="36"/>
  <c r="P17" i="53"/>
  <c r="E163" i="36"/>
  <c r="F22" i="53"/>
  <c r="O157" i="36"/>
  <c r="P16" i="53"/>
  <c r="O156" i="36"/>
  <c r="M143" i="36"/>
  <c r="M155" i="36"/>
  <c r="N14" i="53" s="1"/>
  <c r="O128" i="36"/>
  <c r="D134" i="36"/>
  <c r="D155" i="36"/>
  <c r="H134" i="36"/>
  <c r="H155" i="36"/>
  <c r="I14" i="53" s="1"/>
  <c r="N134" i="36"/>
  <c r="N155" i="36"/>
  <c r="O14" i="53" s="1"/>
  <c r="J155" i="36"/>
  <c r="K14" i="53" s="1"/>
  <c r="J134" i="36"/>
  <c r="L143" i="36"/>
  <c r="L155" i="36"/>
  <c r="M14" i="53" s="1"/>
  <c r="O137" i="36"/>
  <c r="G143" i="36"/>
  <c r="G155" i="36"/>
  <c r="H14" i="53" s="1"/>
  <c r="F11" i="68" l="1"/>
  <c r="F11" i="69"/>
  <c r="F9" i="9"/>
  <c r="K163" i="36"/>
  <c r="D6" i="74"/>
  <c r="O160" i="36"/>
  <c r="L22" i="53"/>
  <c r="G14" i="62"/>
  <c r="G81" i="68" s="1"/>
  <c r="G81" i="73" s="1"/>
  <c r="G33" i="73" s="1"/>
  <c r="G35" i="73" s="1"/>
  <c r="D57" i="69"/>
  <c r="D13" i="69" s="1"/>
  <c r="D57" i="71"/>
  <c r="D13" i="71" s="1"/>
  <c r="D57" i="73"/>
  <c r="D13" i="73" s="1"/>
  <c r="D59" i="67"/>
  <c r="D13" i="67" s="1"/>
  <c r="D57" i="68"/>
  <c r="D13" i="68" s="1"/>
  <c r="D57" i="72"/>
  <c r="D13" i="72" s="1"/>
  <c r="P20" i="62"/>
  <c r="J81" i="74"/>
  <c r="J33" i="74" s="1"/>
  <c r="J35" i="74" s="1"/>
  <c r="J81" i="69"/>
  <c r="J33" i="69" s="1"/>
  <c r="J81" i="70"/>
  <c r="J33" i="70" s="1"/>
  <c r="J81" i="71"/>
  <c r="J33" i="71" s="1"/>
  <c r="J35" i="71" s="1"/>
  <c r="J81" i="73"/>
  <c r="J33" i="73" s="1"/>
  <c r="J35" i="73" s="1"/>
  <c r="J33" i="68"/>
  <c r="J81" i="72"/>
  <c r="J33" i="72" s="1"/>
  <c r="J35" i="72" s="1"/>
  <c r="L33" i="68"/>
  <c r="L81" i="71"/>
  <c r="L33" i="71" s="1"/>
  <c r="L35" i="71" s="1"/>
  <c r="L40" i="71" s="1"/>
  <c r="L81" i="69"/>
  <c r="L33" i="69" s="1"/>
  <c r="L81" i="74"/>
  <c r="L33" i="74" s="1"/>
  <c r="L35" i="74" s="1"/>
  <c r="L40" i="74" s="1"/>
  <c r="L81" i="70"/>
  <c r="L33" i="70" s="1"/>
  <c r="L81" i="73"/>
  <c r="L33" i="73" s="1"/>
  <c r="L35" i="73" s="1"/>
  <c r="L40" i="73" s="1"/>
  <c r="L81" i="72"/>
  <c r="L33" i="72" s="1"/>
  <c r="L35" i="72" s="1"/>
  <c r="L40" i="72" s="1"/>
  <c r="F81" i="70"/>
  <c r="F33" i="70" s="1"/>
  <c r="F35" i="70" s="1"/>
  <c r="F81" i="72"/>
  <c r="F33" i="72" s="1"/>
  <c r="F35" i="72" s="1"/>
  <c r="F81" i="69"/>
  <c r="F33" i="69" s="1"/>
  <c r="F35" i="69" s="1"/>
  <c r="F81" i="74"/>
  <c r="F33" i="74" s="1"/>
  <c r="F35" i="74" s="1"/>
  <c r="F81" i="73"/>
  <c r="F33" i="73" s="1"/>
  <c r="F35" i="73" s="1"/>
  <c r="F81" i="71"/>
  <c r="F33" i="71" s="1"/>
  <c r="F35" i="71" s="1"/>
  <c r="F40" i="71" s="1"/>
  <c r="F54" i="71" s="1"/>
  <c r="F62" i="71" s="1"/>
  <c r="F33" i="68"/>
  <c r="P20" i="53"/>
  <c r="O161" i="36"/>
  <c r="H83" i="9"/>
  <c r="K82" i="9"/>
  <c r="F163" i="36"/>
  <c r="O79" i="9"/>
  <c r="M57" i="70"/>
  <c r="M13" i="70" s="1"/>
  <c r="M57" i="68"/>
  <c r="M13" i="68" s="1"/>
  <c r="M59" i="67"/>
  <c r="M13" i="67" s="1"/>
  <c r="M53" i="9"/>
  <c r="M11" i="9" s="1"/>
  <c r="M41" i="8"/>
  <c r="P41" i="8" s="1"/>
  <c r="M57" i="69"/>
  <c r="M13" i="69" s="1"/>
  <c r="M57" i="72"/>
  <c r="M13" i="72" s="1"/>
  <c r="M57" i="71"/>
  <c r="M13" i="71" s="1"/>
  <c r="M57" i="73"/>
  <c r="M13" i="73" s="1"/>
  <c r="M57" i="74"/>
  <c r="M13" i="74" s="1"/>
  <c r="L50" i="73"/>
  <c r="L50" i="74"/>
  <c r="L50" i="68"/>
  <c r="L12" i="68" s="1"/>
  <c r="L50" i="72"/>
  <c r="L46" i="9"/>
  <c r="L10" i="9" s="1"/>
  <c r="L50" i="71"/>
  <c r="L52" i="67"/>
  <c r="L12" i="67" s="1"/>
  <c r="L50" i="69"/>
  <c r="L12" i="69" s="1"/>
  <c r="L50" i="70"/>
  <c r="L12" i="70" s="1"/>
  <c r="L40" i="8"/>
  <c r="O162" i="36"/>
  <c r="L81" i="9"/>
  <c r="L82" i="9" s="1"/>
  <c r="D21" i="53"/>
  <c r="D21" i="62" s="1"/>
  <c r="D55" i="70" s="1"/>
  <c r="P87" i="74"/>
  <c r="F83" i="9"/>
  <c r="N82" i="9"/>
  <c r="M82" i="9"/>
  <c r="G82" i="9"/>
  <c r="E77" i="9"/>
  <c r="E81" i="9" s="1"/>
  <c r="E83" i="9" s="1"/>
  <c r="I79" i="9"/>
  <c r="I81" i="9"/>
  <c r="I82" i="9" s="1"/>
  <c r="F80" i="9"/>
  <c r="D81" i="9"/>
  <c r="D82" i="9" s="1"/>
  <c r="L79" i="9"/>
  <c r="J81" i="9"/>
  <c r="J83" i="9" s="1"/>
  <c r="I80" i="9"/>
  <c r="P87" i="72"/>
  <c r="P87" i="70"/>
  <c r="P87" i="73"/>
  <c r="P87" i="71"/>
  <c r="D91" i="72"/>
  <c r="D91" i="71"/>
  <c r="D88" i="73"/>
  <c r="P88" i="73" s="1"/>
  <c r="D88" i="71"/>
  <c r="P88" i="71" s="1"/>
  <c r="D88" i="74"/>
  <c r="P88" i="74" s="1"/>
  <c r="P88" i="70"/>
  <c r="D88" i="72"/>
  <c r="P88" i="72" s="1"/>
  <c r="D91" i="74"/>
  <c r="D30" i="70"/>
  <c r="D91" i="70"/>
  <c r="D93" i="70" s="1"/>
  <c r="O143" i="36"/>
  <c r="E8" i="67"/>
  <c r="F12" i="71"/>
  <c r="F12" i="72"/>
  <c r="D50" i="71"/>
  <c r="D50" i="74"/>
  <c r="D50" i="73"/>
  <c r="D50" i="72"/>
  <c r="F12" i="74"/>
  <c r="K12" i="74"/>
  <c r="F12" i="73"/>
  <c r="K12" i="72"/>
  <c r="D30" i="71"/>
  <c r="K12" i="71"/>
  <c r="D30" i="73"/>
  <c r="K12" i="73"/>
  <c r="D30" i="74"/>
  <c r="D30" i="72"/>
  <c r="I100" i="74"/>
  <c r="H101" i="74"/>
  <c r="H6" i="74" s="1"/>
  <c r="H100" i="73"/>
  <c r="G101" i="73"/>
  <c r="G6" i="72"/>
  <c r="I100" i="72"/>
  <c r="H101" i="72"/>
  <c r="H6" i="72" s="1"/>
  <c r="D13" i="70"/>
  <c r="I100" i="71"/>
  <c r="H101" i="71"/>
  <c r="P32" i="67"/>
  <c r="P30" i="69"/>
  <c r="D50" i="70"/>
  <c r="D50" i="69"/>
  <c r="D32" i="69"/>
  <c r="D11" i="69"/>
  <c r="I100" i="70"/>
  <c r="H101" i="70"/>
  <c r="H6" i="70" s="1"/>
  <c r="G11" i="69"/>
  <c r="P37" i="8"/>
  <c r="F9" i="67"/>
  <c r="F9" i="68"/>
  <c r="F7" i="9"/>
  <c r="G10" i="67"/>
  <c r="G8" i="9"/>
  <c r="G11" i="67"/>
  <c r="G9" i="9"/>
  <c r="G11" i="68"/>
  <c r="D30" i="67"/>
  <c r="J30" i="67"/>
  <c r="J37" i="67" s="1"/>
  <c r="J42" i="67" s="1"/>
  <c r="J26" i="9"/>
  <c r="J31" i="9" s="1"/>
  <c r="J36" i="9" s="1"/>
  <c r="D46" i="9"/>
  <c r="D10" i="9" s="1"/>
  <c r="D50" i="68"/>
  <c r="D52" i="67"/>
  <c r="P30" i="68"/>
  <c r="L30" i="67"/>
  <c r="L37" i="67" s="1"/>
  <c r="L42" i="67" s="1"/>
  <c r="L26" i="9"/>
  <c r="L31" i="9" s="1"/>
  <c r="L36" i="9" s="1"/>
  <c r="F30" i="67"/>
  <c r="F37" i="67" s="1"/>
  <c r="F42" i="67" s="1"/>
  <c r="F35" i="68"/>
  <c r="F40" i="68" s="1"/>
  <c r="F26" i="9"/>
  <c r="F31" i="9" s="1"/>
  <c r="F36" i="9" s="1"/>
  <c r="E27" i="9"/>
  <c r="E6" i="9"/>
  <c r="E31" i="67"/>
  <c r="D34" i="67"/>
  <c r="P34" i="67" s="1"/>
  <c r="D11" i="67"/>
  <c r="D11" i="68"/>
  <c r="D32" i="68"/>
  <c r="P32" i="68" s="1"/>
  <c r="D7" i="67"/>
  <c r="P28" i="9"/>
  <c r="F8" i="67"/>
  <c r="D5" i="9"/>
  <c r="D30" i="9"/>
  <c r="P30" i="9" s="1"/>
  <c r="D9" i="9"/>
  <c r="E36" i="8"/>
  <c r="D35" i="8"/>
  <c r="D26" i="9"/>
  <c r="G23" i="35"/>
  <c r="F31" i="35"/>
  <c r="G6" i="9" s="1"/>
  <c r="H26" i="35"/>
  <c r="G34" i="35"/>
  <c r="C35" i="35"/>
  <c r="F32" i="35"/>
  <c r="G9" i="69" s="1"/>
  <c r="G24" i="35"/>
  <c r="H25" i="35"/>
  <c r="G33" i="35"/>
  <c r="D30" i="35"/>
  <c r="E22" i="35"/>
  <c r="D27" i="35"/>
  <c r="N14" i="62"/>
  <c r="N81" i="68" s="1"/>
  <c r="N16" i="8"/>
  <c r="J22" i="62"/>
  <c r="J35" i="8"/>
  <c r="J43" i="8" s="1"/>
  <c r="O14" i="62"/>
  <c r="O81" i="68" s="1"/>
  <c r="O16" i="8"/>
  <c r="H14" i="62"/>
  <c r="H81" i="68" s="1"/>
  <c r="H16" i="8"/>
  <c r="I14" i="62"/>
  <c r="I81" i="68" s="1"/>
  <c r="I16" i="8"/>
  <c r="L22" i="62"/>
  <c r="L35" i="8"/>
  <c r="K14" i="62"/>
  <c r="K81" i="68" s="1"/>
  <c r="K16" i="8"/>
  <c r="P18" i="62"/>
  <c r="D39" i="8"/>
  <c r="P39" i="8" s="1"/>
  <c r="D15" i="62"/>
  <c r="D81" i="68" s="1"/>
  <c r="P19" i="62"/>
  <c r="D40" i="8"/>
  <c r="M14" i="62"/>
  <c r="M81" i="68" s="1"/>
  <c r="M16" i="8"/>
  <c r="F22" i="62"/>
  <c r="F35" i="8"/>
  <c r="F43" i="8" s="1"/>
  <c r="P19" i="53"/>
  <c r="E14" i="53"/>
  <c r="O134" i="36"/>
  <c r="P15" i="53"/>
  <c r="D163" i="36"/>
  <c r="L163" i="36"/>
  <c r="M22" i="53"/>
  <c r="J163" i="36"/>
  <c r="K22" i="53"/>
  <c r="N163" i="36"/>
  <c r="O22" i="53"/>
  <c r="M163" i="36"/>
  <c r="N22" i="53"/>
  <c r="G163" i="36"/>
  <c r="H22" i="53"/>
  <c r="H163" i="36"/>
  <c r="I22" i="53"/>
  <c r="O155" i="36"/>
  <c r="G26" i="9" l="1"/>
  <c r="G31" i="9" s="1"/>
  <c r="G36" i="9" s="1"/>
  <c r="G30" i="67"/>
  <c r="G37" i="67" s="1"/>
  <c r="G42" i="67" s="1"/>
  <c r="G35" i="8"/>
  <c r="G43" i="8" s="1"/>
  <c r="G22" i="62"/>
  <c r="G81" i="69"/>
  <c r="G33" i="69" s="1"/>
  <c r="G81" i="74"/>
  <c r="G33" i="74" s="1"/>
  <c r="G35" i="74" s="1"/>
  <c r="G40" i="74" s="1"/>
  <c r="G54" i="74" s="1"/>
  <c r="G33" i="68"/>
  <c r="G35" i="68" s="1"/>
  <c r="G40" i="68" s="1"/>
  <c r="G54" i="68" s="1"/>
  <c r="G81" i="71"/>
  <c r="G33" i="71" s="1"/>
  <c r="G35" i="71" s="1"/>
  <c r="G40" i="71" s="1"/>
  <c r="G54" i="71" s="1"/>
  <c r="G81" i="70"/>
  <c r="G33" i="70" s="1"/>
  <c r="G81" i="72"/>
  <c r="G33" i="72" s="1"/>
  <c r="G35" i="72" s="1"/>
  <c r="F40" i="74"/>
  <c r="F54" i="74" s="1"/>
  <c r="F62" i="74" s="1"/>
  <c r="F40" i="69"/>
  <c r="F54" i="69" s="1"/>
  <c r="F62" i="69" s="1"/>
  <c r="F40" i="72"/>
  <c r="F54" i="72" s="1"/>
  <c r="F62" i="72" s="1"/>
  <c r="J40" i="72"/>
  <c r="J54" i="72" s="1"/>
  <c r="J62" i="72" s="1"/>
  <c r="F40" i="70"/>
  <c r="F54" i="70" s="1"/>
  <c r="F62" i="70" s="1"/>
  <c r="J40" i="73"/>
  <c r="J54" i="73" s="1"/>
  <c r="J40" i="71"/>
  <c r="J54" i="71" s="1"/>
  <c r="G40" i="72"/>
  <c r="G54" i="72" s="1"/>
  <c r="J40" i="74"/>
  <c r="J54" i="74" s="1"/>
  <c r="F40" i="73"/>
  <c r="F54" i="73" s="1"/>
  <c r="F62" i="73" s="1"/>
  <c r="G40" i="73"/>
  <c r="G54" i="73" s="1"/>
  <c r="D81" i="72"/>
  <c r="D81" i="74"/>
  <c r="D81" i="69"/>
  <c r="D33" i="68"/>
  <c r="D81" i="70"/>
  <c r="D82" i="68"/>
  <c r="D81" i="71"/>
  <c r="D81" i="73"/>
  <c r="I81" i="74"/>
  <c r="I33" i="74" s="1"/>
  <c r="I35" i="74" s="1"/>
  <c r="I81" i="70"/>
  <c r="I33" i="70" s="1"/>
  <c r="I81" i="71"/>
  <c r="I33" i="71" s="1"/>
  <c r="I35" i="71" s="1"/>
  <c r="I81" i="73"/>
  <c r="I33" i="73" s="1"/>
  <c r="I35" i="73" s="1"/>
  <c r="I81" i="69"/>
  <c r="I33" i="69" s="1"/>
  <c r="I81" i="72"/>
  <c r="I33" i="72" s="1"/>
  <c r="I35" i="72" s="1"/>
  <c r="I33" i="68"/>
  <c r="N81" i="74"/>
  <c r="N33" i="74" s="1"/>
  <c r="N35" i="74" s="1"/>
  <c r="N81" i="71"/>
  <c r="N33" i="71" s="1"/>
  <c r="N35" i="71" s="1"/>
  <c r="N81" i="70"/>
  <c r="N33" i="70" s="1"/>
  <c r="N81" i="73"/>
  <c r="N33" i="73" s="1"/>
  <c r="N35" i="73" s="1"/>
  <c r="N33" i="68"/>
  <c r="N81" i="72"/>
  <c r="N33" i="72" s="1"/>
  <c r="N35" i="72" s="1"/>
  <c r="N81" i="69"/>
  <c r="N33" i="69" s="1"/>
  <c r="H81" i="73"/>
  <c r="H33" i="73" s="1"/>
  <c r="H35" i="73" s="1"/>
  <c r="H33" i="68"/>
  <c r="H35" i="68" s="1"/>
  <c r="H40" i="68" s="1"/>
  <c r="H81" i="71"/>
  <c r="H33" i="71" s="1"/>
  <c r="H35" i="71" s="1"/>
  <c r="H81" i="69"/>
  <c r="H33" i="69" s="1"/>
  <c r="H35" i="69" s="1"/>
  <c r="H40" i="69" s="1"/>
  <c r="H81" i="70"/>
  <c r="H33" i="70" s="1"/>
  <c r="H35" i="70" s="1"/>
  <c r="H40" i="70" s="1"/>
  <c r="H81" i="74"/>
  <c r="H33" i="74" s="1"/>
  <c r="H35" i="74" s="1"/>
  <c r="H81" i="72"/>
  <c r="H33" i="72" s="1"/>
  <c r="H35" i="72" s="1"/>
  <c r="M81" i="73"/>
  <c r="M33" i="73" s="1"/>
  <c r="M35" i="73" s="1"/>
  <c r="M81" i="69"/>
  <c r="M33" i="69" s="1"/>
  <c r="M81" i="71"/>
  <c r="M33" i="71" s="1"/>
  <c r="M35" i="71" s="1"/>
  <c r="M81" i="70"/>
  <c r="M33" i="70" s="1"/>
  <c r="M33" i="68"/>
  <c r="M81" i="72"/>
  <c r="M33" i="72" s="1"/>
  <c r="M35" i="72" s="1"/>
  <c r="M81" i="74"/>
  <c r="M33" i="74" s="1"/>
  <c r="M35" i="74" s="1"/>
  <c r="O81" i="72"/>
  <c r="O33" i="72" s="1"/>
  <c r="O35" i="72" s="1"/>
  <c r="O81" i="71"/>
  <c r="O33" i="71" s="1"/>
  <c r="O35" i="71" s="1"/>
  <c r="O81" i="69"/>
  <c r="O33" i="69" s="1"/>
  <c r="O81" i="70"/>
  <c r="O33" i="70" s="1"/>
  <c r="O81" i="74"/>
  <c r="O33" i="74" s="1"/>
  <c r="O35" i="74" s="1"/>
  <c r="O81" i="73"/>
  <c r="O33" i="73" s="1"/>
  <c r="O35" i="73" s="1"/>
  <c r="O33" i="68"/>
  <c r="K81" i="69"/>
  <c r="K33" i="69" s="1"/>
  <c r="K81" i="71"/>
  <c r="K33" i="71" s="1"/>
  <c r="K35" i="71" s="1"/>
  <c r="K81" i="70"/>
  <c r="K33" i="70" s="1"/>
  <c r="K81" i="72"/>
  <c r="K33" i="72" s="1"/>
  <c r="K35" i="72" s="1"/>
  <c r="K81" i="74"/>
  <c r="K33" i="74" s="1"/>
  <c r="K35" i="74" s="1"/>
  <c r="K33" i="68"/>
  <c r="K81" i="73"/>
  <c r="K33" i="73" s="1"/>
  <c r="K35" i="73" s="1"/>
  <c r="D55" i="72"/>
  <c r="D14" i="72" s="1"/>
  <c r="L83" i="9"/>
  <c r="P21" i="53"/>
  <c r="D42" i="8"/>
  <c r="P42" i="8" s="1"/>
  <c r="P21" i="62"/>
  <c r="P10" i="9"/>
  <c r="D22" i="53"/>
  <c r="D51" i="9"/>
  <c r="D12" i="9" s="1"/>
  <c r="D55" i="69"/>
  <c r="D14" i="69" s="1"/>
  <c r="D55" i="74"/>
  <c r="D14" i="74" s="1"/>
  <c r="D57" i="67"/>
  <c r="D14" i="67" s="1"/>
  <c r="P40" i="8"/>
  <c r="L12" i="73"/>
  <c r="L54" i="73"/>
  <c r="L62" i="73" s="1"/>
  <c r="L12" i="71"/>
  <c r="L54" i="71"/>
  <c r="L62" i="71" s="1"/>
  <c r="L12" i="74"/>
  <c r="L54" i="74"/>
  <c r="L62" i="74" s="1"/>
  <c r="L43" i="8"/>
  <c r="L12" i="72"/>
  <c r="L54" i="72"/>
  <c r="L62" i="72" s="1"/>
  <c r="D55" i="68"/>
  <c r="D14" i="68" s="1"/>
  <c r="D55" i="73"/>
  <c r="D14" i="73" s="1"/>
  <c r="D55" i="71"/>
  <c r="D14" i="71" s="1"/>
  <c r="J50" i="9"/>
  <c r="L50" i="9"/>
  <c r="L58" i="9" s="1"/>
  <c r="L56" i="67"/>
  <c r="L64" i="67" s="1"/>
  <c r="F50" i="9"/>
  <c r="F58" i="9" s="1"/>
  <c r="F54" i="68"/>
  <c r="F62" i="68" s="1"/>
  <c r="G50" i="9"/>
  <c r="J56" i="67"/>
  <c r="F56" i="67"/>
  <c r="F64" i="67" s="1"/>
  <c r="G56" i="67"/>
  <c r="F79" i="9"/>
  <c r="I83" i="9"/>
  <c r="E82" i="9"/>
  <c r="J82" i="9"/>
  <c r="L99" i="9" s="1"/>
  <c r="I98" i="9"/>
  <c r="D83" i="9"/>
  <c r="P30" i="72"/>
  <c r="P30" i="73"/>
  <c r="E91" i="72"/>
  <c r="D93" i="72"/>
  <c r="D9" i="72" s="1"/>
  <c r="D93" i="74"/>
  <c r="E91" i="74"/>
  <c r="D12" i="72"/>
  <c r="P50" i="72"/>
  <c r="P30" i="74"/>
  <c r="P50" i="73"/>
  <c r="D12" i="73"/>
  <c r="D92" i="72"/>
  <c r="D32" i="72"/>
  <c r="P32" i="72" s="1"/>
  <c r="P50" i="74"/>
  <c r="D12" i="74"/>
  <c r="D92" i="71"/>
  <c r="D32" i="71"/>
  <c r="P32" i="71" s="1"/>
  <c r="D12" i="71"/>
  <c r="P50" i="71"/>
  <c r="D92" i="73"/>
  <c r="D32" i="73"/>
  <c r="P32" i="73" s="1"/>
  <c r="D93" i="73"/>
  <c r="D9" i="73" s="1"/>
  <c r="E91" i="73"/>
  <c r="P30" i="71"/>
  <c r="D92" i="74"/>
  <c r="D32" i="74"/>
  <c r="P32" i="74" s="1"/>
  <c r="D93" i="71"/>
  <c r="D9" i="71" s="1"/>
  <c r="E91" i="71"/>
  <c r="I101" i="74"/>
  <c r="I6" i="74" s="1"/>
  <c r="J100" i="74"/>
  <c r="G6" i="73"/>
  <c r="I100" i="73"/>
  <c r="H101" i="73"/>
  <c r="H6" i="73" s="1"/>
  <c r="I101" i="72"/>
  <c r="J100" i="72"/>
  <c r="H6" i="71"/>
  <c r="I101" i="71"/>
  <c r="I6" i="71" s="1"/>
  <c r="J100" i="71"/>
  <c r="D14" i="70"/>
  <c r="P32" i="69"/>
  <c r="P30" i="70"/>
  <c r="D32" i="70"/>
  <c r="P32" i="70" s="1"/>
  <c r="D92" i="70"/>
  <c r="D12" i="69"/>
  <c r="P12" i="69" s="1"/>
  <c r="P50" i="69"/>
  <c r="D12" i="70"/>
  <c r="P12" i="70" s="1"/>
  <c r="P50" i="70"/>
  <c r="D9" i="70"/>
  <c r="E91" i="70"/>
  <c r="J100" i="70"/>
  <c r="I101" i="70"/>
  <c r="I6" i="70" s="1"/>
  <c r="H11" i="69"/>
  <c r="P46" i="9"/>
  <c r="H9" i="9"/>
  <c r="H11" i="68"/>
  <c r="H11" i="67"/>
  <c r="H8" i="9"/>
  <c r="H10" i="67"/>
  <c r="G9" i="68"/>
  <c r="G7" i="9"/>
  <c r="G9" i="67"/>
  <c r="H26" i="9"/>
  <c r="H31" i="9" s="1"/>
  <c r="H36" i="9" s="1"/>
  <c r="H30" i="67"/>
  <c r="H37" i="67" s="1"/>
  <c r="H42" i="67" s="1"/>
  <c r="D12" i="67"/>
  <c r="P12" i="67" s="1"/>
  <c r="P52" i="67"/>
  <c r="O30" i="67"/>
  <c r="O37" i="67" s="1"/>
  <c r="O42" i="67" s="1"/>
  <c r="O26" i="9"/>
  <c r="O31" i="9" s="1"/>
  <c r="O36" i="9" s="1"/>
  <c r="D12" i="68"/>
  <c r="P12" i="68" s="1"/>
  <c r="P50" i="68"/>
  <c r="K26" i="9"/>
  <c r="K31" i="9" s="1"/>
  <c r="K36" i="9" s="1"/>
  <c r="K30" i="67"/>
  <c r="K37" i="67" s="1"/>
  <c r="K42" i="67" s="1"/>
  <c r="D6" i="9"/>
  <c r="D31" i="67"/>
  <c r="P31" i="67" s="1"/>
  <c r="D8" i="67"/>
  <c r="I26" i="9"/>
  <c r="I31" i="9" s="1"/>
  <c r="I36" i="9" s="1"/>
  <c r="I30" i="67"/>
  <c r="I37" i="67" s="1"/>
  <c r="I42" i="67" s="1"/>
  <c r="N30" i="67"/>
  <c r="N37" i="67" s="1"/>
  <c r="N42" i="67" s="1"/>
  <c r="N26" i="9"/>
  <c r="N31" i="9" s="1"/>
  <c r="N36" i="9" s="1"/>
  <c r="M30" i="67"/>
  <c r="M37" i="67" s="1"/>
  <c r="M42" i="67" s="1"/>
  <c r="M26" i="9"/>
  <c r="M31" i="9" s="1"/>
  <c r="M36" i="9" s="1"/>
  <c r="G8" i="67"/>
  <c r="D35" i="35"/>
  <c r="D22" i="62"/>
  <c r="D27" i="9"/>
  <c r="P27" i="9" s="1"/>
  <c r="I26" i="35"/>
  <c r="H34" i="35"/>
  <c r="I25" i="35"/>
  <c r="H33" i="35"/>
  <c r="H24" i="35"/>
  <c r="G32" i="35"/>
  <c r="H9" i="69" s="1"/>
  <c r="H23" i="35"/>
  <c r="G31" i="35"/>
  <c r="H6" i="9" s="1"/>
  <c r="F22" i="35"/>
  <c r="E30" i="35"/>
  <c r="F5" i="9" s="1"/>
  <c r="E27" i="35"/>
  <c r="M22" i="62"/>
  <c r="M35" i="8"/>
  <c r="M43" i="8" s="1"/>
  <c r="I22" i="62"/>
  <c r="I35" i="8"/>
  <c r="I43" i="8" s="1"/>
  <c r="E14" i="62"/>
  <c r="E81" i="68" s="1"/>
  <c r="H22" i="62"/>
  <c r="H35" i="8"/>
  <c r="H43" i="8" s="1"/>
  <c r="P15" i="62"/>
  <c r="D36" i="8"/>
  <c r="D43" i="8" s="1"/>
  <c r="K22" i="62"/>
  <c r="K35" i="8"/>
  <c r="K43" i="8" s="1"/>
  <c r="O22" i="62"/>
  <c r="O35" i="8"/>
  <c r="O43" i="8" s="1"/>
  <c r="N22" i="62"/>
  <c r="N35" i="8"/>
  <c r="N43" i="8" s="1"/>
  <c r="O163" i="36"/>
  <c r="E22" i="53"/>
  <c r="P14" i="53"/>
  <c r="F24" i="8"/>
  <c r="P20" i="8"/>
  <c r="I24" i="8"/>
  <c r="H24" i="8"/>
  <c r="G24" i="8"/>
  <c r="P22" i="8"/>
  <c r="K24" i="8"/>
  <c r="E24" i="8"/>
  <c r="M24" i="8"/>
  <c r="P23" i="8"/>
  <c r="O24" i="8"/>
  <c r="P21" i="8"/>
  <c r="N24" i="8"/>
  <c r="L24" i="8"/>
  <c r="J24" i="8"/>
  <c r="G62" i="73" l="1"/>
  <c r="G58" i="73"/>
  <c r="G12" i="78" s="1"/>
  <c r="J58" i="73"/>
  <c r="J12" i="78" s="1"/>
  <c r="J62" i="73"/>
  <c r="J58" i="74"/>
  <c r="J13" i="78" s="1"/>
  <c r="J62" i="74"/>
  <c r="G58" i="72"/>
  <c r="G11" i="78" s="1"/>
  <c r="G62" i="72"/>
  <c r="G62" i="71"/>
  <c r="G58" i="71"/>
  <c r="G10" i="78" s="1"/>
  <c r="G62" i="74"/>
  <c r="G58" i="74"/>
  <c r="G13" i="78" s="1"/>
  <c r="I40" i="74"/>
  <c r="I54" i="74" s="1"/>
  <c r="I62" i="74" s="1"/>
  <c r="K40" i="74"/>
  <c r="K54" i="74" s="1"/>
  <c r="K62" i="74" s="1"/>
  <c r="L63" i="74" s="1"/>
  <c r="L64" i="74" s="1"/>
  <c r="M40" i="71"/>
  <c r="M54" i="71" s="1"/>
  <c r="H40" i="71"/>
  <c r="H54" i="71" s="1"/>
  <c r="O40" i="71"/>
  <c r="O54" i="71" s="1"/>
  <c r="O62" i="71" s="1"/>
  <c r="M40" i="73"/>
  <c r="M54" i="73" s="1"/>
  <c r="M62" i="73" s="1"/>
  <c r="H40" i="73"/>
  <c r="H54" i="73" s="1"/>
  <c r="N40" i="74"/>
  <c r="N54" i="74" s="1"/>
  <c r="K40" i="72"/>
  <c r="K54" i="72" s="1"/>
  <c r="K40" i="71"/>
  <c r="K54" i="71" s="1"/>
  <c r="K58" i="71" s="1"/>
  <c r="K10" i="78" s="1"/>
  <c r="O40" i="72"/>
  <c r="O54" i="72" s="1"/>
  <c r="O62" i="72" s="1"/>
  <c r="M40" i="74"/>
  <c r="M54" i="74" s="1"/>
  <c r="H40" i="72"/>
  <c r="H54" i="72" s="1"/>
  <c r="I40" i="72"/>
  <c r="I54" i="72" s="1"/>
  <c r="I62" i="72" s="1"/>
  <c r="J58" i="72"/>
  <c r="J11" i="78" s="1"/>
  <c r="J62" i="71"/>
  <c r="J58" i="71"/>
  <c r="J10" i="78" s="1"/>
  <c r="M40" i="72"/>
  <c r="M54" i="72" s="1"/>
  <c r="H40" i="74"/>
  <c r="H54" i="74" s="1"/>
  <c r="N40" i="72"/>
  <c r="N54" i="72" s="1"/>
  <c r="N40" i="71"/>
  <c r="N54" i="71" s="1"/>
  <c r="K40" i="73"/>
  <c r="K54" i="73" s="1"/>
  <c r="O40" i="73"/>
  <c r="O54" i="73" s="1"/>
  <c r="O62" i="73" s="1"/>
  <c r="I40" i="73"/>
  <c r="I54" i="73" s="1"/>
  <c r="I62" i="73" s="1"/>
  <c r="O40" i="74"/>
  <c r="N40" i="73"/>
  <c r="N54" i="73" s="1"/>
  <c r="I40" i="71"/>
  <c r="I54" i="71" s="1"/>
  <c r="I62" i="71" s="1"/>
  <c r="P12" i="71"/>
  <c r="AM116" i="9"/>
  <c r="X116" i="9"/>
  <c r="X119" i="9" s="1"/>
  <c r="X120" i="9" s="1"/>
  <c r="I116" i="9"/>
  <c r="I119" i="9" s="1"/>
  <c r="I120" i="9" s="1"/>
  <c r="AA124" i="9"/>
  <c r="AA127" i="9" s="1"/>
  <c r="AA128" i="9" s="1"/>
  <c r="L124" i="9"/>
  <c r="AP124" i="9"/>
  <c r="D33" i="73"/>
  <c r="D35" i="73" s="1"/>
  <c r="D40" i="73" s="1"/>
  <c r="D33" i="71"/>
  <c r="D35" i="71" s="1"/>
  <c r="D40" i="71" s="1"/>
  <c r="D82" i="70"/>
  <c r="D82" i="71"/>
  <c r="D82" i="74"/>
  <c r="D82" i="73"/>
  <c r="D83" i="68"/>
  <c r="D5" i="68" s="1"/>
  <c r="D18" i="68" s="1"/>
  <c r="D82" i="72"/>
  <c r="D82" i="69"/>
  <c r="E82" i="68"/>
  <c r="D33" i="70"/>
  <c r="D35" i="70" s="1"/>
  <c r="D40" i="70" s="1"/>
  <c r="D33" i="69"/>
  <c r="D35" i="69" s="1"/>
  <c r="D40" i="69" s="1"/>
  <c r="D54" i="69" s="1"/>
  <c r="D33" i="74"/>
  <c r="D35" i="74" s="1"/>
  <c r="D40" i="74" s="1"/>
  <c r="E81" i="69"/>
  <c r="E33" i="69" s="1"/>
  <c r="E35" i="69" s="1"/>
  <c r="E81" i="70"/>
  <c r="E33" i="70" s="1"/>
  <c r="E35" i="70" s="1"/>
  <c r="E81" i="74"/>
  <c r="E33" i="74" s="1"/>
  <c r="E35" i="74" s="1"/>
  <c r="E81" i="71"/>
  <c r="E33" i="71" s="1"/>
  <c r="E35" i="71" s="1"/>
  <c r="E81" i="73"/>
  <c r="E33" i="73" s="1"/>
  <c r="E81" i="72"/>
  <c r="E33" i="72" s="1"/>
  <c r="E35" i="72" s="1"/>
  <c r="E33" i="68"/>
  <c r="P81" i="68"/>
  <c r="D33" i="72"/>
  <c r="D35" i="72" s="1"/>
  <c r="D40" i="72" s="1"/>
  <c r="D16" i="9"/>
  <c r="D5" i="75" s="1"/>
  <c r="I99" i="9"/>
  <c r="P22" i="53"/>
  <c r="P12" i="72"/>
  <c r="P12" i="73"/>
  <c r="P12" i="74"/>
  <c r="I97" i="9"/>
  <c r="G60" i="67"/>
  <c r="G6" i="78" s="1"/>
  <c r="G64" i="67"/>
  <c r="G58" i="68"/>
  <c r="G7" i="78" s="1"/>
  <c r="G62" i="68"/>
  <c r="G54" i="9"/>
  <c r="G5" i="78" s="1"/>
  <c r="G58" i="9"/>
  <c r="J60" i="67"/>
  <c r="J6" i="78" s="1"/>
  <c r="J64" i="67"/>
  <c r="J54" i="9"/>
  <c r="J5" i="78" s="1"/>
  <c r="J58" i="9"/>
  <c r="N56" i="67"/>
  <c r="O50" i="9"/>
  <c r="O58" i="9" s="1"/>
  <c r="H54" i="69"/>
  <c r="N50" i="9"/>
  <c r="I50" i="9"/>
  <c r="I58" i="9" s="1"/>
  <c r="H54" i="68"/>
  <c r="I56" i="67"/>
  <c r="I64" i="67" s="1"/>
  <c r="K56" i="67"/>
  <c r="K50" i="9"/>
  <c r="K54" i="9" s="1"/>
  <c r="K5" i="78" s="1"/>
  <c r="M56" i="67"/>
  <c r="M60" i="67" s="1"/>
  <c r="M6" i="78" s="1"/>
  <c r="H56" i="67"/>
  <c r="H54" i="70"/>
  <c r="O56" i="67"/>
  <c r="O64" i="67" s="1"/>
  <c r="M50" i="9"/>
  <c r="H50" i="9"/>
  <c r="H54" i="9" s="1"/>
  <c r="H5" i="78" s="1"/>
  <c r="O99" i="9"/>
  <c r="O98" i="9"/>
  <c r="F98" i="9"/>
  <c r="O97" i="9"/>
  <c r="L98" i="9"/>
  <c r="L97" i="9"/>
  <c r="L127" i="9"/>
  <c r="L128" i="9" s="1"/>
  <c r="L125" i="9"/>
  <c r="L126" i="9" s="1"/>
  <c r="F99" i="9"/>
  <c r="P89" i="9"/>
  <c r="D18" i="67"/>
  <c r="D20" i="67" s="1"/>
  <c r="D94" i="74"/>
  <c r="E92" i="74"/>
  <c r="D94" i="73"/>
  <c r="D11" i="73" s="1"/>
  <c r="E92" i="73"/>
  <c r="E93" i="74"/>
  <c r="F91" i="74"/>
  <c r="E93" i="71"/>
  <c r="E9" i="71" s="1"/>
  <c r="F91" i="71"/>
  <c r="E93" i="73"/>
  <c r="E9" i="73" s="1"/>
  <c r="F91" i="73"/>
  <c r="D94" i="71"/>
  <c r="D11" i="71" s="1"/>
  <c r="E92" i="71"/>
  <c r="D94" i="72"/>
  <c r="D11" i="72" s="1"/>
  <c r="E92" i="72"/>
  <c r="E93" i="72"/>
  <c r="E9" i="72" s="1"/>
  <c r="F91" i="72"/>
  <c r="J101" i="74"/>
  <c r="J6" i="74" s="1"/>
  <c r="K100" i="74"/>
  <c r="I101" i="73"/>
  <c r="I6" i="73" s="1"/>
  <c r="J100" i="73"/>
  <c r="J101" i="72"/>
  <c r="J6" i="72" s="1"/>
  <c r="K100" i="72"/>
  <c r="I6" i="72"/>
  <c r="J101" i="71"/>
  <c r="J6" i="71" s="1"/>
  <c r="K100" i="71"/>
  <c r="F91" i="70"/>
  <c r="E93" i="70"/>
  <c r="E9" i="70" s="1"/>
  <c r="E92" i="70"/>
  <c r="D94" i="70"/>
  <c r="K100" i="70"/>
  <c r="J101" i="70"/>
  <c r="J6" i="70" s="1"/>
  <c r="I11" i="69"/>
  <c r="I35" i="70"/>
  <c r="I40" i="70" s="1"/>
  <c r="G35" i="70"/>
  <c r="G40" i="70" s="1"/>
  <c r="I35" i="69"/>
  <c r="I40" i="69" s="1"/>
  <c r="G35" i="69"/>
  <c r="G40" i="69" s="1"/>
  <c r="H7" i="9"/>
  <c r="H9" i="68"/>
  <c r="H9" i="67"/>
  <c r="D37" i="67"/>
  <c r="D42" i="67" s="1"/>
  <c r="I11" i="67"/>
  <c r="I11" i="68"/>
  <c r="I9" i="9"/>
  <c r="I8" i="9"/>
  <c r="I10" i="67"/>
  <c r="E5" i="9"/>
  <c r="E30" i="67"/>
  <c r="E26" i="9"/>
  <c r="E31" i="9" s="1"/>
  <c r="E36" i="9" s="1"/>
  <c r="E7" i="67"/>
  <c r="F7" i="67"/>
  <c r="H8" i="67"/>
  <c r="D31" i="9"/>
  <c r="D36" i="9" s="1"/>
  <c r="E35" i="35"/>
  <c r="E35" i="8"/>
  <c r="E43" i="8" s="1"/>
  <c r="J25" i="35"/>
  <c r="I33" i="35"/>
  <c r="G22" i="35"/>
  <c r="F30" i="35"/>
  <c r="G5" i="9" s="1"/>
  <c r="G16" i="9" s="1"/>
  <c r="F27" i="35"/>
  <c r="I24" i="35"/>
  <c r="H32" i="35"/>
  <c r="I9" i="69" s="1"/>
  <c r="I23" i="35"/>
  <c r="H31" i="35"/>
  <c r="I6" i="9" s="1"/>
  <c r="J26" i="35"/>
  <c r="I34" i="35"/>
  <c r="P36" i="8"/>
  <c r="E16" i="8"/>
  <c r="P16" i="8" s="1"/>
  <c r="P14" i="62"/>
  <c r="E22" i="62"/>
  <c r="P22" i="62" s="1"/>
  <c r="P24" i="8"/>
  <c r="N62" i="72" l="1"/>
  <c r="N58" i="72"/>
  <c r="N11" i="78" s="1"/>
  <c r="P81" i="72"/>
  <c r="K58" i="73"/>
  <c r="K12" i="78" s="1"/>
  <c r="K62" i="73"/>
  <c r="L63" i="73" s="1"/>
  <c r="L65" i="73" s="1"/>
  <c r="K58" i="72"/>
  <c r="K11" i="78" s="1"/>
  <c r="K62" i="72"/>
  <c r="L63" i="72" s="1"/>
  <c r="L64" i="72" s="1"/>
  <c r="H62" i="73"/>
  <c r="I63" i="73" s="1"/>
  <c r="I66" i="73" s="1"/>
  <c r="H58" i="73"/>
  <c r="H12" i="78" s="1"/>
  <c r="N62" i="74"/>
  <c r="N58" i="74"/>
  <c r="N13" i="78" s="1"/>
  <c r="N62" i="73"/>
  <c r="O63" i="73" s="1"/>
  <c r="N58" i="73"/>
  <c r="N12" i="78" s="1"/>
  <c r="H58" i="72"/>
  <c r="H11" i="78" s="1"/>
  <c r="H62" i="72"/>
  <c r="I63" i="72" s="1"/>
  <c r="I65" i="72" s="1"/>
  <c r="M62" i="71"/>
  <c r="M58" i="71"/>
  <c r="M10" i="78" s="1"/>
  <c r="H58" i="74"/>
  <c r="H13" i="78" s="1"/>
  <c r="H62" i="74"/>
  <c r="I63" i="74" s="1"/>
  <c r="I64" i="74" s="1"/>
  <c r="M58" i="74"/>
  <c r="M13" i="78" s="1"/>
  <c r="M62" i="74"/>
  <c r="M62" i="72"/>
  <c r="O63" i="72" s="1"/>
  <c r="O66" i="72" s="1"/>
  <c r="M58" i="72"/>
  <c r="M11" i="78" s="1"/>
  <c r="N58" i="71"/>
  <c r="N10" i="78" s="1"/>
  <c r="N62" i="71"/>
  <c r="H62" i="71"/>
  <c r="I63" i="71" s="1"/>
  <c r="I66" i="71" s="1"/>
  <c r="H58" i="71"/>
  <c r="H10" i="78" s="1"/>
  <c r="E40" i="72"/>
  <c r="E54" i="72" s="1"/>
  <c r="M58" i="73"/>
  <c r="M12" i="78" s="1"/>
  <c r="E40" i="71"/>
  <c r="E54" i="71" s="1"/>
  <c r="K58" i="74"/>
  <c r="K13" i="78" s="1"/>
  <c r="P36" i="9"/>
  <c r="E40" i="74"/>
  <c r="E54" i="74" s="1"/>
  <c r="K62" i="71"/>
  <c r="L63" i="71" s="1"/>
  <c r="L64" i="71" s="1"/>
  <c r="E40" i="70"/>
  <c r="E54" i="70" s="1"/>
  <c r="O54" i="74"/>
  <c r="O62" i="74" s="1"/>
  <c r="E40" i="69"/>
  <c r="E54" i="69" s="1"/>
  <c r="X117" i="9"/>
  <c r="X118" i="9" s="1"/>
  <c r="D5" i="76"/>
  <c r="E16" i="9"/>
  <c r="E5" i="75" s="1"/>
  <c r="I117" i="9"/>
  <c r="I118" i="9" s="1"/>
  <c r="AP127" i="9"/>
  <c r="AP128" i="9" s="1"/>
  <c r="AP125" i="9"/>
  <c r="AP126" i="9" s="1"/>
  <c r="AS108" i="9"/>
  <c r="O108" i="9"/>
  <c r="O111" i="9" s="1"/>
  <c r="O112" i="9" s="1"/>
  <c r="AD108" i="9"/>
  <c r="AM108" i="9"/>
  <c r="X108" i="9"/>
  <c r="X111" i="9" s="1"/>
  <c r="X112" i="9" s="1"/>
  <c r="I108" i="9"/>
  <c r="I109" i="9" s="1"/>
  <c r="I110" i="9" s="1"/>
  <c r="L108" i="9"/>
  <c r="L111" i="9" s="1"/>
  <c r="L112" i="9" s="1"/>
  <c r="AA108" i="9"/>
  <c r="AA111" i="9" s="1"/>
  <c r="AA112" i="9" s="1"/>
  <c r="AP108" i="9"/>
  <c r="AS116" i="9"/>
  <c r="AD116" i="9"/>
  <c r="O116" i="9"/>
  <c r="O119" i="9" s="1"/>
  <c r="O120" i="9" s="1"/>
  <c r="AM124" i="9"/>
  <c r="X124" i="9"/>
  <c r="X127" i="9" s="1"/>
  <c r="X128" i="9" s="1"/>
  <c r="I124" i="9"/>
  <c r="I127" i="9" s="1"/>
  <c r="I128" i="9" s="1"/>
  <c r="AM119" i="9"/>
  <c r="AM120" i="9" s="1"/>
  <c r="AM117" i="9"/>
  <c r="AM118" i="9" s="1"/>
  <c r="AA116" i="9"/>
  <c r="AA117" i="9" s="1"/>
  <c r="AA118" i="9" s="1"/>
  <c r="L116" i="9"/>
  <c r="L117" i="9" s="1"/>
  <c r="L118" i="9" s="1"/>
  <c r="AP116" i="9"/>
  <c r="O124" i="9"/>
  <c r="O127" i="9" s="1"/>
  <c r="O128" i="9" s="1"/>
  <c r="AS124" i="9"/>
  <c r="AD124" i="9"/>
  <c r="U124" i="9"/>
  <c r="F124" i="9"/>
  <c r="AJ124" i="9"/>
  <c r="U116" i="9"/>
  <c r="AJ116" i="9"/>
  <c r="F116" i="9"/>
  <c r="P81" i="70"/>
  <c r="P81" i="74"/>
  <c r="P33" i="74"/>
  <c r="P81" i="69"/>
  <c r="P33" i="72"/>
  <c r="P33" i="73"/>
  <c r="E35" i="73"/>
  <c r="E82" i="72"/>
  <c r="E82" i="74"/>
  <c r="F82" i="68"/>
  <c r="E82" i="69"/>
  <c r="E82" i="71"/>
  <c r="E83" i="68"/>
  <c r="E5" i="68" s="1"/>
  <c r="E18" i="68" s="1"/>
  <c r="E82" i="70"/>
  <c r="E82" i="73"/>
  <c r="P81" i="71"/>
  <c r="P33" i="71"/>
  <c r="P81" i="73"/>
  <c r="D83" i="70"/>
  <c r="D5" i="70" s="1"/>
  <c r="D83" i="71"/>
  <c r="D5" i="71" s="1"/>
  <c r="D18" i="71" s="1"/>
  <c r="D83" i="74"/>
  <c r="D5" i="74" s="1"/>
  <c r="D83" i="73"/>
  <c r="D5" i="73" s="1"/>
  <c r="D18" i="73" s="1"/>
  <c r="D83" i="72"/>
  <c r="D5" i="72" s="1"/>
  <c r="D18" i="72" s="1"/>
  <c r="D83" i="69"/>
  <c r="D5" i="69" s="1"/>
  <c r="D18" i="69" s="1"/>
  <c r="D10" i="75" s="1"/>
  <c r="L65" i="74"/>
  <c r="L66" i="74"/>
  <c r="AA109" i="9"/>
  <c r="AA110" i="9" s="1"/>
  <c r="I111" i="9"/>
  <c r="I112" i="9" s="1"/>
  <c r="N64" i="67"/>
  <c r="N60" i="67"/>
  <c r="N6" i="78" s="1"/>
  <c r="K58" i="9"/>
  <c r="L59" i="9" s="1"/>
  <c r="L61" i="9" s="1"/>
  <c r="H58" i="70"/>
  <c r="H9" i="78" s="1"/>
  <c r="H62" i="70"/>
  <c r="D58" i="69"/>
  <c r="D8" i="78" s="1"/>
  <c r="D62" i="69"/>
  <c r="K64" i="67"/>
  <c r="L65" i="67" s="1"/>
  <c r="L68" i="67" s="1"/>
  <c r="K60" i="67"/>
  <c r="K6" i="78" s="1"/>
  <c r="H62" i="68"/>
  <c r="H58" i="68"/>
  <c r="H7" i="78" s="1"/>
  <c r="N54" i="9"/>
  <c r="N5" i="78" s="1"/>
  <c r="N58" i="9"/>
  <c r="H58" i="9"/>
  <c r="I59" i="9" s="1"/>
  <c r="I60" i="9" s="1"/>
  <c r="M54" i="9"/>
  <c r="M5" i="78" s="1"/>
  <c r="M58" i="9"/>
  <c r="H64" i="67"/>
  <c r="I65" i="67" s="1"/>
  <c r="I67" i="67" s="1"/>
  <c r="H60" i="67"/>
  <c r="H6" i="78" s="1"/>
  <c r="H62" i="69"/>
  <c r="H58" i="69"/>
  <c r="H8" i="78" s="1"/>
  <c r="M64" i="67"/>
  <c r="I54" i="69"/>
  <c r="I62" i="69" s="1"/>
  <c r="I54" i="70"/>
  <c r="I62" i="70" s="1"/>
  <c r="E50" i="9"/>
  <c r="E54" i="9" s="1"/>
  <c r="E5" i="78" s="1"/>
  <c r="AA125" i="9"/>
  <c r="AA126" i="9" s="1"/>
  <c r="P87" i="9"/>
  <c r="P88" i="9"/>
  <c r="P94" i="9"/>
  <c r="P93" i="9"/>
  <c r="P98" i="9"/>
  <c r="P97" i="9"/>
  <c r="P99" i="9"/>
  <c r="P92" i="9"/>
  <c r="P104" i="9"/>
  <c r="E18" i="67"/>
  <c r="E20" i="67" s="1"/>
  <c r="D8" i="75"/>
  <c r="D7" i="76"/>
  <c r="D6" i="75"/>
  <c r="D7" i="75" s="1"/>
  <c r="D6" i="76"/>
  <c r="G91" i="71"/>
  <c r="F93" i="71"/>
  <c r="F9" i="71" s="1"/>
  <c r="E94" i="72"/>
  <c r="E11" i="72" s="1"/>
  <c r="F92" i="72"/>
  <c r="E94" i="73"/>
  <c r="E11" i="73" s="1"/>
  <c r="F92" i="73"/>
  <c r="E94" i="71"/>
  <c r="E11" i="71" s="1"/>
  <c r="F92" i="71"/>
  <c r="P35" i="74"/>
  <c r="F93" i="74"/>
  <c r="G91" i="74"/>
  <c r="E94" i="74"/>
  <c r="F92" i="74"/>
  <c r="F93" i="73"/>
  <c r="F9" i="73" s="1"/>
  <c r="G91" i="73"/>
  <c r="F93" i="72"/>
  <c r="F9" i="72" s="1"/>
  <c r="G91" i="72"/>
  <c r="P35" i="71"/>
  <c r="P35" i="72"/>
  <c r="K101" i="74"/>
  <c r="K6" i="74" s="1"/>
  <c r="L100" i="74"/>
  <c r="J101" i="73"/>
  <c r="K100" i="73"/>
  <c r="K101" i="72"/>
  <c r="K6" i="72" s="1"/>
  <c r="L100" i="72"/>
  <c r="D11" i="70"/>
  <c r="K101" i="71"/>
  <c r="K6" i="71" s="1"/>
  <c r="L100" i="71"/>
  <c r="E94" i="70"/>
  <c r="E11" i="70" s="1"/>
  <c r="F92" i="70"/>
  <c r="G91" i="70"/>
  <c r="F93" i="70"/>
  <c r="F9" i="70" s="1"/>
  <c r="L100" i="70"/>
  <c r="K101" i="70"/>
  <c r="K6" i="70" s="1"/>
  <c r="J11" i="69"/>
  <c r="J10" i="67"/>
  <c r="J8" i="9"/>
  <c r="J11" i="67"/>
  <c r="J11" i="68"/>
  <c r="J9" i="9"/>
  <c r="I9" i="67"/>
  <c r="I7" i="9"/>
  <c r="I9" i="68"/>
  <c r="E37" i="67"/>
  <c r="P30" i="67"/>
  <c r="D56" i="67"/>
  <c r="E35" i="68"/>
  <c r="E40" i="68" s="1"/>
  <c r="D35" i="68"/>
  <c r="D40" i="68" s="1"/>
  <c r="G7" i="67"/>
  <c r="G18" i="67" s="1"/>
  <c r="G20" i="67" s="1"/>
  <c r="I8" i="67"/>
  <c r="P35" i="8"/>
  <c r="F35" i="35"/>
  <c r="D50" i="9"/>
  <c r="D58" i="9" s="1"/>
  <c r="P26" i="9"/>
  <c r="K26" i="35"/>
  <c r="J34" i="35"/>
  <c r="K25" i="35"/>
  <c r="J33" i="35"/>
  <c r="H22" i="35"/>
  <c r="G30" i="35"/>
  <c r="H5" i="9" s="1"/>
  <c r="H16" i="9" s="1"/>
  <c r="G27" i="35"/>
  <c r="J23" i="35"/>
  <c r="I31" i="35"/>
  <c r="J6" i="9" s="1"/>
  <c r="J24" i="35"/>
  <c r="I32" i="35"/>
  <c r="J9" i="69" s="1"/>
  <c r="P43" i="8"/>
  <c r="X109" i="9" l="1"/>
  <c r="X110" i="9" s="1"/>
  <c r="L65" i="71"/>
  <c r="L66" i="73"/>
  <c r="L64" i="73"/>
  <c r="P40" i="72"/>
  <c r="O64" i="73"/>
  <c r="O65" i="73"/>
  <c r="O66" i="73"/>
  <c r="L66" i="71"/>
  <c r="O109" i="9"/>
  <c r="AA119" i="9"/>
  <c r="AA120" i="9" s="1"/>
  <c r="L109" i="9"/>
  <c r="L110" i="9" s="1"/>
  <c r="AA136" i="9" s="1"/>
  <c r="L136" i="9" s="1"/>
  <c r="L55" i="74" s="1"/>
  <c r="I65" i="74"/>
  <c r="I64" i="73"/>
  <c r="I65" i="73"/>
  <c r="I64" i="72"/>
  <c r="O64" i="72"/>
  <c r="L65" i="72"/>
  <c r="I66" i="72"/>
  <c r="L66" i="72"/>
  <c r="P40" i="71"/>
  <c r="O63" i="71"/>
  <c r="O64" i="71" s="1"/>
  <c r="O63" i="74"/>
  <c r="O64" i="74" s="1"/>
  <c r="O65" i="72"/>
  <c r="E62" i="71"/>
  <c r="E58" i="71"/>
  <c r="E10" i="78" s="1"/>
  <c r="E58" i="69"/>
  <c r="E8" i="78" s="1"/>
  <c r="E62" i="69"/>
  <c r="F63" i="69" s="1"/>
  <c r="F64" i="69" s="1"/>
  <c r="E58" i="72"/>
  <c r="E11" i="78" s="1"/>
  <c r="E62" i="72"/>
  <c r="E58" i="74"/>
  <c r="E13" i="78" s="1"/>
  <c r="E62" i="74"/>
  <c r="E58" i="70"/>
  <c r="E9" i="78" s="1"/>
  <c r="E62" i="70"/>
  <c r="E40" i="73"/>
  <c r="P40" i="73" s="1"/>
  <c r="P40" i="74"/>
  <c r="E42" i="67"/>
  <c r="P42" i="67" s="1"/>
  <c r="I65" i="71"/>
  <c r="D18" i="70"/>
  <c r="D12" i="75" s="1"/>
  <c r="I64" i="71"/>
  <c r="I66" i="74"/>
  <c r="X125" i="9"/>
  <c r="X126" i="9" s="1"/>
  <c r="I125" i="9"/>
  <c r="I126" i="9" s="1"/>
  <c r="O125" i="9"/>
  <c r="O126" i="9" s="1"/>
  <c r="E5" i="76"/>
  <c r="O117" i="9"/>
  <c r="O118" i="9" s="1"/>
  <c r="L119" i="9"/>
  <c r="L120" i="9" s="1"/>
  <c r="D18" i="74"/>
  <c r="D13" i="76" s="1"/>
  <c r="AD125" i="9"/>
  <c r="AD126" i="9" s="1"/>
  <c r="AD127" i="9"/>
  <c r="AD128" i="9" s="1"/>
  <c r="AS117" i="9"/>
  <c r="AS118" i="9" s="1"/>
  <c r="AS119" i="9"/>
  <c r="AS120" i="9" s="1"/>
  <c r="AM109" i="9"/>
  <c r="AM111" i="9"/>
  <c r="AT108" i="9"/>
  <c r="AP109" i="9"/>
  <c r="AP111" i="9"/>
  <c r="AP112" i="9" s="1"/>
  <c r="AS127" i="9"/>
  <c r="AS128" i="9" s="1"/>
  <c r="AS125" i="9"/>
  <c r="AS126" i="9" s="1"/>
  <c r="X138" i="9"/>
  <c r="I138" i="9" s="1"/>
  <c r="I57" i="71" s="1"/>
  <c r="I13" i="71" s="1"/>
  <c r="AP119" i="9"/>
  <c r="AP120" i="9" s="1"/>
  <c r="AP117" i="9"/>
  <c r="AP118" i="9" s="1"/>
  <c r="AM127" i="9"/>
  <c r="AM128" i="9" s="1"/>
  <c r="AM125" i="9"/>
  <c r="AM126" i="9" s="1"/>
  <c r="AS109" i="9"/>
  <c r="AS111" i="9"/>
  <c r="AS112" i="9" s="1"/>
  <c r="AD119" i="9"/>
  <c r="AD120" i="9" s="1"/>
  <c r="AD117" i="9"/>
  <c r="AD118" i="9" s="1"/>
  <c r="AJ127" i="9"/>
  <c r="AJ125" i="9"/>
  <c r="AT124" i="9"/>
  <c r="U125" i="9"/>
  <c r="U126" i="9" s="1"/>
  <c r="U127" i="9"/>
  <c r="AJ119" i="9"/>
  <c r="AJ117" i="9"/>
  <c r="AT116" i="9"/>
  <c r="P100" i="9"/>
  <c r="U119" i="9"/>
  <c r="U117" i="9"/>
  <c r="AD111" i="9"/>
  <c r="AD112" i="9" s="1"/>
  <c r="AD109" i="9"/>
  <c r="AD110" i="9" s="1"/>
  <c r="P35" i="73"/>
  <c r="D8" i="76"/>
  <c r="D16" i="75"/>
  <c r="D11" i="76"/>
  <c r="D18" i="75"/>
  <c r="D12" i="76"/>
  <c r="D14" i="75"/>
  <c r="D10" i="76"/>
  <c r="F82" i="69"/>
  <c r="F82" i="74"/>
  <c r="F83" i="68"/>
  <c r="F5" i="68" s="1"/>
  <c r="F82" i="71"/>
  <c r="G82" i="68"/>
  <c r="F82" i="73"/>
  <c r="F82" i="70"/>
  <c r="F82" i="72"/>
  <c r="E83" i="73"/>
  <c r="E5" i="73" s="1"/>
  <c r="E18" i="73" s="1"/>
  <c r="E83" i="69"/>
  <c r="E5" i="69" s="1"/>
  <c r="E18" i="69" s="1"/>
  <c r="E83" i="74"/>
  <c r="E5" i="74" s="1"/>
  <c r="E18" i="74" s="1"/>
  <c r="E83" i="71"/>
  <c r="E5" i="71" s="1"/>
  <c r="E18" i="71" s="1"/>
  <c r="E83" i="70"/>
  <c r="E5" i="70" s="1"/>
  <c r="E18" i="70" s="1"/>
  <c r="E83" i="72"/>
  <c r="E5" i="72" s="1"/>
  <c r="E18" i="72" s="1"/>
  <c r="L67" i="67"/>
  <c r="L66" i="67"/>
  <c r="L60" i="9"/>
  <c r="O65" i="67"/>
  <c r="O66" i="67" s="1"/>
  <c r="O59" i="9"/>
  <c r="O61" i="9" s="1"/>
  <c r="O7" i="1"/>
  <c r="O15" i="1" s="1"/>
  <c r="I61" i="9"/>
  <c r="L62" i="9"/>
  <c r="I62" i="9"/>
  <c r="D54" i="70"/>
  <c r="E54" i="68"/>
  <c r="L132" i="9"/>
  <c r="L133" i="9" s="1"/>
  <c r="L134" i="9" s="1"/>
  <c r="O110" i="9"/>
  <c r="AE124" i="9"/>
  <c r="F127" i="9"/>
  <c r="F125" i="9"/>
  <c r="F126" i="9" s="1"/>
  <c r="P124" i="9"/>
  <c r="P102" i="9"/>
  <c r="P108" i="9"/>
  <c r="P103" i="9"/>
  <c r="F119" i="9"/>
  <c r="F117" i="9"/>
  <c r="P116" i="9"/>
  <c r="E6" i="75"/>
  <c r="E7" i="75" s="1"/>
  <c r="E6" i="76"/>
  <c r="D11" i="75"/>
  <c r="D9" i="75"/>
  <c r="G6" i="75"/>
  <c r="G6" i="76"/>
  <c r="G5" i="75"/>
  <c r="G5" i="76"/>
  <c r="E8" i="75"/>
  <c r="E7" i="76"/>
  <c r="D54" i="72"/>
  <c r="F94" i="72"/>
  <c r="F11" i="72" s="1"/>
  <c r="G92" i="72"/>
  <c r="G93" i="73"/>
  <c r="G9" i="73" s="1"/>
  <c r="H91" i="73"/>
  <c r="F94" i="73"/>
  <c r="F11" i="73" s="1"/>
  <c r="G92" i="73"/>
  <c r="D54" i="74"/>
  <c r="D54" i="71"/>
  <c r="F94" i="74"/>
  <c r="G92" i="74"/>
  <c r="D54" i="73"/>
  <c r="G93" i="72"/>
  <c r="G9" i="72" s="1"/>
  <c r="H91" i="72"/>
  <c r="G93" i="74"/>
  <c r="H91" i="74"/>
  <c r="G92" i="71"/>
  <c r="F94" i="71"/>
  <c r="F11" i="71" s="1"/>
  <c r="G93" i="71"/>
  <c r="G9" i="71" s="1"/>
  <c r="H91" i="71"/>
  <c r="M100" i="74"/>
  <c r="L101" i="74"/>
  <c r="L6" i="74" s="1"/>
  <c r="K101" i="73"/>
  <c r="K6" i="73" s="1"/>
  <c r="L100" i="73"/>
  <c r="I68" i="67"/>
  <c r="J6" i="73"/>
  <c r="I66" i="67"/>
  <c r="M100" i="72"/>
  <c r="L101" i="72"/>
  <c r="L6" i="72" s="1"/>
  <c r="L101" i="71"/>
  <c r="L6" i="71" s="1"/>
  <c r="M100" i="71"/>
  <c r="G93" i="70"/>
  <c r="G9" i="70" s="1"/>
  <c r="H91" i="70"/>
  <c r="G92" i="70"/>
  <c r="F94" i="70"/>
  <c r="F11" i="70" s="1"/>
  <c r="M100" i="70"/>
  <c r="L101" i="70"/>
  <c r="L6" i="70" s="1"/>
  <c r="K11" i="69"/>
  <c r="G54" i="70"/>
  <c r="K35" i="70"/>
  <c r="K40" i="70" s="1"/>
  <c r="G54" i="69"/>
  <c r="J35" i="69"/>
  <c r="J40" i="69" s="1"/>
  <c r="K35" i="69"/>
  <c r="K40" i="69" s="1"/>
  <c r="J9" i="68"/>
  <c r="J9" i="67"/>
  <c r="J7" i="9"/>
  <c r="K11" i="67"/>
  <c r="K9" i="9"/>
  <c r="K11" i="68"/>
  <c r="K8" i="9"/>
  <c r="K10" i="67"/>
  <c r="D64" i="67"/>
  <c r="D60" i="67"/>
  <c r="D6" i="78" s="1"/>
  <c r="P37" i="67"/>
  <c r="H7" i="67"/>
  <c r="H18" i="67" s="1"/>
  <c r="H20" i="67" s="1"/>
  <c r="J8" i="67"/>
  <c r="G35" i="35"/>
  <c r="P31" i="9"/>
  <c r="D54" i="9"/>
  <c r="D5" i="78" s="1"/>
  <c r="L25" i="35"/>
  <c r="K33" i="35"/>
  <c r="I22" i="35"/>
  <c r="H30" i="35"/>
  <c r="H27" i="35"/>
  <c r="K23" i="35"/>
  <c r="J31" i="35"/>
  <c r="K6" i="9" s="1"/>
  <c r="K24" i="35"/>
  <c r="J32" i="35"/>
  <c r="K9" i="69" s="1"/>
  <c r="L26" i="35"/>
  <c r="K34" i="35"/>
  <c r="I57" i="72" l="1"/>
  <c r="I13" i="72" s="1"/>
  <c r="X136" i="9"/>
  <c r="I136" i="9" s="1"/>
  <c r="O65" i="74"/>
  <c r="O66" i="74"/>
  <c r="AA138" i="9"/>
  <c r="L138" i="9" s="1"/>
  <c r="L57" i="71" s="1"/>
  <c r="L13" i="71" s="1"/>
  <c r="I132" i="9"/>
  <c r="I133" i="9" s="1"/>
  <c r="I134" i="9" s="1"/>
  <c r="X137" i="9" s="1"/>
  <c r="I137" i="9" s="1"/>
  <c r="I56" i="73" s="1"/>
  <c r="L7" i="1"/>
  <c r="L15" i="1" s="1"/>
  <c r="D9" i="76"/>
  <c r="O66" i="71"/>
  <c r="O65" i="71"/>
  <c r="E54" i="73"/>
  <c r="P54" i="73" s="1"/>
  <c r="F66" i="69"/>
  <c r="F65" i="69"/>
  <c r="O132" i="9"/>
  <c r="O133" i="9" s="1"/>
  <c r="O134" i="9" s="1"/>
  <c r="AD137" i="9" s="1"/>
  <c r="O137" i="9" s="1"/>
  <c r="O56" i="72" s="1"/>
  <c r="AD136" i="9"/>
  <c r="O136" i="9" s="1"/>
  <c r="O55" i="73" s="1"/>
  <c r="K6" i="1"/>
  <c r="K14" i="1" s="1"/>
  <c r="K19" i="1" s="1"/>
  <c r="I57" i="74"/>
  <c r="I13" i="74" s="1"/>
  <c r="I57" i="73"/>
  <c r="I13" i="73" s="1"/>
  <c r="I59" i="67"/>
  <c r="I13" i="67" s="1"/>
  <c r="D20" i="75"/>
  <c r="D21" i="75" s="1"/>
  <c r="O67" i="67"/>
  <c r="O68" i="67"/>
  <c r="L6" i="1"/>
  <c r="L14" i="1" s="1"/>
  <c r="L19" i="1" s="1"/>
  <c r="AS138" i="9"/>
  <c r="AD138" i="9"/>
  <c r="O138" i="9" s="1"/>
  <c r="O57" i="73" s="1"/>
  <c r="O13" i="73" s="1"/>
  <c r="AA137" i="9"/>
  <c r="L137" i="9" s="1"/>
  <c r="AM112" i="9"/>
  <c r="AT111" i="9"/>
  <c r="AM110" i="9"/>
  <c r="AM136" i="9" s="1"/>
  <c r="I51" i="9" s="1"/>
  <c r="AM132" i="9"/>
  <c r="AM133" i="9" s="1"/>
  <c r="AM134" i="9" s="1"/>
  <c r="AM137" i="9" s="1"/>
  <c r="I52" i="9" s="1"/>
  <c r="AT109" i="9"/>
  <c r="AS110" i="9"/>
  <c r="AS136" i="9" s="1"/>
  <c r="AS132" i="9"/>
  <c r="AS133" i="9" s="1"/>
  <c r="AS134" i="9" s="1"/>
  <c r="AS137" i="9" s="1"/>
  <c r="O52" i="9" s="1"/>
  <c r="AP138" i="9"/>
  <c r="L53" i="9" s="1"/>
  <c r="AP110" i="9"/>
  <c r="AP136" i="9" s="1"/>
  <c r="L51" i="9" s="1"/>
  <c r="AP132" i="9"/>
  <c r="AP133" i="9" s="1"/>
  <c r="AP134" i="9" s="1"/>
  <c r="AP137" i="9" s="1"/>
  <c r="L52" i="9" s="1"/>
  <c r="D17" i="75"/>
  <c r="AJ126" i="9"/>
  <c r="AT126" i="9" s="1"/>
  <c r="AT125" i="9"/>
  <c r="AT127" i="9"/>
  <c r="AJ128" i="9"/>
  <c r="AT128" i="9" s="1"/>
  <c r="F132" i="9"/>
  <c r="F133" i="9" s="1"/>
  <c r="AJ118" i="9"/>
  <c r="AT117" i="9"/>
  <c r="AJ132" i="9"/>
  <c r="AJ120" i="9"/>
  <c r="AT119" i="9"/>
  <c r="D15" i="75"/>
  <c r="L55" i="72"/>
  <c r="L57" i="67"/>
  <c r="L55" i="71"/>
  <c r="L55" i="73"/>
  <c r="L56" i="73"/>
  <c r="D19" i="75"/>
  <c r="L56" i="71"/>
  <c r="E18" i="75"/>
  <c r="E12" i="76"/>
  <c r="L57" i="74"/>
  <c r="L13" i="74" s="1"/>
  <c r="E16" i="75"/>
  <c r="E11" i="76"/>
  <c r="E14" i="75"/>
  <c r="E10" i="76"/>
  <c r="E20" i="75"/>
  <c r="E13" i="76"/>
  <c r="E10" i="75"/>
  <c r="E11" i="75" s="1"/>
  <c r="E8" i="76"/>
  <c r="G82" i="74"/>
  <c r="G82" i="69"/>
  <c r="H82" i="68"/>
  <c r="G83" i="68"/>
  <c r="G5" i="68" s="1"/>
  <c r="G18" i="68" s="1"/>
  <c r="G82" i="71"/>
  <c r="G82" i="70"/>
  <c r="G82" i="72"/>
  <c r="G82" i="73"/>
  <c r="F83" i="71"/>
  <c r="F5" i="71" s="1"/>
  <c r="F83" i="72"/>
  <c r="F5" i="72" s="1"/>
  <c r="F83" i="69"/>
  <c r="F5" i="69" s="1"/>
  <c r="F83" i="73"/>
  <c r="F5" i="73" s="1"/>
  <c r="F83" i="74"/>
  <c r="F5" i="74" s="1"/>
  <c r="F83" i="70"/>
  <c r="F5" i="70" s="1"/>
  <c r="L58" i="67"/>
  <c r="L11" i="9"/>
  <c r="O8" i="1"/>
  <c r="O62" i="9"/>
  <c r="O60" i="9"/>
  <c r="E62" i="68"/>
  <c r="E58" i="68"/>
  <c r="E7" i="78" s="1"/>
  <c r="K54" i="70"/>
  <c r="K54" i="69"/>
  <c r="D58" i="70"/>
  <c r="D9" i="78" s="1"/>
  <c r="D62" i="70"/>
  <c r="F63" i="70" s="1"/>
  <c r="P126" i="9"/>
  <c r="P125" i="9"/>
  <c r="F128" i="9"/>
  <c r="P128" i="9" s="1"/>
  <c r="P127" i="9"/>
  <c r="E9" i="75"/>
  <c r="AE116" i="9"/>
  <c r="P111" i="9"/>
  <c r="F112" i="9"/>
  <c r="P109" i="9"/>
  <c r="F110" i="9"/>
  <c r="AE108" i="9"/>
  <c r="F118" i="9"/>
  <c r="P118" i="9" s="1"/>
  <c r="P117" i="9"/>
  <c r="AE125" i="9"/>
  <c r="AE126" i="9"/>
  <c r="F120" i="9"/>
  <c r="P120" i="9" s="1"/>
  <c r="P119" i="9"/>
  <c r="U128" i="9"/>
  <c r="AE128" i="9" s="1"/>
  <c r="AE127" i="9"/>
  <c r="G7" i="75"/>
  <c r="H5" i="75"/>
  <c r="H5" i="76"/>
  <c r="E12" i="75"/>
  <c r="E9" i="76"/>
  <c r="D13" i="75"/>
  <c r="H6" i="75"/>
  <c r="H6" i="76"/>
  <c r="G94" i="73"/>
  <c r="G11" i="73" s="1"/>
  <c r="H92" i="73"/>
  <c r="G94" i="71"/>
  <c r="G11" i="71" s="1"/>
  <c r="H92" i="71"/>
  <c r="D58" i="73"/>
  <c r="D12" i="78" s="1"/>
  <c r="D62" i="73"/>
  <c r="I91" i="74"/>
  <c r="H93" i="74"/>
  <c r="H92" i="74"/>
  <c r="G94" i="74"/>
  <c r="I91" i="73"/>
  <c r="H93" i="73"/>
  <c r="H9" i="73" s="1"/>
  <c r="D58" i="71"/>
  <c r="D10" i="78" s="1"/>
  <c r="P54" i="71"/>
  <c r="D62" i="71"/>
  <c r="G94" i="72"/>
  <c r="G11" i="72" s="1"/>
  <c r="H92" i="72"/>
  <c r="I91" i="72"/>
  <c r="H93" i="72"/>
  <c r="H9" i="72" s="1"/>
  <c r="I91" i="71"/>
  <c r="H93" i="71"/>
  <c r="H9" i="71" s="1"/>
  <c r="D58" i="74"/>
  <c r="D13" i="78" s="1"/>
  <c r="P54" i="74"/>
  <c r="D62" i="74"/>
  <c r="D58" i="72"/>
  <c r="P54" i="72"/>
  <c r="D62" i="72"/>
  <c r="N100" i="74"/>
  <c r="M101" i="74"/>
  <c r="M6" i="74" s="1"/>
  <c r="M100" i="73"/>
  <c r="L101" i="73"/>
  <c r="L6" i="73" s="1"/>
  <c r="N100" i="72"/>
  <c r="M101" i="72"/>
  <c r="M6" i="72" s="1"/>
  <c r="N100" i="71"/>
  <c r="M101" i="71"/>
  <c r="M6" i="71" s="1"/>
  <c r="H92" i="70"/>
  <c r="G94" i="70"/>
  <c r="I91" i="70"/>
  <c r="H93" i="70"/>
  <c r="H9" i="70" s="1"/>
  <c r="N100" i="70"/>
  <c r="M101" i="70"/>
  <c r="M6" i="70" s="1"/>
  <c r="L11" i="69"/>
  <c r="L35" i="70"/>
  <c r="L40" i="70" s="1"/>
  <c r="J35" i="70"/>
  <c r="J40" i="70" s="1"/>
  <c r="G58" i="70"/>
  <c r="G62" i="70"/>
  <c r="G62" i="69"/>
  <c r="G58" i="69"/>
  <c r="G8" i="78" s="1"/>
  <c r="L35" i="69"/>
  <c r="L40" i="69" s="1"/>
  <c r="K9" i="68"/>
  <c r="K9" i="67"/>
  <c r="K7" i="9"/>
  <c r="I5" i="9"/>
  <c r="L11" i="68"/>
  <c r="L11" i="67"/>
  <c r="L9" i="9"/>
  <c r="L10" i="67"/>
  <c r="L8" i="9"/>
  <c r="D54" i="68"/>
  <c r="E56" i="67"/>
  <c r="K8" i="67"/>
  <c r="I7" i="67"/>
  <c r="E58" i="9"/>
  <c r="F59" i="9" s="1"/>
  <c r="F60" i="9" s="1"/>
  <c r="H35" i="35"/>
  <c r="L23" i="35"/>
  <c r="K31" i="35"/>
  <c r="L6" i="9" s="1"/>
  <c r="M26" i="35"/>
  <c r="L34" i="35"/>
  <c r="J22" i="35"/>
  <c r="I30" i="35"/>
  <c r="J5" i="9" s="1"/>
  <c r="J16" i="9" s="1"/>
  <c r="I27" i="35"/>
  <c r="L24" i="35"/>
  <c r="K32" i="35"/>
  <c r="L9" i="69" s="1"/>
  <c r="M25" i="35"/>
  <c r="L33" i="35"/>
  <c r="O51" i="9" l="1"/>
  <c r="O53" i="9"/>
  <c r="O58" i="67"/>
  <c r="O11" i="9"/>
  <c r="L59" i="67"/>
  <c r="L13" i="67" s="1"/>
  <c r="L57" i="72"/>
  <c r="L13" i="72" s="1"/>
  <c r="L56" i="72"/>
  <c r="L14" i="72" s="1"/>
  <c r="O55" i="72"/>
  <c r="O14" i="72" s="1"/>
  <c r="L57" i="73"/>
  <c r="L13" i="73" s="1"/>
  <c r="O55" i="71"/>
  <c r="I56" i="72"/>
  <c r="O56" i="74"/>
  <c r="I56" i="74"/>
  <c r="I58" i="67"/>
  <c r="O56" i="73"/>
  <c r="O58" i="73" s="1"/>
  <c r="O12" i="78" s="1"/>
  <c r="O57" i="67"/>
  <c r="O14" i="67" s="1"/>
  <c r="O55" i="74"/>
  <c r="I56" i="71"/>
  <c r="O56" i="71"/>
  <c r="I55" i="74"/>
  <c r="I55" i="73"/>
  <c r="I58" i="73" s="1"/>
  <c r="I12" i="78" s="1"/>
  <c r="I57" i="67"/>
  <c r="I55" i="72"/>
  <c r="I55" i="71"/>
  <c r="L8" i="1"/>
  <c r="O57" i="74"/>
  <c r="O13" i="74" s="1"/>
  <c r="O59" i="67"/>
  <c r="O13" i="67" s="1"/>
  <c r="E62" i="73"/>
  <c r="P62" i="73" s="1"/>
  <c r="E58" i="73"/>
  <c r="E12" i="78" s="1"/>
  <c r="L14" i="71"/>
  <c r="O57" i="71"/>
  <c r="O13" i="71" s="1"/>
  <c r="O57" i="72"/>
  <c r="O13" i="72" s="1"/>
  <c r="L56" i="74"/>
  <c r="L14" i="74" s="1"/>
  <c r="L12" i="9"/>
  <c r="P60" i="9"/>
  <c r="E13" i="75"/>
  <c r="AM138" i="9"/>
  <c r="I53" i="9" s="1"/>
  <c r="I11" i="9" s="1"/>
  <c r="AT112" i="9"/>
  <c r="AT110" i="9"/>
  <c r="E17" i="75"/>
  <c r="AT120" i="9"/>
  <c r="AJ138" i="9"/>
  <c r="E19" i="75"/>
  <c r="AJ133" i="9"/>
  <c r="AT132" i="9"/>
  <c r="AT118" i="9"/>
  <c r="AJ136" i="9"/>
  <c r="L60" i="67"/>
  <c r="L6" i="78" s="1"/>
  <c r="L14" i="73"/>
  <c r="L58" i="71"/>
  <c r="L10" i="78" s="1"/>
  <c r="E21" i="75"/>
  <c r="L14" i="67"/>
  <c r="G8" i="75"/>
  <c r="G9" i="75" s="1"/>
  <c r="G7" i="76"/>
  <c r="G83" i="71"/>
  <c r="G5" i="71" s="1"/>
  <c r="G18" i="71" s="1"/>
  <c r="G83" i="72"/>
  <c r="G5" i="72" s="1"/>
  <c r="G18" i="72" s="1"/>
  <c r="G83" i="70"/>
  <c r="G5" i="70" s="1"/>
  <c r="G83" i="69"/>
  <c r="G5" i="69" s="1"/>
  <c r="G18" i="69" s="1"/>
  <c r="G83" i="73"/>
  <c r="G5" i="73" s="1"/>
  <c r="G18" i="73" s="1"/>
  <c r="G83" i="74"/>
  <c r="G5" i="74" s="1"/>
  <c r="G18" i="74" s="1"/>
  <c r="H82" i="74"/>
  <c r="H83" i="68"/>
  <c r="H5" i="68" s="1"/>
  <c r="H18" i="68" s="1"/>
  <c r="H82" i="69"/>
  <c r="I82" i="68"/>
  <c r="H82" i="71"/>
  <c r="H82" i="70"/>
  <c r="H82" i="72"/>
  <c r="H82" i="73"/>
  <c r="L54" i="9"/>
  <c r="L5" i="78" s="1"/>
  <c r="K62" i="70"/>
  <c r="K58" i="70"/>
  <c r="K9" i="78" s="1"/>
  <c r="K62" i="69"/>
  <c r="K58" i="69"/>
  <c r="K8" i="78" s="1"/>
  <c r="F65" i="70"/>
  <c r="F66" i="70"/>
  <c r="F64" i="70"/>
  <c r="L54" i="70"/>
  <c r="L62" i="70" s="1"/>
  <c r="P110" i="9"/>
  <c r="U112" i="9"/>
  <c r="AE112" i="9" s="1"/>
  <c r="AE111" i="9"/>
  <c r="U110" i="9"/>
  <c r="AE110" i="9" s="1"/>
  <c r="AE109" i="9"/>
  <c r="P112" i="9"/>
  <c r="U120" i="9"/>
  <c r="AE120" i="9" s="1"/>
  <c r="AE119" i="9"/>
  <c r="U118" i="9"/>
  <c r="AE118" i="9" s="1"/>
  <c r="AE117" i="9"/>
  <c r="G9" i="78"/>
  <c r="N7" i="1"/>
  <c r="D11" i="78"/>
  <c r="K7" i="1"/>
  <c r="H7" i="75"/>
  <c r="E15" i="75"/>
  <c r="I93" i="72"/>
  <c r="I9" i="72" s="1"/>
  <c r="J91" i="72"/>
  <c r="F63" i="74"/>
  <c r="P62" i="74"/>
  <c r="I92" i="72"/>
  <c r="H94" i="72"/>
  <c r="H11" i="72" s="1"/>
  <c r="J91" i="73"/>
  <c r="I93" i="73"/>
  <c r="I9" i="73" s="1"/>
  <c r="H94" i="71"/>
  <c r="H11" i="71" s="1"/>
  <c r="I92" i="71"/>
  <c r="P62" i="71"/>
  <c r="F63" i="71"/>
  <c r="H94" i="74"/>
  <c r="I92" i="74"/>
  <c r="I92" i="73"/>
  <c r="H94" i="73"/>
  <c r="H11" i="73" s="1"/>
  <c r="F63" i="72"/>
  <c r="P62" i="72"/>
  <c r="I93" i="71"/>
  <c r="I9" i="71" s="1"/>
  <c r="J91" i="71"/>
  <c r="I93" i="74"/>
  <c r="J91" i="74"/>
  <c r="O100" i="74"/>
  <c r="N101" i="74"/>
  <c r="N6" i="74" s="1"/>
  <c r="N100" i="73"/>
  <c r="M101" i="73"/>
  <c r="M6" i="73" s="1"/>
  <c r="O100" i="72"/>
  <c r="N101" i="72"/>
  <c r="N6" i="72" s="1"/>
  <c r="G11" i="70"/>
  <c r="O100" i="71"/>
  <c r="N101" i="71"/>
  <c r="N6" i="71" s="1"/>
  <c r="J91" i="70"/>
  <c r="I93" i="70"/>
  <c r="I9" i="70" s="1"/>
  <c r="H94" i="70"/>
  <c r="H11" i="70" s="1"/>
  <c r="I92" i="70"/>
  <c r="O100" i="70"/>
  <c r="N101" i="70"/>
  <c r="N6" i="70" s="1"/>
  <c r="M11" i="69"/>
  <c r="I63" i="70"/>
  <c r="I63" i="69"/>
  <c r="J54" i="69"/>
  <c r="M10" i="67"/>
  <c r="M8" i="9"/>
  <c r="L9" i="68"/>
  <c r="L7" i="9"/>
  <c r="L9" i="67"/>
  <c r="L35" i="68"/>
  <c r="L40" i="68" s="1"/>
  <c r="M11" i="68"/>
  <c r="M9" i="9"/>
  <c r="M11" i="67"/>
  <c r="E64" i="67"/>
  <c r="E60" i="67"/>
  <c r="E6" i="78" s="1"/>
  <c r="P56" i="67"/>
  <c r="D62" i="68"/>
  <c r="D58" i="68"/>
  <c r="D7" i="78" s="1"/>
  <c r="J7" i="67"/>
  <c r="J18" i="67" s="1"/>
  <c r="J20" i="67" s="1"/>
  <c r="F61" i="9"/>
  <c r="L8" i="67"/>
  <c r="P58" i="9"/>
  <c r="I35" i="35"/>
  <c r="P50" i="9"/>
  <c r="N26" i="35"/>
  <c r="M34" i="35"/>
  <c r="M23" i="35"/>
  <c r="L31" i="35"/>
  <c r="M6" i="9" s="1"/>
  <c r="K22" i="35"/>
  <c r="J30" i="35"/>
  <c r="K5" i="9" s="1"/>
  <c r="K16" i="9" s="1"/>
  <c r="J27" i="35"/>
  <c r="N25" i="35"/>
  <c r="M33" i="35"/>
  <c r="M24" i="35"/>
  <c r="L32" i="35"/>
  <c r="M9" i="69" s="1"/>
  <c r="I14" i="73" l="1"/>
  <c r="O14" i="73"/>
  <c r="L58" i="72"/>
  <c r="L11" i="78" s="1"/>
  <c r="L58" i="73"/>
  <c r="L12" i="78" s="1"/>
  <c r="AT136" i="9"/>
  <c r="F51" i="9"/>
  <c r="I12" i="9"/>
  <c r="I16" i="9" s="1"/>
  <c r="I5" i="75" s="1"/>
  <c r="O12" i="9"/>
  <c r="I58" i="72"/>
  <c r="I11" i="78" s="1"/>
  <c r="O14" i="74"/>
  <c r="O58" i="74"/>
  <c r="O13" i="78" s="1"/>
  <c r="O14" i="71"/>
  <c r="I60" i="67"/>
  <c r="I6" i="78" s="1"/>
  <c r="O54" i="9"/>
  <c r="O5" i="78" s="1"/>
  <c r="I54" i="9"/>
  <c r="I5" i="78" s="1"/>
  <c r="I14" i="72"/>
  <c r="I58" i="74"/>
  <c r="I13" i="78" s="1"/>
  <c r="O60" i="67"/>
  <c r="O6" i="78" s="1"/>
  <c r="I14" i="74"/>
  <c r="I14" i="71"/>
  <c r="I14" i="67"/>
  <c r="I18" i="67" s="1"/>
  <c r="I20" i="67" s="1"/>
  <c r="I6" i="75" s="1"/>
  <c r="I58" i="71"/>
  <c r="I10" i="78" s="1"/>
  <c r="F63" i="73"/>
  <c r="F66" i="73" s="1"/>
  <c r="O58" i="71"/>
  <c r="O10" i="78" s="1"/>
  <c r="O58" i="72"/>
  <c r="O11" i="78" s="1"/>
  <c r="G18" i="70"/>
  <c r="N6" i="1" s="1"/>
  <c r="N14" i="1" s="1"/>
  <c r="N19" i="1" s="1"/>
  <c r="L58" i="74"/>
  <c r="L13" i="78" s="1"/>
  <c r="AT138" i="9"/>
  <c r="U136" i="9"/>
  <c r="F136" i="9" s="1"/>
  <c r="AJ134" i="9"/>
  <c r="AT133" i="9"/>
  <c r="U138" i="9"/>
  <c r="G11" i="76"/>
  <c r="G16" i="75"/>
  <c r="G14" i="75"/>
  <c r="G10" i="76"/>
  <c r="G13" i="76"/>
  <c r="G20" i="75"/>
  <c r="H8" i="75"/>
  <c r="H9" i="75" s="1"/>
  <c r="H7" i="76"/>
  <c r="G12" i="76"/>
  <c r="G18" i="75"/>
  <c r="I82" i="71"/>
  <c r="I83" i="68"/>
  <c r="I5" i="68" s="1"/>
  <c r="I35" i="68" s="1"/>
  <c r="I82" i="70"/>
  <c r="I82" i="72"/>
  <c r="I82" i="69"/>
  <c r="I82" i="73"/>
  <c r="I82" i="74"/>
  <c r="J82" i="68"/>
  <c r="G10" i="75"/>
  <c r="G11" i="75" s="1"/>
  <c r="G8" i="76"/>
  <c r="H83" i="72"/>
  <c r="H5" i="72" s="1"/>
  <c r="H18" i="72" s="1"/>
  <c r="H83" i="69"/>
  <c r="H5" i="69" s="1"/>
  <c r="H18" i="69" s="1"/>
  <c r="H83" i="73"/>
  <c r="H5" i="73" s="1"/>
  <c r="H18" i="73" s="1"/>
  <c r="H83" i="74"/>
  <c r="H5" i="74" s="1"/>
  <c r="H18" i="74" s="1"/>
  <c r="H83" i="70"/>
  <c r="H5" i="70" s="1"/>
  <c r="H18" i="70" s="1"/>
  <c r="H83" i="71"/>
  <c r="H5" i="71" s="1"/>
  <c r="H18" i="71" s="1"/>
  <c r="P132" i="9"/>
  <c r="R7" i="1"/>
  <c r="R15" i="1" s="1"/>
  <c r="L54" i="69"/>
  <c r="L62" i="69" s="1"/>
  <c r="F134" i="9"/>
  <c r="U137" i="9" s="1"/>
  <c r="P133" i="9"/>
  <c r="N15" i="1"/>
  <c r="N8" i="1"/>
  <c r="K15" i="1"/>
  <c r="K8" i="1"/>
  <c r="J5" i="75"/>
  <c r="J5" i="76"/>
  <c r="J6" i="75"/>
  <c r="J6" i="76"/>
  <c r="K91" i="71"/>
  <c r="J93" i="71"/>
  <c r="J9" i="71" s="1"/>
  <c r="I94" i="73"/>
  <c r="I11" i="73" s="1"/>
  <c r="J92" i="73"/>
  <c r="J93" i="73"/>
  <c r="J9" i="73" s="1"/>
  <c r="K91" i="73"/>
  <c r="I94" i="74"/>
  <c r="J92" i="74"/>
  <c r="F66" i="72"/>
  <c r="F64" i="72"/>
  <c r="P63" i="72"/>
  <c r="F65" i="72"/>
  <c r="F65" i="71"/>
  <c r="P63" i="71"/>
  <c r="F66" i="71"/>
  <c r="F64" i="71"/>
  <c r="I94" i="72"/>
  <c r="I11" i="72" s="1"/>
  <c r="J92" i="72"/>
  <c r="I94" i="71"/>
  <c r="I11" i="71" s="1"/>
  <c r="J92" i="71"/>
  <c r="F66" i="74"/>
  <c r="F64" i="74"/>
  <c r="P63" i="74"/>
  <c r="F65" i="74"/>
  <c r="J93" i="74"/>
  <c r="K91" i="74"/>
  <c r="J93" i="72"/>
  <c r="J9" i="72" s="1"/>
  <c r="K91" i="72"/>
  <c r="O101" i="74"/>
  <c r="O6" i="74" s="1"/>
  <c r="P100" i="74"/>
  <c r="O100" i="73"/>
  <c r="N101" i="73"/>
  <c r="N6" i="73" s="1"/>
  <c r="O101" i="72"/>
  <c r="P100" i="72"/>
  <c r="O101" i="71"/>
  <c r="P100" i="71"/>
  <c r="J92" i="70"/>
  <c r="I94" i="70"/>
  <c r="I11" i="70" s="1"/>
  <c r="K91" i="70"/>
  <c r="J93" i="70"/>
  <c r="J9" i="70" s="1"/>
  <c r="O101" i="70"/>
  <c r="O6" i="70" s="1"/>
  <c r="P100" i="70"/>
  <c r="N11" i="69"/>
  <c r="I64" i="70"/>
  <c r="I55" i="70" s="1"/>
  <c r="I65" i="70"/>
  <c r="I56" i="70" s="1"/>
  <c r="I66" i="70"/>
  <c r="I57" i="70" s="1"/>
  <c r="M35" i="70"/>
  <c r="M40" i="70" s="1"/>
  <c r="N35" i="70"/>
  <c r="N40" i="70" s="1"/>
  <c r="J54" i="70"/>
  <c r="M35" i="69"/>
  <c r="M40" i="69" s="1"/>
  <c r="J58" i="69"/>
  <c r="J8" i="78" s="1"/>
  <c r="J62" i="69"/>
  <c r="N35" i="69"/>
  <c r="N40" i="69" s="1"/>
  <c r="I65" i="69"/>
  <c r="I56" i="69" s="1"/>
  <c r="I66" i="69"/>
  <c r="I57" i="69" s="1"/>
  <c r="I64" i="69"/>
  <c r="I55" i="69" s="1"/>
  <c r="M9" i="67"/>
  <c r="M7" i="9"/>
  <c r="M9" i="68"/>
  <c r="N11" i="68"/>
  <c r="N9" i="9"/>
  <c r="N11" i="67"/>
  <c r="N10" i="67"/>
  <c r="N8" i="9"/>
  <c r="F63" i="68"/>
  <c r="P64" i="67"/>
  <c r="F65" i="67"/>
  <c r="K7" i="67"/>
  <c r="K18" i="67" s="1"/>
  <c r="K20" i="67" s="1"/>
  <c r="M8" i="67"/>
  <c r="P59" i="9"/>
  <c r="F62" i="9"/>
  <c r="F53" i="9" s="1"/>
  <c r="P61" i="9"/>
  <c r="J35" i="35"/>
  <c r="N24" i="35"/>
  <c r="M32" i="35"/>
  <c r="N9" i="69" s="1"/>
  <c r="L22" i="35"/>
  <c r="K30" i="35"/>
  <c r="L5" i="9" s="1"/>
  <c r="L16" i="9" s="1"/>
  <c r="K27" i="35"/>
  <c r="N23" i="35"/>
  <c r="M31" i="35"/>
  <c r="N6" i="9" s="1"/>
  <c r="N33" i="35"/>
  <c r="O25" i="35"/>
  <c r="N34" i="35"/>
  <c r="O26" i="35"/>
  <c r="I5" i="76" l="1"/>
  <c r="G19" i="75"/>
  <c r="P63" i="73"/>
  <c r="F65" i="73"/>
  <c r="P65" i="73" s="1"/>
  <c r="F64" i="73"/>
  <c r="P64" i="73" s="1"/>
  <c r="I6" i="76"/>
  <c r="I7" i="75"/>
  <c r="G9" i="76"/>
  <c r="G12" i="75"/>
  <c r="G13" i="75" s="1"/>
  <c r="I40" i="68"/>
  <c r="I54" i="68" s="1"/>
  <c r="I62" i="68" s="1"/>
  <c r="I63" i="68" s="1"/>
  <c r="AE136" i="9"/>
  <c r="AT141" i="9" s="1"/>
  <c r="O6" i="1"/>
  <c r="O14" i="1" s="1"/>
  <c r="O19" i="1" s="1"/>
  <c r="G21" i="75"/>
  <c r="AJ137" i="9"/>
  <c r="AT134" i="9"/>
  <c r="G17" i="75"/>
  <c r="AE137" i="9"/>
  <c r="F137" i="9"/>
  <c r="F138" i="9"/>
  <c r="P138" i="9" s="1"/>
  <c r="AE138" i="9"/>
  <c r="AT143" i="9" s="1"/>
  <c r="H16" i="75"/>
  <c r="H11" i="76"/>
  <c r="H12" i="76"/>
  <c r="H18" i="75"/>
  <c r="H14" i="75"/>
  <c r="H10" i="76"/>
  <c r="H20" i="75"/>
  <c r="H13" i="76"/>
  <c r="I83" i="70"/>
  <c r="I5" i="70" s="1"/>
  <c r="I83" i="74"/>
  <c r="I5" i="74" s="1"/>
  <c r="I18" i="74" s="1"/>
  <c r="I83" i="72"/>
  <c r="I5" i="72" s="1"/>
  <c r="I18" i="72" s="1"/>
  <c r="I11" i="76" s="1"/>
  <c r="I83" i="71"/>
  <c r="I5" i="71" s="1"/>
  <c r="I18" i="71" s="1"/>
  <c r="I14" i="75" s="1"/>
  <c r="I83" i="69"/>
  <c r="I5" i="69" s="1"/>
  <c r="I83" i="73"/>
  <c r="I5" i="73" s="1"/>
  <c r="I18" i="73" s="1"/>
  <c r="J82" i="72"/>
  <c r="J82" i="73"/>
  <c r="J82" i="74"/>
  <c r="K82" i="68"/>
  <c r="J82" i="69"/>
  <c r="J83" i="68"/>
  <c r="J5" i="68" s="1"/>
  <c r="J82" i="71"/>
  <c r="J82" i="70"/>
  <c r="H10" i="75"/>
  <c r="H11" i="75" s="1"/>
  <c r="H8" i="76"/>
  <c r="R8" i="1"/>
  <c r="N54" i="69"/>
  <c r="N54" i="70"/>
  <c r="P134" i="9"/>
  <c r="F57" i="73"/>
  <c r="P136" i="9"/>
  <c r="F55" i="74"/>
  <c r="F55" i="72"/>
  <c r="F55" i="70"/>
  <c r="F55" i="73"/>
  <c r="F55" i="71"/>
  <c r="F55" i="69"/>
  <c r="J7" i="75"/>
  <c r="H12" i="75"/>
  <c r="H9" i="76"/>
  <c r="K6" i="75"/>
  <c r="K6" i="76"/>
  <c r="K5" i="75"/>
  <c r="K5" i="76"/>
  <c r="P65" i="72"/>
  <c r="P64" i="72"/>
  <c r="P66" i="72"/>
  <c r="P65" i="74"/>
  <c r="P64" i="71"/>
  <c r="P66" i="71"/>
  <c r="P64" i="74"/>
  <c r="P66" i="74"/>
  <c r="P65" i="71"/>
  <c r="P66" i="73"/>
  <c r="K93" i="74"/>
  <c r="L91" i="74"/>
  <c r="J94" i="72"/>
  <c r="K92" i="72"/>
  <c r="K93" i="73"/>
  <c r="L91" i="73"/>
  <c r="J94" i="73"/>
  <c r="K92" i="73"/>
  <c r="K93" i="72"/>
  <c r="L91" i="72"/>
  <c r="J94" i="71"/>
  <c r="K92" i="71"/>
  <c r="J94" i="74"/>
  <c r="K92" i="74"/>
  <c r="L91" i="71"/>
  <c r="K93" i="71"/>
  <c r="P6" i="74"/>
  <c r="P101" i="74"/>
  <c r="O101" i="73"/>
  <c r="P100" i="73"/>
  <c r="O6" i="72"/>
  <c r="P6" i="72" s="1"/>
  <c r="P101" i="72"/>
  <c r="O6" i="71"/>
  <c r="P6" i="71" s="1"/>
  <c r="P101" i="71"/>
  <c r="L91" i="70"/>
  <c r="K93" i="70"/>
  <c r="K9" i="70" s="1"/>
  <c r="K92" i="70"/>
  <c r="J94" i="70"/>
  <c r="P6" i="70"/>
  <c r="P101" i="70"/>
  <c r="O11" i="69"/>
  <c r="P11" i="69" s="1"/>
  <c r="J58" i="70"/>
  <c r="J62" i="70"/>
  <c r="L63" i="69"/>
  <c r="L54" i="68"/>
  <c r="O10" i="67"/>
  <c r="P10" i="67" s="1"/>
  <c r="O8" i="9"/>
  <c r="P8" i="9" s="1"/>
  <c r="O9" i="9"/>
  <c r="P9" i="9" s="1"/>
  <c r="O11" i="68"/>
  <c r="P11" i="68" s="1"/>
  <c r="O11" i="67"/>
  <c r="P11" i="67" s="1"/>
  <c r="N9" i="67"/>
  <c r="N9" i="68"/>
  <c r="N7" i="9"/>
  <c r="F67" i="67"/>
  <c r="F68" i="67"/>
  <c r="F66" i="67"/>
  <c r="F57" i="67" s="1"/>
  <c r="P65" i="67"/>
  <c r="F65" i="68"/>
  <c r="F66" i="68"/>
  <c r="F57" i="68" s="1"/>
  <c r="F64" i="68"/>
  <c r="F55" i="68" s="1"/>
  <c r="L7" i="67"/>
  <c r="L18" i="67" s="1"/>
  <c r="L20" i="67" s="1"/>
  <c r="N8" i="67"/>
  <c r="P62" i="9"/>
  <c r="O34" i="35"/>
  <c r="O33" i="35"/>
  <c r="K35" i="35"/>
  <c r="N31" i="35"/>
  <c r="O6" i="9" s="1"/>
  <c r="O23" i="35"/>
  <c r="M22" i="35"/>
  <c r="L30" i="35"/>
  <c r="M5" i="9" s="1"/>
  <c r="M16" i="9" s="1"/>
  <c r="L27" i="35"/>
  <c r="N32" i="35"/>
  <c r="O9" i="69" s="1"/>
  <c r="P9" i="69" s="1"/>
  <c r="O24" i="35"/>
  <c r="G15" i="75" l="1"/>
  <c r="AT137" i="9"/>
  <c r="AT139" i="9" s="1"/>
  <c r="F52" i="9"/>
  <c r="P52" i="9" s="1"/>
  <c r="AT142" i="9"/>
  <c r="F59" i="67"/>
  <c r="F57" i="70"/>
  <c r="F13" i="70" s="1"/>
  <c r="F57" i="72"/>
  <c r="P57" i="72" s="1"/>
  <c r="F57" i="74"/>
  <c r="F13" i="74" s="1"/>
  <c r="F57" i="69"/>
  <c r="F13" i="69" s="1"/>
  <c r="F57" i="71"/>
  <c r="F13" i="71" s="1"/>
  <c r="H21" i="75"/>
  <c r="AE139" i="9"/>
  <c r="I10" i="76"/>
  <c r="I16" i="75"/>
  <c r="I17" i="75" s="1"/>
  <c r="H19" i="75"/>
  <c r="I18" i="75"/>
  <c r="I12" i="76"/>
  <c r="H17" i="75"/>
  <c r="J35" i="68"/>
  <c r="J18" i="68"/>
  <c r="I65" i="68"/>
  <c r="I56" i="68" s="1"/>
  <c r="I64" i="68"/>
  <c r="I55" i="68" s="1"/>
  <c r="I66" i="68"/>
  <c r="I57" i="68" s="1"/>
  <c r="I13" i="68" s="1"/>
  <c r="I20" i="75"/>
  <c r="I13" i="76"/>
  <c r="K82" i="72"/>
  <c r="K82" i="70"/>
  <c r="K82" i="73"/>
  <c r="L82" i="68"/>
  <c r="K82" i="71"/>
  <c r="K83" i="68"/>
  <c r="K5" i="68" s="1"/>
  <c r="K82" i="74"/>
  <c r="K82" i="69"/>
  <c r="J83" i="70"/>
  <c r="J5" i="70" s="1"/>
  <c r="J83" i="73"/>
  <c r="J5" i="73" s="1"/>
  <c r="J83" i="72"/>
  <c r="J5" i="72" s="1"/>
  <c r="J83" i="69"/>
  <c r="J5" i="69" s="1"/>
  <c r="J18" i="69" s="1"/>
  <c r="J83" i="74"/>
  <c r="J5" i="74" s="1"/>
  <c r="J18" i="74" s="1"/>
  <c r="J83" i="71"/>
  <c r="J5" i="71" s="1"/>
  <c r="H13" i="75"/>
  <c r="N58" i="70"/>
  <c r="U7" i="1" s="1"/>
  <c r="N62" i="70"/>
  <c r="N62" i="69"/>
  <c r="N58" i="69"/>
  <c r="N8" i="78" s="1"/>
  <c r="F13" i="68"/>
  <c r="F56" i="73"/>
  <c r="P56" i="73" s="1"/>
  <c r="F56" i="71"/>
  <c r="P56" i="71" s="1"/>
  <c r="F56" i="69"/>
  <c r="F14" i="69" s="1"/>
  <c r="F58" i="67"/>
  <c r="F56" i="74"/>
  <c r="P56" i="74" s="1"/>
  <c r="F56" i="72"/>
  <c r="P56" i="72" s="1"/>
  <c r="F56" i="70"/>
  <c r="F56" i="68"/>
  <c r="P137" i="9"/>
  <c r="J9" i="78"/>
  <c r="Q7" i="1"/>
  <c r="K7" i="75"/>
  <c r="L6" i="75"/>
  <c r="L6" i="76"/>
  <c r="L5" i="75"/>
  <c r="L5" i="76"/>
  <c r="H15" i="75"/>
  <c r="F13" i="73"/>
  <c r="P57" i="73"/>
  <c r="P55" i="74"/>
  <c r="P55" i="72"/>
  <c r="P55" i="73"/>
  <c r="P55" i="71"/>
  <c r="K94" i="74"/>
  <c r="L92" i="74"/>
  <c r="L92" i="73"/>
  <c r="K94" i="73"/>
  <c r="K11" i="73" s="1"/>
  <c r="L92" i="71"/>
  <c r="K94" i="71"/>
  <c r="K11" i="71" s="1"/>
  <c r="J11" i="73"/>
  <c r="L92" i="72"/>
  <c r="K94" i="72"/>
  <c r="K11" i="72" s="1"/>
  <c r="J11" i="71"/>
  <c r="J11" i="72"/>
  <c r="K9" i="71"/>
  <c r="L93" i="71"/>
  <c r="L9" i="71" s="1"/>
  <c r="M91" i="71"/>
  <c r="L93" i="72"/>
  <c r="L9" i="72" s="1"/>
  <c r="M91" i="72"/>
  <c r="M91" i="73"/>
  <c r="L93" i="73"/>
  <c r="L9" i="73" s="1"/>
  <c r="L93" i="74"/>
  <c r="M91" i="74"/>
  <c r="K9" i="72"/>
  <c r="K9" i="73"/>
  <c r="O6" i="73"/>
  <c r="P6" i="73" s="1"/>
  <c r="P101" i="73"/>
  <c r="J11" i="70"/>
  <c r="I13" i="70"/>
  <c r="I14" i="70"/>
  <c r="L92" i="70"/>
  <c r="K94" i="70"/>
  <c r="K11" i="70" s="1"/>
  <c r="M91" i="70"/>
  <c r="L93" i="70"/>
  <c r="L9" i="70" s="1"/>
  <c r="I58" i="70"/>
  <c r="L63" i="70"/>
  <c r="M54" i="70"/>
  <c r="M54" i="69"/>
  <c r="L65" i="69"/>
  <c r="L56" i="69" s="1"/>
  <c r="L66" i="69"/>
  <c r="L57" i="69" s="1"/>
  <c r="L64" i="69"/>
  <c r="L55" i="69" s="1"/>
  <c r="I13" i="69"/>
  <c r="I14" i="69"/>
  <c r="I58" i="69"/>
  <c r="I8" i="78" s="1"/>
  <c r="P66" i="67"/>
  <c r="P57" i="67"/>
  <c r="P68" i="67"/>
  <c r="O9" i="67"/>
  <c r="P9" i="67" s="1"/>
  <c r="O9" i="68"/>
  <c r="P9" i="68" s="1"/>
  <c r="O7" i="9"/>
  <c r="P7" i="9" s="1"/>
  <c r="L62" i="68"/>
  <c r="P67" i="67"/>
  <c r="F11" i="9"/>
  <c r="P11" i="9" s="1"/>
  <c r="O8" i="67"/>
  <c r="P8" i="67" s="1"/>
  <c r="P8" i="68"/>
  <c r="M7" i="67"/>
  <c r="M18" i="67" s="1"/>
  <c r="M20" i="67" s="1"/>
  <c r="O32" i="35"/>
  <c r="O31" i="35"/>
  <c r="P6" i="9"/>
  <c r="L35" i="35"/>
  <c r="P51" i="9"/>
  <c r="P53" i="9"/>
  <c r="N22" i="35"/>
  <c r="M30" i="35"/>
  <c r="N5" i="9" s="1"/>
  <c r="N16" i="9" s="1"/>
  <c r="M27" i="35"/>
  <c r="J18" i="72" l="1"/>
  <c r="J18" i="70"/>
  <c r="J40" i="68"/>
  <c r="J54" i="68" s="1"/>
  <c r="P13" i="74"/>
  <c r="P57" i="74"/>
  <c r="F13" i="72"/>
  <c r="P13" i="72" s="1"/>
  <c r="J18" i="73"/>
  <c r="J12" i="76" s="1"/>
  <c r="I19" i="75"/>
  <c r="F58" i="70"/>
  <c r="F9" i="78" s="1"/>
  <c r="P57" i="71"/>
  <c r="P13" i="73"/>
  <c r="P13" i="71"/>
  <c r="F18" i="69"/>
  <c r="F10" i="75" s="1"/>
  <c r="I21" i="75"/>
  <c r="K35" i="68"/>
  <c r="K18" i="68"/>
  <c r="I14" i="68"/>
  <c r="I18" i="68" s="1"/>
  <c r="I58" i="68"/>
  <c r="I7" i="78" s="1"/>
  <c r="J8" i="75"/>
  <c r="J9" i="75" s="1"/>
  <c r="J7" i="76"/>
  <c r="J10" i="75"/>
  <c r="J8" i="76"/>
  <c r="L82" i="71"/>
  <c r="L82" i="70"/>
  <c r="L83" i="68"/>
  <c r="L5" i="68" s="1"/>
  <c r="M82" i="68"/>
  <c r="L82" i="74"/>
  <c r="L82" i="69"/>
  <c r="L82" i="72"/>
  <c r="L82" i="73"/>
  <c r="K83" i="71"/>
  <c r="K5" i="71" s="1"/>
  <c r="K18" i="71" s="1"/>
  <c r="K83" i="70"/>
  <c r="K5" i="70" s="1"/>
  <c r="K18" i="70" s="1"/>
  <c r="K83" i="72"/>
  <c r="K5" i="72" s="1"/>
  <c r="K18" i="72" s="1"/>
  <c r="K83" i="73"/>
  <c r="K5" i="73" s="1"/>
  <c r="K18" i="73" s="1"/>
  <c r="K12" i="76" s="1"/>
  <c r="K83" i="69"/>
  <c r="K5" i="69" s="1"/>
  <c r="K18" i="69" s="1"/>
  <c r="K83" i="74"/>
  <c r="K5" i="74" s="1"/>
  <c r="K18" i="74" s="1"/>
  <c r="K20" i="75" s="1"/>
  <c r="J18" i="71"/>
  <c r="J14" i="75" s="1"/>
  <c r="N9" i="78"/>
  <c r="F14" i="73"/>
  <c r="F58" i="73"/>
  <c r="P58" i="73" s="1"/>
  <c r="F12" i="9"/>
  <c r="P12" i="9" s="1"/>
  <c r="F58" i="74"/>
  <c r="F13" i="78" s="1"/>
  <c r="F14" i="74"/>
  <c r="F58" i="72"/>
  <c r="P58" i="72" s="1"/>
  <c r="Q25" i="1" s="1"/>
  <c r="F14" i="72"/>
  <c r="F14" i="70"/>
  <c r="F54" i="9"/>
  <c r="F58" i="69"/>
  <c r="F8" i="78" s="1"/>
  <c r="F14" i="71"/>
  <c r="F58" i="71"/>
  <c r="P58" i="71" s="1"/>
  <c r="Q15" i="1"/>
  <c r="Q8" i="1"/>
  <c r="I9" i="78"/>
  <c r="P7" i="1"/>
  <c r="U8" i="1"/>
  <c r="U15" i="1"/>
  <c r="L7" i="75"/>
  <c r="J20" i="75"/>
  <c r="J13" i="76"/>
  <c r="J16" i="75"/>
  <c r="J11" i="76"/>
  <c r="M6" i="75"/>
  <c r="M6" i="76"/>
  <c r="J12" i="75"/>
  <c r="J9" i="76"/>
  <c r="M5" i="75"/>
  <c r="M5" i="76"/>
  <c r="M93" i="73"/>
  <c r="N91" i="73"/>
  <c r="L94" i="71"/>
  <c r="M92" i="71"/>
  <c r="N91" i="72"/>
  <c r="M93" i="72"/>
  <c r="L94" i="73"/>
  <c r="L11" i="73" s="1"/>
  <c r="M92" i="73"/>
  <c r="M93" i="71"/>
  <c r="M9" i="71" s="1"/>
  <c r="N91" i="71"/>
  <c r="L94" i="72"/>
  <c r="L11" i="72" s="1"/>
  <c r="M92" i="72"/>
  <c r="M93" i="74"/>
  <c r="N91" i="74"/>
  <c r="L94" i="74"/>
  <c r="M92" i="74"/>
  <c r="N91" i="70"/>
  <c r="M93" i="70"/>
  <c r="M9" i="70" s="1"/>
  <c r="M92" i="70"/>
  <c r="L94" i="70"/>
  <c r="L11" i="70" s="1"/>
  <c r="O35" i="70"/>
  <c r="P33" i="70"/>
  <c r="M62" i="70"/>
  <c r="M58" i="70"/>
  <c r="I18" i="70"/>
  <c r="P6" i="1" s="1"/>
  <c r="P14" i="1" s="1"/>
  <c r="P19" i="1" s="1"/>
  <c r="F14" i="67"/>
  <c r="L65" i="70"/>
  <c r="L56" i="70" s="1"/>
  <c r="L66" i="70"/>
  <c r="L57" i="70" s="1"/>
  <c r="L64" i="70"/>
  <c r="L55" i="70" s="1"/>
  <c r="O35" i="69"/>
  <c r="P33" i="69"/>
  <c r="I18" i="69"/>
  <c r="M62" i="69"/>
  <c r="M58" i="69"/>
  <c r="M8" i="78" s="1"/>
  <c r="F13" i="67"/>
  <c r="P13" i="67" s="1"/>
  <c r="P59" i="67"/>
  <c r="O35" i="68"/>
  <c r="O40" i="68" s="1"/>
  <c r="P33" i="68"/>
  <c r="P58" i="67"/>
  <c r="F60" i="67"/>
  <c r="F58" i="68"/>
  <c r="F7" i="78" s="1"/>
  <c r="F14" i="68"/>
  <c r="N7" i="67"/>
  <c r="N18" i="67" s="1"/>
  <c r="N20" i="67" s="1"/>
  <c r="M35" i="35"/>
  <c r="N30" i="35"/>
  <c r="O5" i="9" s="1"/>
  <c r="N27" i="35"/>
  <c r="O27" i="35" s="1"/>
  <c r="O22" i="35"/>
  <c r="P14" i="67" l="1"/>
  <c r="Q6" i="1"/>
  <c r="Q14" i="1" s="1"/>
  <c r="Q19" i="1" s="1"/>
  <c r="J18" i="75"/>
  <c r="P14" i="71"/>
  <c r="J62" i="68"/>
  <c r="J58" i="68"/>
  <c r="J7" i="78" s="1"/>
  <c r="O40" i="69"/>
  <c r="P40" i="69" s="1"/>
  <c r="K40" i="68"/>
  <c r="O40" i="70"/>
  <c r="P40" i="70" s="1"/>
  <c r="P14" i="73"/>
  <c r="P14" i="72"/>
  <c r="F8" i="76"/>
  <c r="P14" i="74"/>
  <c r="F18" i="70"/>
  <c r="F9" i="76" s="1"/>
  <c r="F18" i="68"/>
  <c r="O16" i="9"/>
  <c r="P5" i="9"/>
  <c r="P16" i="9" s="1"/>
  <c r="J13" i="75"/>
  <c r="J10" i="76"/>
  <c r="M7" i="1"/>
  <c r="M15" i="1" s="1"/>
  <c r="K13" i="76"/>
  <c r="J11" i="75"/>
  <c r="I8" i="75"/>
  <c r="I9" i="75" s="1"/>
  <c r="I7" i="76"/>
  <c r="K8" i="75"/>
  <c r="K9" i="75" s="1"/>
  <c r="K7" i="76"/>
  <c r="K8" i="76"/>
  <c r="K10" i="75"/>
  <c r="M82" i="74"/>
  <c r="M82" i="69"/>
  <c r="M82" i="71"/>
  <c r="M82" i="73"/>
  <c r="M82" i="70"/>
  <c r="N82" i="68"/>
  <c r="M83" i="68"/>
  <c r="M5" i="68" s="1"/>
  <c r="M82" i="72"/>
  <c r="L83" i="70"/>
  <c r="L5" i="70" s="1"/>
  <c r="L83" i="72"/>
  <c r="L83" i="69"/>
  <c r="L5" i="69" s="1"/>
  <c r="L83" i="73"/>
  <c r="L5" i="73" s="1"/>
  <c r="L83" i="74"/>
  <c r="L5" i="74" s="1"/>
  <c r="L18" i="74" s="1"/>
  <c r="L83" i="71"/>
  <c r="L5" i="71" s="1"/>
  <c r="J19" i="75"/>
  <c r="F18" i="73"/>
  <c r="F12" i="76" s="1"/>
  <c r="F12" i="78"/>
  <c r="P58" i="74"/>
  <c r="S25" i="1" s="1"/>
  <c r="F11" i="78"/>
  <c r="F18" i="72"/>
  <c r="F16" i="75" s="1"/>
  <c r="F18" i="71"/>
  <c r="F10" i="76" s="1"/>
  <c r="F18" i="74"/>
  <c r="F13" i="76" s="1"/>
  <c r="F10" i="78"/>
  <c r="F5" i="78"/>
  <c r="P54" i="9"/>
  <c r="F16" i="9"/>
  <c r="F5" i="76" s="1"/>
  <c r="P15" i="1"/>
  <c r="P8" i="1"/>
  <c r="R6" i="1"/>
  <c r="R14" i="1" s="1"/>
  <c r="R19" i="1" s="1"/>
  <c r="M9" i="78"/>
  <c r="T7" i="1"/>
  <c r="P12" i="78"/>
  <c r="R26" i="1" s="1"/>
  <c r="R25" i="1"/>
  <c r="P10" i="78"/>
  <c r="P26" i="1" s="1"/>
  <c r="P25" i="1"/>
  <c r="J17" i="75"/>
  <c r="P11" i="78"/>
  <c r="Q26" i="1" s="1"/>
  <c r="K18" i="75"/>
  <c r="K21" i="75" s="1"/>
  <c r="J15" i="75"/>
  <c r="P60" i="67"/>
  <c r="F6" i="78"/>
  <c r="N5" i="75"/>
  <c r="N5" i="76"/>
  <c r="I10" i="75"/>
  <c r="I8" i="76"/>
  <c r="M7" i="75"/>
  <c r="K12" i="75"/>
  <c r="K9" i="76"/>
  <c r="K16" i="75"/>
  <c r="K11" i="76"/>
  <c r="N6" i="75"/>
  <c r="N6" i="76"/>
  <c r="K14" i="75"/>
  <c r="K10" i="76"/>
  <c r="I12" i="75"/>
  <c r="I9" i="76"/>
  <c r="J21" i="75"/>
  <c r="M9" i="72"/>
  <c r="N93" i="72"/>
  <c r="N9" i="72" s="1"/>
  <c r="O91" i="72"/>
  <c r="N93" i="71"/>
  <c r="O91" i="71"/>
  <c r="O91" i="74"/>
  <c r="O93" i="74" s="1"/>
  <c r="N93" i="74"/>
  <c r="M94" i="71"/>
  <c r="M11" i="71" s="1"/>
  <c r="N92" i="71"/>
  <c r="L11" i="71"/>
  <c r="M94" i="73"/>
  <c r="N92" i="73"/>
  <c r="M94" i="74"/>
  <c r="N92" i="74"/>
  <c r="M94" i="72"/>
  <c r="N92" i="72"/>
  <c r="N93" i="73"/>
  <c r="N9" i="73" s="1"/>
  <c r="O91" i="73"/>
  <c r="M9" i="73"/>
  <c r="N92" i="70"/>
  <c r="M94" i="70"/>
  <c r="M11" i="70" s="1"/>
  <c r="O91" i="70"/>
  <c r="N93" i="70"/>
  <c r="N9" i="70" s="1"/>
  <c r="F18" i="67"/>
  <c r="F20" i="67" s="1"/>
  <c r="P35" i="70"/>
  <c r="L14" i="69"/>
  <c r="L58" i="69"/>
  <c r="L8" i="78" s="1"/>
  <c r="L13" i="69"/>
  <c r="P35" i="69"/>
  <c r="P7" i="68"/>
  <c r="O7" i="67"/>
  <c r="O18" i="67" s="1"/>
  <c r="N35" i="35"/>
  <c r="O35" i="35" s="1"/>
  <c r="O30" i="35"/>
  <c r="K54" i="68" l="1"/>
  <c r="F12" i="75"/>
  <c r="F13" i="75" s="1"/>
  <c r="L18" i="71"/>
  <c r="L14" i="75" s="1"/>
  <c r="M6" i="1"/>
  <c r="M14" i="1" s="1"/>
  <c r="M19" i="1" s="1"/>
  <c r="M8" i="1"/>
  <c r="I11" i="75"/>
  <c r="K11" i="75"/>
  <c r="M35" i="68"/>
  <c r="M40" i="68" s="1"/>
  <c r="M18" i="68"/>
  <c r="L5" i="72"/>
  <c r="M83" i="72"/>
  <c r="M5" i="72" s="1"/>
  <c r="M83" i="73"/>
  <c r="M83" i="74"/>
  <c r="M83" i="71"/>
  <c r="M83" i="69"/>
  <c r="M5" i="69" s="1"/>
  <c r="M18" i="69" s="1"/>
  <c r="M83" i="70"/>
  <c r="M5" i="70" s="1"/>
  <c r="M18" i="70" s="1"/>
  <c r="N83" i="68"/>
  <c r="N5" i="68" s="1"/>
  <c r="O82" i="68"/>
  <c r="N82" i="72"/>
  <c r="N82" i="70"/>
  <c r="N82" i="73"/>
  <c r="N82" i="71"/>
  <c r="N82" i="74"/>
  <c r="N82" i="69"/>
  <c r="L18" i="73"/>
  <c r="K13" i="75"/>
  <c r="F18" i="75"/>
  <c r="F19" i="75" s="1"/>
  <c r="P13" i="78"/>
  <c r="S26" i="1" s="1"/>
  <c r="F20" i="75"/>
  <c r="F11" i="76"/>
  <c r="F14" i="75"/>
  <c r="F15" i="75" s="1"/>
  <c r="F5" i="75"/>
  <c r="P5" i="78"/>
  <c r="K26" i="1" s="1"/>
  <c r="K25" i="1"/>
  <c r="T8" i="1"/>
  <c r="T15" i="1"/>
  <c r="P6" i="78"/>
  <c r="L26" i="1" s="1"/>
  <c r="L25" i="1"/>
  <c r="K19" i="75"/>
  <c r="N7" i="75"/>
  <c r="I13" i="75"/>
  <c r="K17" i="75"/>
  <c r="L20" i="75"/>
  <c r="L13" i="76"/>
  <c r="I15" i="75"/>
  <c r="F6" i="75"/>
  <c r="F6" i="76"/>
  <c r="F8" i="75"/>
  <c r="F11" i="75" s="1"/>
  <c r="F7" i="76"/>
  <c r="K15" i="75"/>
  <c r="O5" i="76"/>
  <c r="O5" i="75"/>
  <c r="P93" i="74"/>
  <c r="N94" i="72"/>
  <c r="N11" i="72" s="1"/>
  <c r="O92" i="72"/>
  <c r="O94" i="72" s="1"/>
  <c r="O11" i="72" s="1"/>
  <c r="O93" i="71"/>
  <c r="O9" i="71" s="1"/>
  <c r="P91" i="71"/>
  <c r="M11" i="72"/>
  <c r="N9" i="71"/>
  <c r="O93" i="72"/>
  <c r="O9" i="72" s="1"/>
  <c r="P91" i="72"/>
  <c r="N94" i="74"/>
  <c r="O92" i="74"/>
  <c r="O92" i="71"/>
  <c r="O94" i="71" s="1"/>
  <c r="O11" i="71" s="1"/>
  <c r="N94" i="71"/>
  <c r="N11" i="71" s="1"/>
  <c r="N94" i="73"/>
  <c r="N11" i="73" s="1"/>
  <c r="O92" i="73"/>
  <c r="O94" i="73" s="1"/>
  <c r="O11" i="73" s="1"/>
  <c r="O93" i="73"/>
  <c r="P91" i="73"/>
  <c r="M11" i="73"/>
  <c r="P9" i="74"/>
  <c r="P91" i="74"/>
  <c r="L13" i="70"/>
  <c r="L14" i="70"/>
  <c r="O93" i="70"/>
  <c r="O9" i="70" s="1"/>
  <c r="P91" i="70"/>
  <c r="O92" i="70"/>
  <c r="O94" i="70" s="1"/>
  <c r="O11" i="70" s="1"/>
  <c r="N94" i="70"/>
  <c r="O54" i="70"/>
  <c r="L58" i="70"/>
  <c r="L18" i="69"/>
  <c r="O54" i="69"/>
  <c r="O54" i="68"/>
  <c r="O20" i="67"/>
  <c r="P7" i="67"/>
  <c r="P18" i="67" s="1"/>
  <c r="P20" i="67" s="1"/>
  <c r="M18" i="72" l="1"/>
  <c r="K58" i="68"/>
  <c r="K7" i="78" s="1"/>
  <c r="K62" i="68"/>
  <c r="L63" i="68" s="1"/>
  <c r="L10" i="76"/>
  <c r="N35" i="68"/>
  <c r="N18" i="68"/>
  <c r="M8" i="75"/>
  <c r="M9" i="75" s="1"/>
  <c r="M7" i="76"/>
  <c r="L18" i="72"/>
  <c r="M5" i="74"/>
  <c r="M5" i="73"/>
  <c r="M18" i="73" s="1"/>
  <c r="M18" i="75" s="1"/>
  <c r="M10" i="75"/>
  <c r="M8" i="76"/>
  <c r="M5" i="71"/>
  <c r="M18" i="71" s="1"/>
  <c r="O82" i="69"/>
  <c r="P82" i="69" s="1"/>
  <c r="O82" i="71"/>
  <c r="P82" i="71" s="1"/>
  <c r="O83" i="68"/>
  <c r="O5" i="68" s="1"/>
  <c r="P5" i="68" s="1"/>
  <c r="O82" i="73"/>
  <c r="P82" i="73" s="1"/>
  <c r="O82" i="70"/>
  <c r="P82" i="70" s="1"/>
  <c r="O82" i="72"/>
  <c r="P82" i="72" s="1"/>
  <c r="O82" i="74"/>
  <c r="P82" i="74" s="1"/>
  <c r="P82" i="68"/>
  <c r="L18" i="75"/>
  <c r="L12" i="76"/>
  <c r="N83" i="73"/>
  <c r="N5" i="73" s="1"/>
  <c r="N18" i="73" s="1"/>
  <c r="N83" i="70"/>
  <c r="N5" i="70" s="1"/>
  <c r="N83" i="74"/>
  <c r="N5" i="74" s="1"/>
  <c r="N18" i="74" s="1"/>
  <c r="N83" i="69"/>
  <c r="N5" i="69" s="1"/>
  <c r="N18" i="69" s="1"/>
  <c r="N83" i="72"/>
  <c r="N83" i="71"/>
  <c r="N5" i="71" s="1"/>
  <c r="N18" i="71" s="1"/>
  <c r="F21" i="75"/>
  <c r="F17" i="75"/>
  <c r="P5" i="75"/>
  <c r="L9" i="78"/>
  <c r="S7" i="1"/>
  <c r="K23" i="1"/>
  <c r="C5" i="79"/>
  <c r="D5" i="77"/>
  <c r="F9" i="75"/>
  <c r="M16" i="75"/>
  <c r="M11" i="76"/>
  <c r="F7" i="75"/>
  <c r="P5" i="76"/>
  <c r="K24" i="1" s="1"/>
  <c r="O6" i="76"/>
  <c r="L10" i="75"/>
  <c r="L8" i="76"/>
  <c r="M12" i="75"/>
  <c r="M9" i="76"/>
  <c r="P92" i="72"/>
  <c r="O6" i="75"/>
  <c r="P94" i="73"/>
  <c r="P94" i="72"/>
  <c r="P93" i="71"/>
  <c r="P92" i="73"/>
  <c r="P94" i="71"/>
  <c r="P11" i="71"/>
  <c r="P11" i="72"/>
  <c r="O9" i="73"/>
  <c r="P93" i="73"/>
  <c r="O94" i="74"/>
  <c r="P94" i="74" s="1"/>
  <c r="P92" i="74"/>
  <c r="P11" i="73"/>
  <c r="P93" i="72"/>
  <c r="P9" i="71"/>
  <c r="P9" i="72"/>
  <c r="P92" i="71"/>
  <c r="P94" i="70"/>
  <c r="N11" i="70"/>
  <c r="P92" i="70"/>
  <c r="P93" i="70"/>
  <c r="P9" i="70"/>
  <c r="O62" i="70"/>
  <c r="P54" i="70"/>
  <c r="L18" i="70"/>
  <c r="S6" i="1" s="1"/>
  <c r="S14" i="1" s="1"/>
  <c r="S19" i="1" s="1"/>
  <c r="O62" i="69"/>
  <c r="P54" i="69"/>
  <c r="O62" i="68"/>
  <c r="N18" i="70" l="1"/>
  <c r="N9" i="76" s="1"/>
  <c r="N40" i="68"/>
  <c r="P40" i="68" s="1"/>
  <c r="L66" i="68"/>
  <c r="L57" i="68" s="1"/>
  <c r="L13" i="68" s="1"/>
  <c r="L65" i="68"/>
  <c r="L56" i="68" s="1"/>
  <c r="L64" i="68"/>
  <c r="L55" i="68" s="1"/>
  <c r="P35" i="68"/>
  <c r="M12" i="76"/>
  <c r="U6" i="1"/>
  <c r="U14" i="1" s="1"/>
  <c r="U19" i="1" s="1"/>
  <c r="M13" i="75"/>
  <c r="M54" i="68"/>
  <c r="M11" i="75"/>
  <c r="N8" i="75"/>
  <c r="N9" i="75" s="1"/>
  <c r="N7" i="76"/>
  <c r="N18" i="75"/>
  <c r="N12" i="76"/>
  <c r="O83" i="70"/>
  <c r="O5" i="70" s="1"/>
  <c r="P5" i="70" s="1"/>
  <c r="O83" i="73"/>
  <c r="O5" i="73" s="1"/>
  <c r="P5" i="73" s="1"/>
  <c r="O83" i="74"/>
  <c r="O83" i="72"/>
  <c r="O83" i="69"/>
  <c r="O83" i="71"/>
  <c r="O5" i="71" s="1"/>
  <c r="L21" i="75"/>
  <c r="L11" i="76"/>
  <c r="L16" i="75"/>
  <c r="L17" i="75" s="1"/>
  <c r="M18" i="74"/>
  <c r="T6" i="1" s="1"/>
  <c r="T14" i="1" s="1"/>
  <c r="T19" i="1" s="1"/>
  <c r="N5" i="72"/>
  <c r="N8" i="76"/>
  <c r="N10" i="75"/>
  <c r="M14" i="75"/>
  <c r="M17" i="75" s="1"/>
  <c r="M10" i="76"/>
  <c r="P83" i="68"/>
  <c r="S8" i="1"/>
  <c r="S15" i="1"/>
  <c r="E5" i="79"/>
  <c r="L23" i="1"/>
  <c r="E6" i="77"/>
  <c r="M19" i="75"/>
  <c r="N20" i="75"/>
  <c r="N13" i="76"/>
  <c r="P6" i="76"/>
  <c r="L24" i="1" s="1"/>
  <c r="N14" i="75"/>
  <c r="N10" i="76"/>
  <c r="L12" i="75"/>
  <c r="L13" i="75" s="1"/>
  <c r="L9" i="76"/>
  <c r="O7" i="75"/>
  <c r="P7" i="75" s="1"/>
  <c r="P6" i="75"/>
  <c r="P11" i="74"/>
  <c r="P9" i="73"/>
  <c r="P11" i="70"/>
  <c r="P62" i="70"/>
  <c r="O63" i="70"/>
  <c r="O63" i="69"/>
  <c r="P62" i="69"/>
  <c r="N12" i="75" l="1"/>
  <c r="L58" i="68"/>
  <c r="L7" i="78" s="1"/>
  <c r="L14" i="68"/>
  <c r="L18" i="68" s="1"/>
  <c r="N54" i="68"/>
  <c r="P54" i="68" s="1"/>
  <c r="N21" i="75"/>
  <c r="O18" i="73"/>
  <c r="O12" i="76" s="1"/>
  <c r="P83" i="73"/>
  <c r="P18" i="73"/>
  <c r="M15" i="75"/>
  <c r="N11" i="75"/>
  <c r="P83" i="69"/>
  <c r="O5" i="69"/>
  <c r="P5" i="69" s="1"/>
  <c r="P83" i="72"/>
  <c r="O5" i="72"/>
  <c r="O18" i="72" s="1"/>
  <c r="P83" i="71"/>
  <c r="M62" i="68"/>
  <c r="M58" i="68"/>
  <c r="M7" i="78" s="1"/>
  <c r="O5" i="74"/>
  <c r="O18" i="74" s="1"/>
  <c r="P83" i="74"/>
  <c r="N13" i="75"/>
  <c r="L19" i="75"/>
  <c r="P5" i="71"/>
  <c r="P18" i="71" s="1"/>
  <c r="O18" i="71"/>
  <c r="N18" i="72"/>
  <c r="M13" i="76"/>
  <c r="M20" i="75"/>
  <c r="M21" i="75" s="1"/>
  <c r="P83" i="70"/>
  <c r="N15" i="75"/>
  <c r="L15" i="75"/>
  <c r="L8" i="75"/>
  <c r="L11" i="75" s="1"/>
  <c r="L7" i="76"/>
  <c r="O66" i="70"/>
  <c r="O57" i="70" s="1"/>
  <c r="O64" i="70"/>
  <c r="O55" i="70" s="1"/>
  <c r="O65" i="70"/>
  <c r="O56" i="70" s="1"/>
  <c r="P63" i="70"/>
  <c r="O66" i="69"/>
  <c r="O57" i="69" s="1"/>
  <c r="O64" i="69"/>
  <c r="O55" i="69" s="1"/>
  <c r="O65" i="69"/>
  <c r="O56" i="69" s="1"/>
  <c r="P63" i="69"/>
  <c r="P5" i="72" l="1"/>
  <c r="P18" i="72" s="1"/>
  <c r="N58" i="68"/>
  <c r="N7" i="78" s="1"/>
  <c r="N62" i="68"/>
  <c r="O18" i="75"/>
  <c r="P18" i="75" s="1"/>
  <c r="O63" i="68"/>
  <c r="P62" i="68"/>
  <c r="O11" i="76"/>
  <c r="O16" i="75"/>
  <c r="O19" i="75" s="1"/>
  <c r="O14" i="75"/>
  <c r="O10" i="76"/>
  <c r="N11" i="76"/>
  <c r="N16" i="75"/>
  <c r="P5" i="74"/>
  <c r="P18" i="74" s="1"/>
  <c r="R23" i="1"/>
  <c r="I7" i="79"/>
  <c r="K12" i="77"/>
  <c r="L9" i="75"/>
  <c r="P12" i="76"/>
  <c r="R24" i="1" s="1"/>
  <c r="P56" i="70"/>
  <c r="P65" i="70"/>
  <c r="P64" i="70"/>
  <c r="P66" i="70"/>
  <c r="P64" i="69"/>
  <c r="P56" i="69"/>
  <c r="P65" i="69"/>
  <c r="P66" i="69"/>
  <c r="O64" i="68" l="1"/>
  <c r="O66" i="68"/>
  <c r="O65" i="68"/>
  <c r="P63" i="68"/>
  <c r="N19" i="75"/>
  <c r="P19" i="75" s="1"/>
  <c r="P16" i="75"/>
  <c r="N17" i="75"/>
  <c r="O20" i="75"/>
  <c r="O13" i="76"/>
  <c r="Q23" i="1"/>
  <c r="G7" i="79"/>
  <c r="J11" i="77"/>
  <c r="P11" i="76"/>
  <c r="Q24" i="1" s="1"/>
  <c r="O17" i="75"/>
  <c r="P14" i="75"/>
  <c r="P10" i="76"/>
  <c r="P24" i="1" s="1"/>
  <c r="I10" i="77"/>
  <c r="E7" i="79"/>
  <c r="P23" i="1"/>
  <c r="O13" i="70"/>
  <c r="P13" i="70" s="1"/>
  <c r="P57" i="70"/>
  <c r="O14" i="70"/>
  <c r="P14" i="70" s="1"/>
  <c r="P55" i="70"/>
  <c r="O58" i="70"/>
  <c r="V7" i="1" s="1"/>
  <c r="O13" i="69"/>
  <c r="P13" i="69" s="1"/>
  <c r="P57" i="69"/>
  <c r="O14" i="69"/>
  <c r="P14" i="69" s="1"/>
  <c r="P55" i="69"/>
  <c r="O58" i="69"/>
  <c r="P18" i="70" l="1"/>
  <c r="P18" i="69"/>
  <c r="O56" i="68"/>
  <c r="P56" i="68" s="1"/>
  <c r="P65" i="68"/>
  <c r="O57" i="68"/>
  <c r="P66" i="68"/>
  <c r="O55" i="68"/>
  <c r="P64" i="68"/>
  <c r="P13" i="76"/>
  <c r="S24" i="1" s="1"/>
  <c r="L13" i="77"/>
  <c r="S23" i="1"/>
  <c r="C9" i="79"/>
  <c r="P20" i="75"/>
  <c r="O21" i="75"/>
  <c r="P21" i="75" s="1"/>
  <c r="P17" i="75"/>
  <c r="V15" i="1"/>
  <c r="V8" i="1"/>
  <c r="P58" i="69"/>
  <c r="O8" i="78"/>
  <c r="P58" i="70"/>
  <c r="W7" i="1" s="1"/>
  <c r="O9" i="78"/>
  <c r="O18" i="70"/>
  <c r="V6" i="1" s="1"/>
  <c r="V14" i="1" s="1"/>
  <c r="V19" i="1" s="1"/>
  <c r="O18" i="69"/>
  <c r="O14" i="68" l="1"/>
  <c r="P14" i="68" s="1"/>
  <c r="P55" i="68"/>
  <c r="O58" i="68"/>
  <c r="O13" i="68"/>
  <c r="P13" i="68" s="1"/>
  <c r="P57" i="68"/>
  <c r="W15" i="1"/>
  <c r="X15" i="1" s="1"/>
  <c r="G5" i="10"/>
  <c r="W8" i="1"/>
  <c r="I5" i="10" s="1"/>
  <c r="P9" i="78"/>
  <c r="O26" i="1" s="1"/>
  <c r="O25" i="1"/>
  <c r="P8" i="78"/>
  <c r="N26" i="1" s="1"/>
  <c r="N25" i="1"/>
  <c r="O8" i="76"/>
  <c r="O9" i="76"/>
  <c r="O10" i="75"/>
  <c r="W6" i="1"/>
  <c r="O12" i="75"/>
  <c r="P18" i="68" l="1"/>
  <c r="O18" i="68"/>
  <c r="P58" i="68"/>
  <c r="O7" i="78"/>
  <c r="E5" i="10"/>
  <c r="W14" i="1"/>
  <c r="X14" i="1" s="1"/>
  <c r="O23" i="1"/>
  <c r="C7" i="79"/>
  <c r="N23" i="1"/>
  <c r="I5" i="79"/>
  <c r="H9" i="77"/>
  <c r="G8" i="77"/>
  <c r="P9" i="76"/>
  <c r="O24" i="1" s="1"/>
  <c r="P8" i="76"/>
  <c r="N24" i="1" s="1"/>
  <c r="O13" i="75"/>
  <c r="P13" i="75" s="1"/>
  <c r="O15" i="75"/>
  <c r="P15" i="75" s="1"/>
  <c r="P12" i="75"/>
  <c r="P10" i="75"/>
  <c r="M25" i="1" l="1"/>
  <c r="T25" i="1" s="1"/>
  <c r="C5" i="80" s="1"/>
  <c r="P7" i="78"/>
  <c r="M26" i="1" s="1"/>
  <c r="T26" i="1" s="1"/>
  <c r="E5" i="80" s="1"/>
  <c r="O8" i="75"/>
  <c r="O7" i="76"/>
  <c r="O11" i="75" l="1"/>
  <c r="P11" i="75" s="1"/>
  <c r="O9" i="75"/>
  <c r="P9" i="75" s="1"/>
  <c r="P8" i="75"/>
  <c r="F7" i="77"/>
  <c r="M23" i="1"/>
  <c r="T23" i="1" s="1"/>
  <c r="G9" i="79" s="1"/>
  <c r="P7" i="76"/>
  <c r="M24" i="1" s="1"/>
  <c r="T24" i="1" s="1"/>
  <c r="I9" i="79" s="1"/>
  <c r="G5" i="79"/>
</calcChain>
</file>

<file path=xl/sharedStrings.xml><?xml version="1.0" encoding="utf-8"?>
<sst xmlns="http://schemas.openxmlformats.org/spreadsheetml/2006/main" count="6622" uniqueCount="367">
  <si>
    <t>Banco de Dados</t>
  </si>
  <si>
    <t>Obrigado pela confiança em nosso produto e pela preferência em nosso trabalho! É um prazer tê-lo(a) como cliente.</t>
  </si>
  <si>
    <t>Qualquer dúvida na usabilidade da planilha, não deixe conferir o material sobre a mesma:</t>
  </si>
  <si>
    <t>Manual de Instruções:</t>
  </si>
  <si>
    <t>Email para suporte:</t>
  </si>
  <si>
    <t>onsidecorporation@gmail.com</t>
  </si>
  <si>
    <t>Nossas planilhas:</t>
  </si>
  <si>
    <t>Para garantir todos os recursos da planilha, recomendamos o uso do Excel 2007 ou superior.</t>
  </si>
  <si>
    <t>Planilha Privada.</t>
  </si>
  <si>
    <t>Nossas planilha jamais devem ser distribuídas ou revendidas (A mesma possui um código que conseguimos verificar se ocorrer).</t>
  </si>
  <si>
    <t>Caso tenha interesse em pacotes de planilhas, entre em contato conosco... Temos oportunidades incríveis para você!</t>
  </si>
  <si>
    <t>Todos os direitos reservados.</t>
  </si>
  <si>
    <t>Em vídeo anexado ao produto.</t>
  </si>
  <si>
    <t>www.onsidecorporation.com.br</t>
  </si>
  <si>
    <t>Relatório de Resultados</t>
  </si>
  <si>
    <t>#01B8AA</t>
  </si>
  <si>
    <t>#F2C80F</t>
  </si>
  <si>
    <t>#2B353E</t>
  </si>
  <si>
    <t>#FB5A56</t>
  </si>
  <si>
    <t>#333F4F</t>
  </si>
  <si>
    <t>#850c35</t>
  </si>
  <si>
    <t>#4F031C</t>
  </si>
  <si>
    <t>n°</t>
  </si>
  <si>
    <t>Descrição</t>
  </si>
  <si>
    <r>
      <t xml:space="preserve">                      Missão:             </t>
    </r>
    <r>
      <rPr>
        <sz val="10"/>
        <color theme="8" tint="0.79998168889431442"/>
        <rFont val="Calibri"/>
        <family val="2"/>
        <scheme val="minor"/>
      </rPr>
      <t>Garantir a excelência em planilhas únicas e personalizadas, que facilitem e maximizem os resultados de nossos clientes.</t>
    </r>
  </si>
  <si>
    <r>
      <t xml:space="preserve">                      Visão:                </t>
    </r>
    <r>
      <rPr>
        <sz val="10"/>
        <color theme="8" tint="0.79998168889431442"/>
        <rFont val="Calibri"/>
        <family val="2"/>
        <scheme val="minor"/>
      </rPr>
      <t>Ser a maior produtora de planilhas profissionais do Brasil, gerando cada vez mais valor e comodidade a nossos clientes.</t>
    </r>
  </si>
  <si>
    <r>
      <t xml:space="preserve">                      Valores:             </t>
    </r>
    <r>
      <rPr>
        <sz val="10"/>
        <color theme="8" tint="0.79998168889431442"/>
        <rFont val="Calibri"/>
        <family val="2"/>
        <scheme val="minor"/>
      </rPr>
      <t>Nossa conduta é direcionada a altos padrões éticos, de responsabilidade, confiança, comprometimento com o crescimento e resultados.</t>
    </r>
  </si>
  <si>
    <t>Empresa:</t>
  </si>
  <si>
    <t>Empresa Exemplo LTDA</t>
  </si>
  <si>
    <t>Segmento:</t>
  </si>
  <si>
    <t>Data da Análise:</t>
  </si>
  <si>
    <t>Regime Tributário:</t>
  </si>
  <si>
    <t>Lucro Real</t>
  </si>
  <si>
    <t>Lucro Presumido</t>
  </si>
  <si>
    <t>Simples Nacional</t>
  </si>
  <si>
    <t>PIS</t>
  </si>
  <si>
    <t>COFINS</t>
  </si>
  <si>
    <t>ICMS</t>
  </si>
  <si>
    <t>IPI</t>
  </si>
  <si>
    <t>ISS</t>
  </si>
  <si>
    <t>IRPJ</t>
  </si>
  <si>
    <t>IRPJ - Adicional</t>
  </si>
  <si>
    <t>CSLL</t>
  </si>
  <si>
    <t>CBS</t>
  </si>
  <si>
    <t>IBS</t>
  </si>
  <si>
    <t>CBS - Redução LC 214</t>
  </si>
  <si>
    <t>IBS - Redução LC 214</t>
  </si>
  <si>
    <t xml:space="preserve">Imposto Seletivo </t>
  </si>
  <si>
    <t>Percentual</t>
  </si>
  <si>
    <t>Alíquota 1</t>
  </si>
  <si>
    <t>Alíquota 2</t>
  </si>
  <si>
    <t>Alíquota 3</t>
  </si>
  <si>
    <t>Alíquota 4</t>
  </si>
  <si>
    <t>Alíquota 5</t>
  </si>
  <si>
    <t>Alíquota 6</t>
  </si>
  <si>
    <t>Alíquota 7</t>
  </si>
  <si>
    <t>Alíquota 8</t>
  </si>
  <si>
    <t>Alíquota 9</t>
  </si>
  <si>
    <t>Alíquota 10</t>
  </si>
  <si>
    <t>Alíquota 11</t>
  </si>
  <si>
    <t>Alíquota 12</t>
  </si>
  <si>
    <t>Alíquota 13</t>
  </si>
  <si>
    <t>Presunção</t>
  </si>
  <si>
    <t>Segmento</t>
  </si>
  <si>
    <t>Impostos</t>
  </si>
  <si>
    <t>Mínimo</t>
  </si>
  <si>
    <t>Máximo</t>
  </si>
  <si>
    <t>Base</t>
  </si>
  <si>
    <t>Dedução</t>
  </si>
  <si>
    <t>1° Faixa</t>
  </si>
  <si>
    <t>2° Faixa</t>
  </si>
  <si>
    <t>3° Faixa</t>
  </si>
  <si>
    <t>4° Faixa</t>
  </si>
  <si>
    <t>5° Faixa</t>
  </si>
  <si>
    <t>6° Faixa</t>
  </si>
  <si>
    <t>Anexo III</t>
  </si>
  <si>
    <t>Anexo IV</t>
  </si>
  <si>
    <t>Anexo V</t>
  </si>
  <si>
    <t>Sobre Vendas</t>
  </si>
  <si>
    <t>Redução de Alíquota</t>
  </si>
  <si>
    <t>Anexo I</t>
  </si>
  <si>
    <t>Anexo II</t>
  </si>
  <si>
    <t>Tipo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</si>
  <si>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</si>
  <si>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</si>
  <si>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</si>
  <si>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</si>
  <si>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</si>
  <si>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</si>
  <si>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</si>
  <si>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</si>
  <si>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</si>
  <si>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</si>
  <si>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</si>
  <si>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</si>
  <si>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Valor</t>
  </si>
  <si>
    <t>Compras</t>
  </si>
  <si>
    <t>Pis</t>
  </si>
  <si>
    <t>Cofins</t>
  </si>
  <si>
    <t>Total</t>
  </si>
  <si>
    <t>← regime da empresa</t>
  </si>
  <si>
    <t>← possui mais de uma alíquota</t>
  </si>
  <si>
    <t>Indústria</t>
  </si>
  <si>
    <t>Comércio</t>
  </si>
  <si>
    <t>Serviços</t>
  </si>
  <si>
    <t>Preencha a base do Pis e Cofins</t>
  </si>
  <si>
    <t>Preencha a base do ICMS</t>
  </si>
  <si>
    <t>Preencha a base do IPI</t>
  </si>
  <si>
    <t>Preencha a base do ISS</t>
  </si>
  <si>
    <t>Receitas Tributadas</t>
  </si>
  <si>
    <t>#</t>
  </si>
  <si>
    <t>Receitas Monofásicas</t>
  </si>
  <si>
    <t>Receitas ST</t>
  </si>
  <si>
    <t>Receitas ST e Monofásicas</t>
  </si>
  <si>
    <t>Receitas Isentas</t>
  </si>
  <si>
    <t>Receita Consolidada</t>
  </si>
  <si>
    <t>Impostos Lucro Real</t>
  </si>
  <si>
    <t>Impostos Lucro Presumido</t>
  </si>
  <si>
    <t>← Anexo</t>
  </si>
  <si>
    <t>Não é do Simples Nacional</t>
  </si>
  <si>
    <t>RBT 12</t>
  </si>
  <si>
    <t>% Base</t>
  </si>
  <si>
    <t>(-) Deduções</t>
  </si>
  <si>
    <t>%Efetiva</t>
  </si>
  <si>
    <t>RBT</t>
  </si>
  <si>
    <t>Imposto</t>
  </si>
  <si>
    <t>*Repartição dos Tributos</t>
  </si>
  <si>
    <t>Faixas</t>
  </si>
  <si>
    <t>Icms</t>
  </si>
  <si>
    <t>CPP</t>
  </si>
  <si>
    <t>Total do DAS</t>
  </si>
  <si>
    <t>Análise:</t>
  </si>
  <si>
    <t>Teto:</t>
  </si>
  <si>
    <t>Sem 5%:</t>
  </si>
  <si>
    <t>IPRJ</t>
  </si>
  <si>
    <t>Faturamento</t>
  </si>
  <si>
    <t>*Redistribuição anexo III</t>
  </si>
  <si>
    <t>*Redistribuição anexo IV</t>
  </si>
  <si>
    <t>Limite 1:</t>
  </si>
  <si>
    <t>Limite 2:</t>
  </si>
  <si>
    <t>ICMS Comércio</t>
  </si>
  <si>
    <t>ICMS Indústria</t>
  </si>
  <si>
    <t>Qual Anexo Principal:</t>
  </si>
  <si>
    <t>Banco de Dados - Receitas Tributadas</t>
  </si>
  <si>
    <t>Banco de Dados - Receitas Monofásicas</t>
  </si>
  <si>
    <t>Banco de Dados - Receitas ST</t>
  </si>
  <si>
    <t>Banco de Dados - Receitas ST e Monofásicas</t>
  </si>
  <si>
    <t>Banco de Dados - Receitas Isentas</t>
  </si>
  <si>
    <t>CMV</t>
  </si>
  <si>
    <t>CPV</t>
  </si>
  <si>
    <t>CSP</t>
  </si>
  <si>
    <t>Folha</t>
  </si>
  <si>
    <t>Pró Labore</t>
  </si>
  <si>
    <t>Terceiros</t>
  </si>
  <si>
    <t>RAT</t>
  </si>
  <si>
    <t>FGTS</t>
  </si>
  <si>
    <t>Operacionais</t>
  </si>
  <si>
    <t>Administrativas</t>
  </si>
  <si>
    <t>Comerciais</t>
  </si>
  <si>
    <t>Trabalhistas</t>
  </si>
  <si>
    <t>Tributárias</t>
  </si>
  <si>
    <t>Logística</t>
  </si>
  <si>
    <t>Financeira</t>
  </si>
  <si>
    <t>Outras</t>
  </si>
  <si>
    <t>↓ Preencha as devoluções e cancelamentos</t>
  </si>
  <si>
    <t>IBS Pleno</t>
  </si>
  <si>
    <t>CBS Pleno</t>
  </si>
  <si>
    <t>IBS Base</t>
  </si>
  <si>
    <t>CBS Base</t>
  </si>
  <si>
    <t>CBS Plano</t>
  </si>
  <si>
    <t>ICMS Base</t>
  </si>
  <si>
    <t>ISS Base</t>
  </si>
  <si>
    <t>ICMS Fim</t>
  </si>
  <si>
    <t>ISS Fim</t>
  </si>
  <si>
    <t>Fase de Teste: Cobrança de 0,9% de CBS (descontado do PIS/COFINS).</t>
  </si>
  <si>
    <t>Fase de Teste: Cobrança de 0,1% de IBS (descontado do ICMS/ISS).</t>
  </si>
  <si>
    <t>Início do "período de adaptação". Você pagará guias de teste, mas o valor será abatido dos impostos atuais. Carga tributária permanece igual.</t>
  </si>
  <si>
    <t>Fim do PIS e COFINS.
Entrada integral da CBS.
IPI reduzido a zero (exceto Zona Franca).
Início do IS (Imposto Seletivo/Pecado).</t>
  </si>
  <si>
    <t>Sem alterações significativas (ICMS e ISS continuam normais).</t>
  </si>
  <si>
    <t>Ano crítico para o Lucro Real. Sua apuração de PIS/COFINS muda totalmente para a nova CBS.</t>
  </si>
  <si>
    <t>CBS plena vigência.</t>
  </si>
  <si>
    <t>Modelo Tributário 100% Implantado.</t>
  </si>
  <si>
    <t>ICMS e ISS continuam normais.</t>
  </si>
  <si>
    <t>Ano de estabilização das novas regras federais.</t>
  </si>
  <si>
    <t>Início da Transição Gradual:
ICMS/ISS reduzidos para 90%.</t>
  </si>
  <si>
    <t>Início da Transição Gradual:
ICMS/ISS reduzidos para 80%.</t>
  </si>
  <si>
    <t>Início da Transição Gradual:
ICMS/ISS reduzidos para 70%.</t>
  </si>
  <si>
    <t>Início da Transição Gradual:
ICMS/ISS reduzidos para 60%.</t>
  </si>
  <si>
    <t>A IBS sobe para 10% da alíquota alvo.</t>
  </si>
  <si>
    <t>A IBS sobe para 20% da alíquota alvo.</t>
  </si>
  <si>
    <t>A IBS sobe para 30% da alíquota alvo.</t>
  </si>
  <si>
    <t>A IBS sobe para 40% da alíquota alvo. Último ano de convivência com o sistema antigo.</t>
  </si>
  <si>
    <t>Fim definitivo do ICMS e ISS.</t>
  </si>
  <si>
    <t>O modelo antigo é extinto. O sistema IVA Dual (CBS + IBS) opera 100%.</t>
  </si>
  <si>
    <t>Pis/Cofins</t>
  </si>
  <si>
    <t>↓ Faturamento (se empresa do lucro real ou lucro presumido)</t>
  </si>
  <si>
    <t>↓ Faturamento (se empresa do simples nacional)</t>
  </si>
  <si>
    <t>↓ Créditos Tributários (se empresa do lucro real ou lucro presumido)</t>
  </si>
  <si>
    <t>↓ Débitos Tributários (se empresa do lucro real ou lucro presumido)</t>
  </si>
  <si>
    <t>↓ Débitos Tributários (se empresa do simples nacional)</t>
  </si>
  <si>
    <t>↓ Custos</t>
  </si>
  <si>
    <t>↓ Folha de Pagamento</t>
  </si>
  <si>
    <t>↓ Despesas</t>
  </si>
  <si>
    <t>↓ Devoluções e Cancelamentos</t>
  </si>
  <si>
    <t>Cenário Atual</t>
  </si>
  <si>
    <t>Débitos</t>
  </si>
  <si>
    <t>Créditos</t>
  </si>
  <si>
    <t>Apuração</t>
  </si>
  <si>
    <t>Final</t>
  </si>
  <si>
    <t>(-) Devoluções</t>
  </si>
  <si>
    <t>Receita Bruta</t>
  </si>
  <si>
    <t>Receita Líquida</t>
  </si>
  <si>
    <t>Lucro Bruto</t>
  </si>
  <si>
    <t>Lucro Operacional</t>
  </si>
  <si>
    <t>(-) Pis</t>
  </si>
  <si>
    <t>(-) Cofins</t>
  </si>
  <si>
    <t>(-) ICMS</t>
  </si>
  <si>
    <t>(-) IPI</t>
  </si>
  <si>
    <t>(-) ISS</t>
  </si>
  <si>
    <t>(-) CPV</t>
  </si>
  <si>
    <t>(-) CMV</t>
  </si>
  <si>
    <t>(-) CSP</t>
  </si>
  <si>
    <t>Operacional</t>
  </si>
  <si>
    <t>Comercial</t>
  </si>
  <si>
    <t>Trabalhista</t>
  </si>
  <si>
    <t>Tributária</t>
  </si>
  <si>
    <t>(-) Operacional</t>
  </si>
  <si>
    <t>(-) Admin</t>
  </si>
  <si>
    <t>(-) Comercial</t>
  </si>
  <si>
    <t>(-) Trabalhista</t>
  </si>
  <si>
    <t>(-) Tributária</t>
  </si>
  <si>
    <t>(-) Logística</t>
  </si>
  <si>
    <t>(-) Financeira</t>
  </si>
  <si>
    <t>(-) CPP</t>
  </si>
  <si>
    <t>(-) Folha</t>
  </si>
  <si>
    <t>(-) Pró Labore</t>
  </si>
  <si>
    <t>(-) FGTS</t>
  </si>
  <si>
    <t>Lucro Líquido</t>
  </si>
  <si>
    <t>(-) IRPJ</t>
  </si>
  <si>
    <t>(-) CSLL</t>
  </si>
  <si>
    <t>IR Real</t>
  </si>
  <si>
    <t>LAIR</t>
  </si>
  <si>
    <t>Adicional</t>
  </si>
  <si>
    <t>Trimestre</t>
  </si>
  <si>
    <t>IR Presumido</t>
  </si>
  <si>
    <t>Total Impostos</t>
  </si>
  <si>
    <t>↓ Demonstração do Resultado no Modelo 2026</t>
  </si>
  <si>
    <t>(-) CBS</t>
  </si>
  <si>
    <t>(-) IBS</t>
  </si>
  <si>
    <t>CBS Créditos</t>
  </si>
  <si>
    <t>Alq</t>
  </si>
  <si>
    <t>Red</t>
  </si>
  <si>
    <t>CBS Débitos</t>
  </si>
  <si>
    <t>↓ Análise dos Impostos em 2026 (Início teste com as alíquotas de 0,9% de CBS e 0,1% de IBS que poderão ser descontados do Pis e Cofins para as empresas que cumprirem as regras).</t>
  </si>
  <si>
    <t>Impostos Parcial</t>
  </si>
  <si>
    <t>↓ Análise dos Impostos em 2027 (Fim do Pis e Cofins e vigência plena da CBS).</t>
  </si>
  <si>
    <t>↓ Demonstração do Resultado no Modelo 2027</t>
  </si>
  <si>
    <t>Simular Simples Nacional:</t>
  </si>
  <si>
    <t>Simplificado</t>
  </si>
  <si>
    <t>Híbrido (Créditos)</t>
  </si>
  <si>
    <t>↓ Análise dos Impostos em 2028 (Vigência plena da CBS).</t>
  </si>
  <si>
    <t>↓ Demonstração do Resultado no Modelo 2028</t>
  </si>
  <si>
    <t>↓ Análise dos Impostos em 2029 (Vigência plena da CBS e início da transição do IBS 10% da alíquota final).</t>
  </si>
  <si>
    <t>↓ Demonstração do Resultado no Modelo 2029</t>
  </si>
  <si>
    <t>Taxa Red</t>
  </si>
  <si>
    <t>Apuração ICMS</t>
  </si>
  <si>
    <t>Apuração ISS</t>
  </si>
  <si>
    <t>Final ICMS</t>
  </si>
  <si>
    <t>Final ISS</t>
  </si>
  <si>
    <t>Aliq</t>
  </si>
  <si>
    <t>Aliq Real</t>
  </si>
  <si>
    <t>↓ Análise dos Impostos em 2030 (Vigência plena da CBS e início da transição do IBS 20% da alíquota final).</t>
  </si>
  <si>
    <t>↓ Demonstração do Resultado no Modelo 2030</t>
  </si>
  <si>
    <t>↓ Análise dos Impostos em 2031 (Vigência plena da CBS e início da transição do IBS 30% da alíquota final).</t>
  </si>
  <si>
    <t>↓ Análise dos Impostos em 2032 (Vigência plena da CBS e início da transição do IBS 40% da alíquota final).</t>
  </si>
  <si>
    <t>↓ Demonstração do Resultado no Modelo 2032</t>
  </si>
  <si>
    <t>↓ Análise dos Impostos em 2033 (Vigência plena da CBS e IBS e fim das fases da reforma tributária).</t>
  </si>
  <si>
    <t>↓ Demonstração do Resultado no Modelo 2033</t>
  </si>
  <si>
    <t>↓ Demonstração do Resultado no Modelo 2031</t>
  </si>
  <si>
    <t>↓ Evolução dos Impostos conforme a Reforma Tributária</t>
  </si>
  <si>
    <t>Empresa Sujeita ao Imposto Seletivo:</t>
  </si>
  <si>
    <t>1 Sim</t>
  </si>
  <si>
    <t>2 Não</t>
  </si>
  <si>
    <t>Imposto Seletivo</t>
  </si>
  <si>
    <t>Fat + IS</t>
  </si>
  <si>
    <t>2025 para 2026</t>
  </si>
  <si>
    <t>2026 para 2027</t>
  </si>
  <si>
    <t>2027 para 2028</t>
  </si>
  <si>
    <t>2028 para 2029</t>
  </si>
  <si>
    <t>2029 para 2030</t>
  </si>
  <si>
    <t>2030 para 2031</t>
  </si>
  <si>
    <t>2031 para 2032</t>
  </si>
  <si>
    <t>2032 para 2033</t>
  </si>
  <si>
    <t>↓ Evolução da Carga Tributária</t>
  </si>
  <si>
    <t>Anual</t>
  </si>
  <si>
    <t>Impostos em 2025</t>
  </si>
  <si>
    <t>Impostos em 2026</t>
  </si>
  <si>
    <t>Impostos em 2027</t>
  </si>
  <si>
    <t>Impostos em 2028</t>
  </si>
  <si>
    <t>Impostos em 2029</t>
  </si>
  <si>
    <t>Impostos em 2030</t>
  </si>
  <si>
    <t>Impostos em 2031</t>
  </si>
  <si>
    <t>Impostos em 2032</t>
  </si>
  <si>
    <t>Impostos em 2033</t>
  </si>
  <si>
    <t>↓ Evolução da Lucratividade</t>
  </si>
  <si>
    <t>Lucro</t>
  </si>
  <si>
    <t>Lucratividade %</t>
  </si>
  <si>
    <t>Custos</t>
  </si>
  <si>
    <t>Despesas</t>
  </si>
  <si>
    <t>Carga</t>
  </si>
  <si>
    <t>Média</t>
  </si>
  <si>
    <t>↓ Demonstração do CBS</t>
  </si>
  <si>
    <t>↓ Redução do ICMS e ISS</t>
  </si>
  <si>
    <t>↓ Aumento do IBS</t>
  </si>
  <si>
    <t>Débito IBS</t>
  </si>
  <si>
    <t>Crédito IBS</t>
  </si>
  <si>
    <t>Débito ICMS</t>
  </si>
  <si>
    <t>Débito ISS</t>
  </si>
  <si>
    <t>Crédito ICMS</t>
  </si>
  <si>
    <t>Crédito ISS</t>
  </si>
  <si>
    <t>Final IBS</t>
  </si>
  <si>
    <t>Final CBS</t>
  </si>
  <si>
    <t>Lucratividade</t>
  </si>
  <si>
    <t>8 anos</t>
  </si>
  <si>
    <t>Data:</t>
  </si>
  <si>
    <t xml:space="preserve">Indústria de Produtos XPTO </t>
  </si>
  <si>
    <t>Copyright © 2026 Onside Corporation ®</t>
  </si>
  <si>
    <t>Acumulado</t>
  </si>
  <si>
    <t>IRPJ - Comércio</t>
  </si>
  <si>
    <t>CSLL - Comércio</t>
  </si>
  <si>
    <t>IRPJ - Indústria</t>
  </si>
  <si>
    <t>CSLL - Indústria</t>
  </si>
  <si>
    <t>IRPJ - Serviços</t>
  </si>
  <si>
    <t>CSLL - Serviços</t>
  </si>
  <si>
    <t>Maior 5</t>
  </si>
  <si>
    <t>Ident</t>
  </si>
  <si>
    <t>trabalho</t>
  </si>
  <si>
    <t>Base Antiga</t>
  </si>
  <si>
    <t>Base Nova</t>
  </si>
  <si>
    <t>Trimestral Antiga</t>
  </si>
  <si>
    <t>Trimestral Nova</t>
  </si>
  <si>
    <t>Antiga</t>
  </si>
  <si>
    <t>Nova</t>
  </si>
  <si>
    <t>ANTIGO</t>
  </si>
  <si>
    <t>NOVO</t>
  </si>
  <si>
    <t>Base IRPJ</t>
  </si>
  <si>
    <t>Base CSLL</t>
  </si>
  <si>
    <t>INDÚSTRIA</t>
  </si>
  <si>
    <t>COMÉRCIO</t>
  </si>
  <si>
    <t>SERVIÇOS</t>
  </si>
  <si>
    <t>ADICIONAL</t>
  </si>
  <si>
    <t>↓ Análise dos Impostos em 2025</t>
  </si>
  <si>
    <t>↓ Demonstração do Resultado no Modelo 2025</t>
  </si>
  <si>
    <t>(+) Créditos</t>
  </si>
  <si>
    <t>*Conforme Modelo Pré Reforma Tributária</t>
  </si>
  <si>
    <t>*Conforme Modelo Pós Reforma Tributária</t>
  </si>
  <si>
    <t>Base Normal até 1.250.000</t>
  </si>
  <si>
    <t xml:space="preserve">Acima de </t>
  </si>
  <si>
    <t>Cenário antes</t>
  </si>
  <si>
    <t>Somado</t>
  </si>
  <si>
    <t>Normal</t>
  </si>
  <si>
    <t>Diferença</t>
  </si>
  <si>
    <t>IR</t>
  </si>
  <si>
    <t>limite</t>
  </si>
  <si>
    <t>total</t>
  </si>
  <si>
    <t>Base dos Créditos</t>
  </si>
  <si>
    <t>Administrativa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</si>
</sst>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(&quot;R$&quot;* #,##0.00_);_(&quot;R$&quot;* \(#,##0.00\);_(&quot;R$&quot;* &quot;-&quot;??_);_(@_)"/>
    <numFmt numFmtId="165" formatCode="0.000%"/>
    <numFmt numFmtId="166" formatCode="0.00000%"/>
  </numFmts>
  <fonts count="36" x14ac:knownFonts="1">
    <font>
      <sz val="11"/>
      <color theme="1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00"/>
      <name val="Segoe UI"/>
      <family val="2"/>
    </font>
    <font>
      <u/>
      <sz val="11"/>
      <color theme="10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b/>
      <sz val="10"/>
      <color rgb="FF00B050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color rgb="FF006666"/>
      <name val="Calibri"/>
      <family val="2"/>
      <scheme val="minor"/>
    </font>
    <font>
      <sz val="8"/>
      <color theme="1" tint="0.249977111117893"/>
      <name val="Calibri"/>
      <family val="2"/>
      <scheme val="minor"/>
    </font>
    <font>
      <sz val="10"/>
      <color rgb="FF0062AC"/>
      <name val="Calibri"/>
      <family val="2"/>
      <scheme val="minor"/>
    </font>
    <font>
      <b/>
      <sz val="28"/>
      <color theme="1" tint="0.249977111117893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6"/>
      <color theme="1" tint="0.249977111117893"/>
      <name val="Calibri"/>
      <family val="2"/>
      <scheme val="minor"/>
    </font>
    <font>
      <b/>
      <sz val="16"/>
      <color theme="1" tint="0.249977111117893"/>
      <name val="Calibri"/>
      <family val="2"/>
      <scheme val="minor"/>
    </font>
    <font>
      <sz val="10"/>
      <color theme="8" tint="0.79998168889431442"/>
      <name val="Calibri"/>
      <family val="2"/>
      <scheme val="minor"/>
    </font>
    <font>
      <b/>
      <sz val="10"/>
      <color theme="8" tint="0.79998168889431442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FB5A56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4"/>
      <color rgb="FF109C99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color theme="1" tint="0.249977111117893"/>
      <name val="Tahoma"/>
      <family val="2"/>
    </font>
    <font>
      <sz val="10"/>
      <color rgb="FFFF0000"/>
      <name val="Calibri"/>
      <family val="2"/>
      <scheme val="minor"/>
    </font>
    <font>
      <sz val="24"/>
      <color theme="1" tint="0.249977111117893"/>
      <name val="Calibri"/>
      <family val="2"/>
      <scheme val="minor"/>
    </font>
    <font>
      <sz val="10"/>
      <color rgb="FF000000"/>
      <name val="Calibri"/>
      <family val="2"/>
    </font>
    <font>
      <sz val="20"/>
      <color theme="1" tint="0.49998474074526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i/>
      <sz val="10"/>
      <color theme="1" tint="0.249977111117893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1B8AA"/>
        <bgColor indexed="64"/>
      </patternFill>
    </fill>
    <fill>
      <patternFill patternType="solid">
        <fgColor rgb="FFF2C80F"/>
        <bgColor indexed="64"/>
      </patternFill>
    </fill>
    <fill>
      <patternFill patternType="solid">
        <fgColor rgb="FF2B353E"/>
        <bgColor indexed="64"/>
      </patternFill>
    </fill>
    <fill>
      <patternFill patternType="solid">
        <fgColor rgb="FFFB5A56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850C35"/>
        <bgColor indexed="64"/>
      </patternFill>
    </fill>
    <fill>
      <patternFill patternType="solid">
        <fgColor rgb="FF4F031C"/>
        <bgColor indexed="64"/>
      </patternFill>
    </fill>
    <fill>
      <patternFill patternType="solid">
        <fgColor rgb="FF333F4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87C9DD"/>
        <bgColor indexed="64"/>
      </patternFill>
    </fill>
    <fill>
      <patternFill patternType="solid">
        <fgColor rgb="FFFDA7A5"/>
        <bgColor indexed="64"/>
      </patternFill>
    </fill>
    <fill>
      <patternFill patternType="solid">
        <fgColor rgb="FFFFFF00"/>
        <bgColor indexed="64"/>
      </patternFill>
    </fill>
  </fills>
  <borders count="77">
    <border>
      <left/>
      <right/>
      <top/>
      <bottom/>
      <diagonal/>
    </border>
    <border>
      <left/>
      <right/>
      <top/>
      <bottom style="thin">
        <color theme="3"/>
      </bottom>
      <diagonal/>
    </border>
    <border>
      <left/>
      <right/>
      <top/>
      <bottom style="thin">
        <color theme="8" tint="-0.499984740745262"/>
      </bottom>
      <diagonal/>
    </border>
    <border>
      <left/>
      <right/>
      <top style="thin">
        <color theme="8" tint="-0.499984740745262"/>
      </top>
      <bottom/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3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499984740745262"/>
      </left>
      <right style="thin">
        <color theme="0" tint="-0.14999847407452621"/>
      </right>
      <top style="medium">
        <color theme="0" tint="-0.499984740745262"/>
      </top>
      <bottom style="thin">
        <color theme="0" tint="-0.14999847407452621"/>
      </bottom>
      <diagonal/>
    </border>
    <border>
      <left style="medium">
        <color theme="0" tint="-0.499984740745262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14999847407452621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14999847407452621"/>
      </bottom>
      <diagonal/>
    </border>
    <border>
      <left style="thin">
        <color theme="0" tint="-0.499984740745262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499984740745262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499984740745262"/>
      </left>
      <right/>
      <top style="medium">
        <color theme="0" tint="-0.499984740745262"/>
      </top>
      <bottom style="thin">
        <color theme="0" tint="-0.14999847407452621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77111117893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14999847407452621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77111117893"/>
      </right>
      <top/>
      <bottom style="thin">
        <color theme="0" tint="-0.14999847407452621"/>
      </bottom>
      <diagonal/>
    </border>
    <border>
      <left style="thin">
        <color theme="0" tint="-0.499984740745262"/>
      </left>
      <right style="thin">
        <color theme="0" tint="-0.249977111117893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14999847407452621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1499984740745262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77111117893"/>
      </right>
      <top style="thin">
        <color theme="0" tint="-0.1499984740745262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14999847407452621"/>
      </right>
      <top style="thin">
        <color theme="0" tint="-0.14999847407452621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thin">
        <color theme="0" tint="-0.1499984740745262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1499984740745262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14999847407452621"/>
      </bottom>
      <diagonal/>
    </border>
    <border>
      <left style="medium">
        <color theme="0" tint="-0.499984740745262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/>
      <top/>
      <bottom style="thin">
        <color theme="0" tint="-0.14999847407452621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14999847407452621"/>
      </bottom>
      <diagonal/>
    </border>
    <border>
      <left style="thin">
        <color theme="0" tint="-0.499984740745262"/>
      </left>
      <right style="thin">
        <color theme="0" tint="-0.14999847407452621"/>
      </right>
      <top style="thin">
        <color theme="0" tint="-0.499984740745262"/>
      </top>
      <bottom style="thin">
        <color theme="0" tint="-0.14999847407452621"/>
      </bottom>
      <diagonal/>
    </border>
    <border>
      <left style="thin">
        <color theme="0" tint="-0.499984740745262"/>
      </left>
      <right style="thin">
        <color theme="0" tint="-0.14999847407452621"/>
      </right>
      <top style="thin">
        <color theme="0" tint="-0.499984740745262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14999847407452621"/>
      </right>
      <top style="thin">
        <color theme="0"/>
      </top>
      <bottom style="thin">
        <color theme="0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14999847407452621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249977111117893"/>
      </right>
      <top/>
      <bottom style="thin">
        <color theme="0"/>
      </bottom>
      <diagonal/>
    </border>
    <border>
      <left/>
      <right/>
      <top style="thin">
        <color theme="0" tint="-0.14999847407452621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249977111117893"/>
      </right>
      <top style="thin">
        <color theme="0" tint="-0.14999847407452621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14999847407452621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249977111117893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3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499984740745262"/>
      </left>
      <right style="thin">
        <color theme="0" tint="-0.14999847407452621"/>
      </right>
      <top style="thin">
        <color theme="0"/>
      </top>
      <bottom style="thin">
        <color theme="0" tint="-0.14999847407452621"/>
      </bottom>
      <diagonal/>
    </border>
    <border>
      <left style="thin">
        <color theme="0" tint="-0.499984740745262"/>
      </left>
      <right style="thin">
        <color theme="0" tint="-0.249977111117893"/>
      </right>
      <top style="thin">
        <color theme="0" tint="-0.499984740745262"/>
      </top>
      <bottom style="thin">
        <color theme="0" tint="-0.14999847407452621"/>
      </bottom>
      <diagonal/>
    </border>
    <border>
      <left style="thin">
        <color theme="0" tint="-0.499984740745262"/>
      </left>
      <right/>
      <top/>
      <bottom style="thin">
        <color theme="0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/>
      </top>
      <bottom style="thin">
        <color theme="0" tint="-0.14999847407452621"/>
      </bottom>
      <diagonal/>
    </border>
    <border>
      <left style="thin">
        <color theme="0" tint="-0.499984740745262"/>
      </left>
      <right style="thin">
        <color theme="0" tint="-0.14999847407452621"/>
      </right>
      <top/>
      <bottom style="thin">
        <color theme="0"/>
      </bottom>
      <diagonal/>
    </border>
    <border>
      <left style="thin">
        <color theme="0" tint="-0.499984740745262"/>
      </left>
      <right style="thin">
        <color theme="0" tint="-0.249977111117893"/>
      </right>
      <top style="thin">
        <color theme="0"/>
      </top>
      <bottom style="thin">
        <color theme="0" tint="-0.14999847407452621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249977111117893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/>
      </top>
      <bottom style="thin">
        <color theme="0" tint="-0.14999847407452621"/>
      </bottom>
      <diagonal/>
    </border>
    <border>
      <left style="thin">
        <color theme="0" tint="-0.499984740745262"/>
      </left>
      <right style="thin">
        <color theme="0" tint="-0.249977111117893"/>
      </right>
      <top style="medium">
        <color theme="0" tint="-0.499984740745262"/>
      </top>
      <bottom style="thin">
        <color theme="0" tint="-0.14999847407452621"/>
      </bottom>
      <diagonal/>
    </border>
    <border>
      <left style="medium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249977111117893"/>
      </right>
      <top/>
      <bottom/>
      <diagonal/>
    </border>
    <border>
      <left style="thin">
        <color theme="0" tint="-0.499984740745262"/>
      </left>
      <right style="thin">
        <color theme="0" tint="-0.14999847407452621"/>
      </right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499984740745262"/>
      </left>
      <right/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9" fontId="19" fillId="0" borderId="0" applyFont="0" applyFill="0" applyBorder="0" applyAlignment="0" applyProtection="0"/>
  </cellStyleXfs>
  <cellXfs count="29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9" fillId="0" borderId="0" xfId="1" applyFont="1" applyFill="1"/>
    <xf numFmtId="0" fontId="9" fillId="0" borderId="0" xfId="1" applyFont="1" applyFill="1" applyAlignment="1">
      <alignment horizontal="left" vertical="top"/>
    </xf>
    <xf numFmtId="0" fontId="9" fillId="0" borderId="0" xfId="1" applyFont="1" applyFill="1" applyAlignment="1">
      <alignment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0" fillId="2" borderId="0" xfId="0" applyFill="1"/>
    <xf numFmtId="0" fontId="12" fillId="0" borderId="0" xfId="0" applyFont="1" applyAlignment="1">
      <alignment horizontal="left" vertical="center"/>
    </xf>
    <xf numFmtId="0" fontId="9" fillId="0" borderId="0" xfId="1" applyFont="1"/>
    <xf numFmtId="0" fontId="1" fillId="5" borderId="0" xfId="0" applyFont="1" applyFill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0" fontId="15" fillId="4" borderId="0" xfId="0" applyFont="1" applyFill="1" applyAlignment="1">
      <alignment horizontal="left" vertical="center" wrapText="1"/>
    </xf>
    <xf numFmtId="0" fontId="16" fillId="4" borderId="9" xfId="0" applyFont="1" applyFill="1" applyBorder="1" applyAlignment="1">
      <alignment horizontal="left" vertical="center" wrapText="1"/>
    </xf>
    <xf numFmtId="0" fontId="15" fillId="4" borderId="9" xfId="0" applyFont="1" applyFill="1" applyBorder="1" applyAlignment="1">
      <alignment horizontal="left" vertical="center" wrapText="1"/>
    </xf>
    <xf numFmtId="0" fontId="1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0" fillId="6" borderId="0" xfId="0" applyFill="1"/>
    <xf numFmtId="0" fontId="0" fillId="12" borderId="0" xfId="0" applyFill="1"/>
    <xf numFmtId="0" fontId="0" fillId="11" borderId="0" xfId="0" applyFill="1"/>
    <xf numFmtId="0" fontId="0" fillId="13" borderId="0" xfId="0" applyFill="1"/>
    <xf numFmtId="0" fontId="0" fillId="9" borderId="0" xfId="0" applyFill="1"/>
    <xf numFmtId="0" fontId="0" fillId="8" borderId="0" xfId="0" applyFill="1"/>
    <xf numFmtId="0" fontId="0" fillId="7" borderId="0" xfId="0" applyFill="1"/>
    <xf numFmtId="0" fontId="1" fillId="5" borderId="7" xfId="0" applyFont="1" applyFill="1" applyBorder="1" applyAlignment="1">
      <alignment horizontal="center" vertical="center"/>
    </xf>
    <xf numFmtId="0" fontId="14" fillId="4" borderId="8" xfId="0" applyFont="1" applyFill="1" applyBorder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vertical="center"/>
    </xf>
    <xf numFmtId="0" fontId="17" fillId="2" borderId="2" xfId="0" applyFont="1" applyFill="1" applyBorder="1" applyAlignment="1">
      <alignment vertical="center"/>
    </xf>
    <xf numFmtId="0" fontId="17" fillId="2" borderId="3" xfId="0" applyFont="1" applyFill="1" applyBorder="1" applyAlignment="1">
      <alignment vertical="center"/>
    </xf>
    <xf numFmtId="0" fontId="1" fillId="4" borderId="12" xfId="0" applyFont="1" applyFill="1" applyBorder="1" applyAlignment="1">
      <alignment horizontal="left" vertical="center" wrapText="1"/>
    </xf>
    <xf numFmtId="0" fontId="1" fillId="4" borderId="8" xfId="0" applyFont="1" applyFill="1" applyBorder="1" applyAlignment="1">
      <alignment horizontal="left" vertical="center" wrapText="1"/>
    </xf>
    <xf numFmtId="0" fontId="2" fillId="5" borderId="15" xfId="0" applyFont="1" applyFill="1" applyBorder="1" applyAlignment="1" applyProtection="1">
      <alignment horizontal="left" vertical="center" wrapText="1"/>
      <protection locked="0"/>
    </xf>
    <xf numFmtId="0" fontId="2" fillId="5" borderId="16" xfId="0" applyFont="1" applyFill="1" applyBorder="1" applyAlignment="1" applyProtection="1">
      <alignment horizontal="left" vertical="center" wrapText="1"/>
      <protection locked="0"/>
    </xf>
    <xf numFmtId="0" fontId="1" fillId="4" borderId="13" xfId="0" applyFont="1" applyFill="1" applyBorder="1" applyAlignment="1">
      <alignment horizontal="left" vertical="center" wrapText="1"/>
    </xf>
    <xf numFmtId="14" fontId="2" fillId="5" borderId="16" xfId="0" applyNumberFormat="1" applyFont="1" applyFill="1" applyBorder="1" applyAlignment="1" applyProtection="1">
      <alignment horizontal="left" vertical="center" wrapText="1"/>
      <protection locked="0"/>
    </xf>
    <xf numFmtId="0" fontId="1" fillId="7" borderId="0" xfId="0" applyFont="1" applyFill="1" applyAlignment="1">
      <alignment horizontal="left" vertical="center" wrapText="1"/>
    </xf>
    <xf numFmtId="0" fontId="1" fillId="4" borderId="10" xfId="0" applyFont="1" applyFill="1" applyBorder="1" applyAlignment="1">
      <alignment horizontal="left" vertical="center" wrapText="1"/>
    </xf>
    <xf numFmtId="0" fontId="1" fillId="4" borderId="6" xfId="0" applyFont="1" applyFill="1" applyBorder="1" applyAlignment="1">
      <alignment horizontal="left" vertical="center" wrapText="1"/>
    </xf>
    <xf numFmtId="10" fontId="2" fillId="5" borderId="4" xfId="2" applyNumberFormat="1" applyFont="1" applyFill="1" applyBorder="1" applyAlignment="1" applyProtection="1">
      <alignment horizontal="center" vertical="center" wrapText="1"/>
      <protection locked="0"/>
    </xf>
    <xf numFmtId="10" fontId="2" fillId="5" borderId="5" xfId="2" applyNumberFormat="1" applyFont="1" applyFill="1" applyBorder="1" applyAlignment="1" applyProtection="1">
      <alignment horizontal="center" vertical="center" wrapText="1"/>
      <protection locked="0"/>
    </xf>
    <xf numFmtId="10" fontId="2" fillId="5" borderId="6" xfId="2" applyNumberFormat="1" applyFont="1" applyFill="1" applyBorder="1" applyAlignment="1" applyProtection="1">
      <alignment horizontal="center" vertical="center" wrapText="1"/>
      <protection locked="0"/>
    </xf>
    <xf numFmtId="164" fontId="3" fillId="4" borderId="19" xfId="0" applyNumberFormat="1" applyFont="1" applyFill="1" applyBorder="1" applyAlignment="1">
      <alignment horizontal="left" vertical="center"/>
    </xf>
    <xf numFmtId="164" fontId="3" fillId="4" borderId="20" xfId="0" applyNumberFormat="1" applyFont="1" applyFill="1" applyBorder="1" applyAlignment="1">
      <alignment horizontal="left" vertical="center"/>
    </xf>
    <xf numFmtId="0" fontId="1" fillId="4" borderId="21" xfId="2" applyNumberFormat="1" applyFont="1" applyFill="1" applyBorder="1" applyAlignment="1">
      <alignment horizontal="left" vertical="center"/>
    </xf>
    <xf numFmtId="10" fontId="2" fillId="5" borderId="21" xfId="2" applyNumberFormat="1" applyFont="1" applyFill="1" applyBorder="1" applyAlignment="1" applyProtection="1">
      <alignment horizontal="center" vertical="center"/>
      <protection locked="0"/>
    </xf>
    <xf numFmtId="0" fontId="1" fillId="4" borderId="22" xfId="2" applyNumberFormat="1" applyFont="1" applyFill="1" applyBorder="1" applyAlignment="1">
      <alignment horizontal="left" vertical="center"/>
    </xf>
    <xf numFmtId="10" fontId="2" fillId="5" borderId="22" xfId="2" applyNumberFormat="1" applyFont="1" applyFill="1" applyBorder="1" applyAlignment="1" applyProtection="1">
      <alignment horizontal="center" vertical="center"/>
      <protection locked="0"/>
    </xf>
    <xf numFmtId="0" fontId="1" fillId="4" borderId="25" xfId="2" applyNumberFormat="1" applyFont="1" applyFill="1" applyBorder="1" applyAlignment="1">
      <alignment horizontal="left" vertical="center"/>
    </xf>
    <xf numFmtId="10" fontId="2" fillId="5" borderId="25" xfId="2" applyNumberFormat="1" applyFont="1" applyFill="1" applyBorder="1" applyAlignment="1" applyProtection="1">
      <alignment horizontal="center" vertical="center"/>
      <protection locked="0"/>
    </xf>
    <xf numFmtId="0" fontId="7" fillId="4" borderId="21" xfId="2" applyNumberFormat="1" applyFont="1" applyFill="1" applyBorder="1" applyAlignment="1" applyProtection="1">
      <alignment horizontal="center" vertical="center"/>
    </xf>
    <xf numFmtId="10" fontId="2" fillId="5" borderId="15" xfId="2" applyNumberFormat="1" applyFont="1" applyFill="1" applyBorder="1" applyAlignment="1" applyProtection="1">
      <alignment horizontal="center" vertical="center"/>
      <protection locked="0"/>
    </xf>
    <xf numFmtId="164" fontId="1" fillId="4" borderId="27" xfId="0" applyNumberFormat="1" applyFont="1" applyFill="1" applyBorder="1" applyAlignment="1">
      <alignment horizontal="left" vertical="center"/>
    </xf>
    <xf numFmtId="0" fontId="3" fillId="4" borderId="29" xfId="0" applyFont="1" applyFill="1" applyBorder="1" applyAlignment="1">
      <alignment horizontal="left" vertical="center" wrapText="1"/>
    </xf>
    <xf numFmtId="164" fontId="3" fillId="4" borderId="28" xfId="0" applyNumberFormat="1" applyFont="1" applyFill="1" applyBorder="1" applyAlignment="1">
      <alignment horizontal="left" vertical="center"/>
    </xf>
    <xf numFmtId="164" fontId="1" fillId="4" borderId="30" xfId="0" applyNumberFormat="1" applyFont="1" applyFill="1" applyBorder="1" applyAlignment="1">
      <alignment horizontal="left" vertical="center"/>
    </xf>
    <xf numFmtId="0" fontId="14" fillId="4" borderId="32" xfId="0" applyFont="1" applyFill="1" applyBorder="1" applyAlignment="1">
      <alignment horizontal="center" vertical="center" wrapText="1"/>
    </xf>
    <xf numFmtId="164" fontId="1" fillId="4" borderId="31" xfId="0" applyNumberFormat="1" applyFont="1" applyFill="1" applyBorder="1" applyAlignment="1">
      <alignment horizontal="left" vertical="center"/>
    </xf>
    <xf numFmtId="164" fontId="1" fillId="4" borderId="10" xfId="0" applyNumberFormat="1" applyFont="1" applyFill="1" applyBorder="1" applyAlignment="1">
      <alignment horizontal="left" vertical="center"/>
    </xf>
    <xf numFmtId="164" fontId="1" fillId="4" borderId="33" xfId="0" applyNumberFormat="1" applyFont="1" applyFill="1" applyBorder="1" applyAlignment="1">
      <alignment horizontal="left" vertical="center"/>
    </xf>
    <xf numFmtId="0" fontId="14" fillId="4" borderId="34" xfId="0" applyFont="1" applyFill="1" applyBorder="1" applyAlignment="1">
      <alignment horizontal="center" vertical="center" wrapText="1"/>
    </xf>
    <xf numFmtId="0" fontId="14" fillId="4" borderId="24" xfId="0" applyFont="1" applyFill="1" applyBorder="1" applyAlignment="1">
      <alignment horizontal="center" vertical="center" wrapText="1"/>
    </xf>
    <xf numFmtId="4" fontId="2" fillId="5" borderId="21" xfId="0" applyNumberFormat="1" applyFont="1" applyFill="1" applyBorder="1" applyAlignment="1" applyProtection="1">
      <alignment horizontal="right" vertical="center"/>
      <protection locked="0"/>
    </xf>
    <xf numFmtId="4" fontId="2" fillId="5" borderId="40" xfId="0" applyNumberFormat="1" applyFont="1" applyFill="1" applyBorder="1" applyAlignment="1" applyProtection="1">
      <alignment horizontal="right" vertical="center"/>
      <protection locked="0"/>
    </xf>
    <xf numFmtId="4" fontId="2" fillId="5" borderId="21" xfId="2" applyNumberFormat="1" applyFont="1" applyFill="1" applyBorder="1" applyAlignment="1" applyProtection="1">
      <alignment horizontal="center" vertical="center"/>
      <protection locked="0"/>
    </xf>
    <xf numFmtId="4" fontId="2" fillId="5" borderId="22" xfId="2" applyNumberFormat="1" applyFont="1" applyFill="1" applyBorder="1" applyAlignment="1" applyProtection="1">
      <alignment horizontal="center" vertical="center"/>
      <protection locked="0"/>
    </xf>
    <xf numFmtId="4" fontId="2" fillId="5" borderId="25" xfId="2" applyNumberFormat="1" applyFont="1" applyFill="1" applyBorder="1" applyAlignment="1" applyProtection="1">
      <alignment horizontal="center" vertical="center"/>
      <protection locked="0"/>
    </xf>
    <xf numFmtId="4" fontId="2" fillId="5" borderId="15" xfId="2" applyNumberFormat="1" applyFont="1" applyFill="1" applyBorder="1" applyAlignment="1" applyProtection="1">
      <alignment horizontal="center" vertical="center"/>
      <protection locked="0"/>
    </xf>
    <xf numFmtId="4" fontId="2" fillId="5" borderId="23" xfId="2" applyNumberFormat="1" applyFont="1" applyFill="1" applyBorder="1" applyAlignment="1" applyProtection="1">
      <alignment horizontal="center" vertical="center"/>
      <protection locked="0"/>
    </xf>
    <xf numFmtId="4" fontId="2" fillId="5" borderId="26" xfId="2" applyNumberFormat="1" applyFont="1" applyFill="1" applyBorder="1" applyAlignment="1" applyProtection="1">
      <alignment horizontal="center" vertical="center"/>
      <protection locked="0"/>
    </xf>
    <xf numFmtId="0" fontId="1" fillId="5" borderId="0" xfId="0" applyFont="1" applyFill="1" applyAlignment="1">
      <alignment horizontal="left" vertical="center" wrapText="1"/>
    </xf>
    <xf numFmtId="4" fontId="2" fillId="5" borderId="0" xfId="0" applyNumberFormat="1" applyFont="1" applyFill="1" applyAlignment="1" applyProtection="1">
      <alignment horizontal="right" vertical="center"/>
      <protection locked="0"/>
    </xf>
    <xf numFmtId="164" fontId="3" fillId="4" borderId="18" xfId="0" applyNumberFormat="1" applyFont="1" applyFill="1" applyBorder="1" applyAlignment="1">
      <alignment horizontal="left" vertical="center"/>
    </xf>
    <xf numFmtId="0" fontId="1" fillId="4" borderId="35" xfId="0" applyFont="1" applyFill="1" applyBorder="1" applyAlignment="1">
      <alignment vertical="center" wrapText="1"/>
    </xf>
    <xf numFmtId="4" fontId="2" fillId="14" borderId="36" xfId="0" applyNumberFormat="1" applyFont="1" applyFill="1" applyBorder="1" applyAlignment="1">
      <alignment horizontal="right" vertical="center"/>
    </xf>
    <xf numFmtId="0" fontId="1" fillId="5" borderId="41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vertical="center" wrapText="1"/>
    </xf>
    <xf numFmtId="4" fontId="1" fillId="4" borderId="21" xfId="0" applyNumberFormat="1" applyFont="1" applyFill="1" applyBorder="1" applyAlignment="1">
      <alignment horizontal="right" vertical="center"/>
    </xf>
    <xf numFmtId="4" fontId="2" fillId="14" borderId="37" xfId="0" applyNumberFormat="1" applyFont="1" applyFill="1" applyBorder="1" applyAlignment="1">
      <alignment horizontal="right" vertical="center"/>
    </xf>
    <xf numFmtId="0" fontId="1" fillId="4" borderId="8" xfId="0" applyFont="1" applyFill="1" applyBorder="1" applyAlignment="1">
      <alignment vertical="center" wrapText="1"/>
    </xf>
    <xf numFmtId="4" fontId="2" fillId="14" borderId="38" xfId="0" applyNumberFormat="1" applyFont="1" applyFill="1" applyBorder="1" applyAlignment="1">
      <alignment horizontal="right" vertical="center"/>
    </xf>
    <xf numFmtId="0" fontId="1" fillId="4" borderId="39" xfId="0" applyFont="1" applyFill="1" applyBorder="1" applyAlignment="1">
      <alignment vertical="center" wrapText="1"/>
    </xf>
    <xf numFmtId="4" fontId="1" fillId="4" borderId="40" xfId="0" applyNumberFormat="1" applyFont="1" applyFill="1" applyBorder="1" applyAlignment="1">
      <alignment horizontal="right" vertical="center"/>
    </xf>
    <xf numFmtId="0" fontId="2" fillId="14" borderId="12" xfId="0" applyFont="1" applyFill="1" applyBorder="1" applyAlignment="1">
      <alignment vertical="center" wrapText="1"/>
    </xf>
    <xf numFmtId="4" fontId="2" fillId="14" borderId="21" xfId="0" applyNumberFormat="1" applyFont="1" applyFill="1" applyBorder="1" applyAlignment="1">
      <alignment horizontal="right" vertical="center"/>
    </xf>
    <xf numFmtId="4" fontId="2" fillId="14" borderId="15" xfId="0" applyNumberFormat="1" applyFont="1" applyFill="1" applyBorder="1" applyAlignment="1">
      <alignment horizontal="right" vertical="center"/>
    </xf>
    <xf numFmtId="4" fontId="1" fillId="4" borderId="42" xfId="0" applyNumberFormat="1" applyFont="1" applyFill="1" applyBorder="1" applyAlignment="1">
      <alignment horizontal="right" vertical="center"/>
    </xf>
    <xf numFmtId="4" fontId="1" fillId="4" borderId="43" xfId="0" applyNumberFormat="1" applyFont="1" applyFill="1" applyBorder="1" applyAlignment="1">
      <alignment horizontal="right" vertical="center"/>
    </xf>
    <xf numFmtId="0" fontId="3" fillId="4" borderId="13" xfId="0" applyFont="1" applyFill="1" applyBorder="1" applyAlignment="1">
      <alignment horizontal="left" vertical="center" wrapText="1"/>
    </xf>
    <xf numFmtId="0" fontId="3" fillId="4" borderId="14" xfId="0" applyFont="1" applyFill="1" applyBorder="1" applyAlignment="1">
      <alignment horizontal="left" vertical="center" wrapText="1"/>
    </xf>
    <xf numFmtId="0" fontId="3" fillId="4" borderId="17" xfId="0" applyFont="1" applyFill="1" applyBorder="1" applyAlignment="1">
      <alignment horizontal="left" vertical="center" wrapText="1"/>
    </xf>
    <xf numFmtId="0" fontId="3" fillId="4" borderId="11" xfId="0" applyFont="1" applyFill="1" applyBorder="1" applyAlignment="1">
      <alignment horizontal="left" vertical="center" wrapText="1"/>
    </xf>
    <xf numFmtId="0" fontId="14" fillId="4" borderId="12" xfId="0" applyFont="1" applyFill="1" applyBorder="1" applyAlignment="1">
      <alignment horizontal="center" vertical="center" wrapText="1"/>
    </xf>
    <xf numFmtId="10" fontId="2" fillId="4" borderId="6" xfId="2" applyNumberFormat="1" applyFont="1" applyFill="1" applyBorder="1" applyAlignment="1" applyProtection="1">
      <alignment horizontal="center" vertical="center" wrapText="1"/>
    </xf>
    <xf numFmtId="10" fontId="1" fillId="4" borderId="4" xfId="2" applyNumberFormat="1" applyFont="1" applyFill="1" applyBorder="1" applyAlignment="1" applyProtection="1">
      <alignment horizontal="center" vertical="center" wrapText="1"/>
    </xf>
    <xf numFmtId="0" fontId="21" fillId="5" borderId="0" xfId="0" applyFont="1" applyFill="1" applyAlignment="1">
      <alignment horizontal="left"/>
    </xf>
    <xf numFmtId="10" fontId="1" fillId="4" borderId="35" xfId="2" applyNumberFormat="1" applyFont="1" applyFill="1" applyBorder="1" applyAlignment="1" applyProtection="1">
      <alignment horizontal="center" vertical="center" wrapText="1"/>
    </xf>
    <xf numFmtId="10" fontId="1" fillId="4" borderId="8" xfId="2" applyNumberFormat="1" applyFont="1" applyFill="1" applyBorder="1" applyAlignment="1" applyProtection="1">
      <alignment horizontal="center" vertical="center" wrapText="1"/>
    </xf>
    <xf numFmtId="10" fontId="1" fillId="4" borderId="39" xfId="2" applyNumberFormat="1" applyFont="1" applyFill="1" applyBorder="1" applyAlignment="1" applyProtection="1">
      <alignment horizontal="center" vertical="center" wrapText="1"/>
    </xf>
    <xf numFmtId="164" fontId="3" fillId="4" borderId="0" xfId="0" applyNumberFormat="1" applyFont="1" applyFill="1" applyAlignment="1">
      <alignment horizontal="left" vertical="center"/>
    </xf>
    <xf numFmtId="10" fontId="1" fillId="4" borderId="0" xfId="2" applyNumberFormat="1" applyFont="1" applyFill="1" applyBorder="1" applyAlignment="1" applyProtection="1">
      <alignment horizontal="center" vertical="center" wrapText="1"/>
    </xf>
    <xf numFmtId="4" fontId="2" fillId="14" borderId="0" xfId="0" applyNumberFormat="1" applyFont="1" applyFill="1" applyAlignment="1">
      <alignment horizontal="right" vertical="center"/>
    </xf>
    <xf numFmtId="0" fontId="2" fillId="14" borderId="0" xfId="0" applyFont="1" applyFill="1" applyAlignment="1">
      <alignment vertical="center" wrapText="1"/>
    </xf>
    <xf numFmtId="4" fontId="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1" fillId="14" borderId="0" xfId="0" applyFont="1" applyFill="1" applyAlignment="1">
      <alignment horizontal="left" vertical="center" wrapText="1"/>
    </xf>
    <xf numFmtId="4" fontId="1" fillId="14" borderId="0" xfId="0" applyNumberFormat="1" applyFont="1" applyFill="1" applyAlignment="1">
      <alignment horizontal="center" vertical="center" wrapText="1"/>
    </xf>
    <xf numFmtId="0" fontId="21" fillId="0" borderId="0" xfId="0" applyFont="1" applyAlignment="1">
      <alignment horizontal="left" wrapText="1"/>
    </xf>
    <xf numFmtId="0" fontId="1" fillId="4" borderId="0" xfId="0" applyFont="1" applyFill="1" applyAlignment="1">
      <alignment vertical="center" wrapText="1"/>
    </xf>
    <xf numFmtId="4" fontId="1" fillId="5" borderId="0" xfId="0" applyNumberFormat="1" applyFont="1" applyFill="1" applyAlignment="1">
      <alignment horizontal="right" vertical="center"/>
    </xf>
    <xf numFmtId="10" fontId="1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4" fontId="1" fillId="4" borderId="44" xfId="0" applyNumberFormat="1" applyFont="1" applyFill="1" applyBorder="1" applyAlignment="1">
      <alignment horizontal="right" vertical="center"/>
    </xf>
    <xf numFmtId="4" fontId="1" fillId="4" borderId="6" xfId="0" applyNumberFormat="1" applyFont="1" applyFill="1" applyBorder="1" applyAlignment="1">
      <alignment horizontal="right" vertical="center"/>
    </xf>
    <xf numFmtId="4" fontId="1" fillId="4" borderId="10" xfId="0" applyNumberFormat="1" applyFont="1" applyFill="1" applyBorder="1" applyAlignment="1">
      <alignment horizontal="right" vertical="center"/>
    </xf>
    <xf numFmtId="4" fontId="1" fillId="4" borderId="45" xfId="0" applyNumberFormat="1" applyFont="1" applyFill="1" applyBorder="1" applyAlignment="1">
      <alignment horizontal="right" vertical="center"/>
    </xf>
    <xf numFmtId="4" fontId="1" fillId="7" borderId="0" xfId="0" applyNumberFormat="1" applyFont="1" applyFill="1" applyAlignment="1">
      <alignment horizontal="right" vertical="center"/>
    </xf>
    <xf numFmtId="0" fontId="1" fillId="7" borderId="0" xfId="0" applyFont="1" applyFill="1" applyAlignment="1">
      <alignment vertical="center" wrapText="1"/>
    </xf>
    <xf numFmtId="4" fontId="2" fillId="7" borderId="0" xfId="0" applyNumberFormat="1" applyFont="1" applyFill="1" applyAlignment="1">
      <alignment horizontal="right" vertical="center"/>
    </xf>
    <xf numFmtId="4" fontId="1" fillId="0" borderId="0" xfId="0" applyNumberFormat="1" applyFont="1" applyAlignment="1">
      <alignment horizontal="left" vertical="center" wrapText="1"/>
    </xf>
    <xf numFmtId="10" fontId="1" fillId="0" borderId="0" xfId="2" applyNumberFormat="1" applyFont="1" applyAlignment="1">
      <alignment horizontal="left" vertical="center" wrapText="1"/>
    </xf>
    <xf numFmtId="10" fontId="1" fillId="14" borderId="0" xfId="2" applyNumberFormat="1" applyFont="1" applyFill="1" applyBorder="1" applyAlignment="1">
      <alignment horizontal="center" vertical="center" wrapText="1"/>
    </xf>
    <xf numFmtId="10" fontId="1" fillId="7" borderId="0" xfId="2" applyNumberFormat="1" applyFont="1" applyFill="1" applyAlignment="1">
      <alignment horizontal="left" vertical="center" wrapText="1"/>
    </xf>
    <xf numFmtId="10" fontId="1" fillId="7" borderId="0" xfId="2" applyNumberFormat="1" applyFont="1" applyFill="1" applyBorder="1" applyAlignment="1">
      <alignment horizontal="center" vertical="center" wrapText="1"/>
    </xf>
    <xf numFmtId="4" fontId="23" fillId="9" borderId="0" xfId="2" applyNumberFormat="1" applyFont="1" applyFill="1" applyAlignment="1">
      <alignment horizontal="left" vertical="center" wrapText="1"/>
    </xf>
    <xf numFmtId="4" fontId="23" fillId="9" borderId="0" xfId="2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10" fontId="0" fillId="0" borderId="0" xfId="2" applyNumberFormat="1" applyFont="1" applyAlignment="1">
      <alignment horizontal="center" vertical="center"/>
    </xf>
    <xf numFmtId="10" fontId="0" fillId="0" borderId="9" xfId="2" applyNumberFormat="1" applyFont="1" applyBorder="1" applyAlignment="1">
      <alignment horizontal="center" vertical="center"/>
    </xf>
    <xf numFmtId="0" fontId="15" fillId="4" borderId="0" xfId="0" applyFont="1" applyFill="1" applyAlignment="1">
      <alignment vertical="center" wrapText="1"/>
    </xf>
    <xf numFmtId="0" fontId="1" fillId="0" borderId="0" xfId="0" applyFont="1" applyAlignment="1">
      <alignment vertical="center" wrapText="1"/>
    </xf>
    <xf numFmtId="164" fontId="3" fillId="4" borderId="0" xfId="0" applyNumberFormat="1" applyFont="1" applyFill="1" applyAlignment="1">
      <alignment vertical="center"/>
    </xf>
    <xf numFmtId="0" fontId="23" fillId="9" borderId="0" xfId="0" applyFont="1" applyFill="1" applyAlignment="1">
      <alignment vertical="center" wrapText="1"/>
    </xf>
    <xf numFmtId="0" fontId="1" fillId="5" borderId="47" xfId="0" applyFont="1" applyFill="1" applyBorder="1" applyAlignment="1">
      <alignment horizontal="center" vertical="center"/>
    </xf>
    <xf numFmtId="0" fontId="1" fillId="4" borderId="48" xfId="0" applyFont="1" applyFill="1" applyBorder="1" applyAlignment="1">
      <alignment vertical="center" wrapText="1"/>
    </xf>
    <xf numFmtId="164" fontId="3" fillId="4" borderId="49" xfId="0" applyNumberFormat="1" applyFont="1" applyFill="1" applyBorder="1" applyAlignment="1">
      <alignment horizontal="left" vertical="center"/>
    </xf>
    <xf numFmtId="0" fontId="1" fillId="4" borderId="49" xfId="0" applyFont="1" applyFill="1" applyBorder="1" applyAlignment="1">
      <alignment vertical="center" wrapText="1"/>
    </xf>
    <xf numFmtId="4" fontId="1" fillId="4" borderId="49" xfId="0" applyNumberFormat="1" applyFont="1" applyFill="1" applyBorder="1" applyAlignment="1">
      <alignment horizontal="right" vertical="center"/>
    </xf>
    <xf numFmtId="4" fontId="2" fillId="14" borderId="49" xfId="0" applyNumberFormat="1" applyFont="1" applyFill="1" applyBorder="1" applyAlignment="1">
      <alignment horizontal="right" vertical="center"/>
    </xf>
    <xf numFmtId="0" fontId="2" fillId="14" borderId="49" xfId="0" applyFont="1" applyFill="1" applyBorder="1" applyAlignment="1">
      <alignment vertical="center" wrapText="1"/>
    </xf>
    <xf numFmtId="166" fontId="1" fillId="0" borderId="0" xfId="0" applyNumberFormat="1" applyFont="1" applyAlignment="1">
      <alignment horizontal="left" vertical="center" wrapText="1"/>
    </xf>
    <xf numFmtId="10" fontId="1" fillId="4" borderId="0" xfId="2" applyNumberFormat="1" applyFont="1" applyFill="1" applyAlignment="1">
      <alignment horizontal="left" vertical="center" wrapText="1"/>
    </xf>
    <xf numFmtId="10" fontId="1" fillId="4" borderId="0" xfId="0" applyNumberFormat="1" applyFont="1" applyFill="1" applyAlignment="1">
      <alignment horizontal="left" vertical="center" wrapText="1"/>
    </xf>
    <xf numFmtId="10" fontId="11" fillId="0" borderId="0" xfId="2" applyNumberFormat="1" applyFont="1" applyFill="1" applyAlignment="1">
      <alignment horizontal="center" vertical="center"/>
    </xf>
    <xf numFmtId="165" fontId="1" fillId="0" borderId="0" xfId="2" applyNumberFormat="1" applyFont="1" applyAlignment="1">
      <alignment horizontal="left" vertical="center" wrapText="1"/>
    </xf>
    <xf numFmtId="4" fontId="1" fillId="4" borderId="0" xfId="0" applyNumberFormat="1" applyFont="1" applyFill="1" applyAlignment="1">
      <alignment horizontal="left" vertical="center" wrapText="1"/>
    </xf>
    <xf numFmtId="4" fontId="2" fillId="5" borderId="50" xfId="0" applyNumberFormat="1" applyFont="1" applyFill="1" applyBorder="1" applyAlignment="1" applyProtection="1">
      <alignment horizontal="right" vertical="center"/>
      <protection locked="0"/>
    </xf>
    <xf numFmtId="0" fontId="23" fillId="9" borderId="0" xfId="0" applyFont="1" applyFill="1" applyAlignment="1">
      <alignment horizontal="left" vertical="center" wrapText="1"/>
    </xf>
    <xf numFmtId="0" fontId="25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0" fillId="4" borderId="9" xfId="0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1" fillId="4" borderId="49" xfId="0" applyFont="1" applyFill="1" applyBorder="1" applyAlignment="1">
      <alignment horizontal="left" vertical="center" wrapText="1"/>
    </xf>
    <xf numFmtId="0" fontId="2" fillId="14" borderId="49" xfId="0" applyFont="1" applyFill="1" applyBorder="1" applyAlignment="1">
      <alignment horizontal="left" vertical="center" wrapText="1"/>
    </xf>
    <xf numFmtId="0" fontId="1" fillId="4" borderId="0" xfId="0" applyFont="1" applyFill="1" applyAlignment="1">
      <alignment horizontal="left" vertical="center" wrapText="1"/>
    </xf>
    <xf numFmtId="0" fontId="15" fillId="4" borderId="9" xfId="0" applyFont="1" applyFill="1" applyBorder="1" applyAlignment="1">
      <alignment vertical="center" wrapText="1"/>
    </xf>
    <xf numFmtId="164" fontId="3" fillId="4" borderId="49" xfId="0" applyNumberFormat="1" applyFont="1" applyFill="1" applyBorder="1" applyAlignment="1">
      <alignment vertical="center"/>
    </xf>
    <xf numFmtId="0" fontId="0" fillId="0" borderId="51" xfId="0" applyBorder="1" applyAlignment="1">
      <alignment horizontal="left" vertical="center"/>
    </xf>
    <xf numFmtId="10" fontId="0" fillId="0" borderId="51" xfId="2" applyNumberFormat="1" applyFont="1" applyBorder="1" applyAlignment="1">
      <alignment horizontal="center" vertical="center"/>
    </xf>
    <xf numFmtId="4" fontId="1" fillId="4" borderId="50" xfId="0" applyNumberFormat="1" applyFont="1" applyFill="1" applyBorder="1" applyAlignment="1">
      <alignment horizontal="right" vertical="center"/>
    </xf>
    <xf numFmtId="10" fontId="1" fillId="4" borderId="35" xfId="2" applyNumberFormat="1" applyFont="1" applyFill="1" applyBorder="1" applyAlignment="1" applyProtection="1">
      <alignment horizontal="left" vertical="center" wrapText="1"/>
    </xf>
    <xf numFmtId="10" fontId="1" fillId="4" borderId="8" xfId="2" applyNumberFormat="1" applyFont="1" applyFill="1" applyBorder="1" applyAlignment="1" applyProtection="1">
      <alignment horizontal="left" vertical="center" wrapText="1"/>
    </xf>
    <xf numFmtId="10" fontId="1" fillId="4" borderId="39" xfId="2" applyNumberFormat="1" applyFont="1" applyFill="1" applyBorder="1" applyAlignment="1" applyProtection="1">
      <alignment horizontal="left" vertical="center" wrapText="1"/>
    </xf>
    <xf numFmtId="4" fontId="2" fillId="5" borderId="42" xfId="0" applyNumberFormat="1" applyFont="1" applyFill="1" applyBorder="1" applyAlignment="1" applyProtection="1">
      <alignment horizontal="right" vertical="center"/>
      <protection locked="0"/>
    </xf>
    <xf numFmtId="4" fontId="2" fillId="5" borderId="43" xfId="0" applyNumberFormat="1" applyFont="1" applyFill="1" applyBorder="1" applyAlignment="1" applyProtection="1">
      <alignment horizontal="right" vertical="center"/>
      <protection locked="0"/>
    </xf>
    <xf numFmtId="0" fontId="2" fillId="5" borderId="0" xfId="0" applyFont="1" applyFill="1" applyAlignment="1">
      <alignment horizontal="left" vertical="center"/>
    </xf>
    <xf numFmtId="0" fontId="1" fillId="5" borderId="52" xfId="0" applyFont="1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10" fontId="2" fillId="14" borderId="60" xfId="2" applyNumberFormat="1" applyFont="1" applyFill="1" applyBorder="1" applyAlignment="1" applyProtection="1">
      <alignment horizontal="center" vertical="center" wrapText="1"/>
    </xf>
    <xf numFmtId="10" fontId="2" fillId="14" borderId="38" xfId="2" applyNumberFormat="1" applyFont="1" applyFill="1" applyBorder="1" applyAlignment="1" applyProtection="1">
      <alignment horizontal="center" vertical="center" wrapText="1"/>
    </xf>
    <xf numFmtId="10" fontId="2" fillId="14" borderId="53" xfId="2" applyNumberFormat="1" applyFont="1" applyFill="1" applyBorder="1" applyAlignment="1" applyProtection="1">
      <alignment horizontal="center" vertical="center" wrapText="1"/>
    </xf>
    <xf numFmtId="4" fontId="1" fillId="4" borderId="61" xfId="0" applyNumberFormat="1" applyFont="1" applyFill="1" applyBorder="1" applyAlignment="1">
      <alignment horizontal="right" vertical="center"/>
    </xf>
    <xf numFmtId="4" fontId="1" fillId="4" borderId="31" xfId="0" applyNumberFormat="1" applyFont="1" applyFill="1" applyBorder="1" applyAlignment="1">
      <alignment horizontal="right" vertical="center"/>
    </xf>
    <xf numFmtId="0" fontId="29" fillId="0" borderId="0" xfId="0" applyFont="1" applyAlignment="1">
      <alignment horizontal="left" vertical="center" wrapText="1"/>
    </xf>
    <xf numFmtId="4" fontId="1" fillId="4" borderId="62" xfId="0" applyNumberFormat="1" applyFont="1" applyFill="1" applyBorder="1" applyAlignment="1">
      <alignment horizontal="right" vertical="center"/>
    </xf>
    <xf numFmtId="0" fontId="2" fillId="14" borderId="63" xfId="0" applyFont="1" applyFill="1" applyBorder="1" applyAlignment="1">
      <alignment vertical="center" wrapText="1"/>
    </xf>
    <xf numFmtId="4" fontId="2" fillId="14" borderId="64" xfId="0" applyNumberFormat="1" applyFont="1" applyFill="1" applyBorder="1" applyAlignment="1">
      <alignment horizontal="right" vertical="center"/>
    </xf>
    <xf numFmtId="4" fontId="2" fillId="14" borderId="60" xfId="0" applyNumberFormat="1" applyFont="1" applyFill="1" applyBorder="1" applyAlignment="1">
      <alignment horizontal="right" vertical="center"/>
    </xf>
    <xf numFmtId="4" fontId="1" fillId="5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1" fillId="3" borderId="1" xfId="0" applyFont="1" applyFill="1" applyBorder="1" applyAlignment="1">
      <alignment horizontal="left" vertical="center"/>
    </xf>
    <xf numFmtId="0" fontId="2" fillId="14" borderId="12" xfId="0" applyFont="1" applyFill="1" applyBorder="1" applyAlignment="1">
      <alignment horizontal="left" vertical="center" wrapText="1"/>
    </xf>
    <xf numFmtId="0" fontId="1" fillId="4" borderId="35" xfId="0" applyFont="1" applyFill="1" applyBorder="1" applyAlignment="1">
      <alignment horizontal="left" vertical="center" wrapText="1"/>
    </xf>
    <xf numFmtId="0" fontId="1" fillId="4" borderId="39" xfId="0" applyFont="1" applyFill="1" applyBorder="1" applyAlignment="1">
      <alignment horizontal="left" vertical="center" wrapText="1"/>
    </xf>
    <xf numFmtId="0" fontId="2" fillId="14" borderId="63" xfId="0" applyFont="1" applyFill="1" applyBorder="1" applyAlignment="1">
      <alignment horizontal="left" vertical="center" wrapText="1"/>
    </xf>
    <xf numFmtId="0" fontId="1" fillId="5" borderId="0" xfId="0" applyFont="1" applyFill="1" applyAlignment="1">
      <alignment horizontal="left" vertical="center"/>
    </xf>
    <xf numFmtId="10" fontId="1" fillId="5" borderId="0" xfId="2" applyNumberFormat="1" applyFont="1" applyFill="1" applyAlignment="1">
      <alignment horizontal="center" vertical="center"/>
    </xf>
    <xf numFmtId="4" fontId="2" fillId="14" borderId="65" xfId="0" applyNumberFormat="1" applyFont="1" applyFill="1" applyBorder="1" applyAlignment="1">
      <alignment horizontal="right" vertical="center"/>
    </xf>
    <xf numFmtId="10" fontId="1" fillId="5" borderId="0" xfId="0" applyNumberFormat="1" applyFont="1" applyFill="1" applyAlignment="1">
      <alignment horizontal="center" vertical="center"/>
    </xf>
    <xf numFmtId="4" fontId="1" fillId="4" borderId="38" xfId="0" applyNumberFormat="1" applyFont="1" applyFill="1" applyBorder="1" applyAlignment="1">
      <alignment horizontal="right" vertical="center"/>
    </xf>
    <xf numFmtId="0" fontId="2" fillId="4" borderId="39" xfId="0" applyFont="1" applyFill="1" applyBorder="1" applyAlignment="1">
      <alignment horizontal="left" vertical="center" wrapText="1"/>
    </xf>
    <xf numFmtId="0" fontId="2" fillId="4" borderId="48" xfId="0" applyFont="1" applyFill="1" applyBorder="1" applyAlignment="1">
      <alignment horizontal="left" vertical="center" wrapText="1"/>
    </xf>
    <xf numFmtId="0" fontId="2" fillId="14" borderId="66" xfId="0" applyFont="1" applyFill="1" applyBorder="1" applyAlignment="1">
      <alignment horizontal="left" vertical="center" wrapText="1"/>
    </xf>
    <xf numFmtId="4" fontId="1" fillId="4" borderId="67" xfId="0" applyNumberFormat="1" applyFont="1" applyFill="1" applyBorder="1" applyAlignment="1">
      <alignment horizontal="right" vertical="center"/>
    </xf>
    <xf numFmtId="0" fontId="2" fillId="4" borderId="66" xfId="0" applyFont="1" applyFill="1" applyBorder="1" applyAlignment="1">
      <alignment horizontal="left" vertical="center" wrapText="1"/>
    </xf>
    <xf numFmtId="4" fontId="1" fillId="4" borderId="68" xfId="0" applyNumberFormat="1" applyFont="1" applyFill="1" applyBorder="1" applyAlignment="1">
      <alignment horizontal="right" vertical="center"/>
    </xf>
    <xf numFmtId="4" fontId="1" fillId="4" borderId="65" xfId="0" applyNumberFormat="1" applyFont="1" applyFill="1" applyBorder="1" applyAlignment="1">
      <alignment horizontal="right" vertical="center"/>
    </xf>
    <xf numFmtId="4" fontId="1" fillId="4" borderId="60" xfId="0" applyNumberFormat="1" applyFont="1" applyFill="1" applyBorder="1" applyAlignment="1">
      <alignment horizontal="right" vertical="center"/>
    </xf>
    <xf numFmtId="10" fontId="1" fillId="4" borderId="21" xfId="2" applyNumberFormat="1" applyFont="1" applyFill="1" applyBorder="1" applyAlignment="1" applyProtection="1">
      <alignment horizontal="right" vertical="center"/>
    </xf>
    <xf numFmtId="10" fontId="2" fillId="14" borderId="38" xfId="2" applyNumberFormat="1" applyFont="1" applyFill="1" applyBorder="1" applyAlignment="1" applyProtection="1">
      <alignment horizontal="right" vertical="center"/>
    </xf>
    <xf numFmtId="10" fontId="2" fillId="14" borderId="60" xfId="2" applyNumberFormat="1" applyFont="1" applyFill="1" applyBorder="1" applyAlignment="1" applyProtection="1">
      <alignment horizontal="right" vertical="center"/>
    </xf>
    <xf numFmtId="164" fontId="3" fillId="4" borderId="13" xfId="0" applyNumberFormat="1" applyFont="1" applyFill="1" applyBorder="1" applyAlignment="1">
      <alignment horizontal="left" vertical="center"/>
    </xf>
    <xf numFmtId="0" fontId="3" fillId="4" borderId="69" xfId="0" applyFont="1" applyFill="1" applyBorder="1" applyAlignment="1">
      <alignment horizontal="left" vertical="center"/>
    </xf>
    <xf numFmtId="4" fontId="1" fillId="4" borderId="21" xfId="2" applyNumberFormat="1" applyFont="1" applyFill="1" applyBorder="1" applyAlignment="1" applyProtection="1">
      <alignment horizontal="right" vertical="center"/>
    </xf>
    <xf numFmtId="4" fontId="23" fillId="6" borderId="21" xfId="2" applyNumberFormat="1" applyFont="1" applyFill="1" applyBorder="1" applyAlignment="1" applyProtection="1">
      <alignment horizontal="right" vertical="center"/>
    </xf>
    <xf numFmtId="4" fontId="1" fillId="17" borderId="21" xfId="2" applyNumberFormat="1" applyFont="1" applyFill="1" applyBorder="1" applyAlignment="1" applyProtection="1">
      <alignment horizontal="right" vertical="center"/>
    </xf>
    <xf numFmtId="0" fontId="23" fillId="2" borderId="0" xfId="0" applyFont="1" applyFill="1" applyAlignment="1">
      <alignment horizontal="center" vertical="center"/>
    </xf>
    <xf numFmtId="0" fontId="1" fillId="4" borderId="34" xfId="0" applyFont="1" applyFill="1" applyBorder="1" applyAlignment="1">
      <alignment vertical="center" wrapText="1"/>
    </xf>
    <xf numFmtId="4" fontId="2" fillId="5" borderId="62" xfId="0" applyNumberFormat="1" applyFont="1" applyFill="1" applyBorder="1" applyAlignment="1">
      <alignment horizontal="right" vertical="center"/>
    </xf>
    <xf numFmtId="0" fontId="2" fillId="14" borderId="66" xfId="0" applyFont="1" applyFill="1" applyBorder="1" applyAlignment="1">
      <alignment vertical="center" wrapText="1"/>
    </xf>
    <xf numFmtId="4" fontId="2" fillId="14" borderId="67" xfId="0" applyNumberFormat="1" applyFont="1" applyFill="1" applyBorder="1" applyAlignment="1">
      <alignment horizontal="right" vertical="center"/>
    </xf>
    <xf numFmtId="10" fontId="1" fillId="0" borderId="0" xfId="0" applyNumberFormat="1" applyFont="1" applyAlignment="1">
      <alignment horizontal="left" vertical="center" wrapText="1"/>
    </xf>
    <xf numFmtId="0" fontId="2" fillId="5" borderId="52" xfId="0" applyFont="1" applyFill="1" applyBorder="1" applyAlignment="1">
      <alignment horizontal="left" vertical="center"/>
    </xf>
    <xf numFmtId="0" fontId="1" fillId="4" borderId="70" xfId="0" applyFont="1" applyFill="1" applyBorder="1" applyAlignment="1">
      <alignment horizontal="left" vertical="center" wrapText="1"/>
    </xf>
    <xf numFmtId="4" fontId="1" fillId="4" borderId="71" xfId="0" applyNumberFormat="1" applyFont="1" applyFill="1" applyBorder="1" applyAlignment="1">
      <alignment horizontal="right" vertical="center"/>
    </xf>
    <xf numFmtId="4" fontId="2" fillId="14" borderId="72" xfId="0" applyNumberFormat="1" applyFont="1" applyFill="1" applyBorder="1" applyAlignment="1">
      <alignment horizontal="right" vertical="center"/>
    </xf>
    <xf numFmtId="0" fontId="1" fillId="0" borderId="41" xfId="0" applyFont="1" applyBorder="1" applyAlignment="1">
      <alignment horizontal="left" vertical="center" wrapText="1"/>
    </xf>
    <xf numFmtId="0" fontId="2" fillId="14" borderId="48" xfId="0" applyFont="1" applyFill="1" applyBorder="1" applyAlignment="1">
      <alignment horizontal="left" vertical="center" wrapText="1"/>
    </xf>
    <xf numFmtId="4" fontId="2" fillId="14" borderId="40" xfId="0" applyNumberFormat="1" applyFont="1" applyFill="1" applyBorder="1" applyAlignment="1">
      <alignment horizontal="right" vertical="center"/>
    </xf>
    <xf numFmtId="4" fontId="2" fillId="14" borderId="68" xfId="0" applyNumberFormat="1" applyFont="1" applyFill="1" applyBorder="1" applyAlignment="1">
      <alignment horizontal="right" vertical="center"/>
    </xf>
    <xf numFmtId="4" fontId="1" fillId="7" borderId="0" xfId="0" applyNumberFormat="1" applyFont="1" applyFill="1" applyAlignment="1">
      <alignment horizontal="left" vertical="center" wrapText="1"/>
    </xf>
    <xf numFmtId="4" fontId="30" fillId="4" borderId="0" xfId="0" applyNumberFormat="1" applyFont="1" applyFill="1" applyAlignment="1">
      <alignment horizontal="center" vertical="center"/>
    </xf>
    <xf numFmtId="10" fontId="30" fillId="4" borderId="0" xfId="0" applyNumberFormat="1" applyFont="1" applyFill="1" applyAlignment="1">
      <alignment horizontal="center" vertical="center"/>
    </xf>
    <xf numFmtId="0" fontId="2" fillId="4" borderId="35" xfId="0" applyFont="1" applyFill="1" applyBorder="1" applyAlignment="1">
      <alignment horizontal="left" vertical="center" wrapText="1"/>
    </xf>
    <xf numFmtId="0" fontId="2" fillId="5" borderId="16" xfId="0" applyFont="1" applyFill="1" applyBorder="1" applyAlignment="1">
      <alignment horizontal="left" vertical="center" wrapText="1"/>
    </xf>
    <xf numFmtId="0" fontId="2" fillId="5" borderId="11" xfId="0" applyFont="1" applyFill="1" applyBorder="1" applyAlignment="1" applyProtection="1">
      <alignment horizontal="left" vertical="center" wrapText="1"/>
      <protection locked="0"/>
    </xf>
    <xf numFmtId="4" fontId="32" fillId="4" borderId="0" xfId="0" applyNumberFormat="1" applyFont="1" applyFill="1" applyAlignment="1">
      <alignment horizontal="center"/>
    </xf>
    <xf numFmtId="4" fontId="32" fillId="5" borderId="0" xfId="0" applyNumberFormat="1" applyFont="1" applyFill="1" applyAlignment="1">
      <alignment horizontal="center"/>
    </xf>
    <xf numFmtId="4" fontId="32" fillId="5" borderId="0" xfId="0" applyNumberFormat="1" applyFont="1" applyFill="1"/>
    <xf numFmtId="10" fontId="32" fillId="4" borderId="0" xfId="2" applyNumberFormat="1" applyFont="1" applyFill="1" applyAlignment="1">
      <alignment horizontal="center"/>
    </xf>
    <xf numFmtId="4" fontId="32" fillId="4" borderId="0" xfId="0" applyNumberFormat="1" applyFont="1" applyFill="1" applyAlignment="1">
      <alignment horizontal="center" vertical="center"/>
    </xf>
    <xf numFmtId="0" fontId="32" fillId="5" borderId="0" xfId="0" applyFont="1" applyFill="1" applyAlignment="1">
      <alignment horizontal="center" vertical="center"/>
    </xf>
    <xf numFmtId="10" fontId="32" fillId="4" borderId="0" xfId="0" applyNumberFormat="1" applyFont="1" applyFill="1" applyAlignment="1">
      <alignment horizontal="center" vertical="center"/>
    </xf>
    <xf numFmtId="10" fontId="32" fillId="4" borderId="0" xfId="2" applyNumberFormat="1" applyFont="1" applyFill="1" applyAlignment="1">
      <alignment horizontal="center" vertical="center"/>
    </xf>
    <xf numFmtId="4" fontId="1" fillId="0" borderId="0" xfId="0" applyNumberFormat="1" applyFont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4" fontId="1" fillId="7" borderId="0" xfId="0" applyNumberFormat="1" applyFont="1" applyFill="1" applyAlignment="1">
      <alignment horizontal="left" vertical="center"/>
    </xf>
    <xf numFmtId="0" fontId="1" fillId="18" borderId="0" xfId="0" applyFont="1" applyFill="1" applyAlignment="1">
      <alignment horizontal="left" vertical="center" wrapText="1"/>
    </xf>
    <xf numFmtId="0" fontId="1" fillId="18" borderId="0" xfId="0" applyFont="1" applyFill="1" applyAlignment="1">
      <alignment horizontal="left" vertical="center"/>
    </xf>
    <xf numFmtId="4" fontId="1" fillId="18" borderId="0" xfId="0" applyNumberFormat="1" applyFont="1" applyFill="1" applyAlignment="1">
      <alignment horizontal="left" vertical="center"/>
    </xf>
    <xf numFmtId="0" fontId="1" fillId="4" borderId="48" xfId="0" applyFont="1" applyFill="1" applyBorder="1" applyAlignment="1">
      <alignment horizontal="left" vertical="center" wrapText="1"/>
    </xf>
    <xf numFmtId="0" fontId="33" fillId="5" borderId="0" xfId="0" applyFont="1" applyFill="1" applyAlignment="1">
      <alignment horizontal="left" vertical="center"/>
    </xf>
    <xf numFmtId="0" fontId="34" fillId="5" borderId="0" xfId="0" applyFont="1" applyFill="1" applyAlignment="1">
      <alignment horizontal="left" vertical="center"/>
    </xf>
    <xf numFmtId="0" fontId="1" fillId="14" borderId="0" xfId="0" applyFont="1" applyFill="1" applyAlignment="1">
      <alignment horizontal="left" vertical="center"/>
    </xf>
    <xf numFmtId="4" fontId="1" fillId="14" borderId="0" xfId="0" applyNumberFormat="1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9" borderId="0" xfId="0" applyFont="1" applyFill="1" applyAlignment="1">
      <alignment horizontal="left" vertical="center"/>
    </xf>
    <xf numFmtId="4" fontId="1" fillId="19" borderId="0" xfId="0" applyNumberFormat="1" applyFont="1" applyFill="1" applyAlignment="1">
      <alignment horizontal="center" vertical="center"/>
    </xf>
    <xf numFmtId="4" fontId="1" fillId="4" borderId="76" xfId="0" applyNumberFormat="1" applyFont="1" applyFill="1" applyBorder="1" applyAlignment="1">
      <alignment horizontal="right" vertical="center"/>
    </xf>
    <xf numFmtId="10" fontId="1" fillId="5" borderId="0" xfId="2" applyNumberFormat="1" applyFont="1" applyFill="1" applyAlignment="1" applyProtection="1">
      <alignment horizontal="center" vertical="center"/>
    </xf>
    <xf numFmtId="0" fontId="29" fillId="5" borderId="0" xfId="0" applyFont="1" applyFill="1" applyAlignment="1">
      <alignment horizontal="left"/>
    </xf>
    <xf numFmtId="0" fontId="29" fillId="5" borderId="41" xfId="0" applyFont="1" applyFill="1" applyBorder="1" applyAlignment="1">
      <alignment horizontal="left"/>
    </xf>
    <xf numFmtId="4" fontId="1" fillId="20" borderId="0" xfId="0" applyNumberFormat="1" applyFont="1" applyFill="1" applyAlignment="1">
      <alignment horizontal="center" vertical="center"/>
    </xf>
    <xf numFmtId="0" fontId="1" fillId="20" borderId="0" xfId="0" applyFont="1" applyFill="1" applyAlignment="1">
      <alignment horizontal="left" vertical="center"/>
    </xf>
    <xf numFmtId="0" fontId="1" fillId="20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right" vertical="center"/>
    </xf>
    <xf numFmtId="0" fontId="1" fillId="20" borderId="0" xfId="0" applyFont="1" applyFill="1" applyAlignment="1">
      <alignment horizontal="right" vertical="center"/>
    </xf>
    <xf numFmtId="0" fontId="35" fillId="5" borderId="0" xfId="0" applyFont="1" applyFill="1" applyAlignment="1">
      <alignment horizontal="left" vertical="center"/>
    </xf>
    <xf numFmtId="0" fontId="35" fillId="5" borderId="0" xfId="0" applyFont="1" applyFill="1" applyAlignment="1">
      <alignment horizontal="center" vertical="center"/>
    </xf>
    <xf numFmtId="0" fontId="16" fillId="4" borderId="9" xfId="0" applyFont="1" applyFill="1" applyBorder="1" applyAlignment="1">
      <alignment horizontal="center" vertical="center" wrapText="1"/>
    </xf>
    <xf numFmtId="0" fontId="16" fillId="4" borderId="0" xfId="0" applyFont="1" applyFill="1" applyAlignment="1">
      <alignment horizontal="left" vertical="center" wrapText="1"/>
    </xf>
    <xf numFmtId="0" fontId="22" fillId="15" borderId="0" xfId="0" applyFont="1" applyFill="1" applyAlignment="1">
      <alignment horizontal="center" vertical="center" wrapText="1"/>
    </xf>
    <xf numFmtId="0" fontId="22" fillId="16" borderId="0" xfId="0" applyFont="1" applyFill="1" applyAlignment="1">
      <alignment horizontal="center" vertical="center" wrapText="1"/>
    </xf>
    <xf numFmtId="0" fontId="26" fillId="9" borderId="46" xfId="0" applyFont="1" applyFill="1" applyBorder="1" applyAlignment="1">
      <alignment horizontal="center" vertical="center"/>
    </xf>
    <xf numFmtId="0" fontId="16" fillId="4" borderId="9" xfId="0" applyFont="1" applyFill="1" applyBorder="1" applyAlignment="1">
      <alignment horizontal="left" vertical="center" wrapText="1"/>
    </xf>
    <xf numFmtId="0" fontId="18" fillId="2" borderId="0" xfId="0" applyFont="1" applyFill="1" applyAlignment="1">
      <alignment horizontal="left" vertical="center"/>
    </xf>
    <xf numFmtId="0" fontId="28" fillId="5" borderId="54" xfId="0" applyFont="1" applyFill="1" applyBorder="1" applyAlignment="1">
      <alignment horizontal="center" vertical="center" wrapText="1"/>
    </xf>
    <xf numFmtId="0" fontId="28" fillId="5" borderId="55" xfId="0" applyFont="1" applyFill="1" applyBorder="1" applyAlignment="1">
      <alignment horizontal="center" vertical="center" wrapText="1"/>
    </xf>
    <xf numFmtId="0" fontId="28" fillId="5" borderId="56" xfId="0" applyFont="1" applyFill="1" applyBorder="1" applyAlignment="1">
      <alignment horizontal="center" vertical="center" wrapText="1"/>
    </xf>
    <xf numFmtId="0" fontId="28" fillId="5" borderId="57" xfId="0" applyFont="1" applyFill="1" applyBorder="1" applyAlignment="1">
      <alignment horizontal="center" vertical="center" wrapText="1"/>
    </xf>
    <xf numFmtId="0" fontId="28" fillId="5" borderId="58" xfId="0" applyFont="1" applyFill="1" applyBorder="1" applyAlignment="1">
      <alignment horizontal="center" vertical="center" wrapText="1"/>
    </xf>
    <xf numFmtId="0" fontId="28" fillId="5" borderId="59" xfId="0" applyFont="1" applyFill="1" applyBorder="1" applyAlignment="1">
      <alignment horizontal="center" vertical="center" wrapText="1"/>
    </xf>
    <xf numFmtId="0" fontId="27" fillId="6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0" fontId="1" fillId="5" borderId="73" xfId="0" applyFont="1" applyFill="1" applyBorder="1" applyAlignment="1">
      <alignment horizontal="left" vertical="center"/>
    </xf>
    <xf numFmtId="0" fontId="1" fillId="5" borderId="74" xfId="0" applyFont="1" applyFill="1" applyBorder="1" applyAlignment="1">
      <alignment horizontal="left" vertical="center"/>
    </xf>
    <xf numFmtId="0" fontId="1" fillId="5" borderId="75" xfId="0" applyFont="1" applyFill="1" applyBorder="1" applyAlignment="1">
      <alignment horizontal="left" vertical="center"/>
    </xf>
    <xf numFmtId="0" fontId="1" fillId="4" borderId="0" xfId="0" applyFont="1" applyFill="1" applyAlignment="1">
      <alignment horizontal="center" vertical="center"/>
    </xf>
    <xf numFmtId="14" fontId="1" fillId="5" borderId="73" xfId="0" applyNumberFormat="1" applyFont="1" applyFill="1" applyBorder="1" applyAlignment="1">
      <alignment horizontal="left" vertical="center"/>
    </xf>
    <xf numFmtId="14" fontId="1" fillId="5" borderId="74" xfId="0" applyNumberFormat="1" applyFont="1" applyFill="1" applyBorder="1" applyAlignment="1">
      <alignment horizontal="left" vertical="center"/>
    </xf>
    <xf numFmtId="14" fontId="1" fillId="5" borderId="75" xfId="0" applyNumberFormat="1" applyFont="1" applyFill="1" applyBorder="1" applyAlignment="1">
      <alignment horizontal="left" vertical="center"/>
    </xf>
    <xf numFmtId="0" fontId="13" fillId="4" borderId="0" xfId="0" applyFont="1" applyFill="1" applyAlignment="1">
      <alignment horizontal="center" vertical="center"/>
    </xf>
  </cellXfs>
  <cellStyles count="3">
    <cellStyle name="Hiperlink" xfId="1" builtinId="8"/>
    <cellStyle name="Normal" xfId="0" builtinId="0"/>
    <cellStyle name="Porcentagem" xfId="2" builtinId="5"/>
  </cellStyles>
  <dxfs count="68">
    <dxf>
      <font>
        <color theme="0"/>
      </font>
      <fill>
        <patternFill>
          <bgColor rgb="FF01B8AA"/>
        </patternFill>
      </fill>
    </dxf>
    <dxf>
      <font>
        <color theme="0"/>
      </font>
      <fill>
        <patternFill>
          <bgColor rgb="FFFB5A56"/>
        </patternFill>
      </fill>
    </dxf>
    <dxf>
      <font>
        <color theme="1"/>
      </font>
      <fill>
        <patternFill>
          <bgColor rgb="FFF2C80F"/>
        </patternFill>
      </fill>
    </dxf>
    <dxf>
      <font>
        <color theme="0"/>
      </font>
      <fill>
        <patternFill>
          <bgColor rgb="FF01B8AA"/>
        </patternFill>
      </fill>
    </dxf>
    <dxf>
      <font>
        <color theme="0"/>
      </font>
      <fill>
        <patternFill>
          <bgColor rgb="FFFB5A56"/>
        </patternFill>
      </fill>
    </dxf>
    <dxf>
      <font>
        <color theme="1"/>
      </font>
      <fill>
        <patternFill>
          <bgColor rgb="FFF2C80F"/>
        </patternFill>
      </fill>
    </dxf>
    <dxf>
      <font>
        <color theme="0"/>
      </font>
      <fill>
        <patternFill>
          <bgColor rgb="FF01B8AA"/>
        </patternFill>
      </fill>
    </dxf>
    <dxf>
      <font>
        <color theme="0"/>
      </font>
      <fill>
        <patternFill>
          <bgColor rgb="FFFB5A56"/>
        </patternFill>
      </fill>
    </dxf>
    <dxf>
      <font>
        <color theme="1"/>
      </font>
      <fill>
        <patternFill>
          <bgColor rgb="FFF2C80F"/>
        </patternFill>
      </fill>
    </dxf>
    <dxf>
      <font>
        <color theme="0"/>
      </font>
      <fill>
        <patternFill>
          <bgColor rgb="FF01B8AA"/>
        </patternFill>
      </fill>
    </dxf>
    <dxf>
      <font>
        <color theme="0"/>
      </font>
      <fill>
        <patternFill>
          <bgColor rgb="FFFB5A56"/>
        </patternFill>
      </fill>
    </dxf>
    <dxf>
      <font>
        <color theme="1"/>
      </font>
      <fill>
        <patternFill>
          <bgColor rgb="FFF2C80F"/>
        </patternFill>
      </fill>
    </dxf>
    <dxf>
      <font>
        <color theme="0"/>
      </font>
      <fill>
        <patternFill>
          <bgColor rgb="FF01B8AA"/>
        </patternFill>
      </fill>
    </dxf>
    <dxf>
      <font>
        <color theme="0"/>
      </font>
      <fill>
        <patternFill>
          <bgColor rgb="FFFB5A56"/>
        </patternFill>
      </fill>
    </dxf>
    <dxf>
      <font>
        <color theme="1"/>
      </font>
      <fill>
        <patternFill>
          <bgColor rgb="FFF2C80F"/>
        </patternFill>
      </fill>
    </dxf>
    <dxf>
      <font>
        <color theme="0"/>
      </font>
      <fill>
        <patternFill>
          <bgColor rgb="FF01B8AA"/>
        </patternFill>
      </fill>
    </dxf>
    <dxf>
      <font>
        <color theme="0"/>
      </font>
      <fill>
        <patternFill>
          <bgColor rgb="FFFB5A56"/>
        </patternFill>
      </fill>
    </dxf>
    <dxf>
      <font>
        <color theme="1"/>
      </font>
      <fill>
        <patternFill>
          <bgColor rgb="FFF2C80F"/>
        </patternFill>
      </fill>
    </dxf>
    <dxf>
      <font>
        <color theme="0"/>
      </font>
      <fill>
        <patternFill>
          <bgColor rgb="FF01B8AA"/>
        </patternFill>
      </fill>
    </dxf>
    <dxf>
      <font>
        <color theme="0"/>
      </font>
      <fill>
        <patternFill>
          <bgColor rgb="FFFB5A56"/>
        </patternFill>
      </fill>
    </dxf>
    <dxf>
      <font>
        <color theme="1"/>
      </font>
      <fill>
        <patternFill>
          <bgColor rgb="FFF2C80F"/>
        </patternFill>
      </fill>
    </dxf>
    <dxf>
      <font>
        <color theme="0"/>
      </font>
      <fill>
        <patternFill>
          <bgColor rgb="FF01B8AA"/>
        </patternFill>
      </fill>
    </dxf>
    <dxf>
      <font>
        <color theme="0"/>
      </font>
      <fill>
        <patternFill>
          <bgColor rgb="FFFB5A56"/>
        </patternFill>
      </fill>
    </dxf>
    <dxf>
      <font>
        <color theme="1"/>
      </font>
      <fill>
        <patternFill>
          <bgColor rgb="FFF2C80F"/>
        </patternFill>
      </fill>
    </dxf>
    <dxf>
      <font>
        <color theme="1"/>
      </font>
      <fill>
        <patternFill>
          <bgColor rgb="FFF2C80F"/>
        </patternFill>
      </fill>
    </dxf>
    <dxf>
      <font>
        <color theme="0"/>
      </font>
      <fill>
        <patternFill>
          <bgColor rgb="FF01B8AA"/>
        </patternFill>
      </fill>
    </dxf>
    <dxf>
      <font>
        <color theme="0"/>
      </font>
      <fill>
        <patternFill>
          <bgColor rgb="FFFB5A56"/>
        </patternFill>
      </fill>
    </dxf>
    <dxf>
      <font>
        <color theme="0"/>
      </font>
      <fill>
        <patternFill>
          <bgColor rgb="FF01B8AA"/>
        </patternFill>
      </fill>
    </dxf>
    <dxf>
      <font>
        <color theme="1"/>
      </font>
      <fill>
        <patternFill>
          <bgColor rgb="FFF2C80F"/>
        </patternFill>
      </fill>
    </dxf>
    <dxf>
      <font>
        <color theme="0"/>
      </font>
      <fill>
        <patternFill>
          <bgColor rgb="FFFB5A56"/>
        </patternFill>
      </fill>
    </dxf>
    <dxf>
      <font>
        <color theme="0"/>
      </font>
      <fill>
        <patternFill>
          <bgColor rgb="FF01B8AA"/>
        </patternFill>
      </fill>
    </dxf>
    <dxf>
      <font>
        <color theme="1"/>
      </font>
      <fill>
        <patternFill>
          <bgColor rgb="FFF2C80F"/>
        </patternFill>
      </fill>
    </dxf>
    <dxf>
      <font>
        <color theme="0"/>
      </font>
      <fill>
        <patternFill>
          <bgColor rgb="FFFB5A56"/>
        </patternFill>
      </fill>
    </dxf>
    <dxf>
      <font>
        <color theme="0"/>
      </font>
      <fill>
        <patternFill>
          <bgColor rgb="FF01B8AA"/>
        </patternFill>
      </fill>
    </dxf>
    <dxf>
      <font>
        <color theme="1"/>
      </font>
      <fill>
        <patternFill>
          <bgColor rgb="FFF2C80F"/>
        </patternFill>
      </fill>
    </dxf>
    <dxf>
      <font>
        <color theme="0"/>
      </font>
      <fill>
        <patternFill>
          <bgColor rgb="FFFB5A56"/>
        </patternFill>
      </fill>
    </dxf>
    <dxf>
      <font>
        <color theme="0"/>
      </font>
      <fill>
        <patternFill>
          <bgColor rgb="FF01B8AA"/>
        </patternFill>
      </fill>
    </dxf>
    <dxf>
      <font>
        <color theme="1"/>
      </font>
      <fill>
        <patternFill>
          <bgColor rgb="FFF2C80F"/>
        </patternFill>
      </fill>
    </dxf>
    <dxf>
      <font>
        <color theme="0"/>
      </font>
      <fill>
        <patternFill>
          <bgColor rgb="FFFB5A56"/>
        </patternFill>
      </fill>
    </dxf>
    <dxf>
      <font>
        <color theme="0"/>
      </font>
      <fill>
        <patternFill>
          <bgColor rgb="FF01B8AA"/>
        </patternFill>
      </fill>
    </dxf>
    <dxf>
      <font>
        <color theme="1"/>
      </font>
      <fill>
        <patternFill>
          <bgColor rgb="FFF2C80F"/>
        </patternFill>
      </fill>
    </dxf>
    <dxf>
      <font>
        <color theme="0"/>
      </font>
      <fill>
        <patternFill>
          <bgColor rgb="FFFB5A56"/>
        </patternFill>
      </fill>
    </dxf>
    <dxf>
      <font>
        <color theme="0"/>
      </font>
      <fill>
        <patternFill>
          <bgColor rgb="FF01B8AA"/>
        </patternFill>
      </fill>
    </dxf>
    <dxf>
      <font>
        <color theme="1"/>
      </font>
      <fill>
        <patternFill>
          <bgColor rgb="FFF2C80F"/>
        </patternFill>
      </fill>
    </dxf>
    <dxf>
      <font>
        <color theme="0"/>
      </font>
      <fill>
        <patternFill>
          <bgColor rgb="FFFB5A56"/>
        </patternFill>
      </fill>
    </dxf>
    <dxf>
      <font>
        <color theme="0"/>
      </font>
      <fill>
        <patternFill>
          <bgColor rgb="FF01B8AA"/>
        </patternFill>
      </fill>
    </dxf>
    <dxf>
      <font>
        <color theme="1"/>
      </font>
      <fill>
        <patternFill>
          <bgColor rgb="FFF2C80F"/>
        </patternFill>
      </fill>
    </dxf>
    <dxf>
      <font>
        <color theme="0"/>
      </font>
      <fill>
        <patternFill>
          <bgColor rgb="FFFB5A56"/>
        </patternFill>
      </fill>
    </dxf>
    <dxf>
      <font>
        <color theme="0"/>
      </font>
      <fill>
        <patternFill>
          <bgColor rgb="FF01B8AA"/>
        </patternFill>
      </fill>
    </dxf>
    <dxf>
      <font>
        <color theme="1"/>
      </font>
      <fill>
        <patternFill>
          <bgColor rgb="FFF2C80F"/>
        </patternFill>
      </fill>
    </dxf>
    <dxf>
      <font>
        <color theme="0"/>
      </font>
      <fill>
        <patternFill>
          <bgColor rgb="FFFB5A56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ill>
        <patternFill patternType="solid">
          <fgColor theme="6" tint="0.79995117038483843"/>
          <bgColor theme="0" tint="-4.9989318521683403E-2"/>
        </patternFill>
      </fill>
    </dxf>
    <dxf>
      <fill>
        <patternFill patternType="solid">
          <fgColor theme="6" tint="0.79998168889431442"/>
          <bgColor theme="6" tint="0.79998168889431442"/>
        </patternFill>
      </fill>
    </dxf>
    <dxf>
      <font>
        <b/>
        <color theme="6" tint="-0.249977111117893"/>
      </font>
    </dxf>
    <dxf>
      <font>
        <b/>
        <color theme="6" tint="-0.249977111117893"/>
      </font>
    </dxf>
    <dxf>
      <font>
        <b/>
        <color theme="6" tint="-0.249977111117893"/>
      </font>
      <border>
        <top style="thin">
          <color theme="6"/>
        </top>
      </border>
    </dxf>
    <dxf>
      <font>
        <b/>
        <color theme="6" tint="-0.249977111117893"/>
      </font>
      <border>
        <bottom style="thin">
          <color theme="6"/>
        </bottom>
      </border>
    </dxf>
    <dxf>
      <font>
        <color theme="6" tint="-0.249977111117893"/>
      </font>
      <border>
        <top style="thin">
          <color theme="6"/>
        </top>
        <bottom style="thin">
          <color theme="6"/>
        </bottom>
      </border>
    </dxf>
  </dxfs>
  <tableStyles count="1" defaultTableStyle="TableStyleMedium2" defaultPivotStyle="PivotStyleLight16">
    <tableStyle name="TableStyleLight4 2" pivot="0" count="7" xr9:uid="{00000000-0011-0000-FFFF-FFFF00000000}">
      <tableStyleElement type="wholeTable" dxfId="67"/>
      <tableStyleElement type="headerRow" dxfId="66"/>
      <tableStyleElement type="totalRow" dxfId="65"/>
      <tableStyleElement type="firstColumn" dxfId="64"/>
      <tableStyleElement type="lastColumn" dxfId="63"/>
      <tableStyleElement type="firstRowStripe" dxfId="62"/>
      <tableStyleElement type="firstColumnStripe" dxfId="61"/>
    </tableStyle>
  </tableStyles>
  <colors>
    <mruColors>
      <color rgb="FF01B8AA"/>
      <color rgb="FFFDA7A5"/>
      <color rgb="FFFB5A56"/>
      <color rgb="FFFC8784"/>
      <color rgb="FF01C7B9"/>
      <color rgb="FFF2C80F"/>
      <color rgb="FFFF0000"/>
      <color rgb="FFFF3300"/>
      <color rgb="FFF2F2F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chemeClr val="tx1">
                    <a:lumMod val="75000"/>
                    <a:lumOff val="25000"/>
                  </a:schemeClr>
                </a:solidFill>
              </a:rPr>
              <a:t>Análise da Carga Tributária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'BH (1)'!$J$24</c:f>
              <c:strCache>
                <c:ptCount val="1"/>
                <c:pt idx="0">
                  <c:v>Carga</c:v>
                </c:pt>
              </c:strCache>
            </c:strRef>
          </c:tx>
          <c:spPr>
            <a:ln w="28575" cap="rnd">
              <a:solidFill>
                <a:srgbClr val="FB5A5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bg1"/>
              </a:solidFill>
              <a:ln w="9525">
                <a:solidFill>
                  <a:srgbClr val="FB5A5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'BH (1)'!$K$22:$S$22</c:f>
              <c:numCache>
                <c:formatCode>General</c:formatCode>
                <c:ptCount val="9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</c:numCache>
            </c:numRef>
          </c:cat>
          <c:val>
            <c:numRef>
              <c:f>'BH (1)'!$K$24:$S$24</c:f>
              <c:numCache>
                <c:formatCode>0.00%</c:formatCode>
                <c:ptCount val="9"/>
                <c:pt idx="0">
                  <c:v>0.17744278560023327</c:v>
                </c:pt>
                <c:pt idx="1">
                  <c:v>0.17744278560023327</c:v>
                </c:pt>
                <c:pt idx="2">
                  <c:v>0.21658089098179378</c:v>
                </c:pt>
                <c:pt idx="3">
                  <c:v>0.21658089098179378</c:v>
                </c:pt>
                <c:pt idx="4">
                  <c:v>0.22129670137629404</c:v>
                </c:pt>
                <c:pt idx="5">
                  <c:v>0.22701251177079432</c:v>
                </c:pt>
                <c:pt idx="6">
                  <c:v>0.2327283221652946</c:v>
                </c:pt>
                <c:pt idx="7">
                  <c:v>0.23844413255979491</c:v>
                </c:pt>
                <c:pt idx="8">
                  <c:v>0.2727389949267966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0A-460F-8DF6-B733D6211D9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2003733056"/>
        <c:axId val="-2003732512"/>
      </c:lineChart>
      <c:catAx>
        <c:axId val="-2003733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2003732512"/>
        <c:crosses val="autoZero"/>
        <c:auto val="1"/>
        <c:lblAlgn val="ctr"/>
        <c:lblOffset val="100"/>
        <c:noMultiLvlLbl val="0"/>
      </c:catAx>
      <c:valAx>
        <c:axId val="-200373251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200373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chemeClr val="tx1">
                    <a:lumMod val="75000"/>
                    <a:lumOff val="25000"/>
                  </a:schemeClr>
                </a:solidFill>
              </a:rPr>
              <a:t>Evolução</a:t>
            </a:r>
            <a:r>
              <a:rPr lang="en-US" sz="1000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 dos Impostos</a:t>
            </a:r>
            <a:endParaRPr lang="en-US" sz="1000">
              <a:solidFill>
                <a:schemeClr val="tx1">
                  <a:lumMod val="75000"/>
                  <a:lumOff val="2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'BH (1)'!$J$23</c:f>
              <c:strCache>
                <c:ptCount val="1"/>
                <c:pt idx="0">
                  <c:v>Impostos</c:v>
                </c:pt>
              </c:strCache>
            </c:strRef>
          </c:tx>
          <c:spPr>
            <a:solidFill>
              <a:srgbClr val="FB5A56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'BH (1)'!$K$22:$S$22</c:f>
              <c:numCache>
                <c:formatCode>General</c:formatCode>
                <c:ptCount val="9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</c:numCache>
            </c:numRef>
          </c:cat>
          <c:val>
            <c:numRef>
              <c:f>'BH (1)'!$K$23:$S$23</c:f>
              <c:numCache>
                <c:formatCode>#,##0.00</c:formatCode>
                <c:ptCount val="9"/>
                <c:pt idx="0">
                  <c:v>247038.86263999998</c:v>
                </c:pt>
                <c:pt idx="1">
                  <c:v>247038.86263999998</c:v>
                </c:pt>
                <c:pt idx="2">
                  <c:v>301527.59830000001</c:v>
                </c:pt>
                <c:pt idx="3">
                  <c:v>301527.59830000001</c:v>
                </c:pt>
                <c:pt idx="4">
                  <c:v>308093.02969999996</c:v>
                </c:pt>
                <c:pt idx="5">
                  <c:v>316050.67809999996</c:v>
                </c:pt>
                <c:pt idx="6">
                  <c:v>324008.32649999997</c:v>
                </c:pt>
                <c:pt idx="7">
                  <c:v>331965.97489999997</c:v>
                </c:pt>
                <c:pt idx="8">
                  <c:v>379711.8653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94-470B-9B4C-4C37F1609C4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7"/>
        <c:axId val="-2003737408"/>
        <c:axId val="-2003730336"/>
      </c:barChart>
      <c:catAx>
        <c:axId val="-200373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2003730336"/>
        <c:crosses val="autoZero"/>
        <c:auto val="1"/>
        <c:lblAlgn val="ctr"/>
        <c:lblOffset val="100"/>
        <c:noMultiLvlLbl val="0"/>
      </c:catAx>
      <c:valAx>
        <c:axId val="-2003730336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2003737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F2C80F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C878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351-4AA3-BDE7-0818DD3623BC}"/>
              </c:ext>
            </c:extLst>
          </c:dPt>
          <c:dPt>
            <c:idx val="2"/>
            <c:invertIfNegative val="0"/>
            <c:bubble3D val="0"/>
            <c:spPr>
              <a:solidFill>
                <a:srgbClr val="FB5A5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51-4AA3-BDE7-0818DD3623BC}"/>
              </c:ext>
            </c:extLst>
          </c:dPt>
          <c:dPt>
            <c:idx val="3"/>
            <c:invertIfNegative val="0"/>
            <c:bubble3D val="0"/>
            <c:spPr>
              <a:solidFill>
                <a:srgbClr val="01C7B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351-4AA3-BDE7-0818DD3623B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38100" tIns="19050" rIns="38100" bIns="19050" anchor="ctr" anchorCtr="1">
                <a:no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'BH (1)'!$J$12:$J$15</c:f>
              <c:strCache>
                <c:ptCount val="4"/>
                <c:pt idx="0">
                  <c:v>Custos</c:v>
                </c:pt>
                <c:pt idx="1">
                  <c:v>Despesas</c:v>
                </c:pt>
                <c:pt idx="2">
                  <c:v>Impostos</c:v>
                </c:pt>
                <c:pt idx="3">
                  <c:v>Lucro</c:v>
                </c:pt>
              </c:strCache>
            </c:strRef>
          </c:cat>
          <c:val>
            <c:numRef>
              <c:f>'BH (1)'!$W$12:$W$15</c:f>
              <c:numCache>
                <c:formatCode>#,##0.00</c:formatCode>
                <c:ptCount val="4"/>
                <c:pt idx="0">
                  <c:v>449618</c:v>
                </c:pt>
                <c:pt idx="1">
                  <c:v>325167</c:v>
                </c:pt>
                <c:pt idx="2">
                  <c:v>379711.8653</c:v>
                </c:pt>
                <c:pt idx="3">
                  <c:v>93720.134700000053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351-4AA3-BDE7-0818DD362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0"/>
        <c:axId val="-1930868208"/>
        <c:axId val="-1930863312"/>
      </c:barChart>
      <c:catAx>
        <c:axId val="-193086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930863312"/>
        <c:crosses val="autoZero"/>
        <c:auto val="1"/>
        <c:lblAlgn val="ctr"/>
        <c:lblOffset val="100"/>
        <c:noMultiLvlLbl val="0"/>
      </c:catAx>
      <c:valAx>
        <c:axId val="-1930863312"/>
        <c:scaling>
          <c:orientation val="minMax"/>
        </c:scaling>
        <c:delete val="1"/>
        <c:axPos val="b"/>
        <c:numFmt formatCode="#,##0.00" sourceLinked="1"/>
        <c:majorTickMark val="none"/>
        <c:minorTickMark val="none"/>
        <c:tickLblPos val="nextTo"/>
        <c:crossAx val="-193086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125459317585302"/>
          <c:y val="0.12404403616214638"/>
          <c:w val="0.67090091863517065"/>
          <c:h val="0.5963563721201516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2C80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A0-4D0C-9B38-CC8BC807DD07}"/>
              </c:ext>
            </c:extLst>
          </c:dPt>
          <c:dPt>
            <c:idx val="1"/>
            <c:bubble3D val="0"/>
            <c:spPr>
              <a:solidFill>
                <a:srgbClr val="FC878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A0-4D0C-9B38-CC8BC807DD07}"/>
              </c:ext>
            </c:extLst>
          </c:dPt>
          <c:dPt>
            <c:idx val="2"/>
            <c:bubble3D val="0"/>
            <c:spPr>
              <a:solidFill>
                <a:srgbClr val="FB5A5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A0-4D0C-9B38-CC8BC807DD07}"/>
              </c:ext>
            </c:extLst>
          </c:dPt>
          <c:dPt>
            <c:idx val="3"/>
            <c:bubble3D val="0"/>
            <c:spPr>
              <a:solidFill>
                <a:srgbClr val="01C7B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A0-4D0C-9B38-CC8BC807DD0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38100" tIns="19050" rIns="38100" bIns="19050" anchor="ctr" anchorCtr="1">
                <a:no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'BH (1)'!$J$12:$J$15</c:f>
              <c:strCache>
                <c:ptCount val="4"/>
                <c:pt idx="0">
                  <c:v>Custos</c:v>
                </c:pt>
                <c:pt idx="1">
                  <c:v>Despesas</c:v>
                </c:pt>
                <c:pt idx="2">
                  <c:v>Impostos</c:v>
                </c:pt>
                <c:pt idx="3">
                  <c:v>Lucro</c:v>
                </c:pt>
              </c:strCache>
            </c:strRef>
          </c:cat>
          <c:val>
            <c:numRef>
              <c:f>'BH (1)'!$X$12:$X$15</c:f>
              <c:numCache>
                <c:formatCode>0.00%</c:formatCode>
                <c:ptCount val="4"/>
                <c:pt idx="0">
                  <c:v>0.3229510916760821</c:v>
                </c:pt>
                <c:pt idx="1">
                  <c:v>0.23356057281300258</c:v>
                </c:pt>
                <c:pt idx="2">
                  <c:v>0.2727389949267966</c:v>
                </c:pt>
                <c:pt idx="3">
                  <c:v>6.7317188843405915E-2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DA0-4D0C-9B38-CC8BC807D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1374216720158948"/>
          <c:y val="0.75814288961911258"/>
          <c:w val="0.6017075500534923"/>
          <c:h val="0.18228511790356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000">
                <a:solidFill>
                  <a:schemeClr val="tx1">
                    <a:lumMod val="75000"/>
                    <a:lumOff val="25000"/>
                  </a:schemeClr>
                </a:solidFill>
              </a:rPr>
              <a:t>Análise</a:t>
            </a:r>
            <a:r>
              <a:rPr lang="pt-BR" sz="1000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 de Faturamento e Impostos</a:t>
            </a:r>
            <a:endParaRPr lang="pt-BR" sz="1000">
              <a:solidFill>
                <a:schemeClr val="tx1">
                  <a:lumMod val="75000"/>
                  <a:lumOff val="2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094780722069184"/>
          <c:y val="0.11927792359288422"/>
          <c:w val="0.85634837440985512"/>
          <c:h val="0.8441475648877223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'BH (1)'!$J$18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rgbClr val="01C7B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'BH (1)'!$K$18:$V$18</c:f>
              <c:numCache>
                <c:formatCode>#,##0.00</c:formatCode>
                <c:ptCount val="12"/>
                <c:pt idx="0">
                  <c:v>134725</c:v>
                </c:pt>
                <c:pt idx="1">
                  <c:v>108391</c:v>
                </c:pt>
                <c:pt idx="2">
                  <c:v>133613</c:v>
                </c:pt>
                <c:pt idx="3">
                  <c:v>120356</c:v>
                </c:pt>
                <c:pt idx="4">
                  <c:v>119059</c:v>
                </c:pt>
                <c:pt idx="5">
                  <c:v>104241</c:v>
                </c:pt>
                <c:pt idx="6">
                  <c:v>123748</c:v>
                </c:pt>
                <c:pt idx="7">
                  <c:v>102602</c:v>
                </c:pt>
                <c:pt idx="8">
                  <c:v>109759</c:v>
                </c:pt>
                <c:pt idx="9">
                  <c:v>115659</c:v>
                </c:pt>
                <c:pt idx="10">
                  <c:v>110531</c:v>
                </c:pt>
                <c:pt idx="11">
                  <c:v>109533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25-42A0-BE24-EC9EF748EB51}"/>
            </c:ext>
          </c:extLst>
        </c:ser>
        <c:ser>
          <c:idx val="1"/>
          <c:order val="1"/>
          <c:tx>
            <c:strRef>
              <c:f>'BH (1)'!$J$19</c:f>
              <c:strCache>
                <c:ptCount val="1"/>
                <c:pt idx="0">
                  <c:v>Impostos</c:v>
                </c:pt>
              </c:strCache>
            </c:strRef>
          </c:tx>
          <c:spPr>
            <a:solidFill>
              <a:srgbClr val="FB5A5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'BH (1)'!$K$19:$V$19</c:f>
              <c:numCache>
                <c:formatCode>#,##0.00</c:formatCode>
                <c:ptCount val="12"/>
                <c:pt idx="0">
                  <c:v>-33819.198000000004</c:v>
                </c:pt>
                <c:pt idx="1">
                  <c:v>-26689.588499999998</c:v>
                </c:pt>
                <c:pt idx="2">
                  <c:v>-42463.322800000002</c:v>
                </c:pt>
                <c:pt idx="3">
                  <c:v>-30254.532800000001</c:v>
                </c:pt>
                <c:pt idx="4">
                  <c:v>-29824.997900000002</c:v>
                </c:pt>
                <c:pt idx="5">
                  <c:v>-33512.091400000005</c:v>
                </c:pt>
                <c:pt idx="6">
                  <c:v>-31766.4175</c:v>
                </c:pt>
                <c:pt idx="7">
                  <c:v>-24892.184500000003</c:v>
                </c:pt>
                <c:pt idx="8">
                  <c:v>-35508.068599999999</c:v>
                </c:pt>
                <c:pt idx="9">
                  <c:v>-28168.818500000001</c:v>
                </c:pt>
                <c:pt idx="10">
                  <c:v>-27487.8145</c:v>
                </c:pt>
                <c:pt idx="11">
                  <c:v>-35324.830299999994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25-42A0-BE24-EC9EF748EB5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-1930866576"/>
        <c:axId val="-1930866032"/>
      </c:barChart>
      <c:catAx>
        <c:axId val="-1930866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B5A56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930866032"/>
        <c:crosses val="autoZero"/>
        <c:auto val="1"/>
        <c:lblAlgn val="ctr"/>
        <c:lblOffset val="100"/>
        <c:noMultiLvlLbl val="0"/>
      </c:catAx>
      <c:valAx>
        <c:axId val="-1930866032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930866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2541787539715441"/>
          <c:y val="2.2684747739865816E-2"/>
          <c:w val="0.25091847265221878"/>
          <c:h val="6.25004374453193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chemeClr val="tx1">
                    <a:lumMod val="75000"/>
                    <a:lumOff val="25000"/>
                  </a:schemeClr>
                </a:solidFill>
              </a:rPr>
              <a:t>Evolução no</a:t>
            </a:r>
            <a:r>
              <a:rPr lang="en-US" sz="1000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 Lucro </a:t>
            </a:r>
            <a:r>
              <a:rPr lang="en-US" sz="1000">
                <a:solidFill>
                  <a:schemeClr val="tx1">
                    <a:lumMod val="75000"/>
                    <a:lumOff val="25000"/>
                  </a:schemeClr>
                </a:solidFill>
              </a:rPr>
              <a:t>Líquido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'BH (1)'!$J$25</c:f>
              <c:strCache>
                <c:ptCount val="1"/>
                <c:pt idx="0">
                  <c:v>Lucro</c:v>
                </c:pt>
              </c:strCache>
            </c:strRef>
          </c:tx>
          <c:spPr>
            <a:solidFill>
              <a:srgbClr val="01C7B9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'BH (1)'!$K$22:$S$22</c:f>
              <c:numCache>
                <c:formatCode>General</c:formatCode>
                <c:ptCount val="9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</c:numCache>
            </c:numRef>
          </c:cat>
          <c:val>
            <c:numRef>
              <c:f>'BH (1)'!$K$25:$S$25</c:f>
              <c:numCache>
                <c:formatCode>#,##0.00</c:formatCode>
                <c:ptCount val="9"/>
                <c:pt idx="0">
                  <c:v>263423.76642249996</c:v>
                </c:pt>
                <c:pt idx="1">
                  <c:v>249501.59642250001</c:v>
                </c:pt>
                <c:pt idx="2">
                  <c:v>171904.40170000002</c:v>
                </c:pt>
                <c:pt idx="3">
                  <c:v>171904.40170000002</c:v>
                </c:pt>
                <c:pt idx="4">
                  <c:v>165338.97030000002</c:v>
                </c:pt>
                <c:pt idx="5">
                  <c:v>157381.32190000001</c:v>
                </c:pt>
                <c:pt idx="6">
                  <c:v>149423.67350000006</c:v>
                </c:pt>
                <c:pt idx="7">
                  <c:v>141466.02510000006</c:v>
                </c:pt>
                <c:pt idx="8">
                  <c:v>93720.134700000053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2-4385-8A32-2AFBCD7F330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7"/>
        <c:axId val="-1930862768"/>
        <c:axId val="-1930864944"/>
      </c:barChart>
      <c:catAx>
        <c:axId val="-193086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930864944"/>
        <c:crosses val="autoZero"/>
        <c:auto val="1"/>
        <c:lblAlgn val="ctr"/>
        <c:lblOffset val="100"/>
        <c:noMultiLvlLbl val="0"/>
      </c:catAx>
      <c:valAx>
        <c:axId val="-1930864944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93086276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chemeClr val="tx1">
                    <a:lumMod val="75000"/>
                    <a:lumOff val="25000"/>
                  </a:schemeClr>
                </a:solidFill>
              </a:rPr>
              <a:t>Evolução na</a:t>
            </a:r>
            <a:r>
              <a:rPr lang="en-US" sz="1000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 </a:t>
            </a:r>
            <a:r>
              <a:rPr lang="en-US" sz="1000">
                <a:solidFill>
                  <a:schemeClr val="tx1">
                    <a:lumMod val="75000"/>
                    <a:lumOff val="25000"/>
                  </a:schemeClr>
                </a:solidFill>
              </a:rPr>
              <a:t>Lucratividade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035868264957108"/>
          <c:y val="0.17269883040935671"/>
          <c:w val="0.87321167119552623"/>
          <c:h val="0.71961915204678362"/>
        </c:manualLayout>
      </c:layout>
      <c:lineChart>
        <c:grouping val="standard"/>
        <c:varyColors val="0"/>
        <c:ser>
          <c:idx val="0"/>
          <c:order val="0"/>
          <c:tx>
            <c:strRef>
              <c:f>'BH (1)'!$J$26</c:f>
              <c:strCache>
                <c:ptCount val="1"/>
                <c:pt idx="0">
                  <c:v>Lucratividade</c:v>
                </c:pt>
              </c:strCache>
            </c:strRef>
          </c:tx>
          <c:spPr>
            <a:ln w="28575" cap="rnd">
              <a:solidFill>
                <a:srgbClr val="01B8AA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bg1"/>
              </a:solidFill>
              <a:ln w="9525">
                <a:solidFill>
                  <a:srgbClr val="01B8AA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'BH (1)'!$K$22:$S$22</c:f>
              <c:numCache>
                <c:formatCode>General</c:formatCode>
                <c:ptCount val="9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</c:numCache>
            </c:numRef>
          </c:cat>
          <c:val>
            <c:numRef>
              <c:f>'BH (1)'!$K$26:$S$26</c:f>
              <c:numCache>
                <c:formatCode>0.00%</c:formatCode>
                <c:ptCount val="9"/>
                <c:pt idx="0">
                  <c:v>0.18921171514390353</c:v>
                </c:pt>
                <c:pt idx="1">
                  <c:v>0.17921171514390358</c:v>
                </c:pt>
                <c:pt idx="2">
                  <c:v>0.12347529278840871</c:v>
                </c:pt>
                <c:pt idx="3">
                  <c:v>0.12347529278840871</c:v>
                </c:pt>
                <c:pt idx="4">
                  <c:v>0.11875948239390843</c:v>
                </c:pt>
                <c:pt idx="5">
                  <c:v>0.11304367199940815</c:v>
                </c:pt>
                <c:pt idx="6">
                  <c:v>0.1073278616049079</c:v>
                </c:pt>
                <c:pt idx="7">
                  <c:v>0.10161205121040762</c:v>
                </c:pt>
                <c:pt idx="8">
                  <c:v>6.7317188843405915E-2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D0-426D-AED5-260D2287B4E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930869296"/>
        <c:axId val="-1930862224"/>
      </c:lineChart>
      <c:catAx>
        <c:axId val="-1930869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930862224"/>
        <c:crosses val="autoZero"/>
        <c:auto val="1"/>
        <c:lblAlgn val="ctr"/>
        <c:lblOffset val="100"/>
        <c:noMultiLvlLbl val="0"/>
      </c:catAx>
      <c:valAx>
        <c:axId val="-193086222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930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000">
                <a:solidFill>
                  <a:schemeClr val="tx1">
                    <a:lumMod val="75000"/>
                    <a:lumOff val="25000"/>
                  </a:schemeClr>
                </a:solidFill>
              </a:rPr>
              <a:t>Comparativo 2025 e 2033 na Lucratividade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Lucra!$C$5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Lucra!$D$4:$O$4</c:f>
              <c:strCache>
                <c:ptCount val="12"/>
                <c:pt idx="0">
                  <c:v> Jan </c:v>
                </c:pt>
                <c:pt idx="1">
                  <c:v> Fev </c:v>
                </c:pt>
                <c:pt idx="2">
                  <c:v> Mar </c:v>
                </c:pt>
                <c:pt idx="3">
                  <c:v> Abr </c:v>
                </c:pt>
                <c:pt idx="4">
                  <c:v> Mai </c:v>
                </c:pt>
                <c:pt idx="5">
                  <c:v> Jun </c:v>
                </c:pt>
                <c:pt idx="6">
                  <c:v> Jul </c:v>
                </c:pt>
                <c:pt idx="7">
                  <c:v> Ago </c:v>
                </c:pt>
                <c:pt idx="8">
                  <c:v> Set </c:v>
                </c:pt>
                <c:pt idx="9">
                  <c:v> Out </c:v>
                </c:pt>
                <c:pt idx="10">
                  <c:v> Nov </c:v>
                </c:pt>
                <c:pt idx="11">
                  <c:v> Dez </c:v>
                </c:pt>
              </c:strCache>
            </c:strRef>
          </c:cat>
          <c:val>
            <c:numRef>
              <c:f>Lucra!$D$5:$O$5</c:f>
              <c:numCache>
                <c:formatCode>0.00%</c:formatCode>
                <c:ptCount val="12"/>
                <c:pt idx="0">
                  <c:v>0.29677114979588048</c:v>
                </c:pt>
                <c:pt idx="1">
                  <c:v>0.18824561499570996</c:v>
                </c:pt>
                <c:pt idx="2">
                  <c:v>0.23247150368040534</c:v>
                </c:pt>
                <c:pt idx="3">
                  <c:v>0.23643880159692904</c:v>
                </c:pt>
                <c:pt idx="4">
                  <c:v>0.24572254812739894</c:v>
                </c:pt>
                <c:pt idx="5">
                  <c:v>6.8992361438877159E-2</c:v>
                </c:pt>
                <c:pt idx="6">
                  <c:v>0.243350061889889</c:v>
                </c:pt>
                <c:pt idx="7">
                  <c:v>0.11585044495964994</c:v>
                </c:pt>
                <c:pt idx="8">
                  <c:v>9.1698900557129676E-2</c:v>
                </c:pt>
                <c:pt idx="9">
                  <c:v>0.22476063077667965</c:v>
                </c:pt>
                <c:pt idx="10">
                  <c:v>0.18014928983724024</c:v>
                </c:pt>
                <c:pt idx="11">
                  <c:v>8.3068704317420305E-2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A4-43C4-ACA8-DDE438BC4B25}"/>
            </c:ext>
          </c:extLst>
        </c:ser>
        <c:ser>
          <c:idx val="1"/>
          <c:order val="1"/>
          <c:tx>
            <c:v>2033</c:v>
          </c:tx>
          <c:spPr>
            <a:solidFill>
              <a:srgbClr val="01B8AA"/>
            </a:solidFill>
            <a:ln>
              <a:noFill/>
            </a:ln>
            <a:effectLst/>
          </c:spPr>
          <c:invertIfNegative val="0"/>
          <c:val>
            <c:numRef>
              <c:f>Lucra!$D$13:$O$13</c:f>
              <c:numCache>
                <c:formatCode>0.00%</c:formatCode>
                <c:ptCount val="12"/>
                <c:pt idx="0">
                  <c:v>0.17439823343848576</c:v>
                </c:pt>
                <c:pt idx="1">
                  <c:v>6.6835913498353272E-2</c:v>
                </c:pt>
                <c:pt idx="2">
                  <c:v>0.10992700710260238</c:v>
                </c:pt>
                <c:pt idx="3">
                  <c:v>0.11433137691515177</c:v>
                </c:pt>
                <c:pt idx="4">
                  <c:v>0.12371179079280026</c:v>
                </c:pt>
                <c:pt idx="5">
                  <c:v>-5.2302754194606754E-2</c:v>
                </c:pt>
                <c:pt idx="6">
                  <c:v>0.12075817386947665</c:v>
                </c:pt>
                <c:pt idx="7">
                  <c:v>-5.1089111323366311E-3</c:v>
                </c:pt>
                <c:pt idx="8">
                  <c:v>-3.0321600962107894E-2</c:v>
                </c:pt>
                <c:pt idx="9">
                  <c:v>0.10336576920084045</c:v>
                </c:pt>
                <c:pt idx="10">
                  <c:v>5.8492056527128196E-2</c:v>
                </c:pt>
                <c:pt idx="11">
                  <c:v>-3.8863450284389041E-2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A4-43C4-ACA8-DDE438BC4B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0"/>
        <c:axId val="-1930868752"/>
        <c:axId val="-1930871472"/>
      </c:barChart>
      <c:catAx>
        <c:axId val="-193086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930871472"/>
        <c:crosses val="autoZero"/>
        <c:auto val="1"/>
        <c:lblAlgn val="ctr"/>
        <c:lblOffset val="100"/>
        <c:noMultiLvlLbl val="0"/>
      </c:catAx>
      <c:valAx>
        <c:axId val="-1930871472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-193086875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000">
                <a:solidFill>
                  <a:schemeClr val="tx1">
                    <a:lumMod val="75000"/>
                    <a:lumOff val="25000"/>
                  </a:schemeClr>
                </a:solidFill>
              </a:rPr>
              <a:t>Comparativo 2025 e 2033 na Carga Tributária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Carga!$C$5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Carga!$D$4:$O$4</c:f>
              <c:strCache>
                <c:ptCount val="12"/>
                <c:pt idx="0">
                  <c:v> Jan </c:v>
                </c:pt>
                <c:pt idx="1">
                  <c:v> Fev </c:v>
                </c:pt>
                <c:pt idx="2">
                  <c:v> Mar </c:v>
                </c:pt>
                <c:pt idx="3">
                  <c:v> Abr </c:v>
                </c:pt>
                <c:pt idx="4">
                  <c:v> Mai </c:v>
                </c:pt>
                <c:pt idx="5">
                  <c:v> Jun </c:v>
                </c:pt>
                <c:pt idx="6">
                  <c:v> Jul </c:v>
                </c:pt>
                <c:pt idx="7">
                  <c:v> Ago </c:v>
                </c:pt>
                <c:pt idx="8">
                  <c:v> Set </c:v>
                </c:pt>
                <c:pt idx="9">
                  <c:v> Out </c:v>
                </c:pt>
                <c:pt idx="10">
                  <c:v> Nov </c:v>
                </c:pt>
                <c:pt idx="11">
                  <c:v> Dez </c:v>
                </c:pt>
              </c:strCache>
            </c:strRef>
          </c:cat>
          <c:val>
            <c:numRef>
              <c:f>Carga!$D$5:$O$5</c:f>
              <c:numCache>
                <c:formatCode>0.00%</c:formatCode>
                <c:ptCount val="12"/>
                <c:pt idx="0">
                  <c:v>0.15274722211913158</c:v>
                </c:pt>
                <c:pt idx="1">
                  <c:v>0.15395873199804411</c:v>
                </c:pt>
                <c:pt idx="2">
                  <c:v>0.21846262908549313</c:v>
                </c:pt>
                <c:pt idx="3">
                  <c:v>0.15475273953936652</c:v>
                </c:pt>
                <c:pt idx="4">
                  <c:v>0.15448567584138959</c:v>
                </c:pt>
                <c:pt idx="5">
                  <c:v>0.22992493567790026</c:v>
                </c:pt>
                <c:pt idx="6">
                  <c:v>0.15706152228722889</c:v>
                </c:pt>
                <c:pt idx="7">
                  <c:v>0.15313929299623788</c:v>
                </c:pt>
                <c:pt idx="8">
                  <c:v>0.22742833644621399</c:v>
                </c:pt>
                <c:pt idx="9">
                  <c:v>0.15136742562187122</c:v>
                </c:pt>
                <c:pt idx="10">
                  <c:v>0.15487092055622403</c:v>
                </c:pt>
                <c:pt idx="11">
                  <c:v>0.22697335378379116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49-4AC8-BE3B-562E7EAED802}"/>
            </c:ext>
          </c:extLst>
        </c:ser>
        <c:ser>
          <c:idx val="1"/>
          <c:order val="1"/>
          <c:tx>
            <c:strRef>
              <c:f>Carga!$C$13</c:f>
              <c:strCache>
                <c:ptCount val="1"/>
                <c:pt idx="0">
                  <c:v>2033</c:v>
                </c:pt>
              </c:strCache>
            </c:strRef>
          </c:tx>
          <c:spPr>
            <a:solidFill>
              <a:srgbClr val="FB5A56"/>
            </a:solidFill>
            <a:ln>
              <a:noFill/>
            </a:ln>
            <a:effectLst/>
          </c:spPr>
          <c:invertIfNegative val="0"/>
          <c:cat>
            <c:strRef>
              <c:f>Carga!$D$4:$O$4</c:f>
              <c:strCache>
                <c:ptCount val="12"/>
                <c:pt idx="0">
                  <c:v> Jan </c:v>
                </c:pt>
                <c:pt idx="1">
                  <c:v> Fev </c:v>
                </c:pt>
                <c:pt idx="2">
                  <c:v> Mar </c:v>
                </c:pt>
                <c:pt idx="3">
                  <c:v> Abr </c:v>
                </c:pt>
                <c:pt idx="4">
                  <c:v> Mai </c:v>
                </c:pt>
                <c:pt idx="5">
                  <c:v> Jun </c:v>
                </c:pt>
                <c:pt idx="6">
                  <c:v> Jul </c:v>
                </c:pt>
                <c:pt idx="7">
                  <c:v> Ago </c:v>
                </c:pt>
                <c:pt idx="8">
                  <c:v> Set </c:v>
                </c:pt>
                <c:pt idx="9">
                  <c:v> Out </c:v>
                </c:pt>
                <c:pt idx="10">
                  <c:v> Nov </c:v>
                </c:pt>
                <c:pt idx="11">
                  <c:v> Dez </c:v>
                </c:pt>
              </c:strCache>
            </c:strRef>
          </c:cat>
          <c:val>
            <c:numRef>
              <c:f>Carga!$D$13:$O$13</c:f>
              <c:numCache>
                <c:formatCode>0.00%</c:formatCode>
                <c:ptCount val="12"/>
                <c:pt idx="0">
                  <c:v>0.25102392280571539</c:v>
                </c:pt>
                <c:pt idx="1">
                  <c:v>0.2462343598638263</c:v>
                </c:pt>
                <c:pt idx="2">
                  <c:v>0.31780831805288406</c:v>
                </c:pt>
                <c:pt idx="3">
                  <c:v>0.25137535976602748</c:v>
                </c:pt>
                <c:pt idx="4">
                  <c:v>0.25050603398315124</c:v>
                </c:pt>
                <c:pt idx="5">
                  <c:v>0.32148666455617275</c:v>
                </c:pt>
                <c:pt idx="6">
                  <c:v>0.25670247195914275</c:v>
                </c:pt>
                <c:pt idx="7">
                  <c:v>0.24260915479230427</c:v>
                </c:pt>
                <c:pt idx="8">
                  <c:v>0.32350940332911193</c:v>
                </c:pt>
                <c:pt idx="9">
                  <c:v>0.24355059701363491</c:v>
                </c:pt>
                <c:pt idx="10">
                  <c:v>0.24868873438220951</c:v>
                </c:pt>
                <c:pt idx="11">
                  <c:v>0.32250399696894994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49-4AC8-BE3B-562E7EAED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0"/>
        <c:axId val="-1930873648"/>
        <c:axId val="-1930870384"/>
      </c:barChart>
      <c:catAx>
        <c:axId val="-1930873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930870384"/>
        <c:crosses val="autoZero"/>
        <c:auto val="1"/>
        <c:lblAlgn val="ctr"/>
        <c:lblOffset val="100"/>
        <c:noMultiLvlLbl val="0"/>
      </c:catAx>
      <c:valAx>
        <c:axId val="-193087038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-19308736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chemeClr val="tx1">
                    <a:lumMod val="75000"/>
                    <a:lumOff val="25000"/>
                  </a:schemeClr>
                </a:solidFill>
              </a:rPr>
              <a:t>Análise da Carga Tributária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'BH (1)'!$J$24</c:f>
              <c:strCache>
                <c:ptCount val="1"/>
                <c:pt idx="0">
                  <c:v>Carga</c:v>
                </c:pt>
              </c:strCache>
            </c:strRef>
          </c:tx>
          <c:spPr>
            <a:ln w="28575" cap="rnd">
              <a:solidFill>
                <a:srgbClr val="FB5A5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bg1"/>
              </a:solidFill>
              <a:ln w="9525">
                <a:solidFill>
                  <a:srgbClr val="FB5A5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'BH (1)'!$K$22:$S$22</c:f>
              <c:numCache>
                <c:formatCode>General</c:formatCode>
                <c:ptCount val="9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</c:numCache>
            </c:numRef>
          </c:cat>
          <c:val>
            <c:numRef>
              <c:f>'BH (1)'!$K$24:$S$24</c:f>
              <c:numCache>
                <c:formatCode>0.00%</c:formatCode>
                <c:ptCount val="9"/>
                <c:pt idx="0">
                  <c:v>0.17744278560023327</c:v>
                </c:pt>
                <c:pt idx="1">
                  <c:v>0.17744278560023327</c:v>
                </c:pt>
                <c:pt idx="2">
                  <c:v>0.21658089098179378</c:v>
                </c:pt>
                <c:pt idx="3">
                  <c:v>0.21658089098179378</c:v>
                </c:pt>
                <c:pt idx="4">
                  <c:v>0.22129670137629404</c:v>
                </c:pt>
                <c:pt idx="5">
                  <c:v>0.22701251177079432</c:v>
                </c:pt>
                <c:pt idx="6">
                  <c:v>0.2327283221652946</c:v>
                </c:pt>
                <c:pt idx="7">
                  <c:v>0.23844413255979491</c:v>
                </c:pt>
                <c:pt idx="8">
                  <c:v>0.2727389949267966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5B-49C6-B614-71F523DE397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930873104"/>
        <c:axId val="-1929159936"/>
      </c:lineChart>
      <c:catAx>
        <c:axId val="-1930873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929159936"/>
        <c:crosses val="autoZero"/>
        <c:auto val="1"/>
        <c:lblAlgn val="ctr"/>
        <c:lblOffset val="100"/>
        <c:noMultiLvlLbl val="0"/>
      </c:catAx>
      <c:valAx>
        <c:axId val="-192915993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93087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chemeClr val="tx1">
                    <a:lumMod val="75000"/>
                    <a:lumOff val="25000"/>
                  </a:schemeClr>
                </a:solidFill>
              </a:rPr>
              <a:t>Evolução</a:t>
            </a:r>
            <a:r>
              <a:rPr lang="en-US" sz="1000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 dos Impostos</a:t>
            </a:r>
            <a:endParaRPr lang="en-US" sz="1000">
              <a:solidFill>
                <a:schemeClr val="tx1">
                  <a:lumMod val="75000"/>
                  <a:lumOff val="2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3140424010466"/>
          <c:y val="0.13986982999655287"/>
          <c:w val="0.84598213922950039"/>
          <c:h val="0.6898736601353679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'BH (1)'!$J$23</c:f>
              <c:strCache>
                <c:ptCount val="1"/>
                <c:pt idx="0">
                  <c:v>Impostos</c:v>
                </c:pt>
              </c:strCache>
            </c:strRef>
          </c:tx>
          <c:spPr>
            <a:solidFill>
              <a:srgbClr val="FB5A56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'BH (1)'!$K$22:$S$22</c:f>
              <c:numCache>
                <c:formatCode>General</c:formatCode>
                <c:ptCount val="9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</c:numCache>
            </c:numRef>
          </c:cat>
          <c:val>
            <c:numRef>
              <c:f>'BH (1)'!$K$23:$S$23</c:f>
              <c:numCache>
                <c:formatCode>#,##0.00</c:formatCode>
                <c:ptCount val="9"/>
                <c:pt idx="0">
                  <c:v>247038.86263999998</c:v>
                </c:pt>
                <c:pt idx="1">
                  <c:v>247038.86263999998</c:v>
                </c:pt>
                <c:pt idx="2">
                  <c:v>301527.59830000001</c:v>
                </c:pt>
                <c:pt idx="3">
                  <c:v>301527.59830000001</c:v>
                </c:pt>
                <c:pt idx="4">
                  <c:v>308093.02969999996</c:v>
                </c:pt>
                <c:pt idx="5">
                  <c:v>316050.67809999996</c:v>
                </c:pt>
                <c:pt idx="6">
                  <c:v>324008.32649999997</c:v>
                </c:pt>
                <c:pt idx="7">
                  <c:v>331965.97489999997</c:v>
                </c:pt>
                <c:pt idx="8">
                  <c:v>379711.8653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41-4509-821C-E16959E7E13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7"/>
        <c:axId val="-1929162112"/>
        <c:axId val="-1929150688"/>
      </c:barChart>
      <c:catAx>
        <c:axId val="-1929162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929150688"/>
        <c:crosses val="autoZero"/>
        <c:auto val="1"/>
        <c:lblAlgn val="ctr"/>
        <c:lblOffset val="100"/>
        <c:noMultiLvlLbl val="0"/>
      </c:catAx>
      <c:valAx>
        <c:axId val="-1929150688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9291621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F2C80F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C878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C89-43BD-8C9E-D64EEB539395}"/>
              </c:ext>
            </c:extLst>
          </c:dPt>
          <c:dPt>
            <c:idx val="2"/>
            <c:invertIfNegative val="0"/>
            <c:bubble3D val="0"/>
            <c:spPr>
              <a:solidFill>
                <a:srgbClr val="FB5A5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C89-43BD-8C9E-D64EEB539395}"/>
              </c:ext>
            </c:extLst>
          </c:dPt>
          <c:dPt>
            <c:idx val="3"/>
            <c:invertIfNegative val="0"/>
            <c:bubble3D val="0"/>
            <c:spPr>
              <a:solidFill>
                <a:srgbClr val="01C7B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0C89-43BD-8C9E-D64EEB5393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38100" tIns="19050" rIns="38100" bIns="19050" anchor="ctr" anchorCtr="1">
                <a:no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'BH (1)'!$J$12:$J$15</c:f>
              <c:strCache>
                <c:ptCount val="4"/>
                <c:pt idx="0">
                  <c:v>Custos</c:v>
                </c:pt>
                <c:pt idx="1">
                  <c:v>Despesas</c:v>
                </c:pt>
                <c:pt idx="2">
                  <c:v>Impostos</c:v>
                </c:pt>
                <c:pt idx="3">
                  <c:v>Lucro</c:v>
                </c:pt>
              </c:strCache>
            </c:strRef>
          </c:cat>
          <c:val>
            <c:numRef>
              <c:f>'BH (1)'!$W$12:$W$15</c:f>
              <c:numCache>
                <c:formatCode>#,##0.00</c:formatCode>
                <c:ptCount val="4"/>
                <c:pt idx="0">
                  <c:v>449618</c:v>
                </c:pt>
                <c:pt idx="1">
                  <c:v>325167</c:v>
                </c:pt>
                <c:pt idx="2">
                  <c:v>379711.8653</c:v>
                </c:pt>
                <c:pt idx="3">
                  <c:v>93720.134700000053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3BD-8C9E-D64EEB53939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0"/>
        <c:axId val="-1929160480"/>
        <c:axId val="-1929157760"/>
      </c:barChart>
      <c:catAx>
        <c:axId val="-192916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929157760"/>
        <c:crosses val="autoZero"/>
        <c:auto val="1"/>
        <c:lblAlgn val="ctr"/>
        <c:lblOffset val="100"/>
        <c:noMultiLvlLbl val="0"/>
      </c:catAx>
      <c:valAx>
        <c:axId val="-1929157760"/>
        <c:scaling>
          <c:orientation val="minMax"/>
        </c:scaling>
        <c:delete val="1"/>
        <c:axPos val="b"/>
        <c:numFmt formatCode="#,##0.00" sourceLinked="1"/>
        <c:majorTickMark val="none"/>
        <c:minorTickMark val="none"/>
        <c:tickLblPos val="nextTo"/>
        <c:crossAx val="-192916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125459317585302"/>
          <c:y val="0.12404403616214638"/>
          <c:w val="0.67090091863517065"/>
          <c:h val="0.5963563721201516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2C80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FC00-4C6A-AF32-4BE821F68558}"/>
              </c:ext>
            </c:extLst>
          </c:dPt>
          <c:dPt>
            <c:idx val="1"/>
            <c:bubble3D val="0"/>
            <c:spPr>
              <a:solidFill>
                <a:srgbClr val="FC878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C00-4C6A-AF32-4BE821F68558}"/>
              </c:ext>
            </c:extLst>
          </c:dPt>
          <c:dPt>
            <c:idx val="2"/>
            <c:bubble3D val="0"/>
            <c:spPr>
              <a:solidFill>
                <a:srgbClr val="FB5A5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C00-4C6A-AF32-4BE821F68558}"/>
              </c:ext>
            </c:extLst>
          </c:dPt>
          <c:dPt>
            <c:idx val="3"/>
            <c:bubble3D val="0"/>
            <c:spPr>
              <a:solidFill>
                <a:srgbClr val="01C7B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C00-4C6A-AF32-4BE821F685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38100" tIns="19050" rIns="38100" bIns="19050" anchor="ctr" anchorCtr="1">
                <a:no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'BH (1)'!$J$12:$J$15</c:f>
              <c:strCache>
                <c:ptCount val="4"/>
                <c:pt idx="0">
                  <c:v>Custos</c:v>
                </c:pt>
                <c:pt idx="1">
                  <c:v>Despesas</c:v>
                </c:pt>
                <c:pt idx="2">
                  <c:v>Impostos</c:v>
                </c:pt>
                <c:pt idx="3">
                  <c:v>Lucro</c:v>
                </c:pt>
              </c:strCache>
            </c:strRef>
          </c:cat>
          <c:val>
            <c:numRef>
              <c:f>'BH (1)'!$X$12:$X$15</c:f>
              <c:numCache>
                <c:formatCode>0.00%</c:formatCode>
                <c:ptCount val="4"/>
                <c:pt idx="0">
                  <c:v>0.3229510916760821</c:v>
                </c:pt>
                <c:pt idx="1">
                  <c:v>0.23356057281300258</c:v>
                </c:pt>
                <c:pt idx="2">
                  <c:v>0.2727389949267966</c:v>
                </c:pt>
                <c:pt idx="3">
                  <c:v>6.7317188843405915E-2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0-4C6A-AF32-4BE821F685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8.7576771653543328E-2"/>
          <c:y val="0.83425838436862054"/>
          <c:w val="0.82492322834645671"/>
          <c:h val="0.116668416447944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000">
                <a:solidFill>
                  <a:schemeClr val="tx1">
                    <a:lumMod val="75000"/>
                    <a:lumOff val="25000"/>
                  </a:schemeClr>
                </a:solidFill>
              </a:rPr>
              <a:t>Análise</a:t>
            </a:r>
            <a:r>
              <a:rPr lang="pt-BR" sz="1000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 de Faturamento e Impostos</a:t>
            </a:r>
            <a:endParaRPr lang="pt-BR" sz="1000">
              <a:solidFill>
                <a:schemeClr val="tx1">
                  <a:lumMod val="75000"/>
                  <a:lumOff val="2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094780722069184"/>
          <c:y val="0.11927792359288422"/>
          <c:w val="0.85634837440985512"/>
          <c:h val="0.8441475648877223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'BH (1)'!$J$18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rgbClr val="01C7B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'BH (1)'!$K$18:$V$18</c:f>
              <c:numCache>
                <c:formatCode>#,##0.00</c:formatCode>
                <c:ptCount val="12"/>
                <c:pt idx="0">
                  <c:v>134725</c:v>
                </c:pt>
                <c:pt idx="1">
                  <c:v>108391</c:v>
                </c:pt>
                <c:pt idx="2">
                  <c:v>133613</c:v>
                </c:pt>
                <c:pt idx="3">
                  <c:v>120356</c:v>
                </c:pt>
                <c:pt idx="4">
                  <c:v>119059</c:v>
                </c:pt>
                <c:pt idx="5">
                  <c:v>104241</c:v>
                </c:pt>
                <c:pt idx="6">
                  <c:v>123748</c:v>
                </c:pt>
                <c:pt idx="7">
                  <c:v>102602</c:v>
                </c:pt>
                <c:pt idx="8">
                  <c:v>109759</c:v>
                </c:pt>
                <c:pt idx="9">
                  <c:v>115659</c:v>
                </c:pt>
                <c:pt idx="10">
                  <c:v>110531</c:v>
                </c:pt>
                <c:pt idx="11">
                  <c:v>109533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90-405B-A778-6269ADE97A5B}"/>
            </c:ext>
          </c:extLst>
        </c:ser>
        <c:ser>
          <c:idx val="1"/>
          <c:order val="1"/>
          <c:tx>
            <c:strRef>
              <c:f>'BH (1)'!$J$19</c:f>
              <c:strCache>
                <c:ptCount val="1"/>
                <c:pt idx="0">
                  <c:v>Impostos</c:v>
                </c:pt>
              </c:strCache>
            </c:strRef>
          </c:tx>
          <c:spPr>
            <a:solidFill>
              <a:srgbClr val="FB5A5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'BH (1)'!$K$19:$V$19</c:f>
              <c:numCache>
                <c:formatCode>#,##0.00</c:formatCode>
                <c:ptCount val="12"/>
                <c:pt idx="0">
                  <c:v>-33819.198000000004</c:v>
                </c:pt>
                <c:pt idx="1">
                  <c:v>-26689.588499999998</c:v>
                </c:pt>
                <c:pt idx="2">
                  <c:v>-42463.322800000002</c:v>
                </c:pt>
                <c:pt idx="3">
                  <c:v>-30254.532800000001</c:v>
                </c:pt>
                <c:pt idx="4">
                  <c:v>-29824.997900000002</c:v>
                </c:pt>
                <c:pt idx="5">
                  <c:v>-33512.091400000005</c:v>
                </c:pt>
                <c:pt idx="6">
                  <c:v>-31766.4175</c:v>
                </c:pt>
                <c:pt idx="7">
                  <c:v>-24892.184500000003</c:v>
                </c:pt>
                <c:pt idx="8">
                  <c:v>-35508.068599999999</c:v>
                </c:pt>
                <c:pt idx="9">
                  <c:v>-28168.818500000001</c:v>
                </c:pt>
                <c:pt idx="10">
                  <c:v>-27487.8145</c:v>
                </c:pt>
                <c:pt idx="11">
                  <c:v>-35324.830299999994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90-405B-A778-6269ADE97A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-1929149056"/>
        <c:axId val="-1929153952"/>
      </c:barChart>
      <c:catAx>
        <c:axId val="-1929149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B5A56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929153952"/>
        <c:crosses val="autoZero"/>
        <c:auto val="1"/>
        <c:lblAlgn val="ctr"/>
        <c:lblOffset val="100"/>
        <c:noMultiLvlLbl val="0"/>
      </c:catAx>
      <c:valAx>
        <c:axId val="-1929153952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929149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2541787539715441"/>
          <c:y val="2.2684747739865816E-2"/>
          <c:w val="0.25091847265221878"/>
          <c:h val="6.25004374453193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chemeClr val="tx1">
                    <a:lumMod val="75000"/>
                    <a:lumOff val="25000"/>
                  </a:schemeClr>
                </a:solidFill>
              </a:rPr>
              <a:t>Evolução no</a:t>
            </a:r>
            <a:r>
              <a:rPr lang="en-US" sz="1000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 Lucro </a:t>
            </a:r>
            <a:r>
              <a:rPr lang="en-US" sz="1000">
                <a:solidFill>
                  <a:schemeClr val="tx1">
                    <a:lumMod val="75000"/>
                    <a:lumOff val="25000"/>
                  </a:schemeClr>
                </a:solidFill>
              </a:rPr>
              <a:t>Líquido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935845867563769"/>
          <c:y val="0.16515404805168585"/>
          <c:w val="0.84793772295490932"/>
          <c:h val="0.6286840298808802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'BH (1)'!$J$25</c:f>
              <c:strCache>
                <c:ptCount val="1"/>
                <c:pt idx="0">
                  <c:v>Lucro</c:v>
                </c:pt>
              </c:strCache>
            </c:strRef>
          </c:tx>
          <c:spPr>
            <a:solidFill>
              <a:srgbClr val="01C7B9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'BH (1)'!$K$22:$S$22</c:f>
              <c:numCache>
                <c:formatCode>General</c:formatCode>
                <c:ptCount val="9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</c:numCache>
            </c:numRef>
          </c:cat>
          <c:val>
            <c:numRef>
              <c:f>'BH (1)'!$K$25:$S$25</c:f>
              <c:numCache>
                <c:formatCode>#,##0.00</c:formatCode>
                <c:ptCount val="9"/>
                <c:pt idx="0">
                  <c:v>263423.76642249996</c:v>
                </c:pt>
                <c:pt idx="1">
                  <c:v>249501.59642250001</c:v>
                </c:pt>
                <c:pt idx="2">
                  <c:v>171904.40170000002</c:v>
                </c:pt>
                <c:pt idx="3">
                  <c:v>171904.40170000002</c:v>
                </c:pt>
                <c:pt idx="4">
                  <c:v>165338.97030000002</c:v>
                </c:pt>
                <c:pt idx="5">
                  <c:v>157381.32190000001</c:v>
                </c:pt>
                <c:pt idx="6">
                  <c:v>149423.67350000006</c:v>
                </c:pt>
                <c:pt idx="7">
                  <c:v>141466.02510000006</c:v>
                </c:pt>
                <c:pt idx="8">
                  <c:v>93720.134700000053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1E-46C4-997E-27EFFF802A6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7"/>
        <c:axId val="-1929147424"/>
        <c:axId val="-1929147968"/>
      </c:barChart>
      <c:catAx>
        <c:axId val="-1929147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929147968"/>
        <c:crosses val="autoZero"/>
        <c:auto val="1"/>
        <c:lblAlgn val="ctr"/>
        <c:lblOffset val="100"/>
        <c:noMultiLvlLbl val="0"/>
      </c:catAx>
      <c:valAx>
        <c:axId val="-1929147968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92914742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chemeClr val="tx1">
                    <a:lumMod val="75000"/>
                    <a:lumOff val="25000"/>
                  </a:schemeClr>
                </a:solidFill>
              </a:rPr>
              <a:t>Evolução na</a:t>
            </a:r>
            <a:r>
              <a:rPr lang="en-US" sz="1000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 </a:t>
            </a:r>
            <a:r>
              <a:rPr lang="en-US" sz="1000">
                <a:solidFill>
                  <a:schemeClr val="tx1">
                    <a:lumMod val="75000"/>
                    <a:lumOff val="25000"/>
                  </a:schemeClr>
                </a:solidFill>
              </a:rPr>
              <a:t>Lucratividade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6221474546518434E-2"/>
          <c:y val="0.19704515919428198"/>
          <c:w val="0.89107193940576035"/>
          <c:h val="0.6833081546458738"/>
        </c:manualLayout>
      </c:layout>
      <c:lineChart>
        <c:grouping val="standard"/>
        <c:varyColors val="0"/>
        <c:ser>
          <c:idx val="0"/>
          <c:order val="0"/>
          <c:tx>
            <c:strRef>
              <c:f>'BH (1)'!$J$26</c:f>
              <c:strCache>
                <c:ptCount val="1"/>
                <c:pt idx="0">
                  <c:v>Lucratividade</c:v>
                </c:pt>
              </c:strCache>
            </c:strRef>
          </c:tx>
          <c:spPr>
            <a:ln w="28575" cap="rnd">
              <a:solidFill>
                <a:srgbClr val="01B8AA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bg1"/>
              </a:solidFill>
              <a:ln w="9525">
                <a:solidFill>
                  <a:srgbClr val="01B8AA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'BH (1)'!$K$22:$S$22</c:f>
              <c:numCache>
                <c:formatCode>General</c:formatCode>
                <c:ptCount val="9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</c:numCache>
            </c:numRef>
          </c:cat>
          <c:val>
            <c:numRef>
              <c:f>'BH (1)'!$K$26:$S$26</c:f>
              <c:numCache>
                <c:formatCode>0.00%</c:formatCode>
                <c:ptCount val="9"/>
                <c:pt idx="0">
                  <c:v>0.18921171514390353</c:v>
                </c:pt>
                <c:pt idx="1">
                  <c:v>0.17921171514390358</c:v>
                </c:pt>
                <c:pt idx="2">
                  <c:v>0.12347529278840871</c:v>
                </c:pt>
                <c:pt idx="3">
                  <c:v>0.12347529278840871</c:v>
                </c:pt>
                <c:pt idx="4">
                  <c:v>0.11875948239390843</c:v>
                </c:pt>
                <c:pt idx="5">
                  <c:v>0.11304367199940815</c:v>
                </c:pt>
                <c:pt idx="6">
                  <c:v>0.1073278616049079</c:v>
                </c:pt>
                <c:pt idx="7">
                  <c:v>0.10161205121040762</c:v>
                </c:pt>
                <c:pt idx="8">
                  <c:v>6.7317188843405915E-2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6F-4D46-9674-9CFBDDD4F7D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929162656"/>
        <c:axId val="-1929161024"/>
      </c:lineChart>
      <c:catAx>
        <c:axId val="-1929162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929161024"/>
        <c:crosses val="autoZero"/>
        <c:auto val="1"/>
        <c:lblAlgn val="ctr"/>
        <c:lblOffset val="100"/>
        <c:noMultiLvlLbl val="0"/>
      </c:catAx>
      <c:valAx>
        <c:axId val="-192916102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92916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000">
                <a:solidFill>
                  <a:schemeClr val="tx1">
                    <a:lumMod val="75000"/>
                    <a:lumOff val="25000"/>
                  </a:schemeClr>
                </a:solidFill>
              </a:rPr>
              <a:t>Comparativo 2025 e 2033 na Lucratividade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Lucra!$C$5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Lucra!$D$4:$O$4</c:f>
              <c:strCache>
                <c:ptCount val="12"/>
                <c:pt idx="0">
                  <c:v> Jan </c:v>
                </c:pt>
                <c:pt idx="1">
                  <c:v> Fev </c:v>
                </c:pt>
                <c:pt idx="2">
                  <c:v> Mar </c:v>
                </c:pt>
                <c:pt idx="3">
                  <c:v> Abr </c:v>
                </c:pt>
                <c:pt idx="4">
                  <c:v> Mai </c:v>
                </c:pt>
                <c:pt idx="5">
                  <c:v> Jun </c:v>
                </c:pt>
                <c:pt idx="6">
                  <c:v> Jul </c:v>
                </c:pt>
                <c:pt idx="7">
                  <c:v> Ago </c:v>
                </c:pt>
                <c:pt idx="8">
                  <c:v> Set </c:v>
                </c:pt>
                <c:pt idx="9">
                  <c:v> Out </c:v>
                </c:pt>
                <c:pt idx="10">
                  <c:v> Nov </c:v>
                </c:pt>
                <c:pt idx="11">
                  <c:v> Dez </c:v>
                </c:pt>
              </c:strCache>
            </c:strRef>
          </c:cat>
          <c:val>
            <c:numRef>
              <c:f>Lucra!$D$5:$O$5</c:f>
              <c:numCache>
                <c:formatCode>0.00%</c:formatCode>
                <c:ptCount val="12"/>
                <c:pt idx="0">
                  <c:v>0.29677114979588048</c:v>
                </c:pt>
                <c:pt idx="1">
                  <c:v>0.18824561499570996</c:v>
                </c:pt>
                <c:pt idx="2">
                  <c:v>0.23247150368040534</c:v>
                </c:pt>
                <c:pt idx="3">
                  <c:v>0.23643880159692904</c:v>
                </c:pt>
                <c:pt idx="4">
                  <c:v>0.24572254812739894</c:v>
                </c:pt>
                <c:pt idx="5">
                  <c:v>6.8992361438877159E-2</c:v>
                </c:pt>
                <c:pt idx="6">
                  <c:v>0.243350061889889</c:v>
                </c:pt>
                <c:pt idx="7">
                  <c:v>0.11585044495964994</c:v>
                </c:pt>
                <c:pt idx="8">
                  <c:v>9.1698900557129676E-2</c:v>
                </c:pt>
                <c:pt idx="9">
                  <c:v>0.22476063077667965</c:v>
                </c:pt>
                <c:pt idx="10">
                  <c:v>0.18014928983724024</c:v>
                </c:pt>
                <c:pt idx="11">
                  <c:v>8.3068704317420305E-2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D-4338-8DCB-B4A841714E8C}"/>
            </c:ext>
          </c:extLst>
        </c:ser>
        <c:ser>
          <c:idx val="1"/>
          <c:order val="1"/>
          <c:tx>
            <c:v>2033</c:v>
          </c:tx>
          <c:spPr>
            <a:solidFill>
              <a:srgbClr val="01B8AA"/>
            </a:solidFill>
            <a:ln>
              <a:noFill/>
            </a:ln>
            <a:effectLst/>
          </c:spPr>
          <c:invertIfNegative val="0"/>
          <c:val>
            <c:numRef>
              <c:f>Lucra!$D$13:$O$13</c:f>
              <c:numCache>
                <c:formatCode>0.00%</c:formatCode>
                <c:ptCount val="12"/>
                <c:pt idx="0">
                  <c:v>0.17439823343848576</c:v>
                </c:pt>
                <c:pt idx="1">
                  <c:v>6.6835913498353272E-2</c:v>
                </c:pt>
                <c:pt idx="2">
                  <c:v>0.10992700710260238</c:v>
                </c:pt>
                <c:pt idx="3">
                  <c:v>0.11433137691515177</c:v>
                </c:pt>
                <c:pt idx="4">
                  <c:v>0.12371179079280026</c:v>
                </c:pt>
                <c:pt idx="5">
                  <c:v>-5.2302754194606754E-2</c:v>
                </c:pt>
                <c:pt idx="6">
                  <c:v>0.12075817386947665</c:v>
                </c:pt>
                <c:pt idx="7">
                  <c:v>-5.1089111323366311E-3</c:v>
                </c:pt>
                <c:pt idx="8">
                  <c:v>-3.0321600962107894E-2</c:v>
                </c:pt>
                <c:pt idx="9">
                  <c:v>0.10336576920084045</c:v>
                </c:pt>
                <c:pt idx="10">
                  <c:v>5.8492056527128196E-2</c:v>
                </c:pt>
                <c:pt idx="11">
                  <c:v>-3.8863450284389041E-2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D-4338-8DCB-B4A841714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0"/>
        <c:axId val="-1929157216"/>
        <c:axId val="-1929156128"/>
      </c:barChart>
      <c:catAx>
        <c:axId val="-1929157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929156128"/>
        <c:crosses val="autoZero"/>
        <c:auto val="1"/>
        <c:lblAlgn val="ctr"/>
        <c:lblOffset val="100"/>
        <c:noMultiLvlLbl val="0"/>
      </c:catAx>
      <c:valAx>
        <c:axId val="-192915612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-192915721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000">
                <a:solidFill>
                  <a:schemeClr val="tx1">
                    <a:lumMod val="75000"/>
                    <a:lumOff val="25000"/>
                  </a:schemeClr>
                </a:solidFill>
              </a:rPr>
              <a:t>Comparativo 2025 e 2033 na Carga Tributária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Carga!$C$5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Carga!$D$4:$O$4</c:f>
              <c:strCache>
                <c:ptCount val="12"/>
                <c:pt idx="0">
                  <c:v> Jan </c:v>
                </c:pt>
                <c:pt idx="1">
                  <c:v> Fev </c:v>
                </c:pt>
                <c:pt idx="2">
                  <c:v> Mar </c:v>
                </c:pt>
                <c:pt idx="3">
                  <c:v> Abr </c:v>
                </c:pt>
                <c:pt idx="4">
                  <c:v> Mai </c:v>
                </c:pt>
                <c:pt idx="5">
                  <c:v> Jun </c:v>
                </c:pt>
                <c:pt idx="6">
                  <c:v> Jul </c:v>
                </c:pt>
                <c:pt idx="7">
                  <c:v> Ago </c:v>
                </c:pt>
                <c:pt idx="8">
                  <c:v> Set </c:v>
                </c:pt>
                <c:pt idx="9">
                  <c:v> Out </c:v>
                </c:pt>
                <c:pt idx="10">
                  <c:v> Nov </c:v>
                </c:pt>
                <c:pt idx="11">
                  <c:v> Dez </c:v>
                </c:pt>
              </c:strCache>
            </c:strRef>
          </c:cat>
          <c:val>
            <c:numRef>
              <c:f>Carga!$D$5:$O$5</c:f>
              <c:numCache>
                <c:formatCode>0.00%</c:formatCode>
                <c:ptCount val="12"/>
                <c:pt idx="0">
                  <c:v>0.15274722211913158</c:v>
                </c:pt>
                <c:pt idx="1">
                  <c:v>0.15395873199804411</c:v>
                </c:pt>
                <c:pt idx="2">
                  <c:v>0.21846262908549313</c:v>
                </c:pt>
                <c:pt idx="3">
                  <c:v>0.15475273953936652</c:v>
                </c:pt>
                <c:pt idx="4">
                  <c:v>0.15448567584138959</c:v>
                </c:pt>
                <c:pt idx="5">
                  <c:v>0.22992493567790026</c:v>
                </c:pt>
                <c:pt idx="6">
                  <c:v>0.15706152228722889</c:v>
                </c:pt>
                <c:pt idx="7">
                  <c:v>0.15313929299623788</c:v>
                </c:pt>
                <c:pt idx="8">
                  <c:v>0.22742833644621399</c:v>
                </c:pt>
                <c:pt idx="9">
                  <c:v>0.15136742562187122</c:v>
                </c:pt>
                <c:pt idx="10">
                  <c:v>0.15487092055622403</c:v>
                </c:pt>
                <c:pt idx="11">
                  <c:v>0.22697335378379116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F7-4738-8FB9-33DA33CC3FEF}"/>
            </c:ext>
          </c:extLst>
        </c:ser>
        <c:ser>
          <c:idx val="1"/>
          <c:order val="1"/>
          <c:tx>
            <c:strRef>
              <c:f>Carga!$C$13</c:f>
              <c:strCache>
                <c:ptCount val="1"/>
                <c:pt idx="0">
                  <c:v>2033</c:v>
                </c:pt>
              </c:strCache>
            </c:strRef>
          </c:tx>
          <c:spPr>
            <a:solidFill>
              <a:srgbClr val="FB5A56"/>
            </a:solidFill>
            <a:ln>
              <a:noFill/>
            </a:ln>
            <a:effectLst/>
          </c:spPr>
          <c:invertIfNegative val="0"/>
          <c:cat>
            <c:strRef>
              <c:f>Carga!$D$4:$O$4</c:f>
              <c:strCache>
                <c:ptCount val="12"/>
                <c:pt idx="0">
                  <c:v> Jan </c:v>
                </c:pt>
                <c:pt idx="1">
                  <c:v> Fev </c:v>
                </c:pt>
                <c:pt idx="2">
                  <c:v> Mar </c:v>
                </c:pt>
                <c:pt idx="3">
                  <c:v> Abr </c:v>
                </c:pt>
                <c:pt idx="4">
                  <c:v> Mai </c:v>
                </c:pt>
                <c:pt idx="5">
                  <c:v> Jun </c:v>
                </c:pt>
                <c:pt idx="6">
                  <c:v> Jul </c:v>
                </c:pt>
                <c:pt idx="7">
                  <c:v> Ago </c:v>
                </c:pt>
                <c:pt idx="8">
                  <c:v> Set </c:v>
                </c:pt>
                <c:pt idx="9">
                  <c:v> Out </c:v>
                </c:pt>
                <c:pt idx="10">
                  <c:v> Nov </c:v>
                </c:pt>
                <c:pt idx="11">
                  <c:v> Dez </c:v>
                </c:pt>
              </c:strCache>
            </c:strRef>
          </c:cat>
          <c:val>
            <c:numRef>
              <c:f>Carga!$D$13:$O$13</c:f>
              <c:numCache>
                <c:formatCode>0.00%</c:formatCode>
                <c:ptCount val="12"/>
                <c:pt idx="0">
                  <c:v>0.25102392280571539</c:v>
                </c:pt>
                <c:pt idx="1">
                  <c:v>0.2462343598638263</c:v>
                </c:pt>
                <c:pt idx="2">
                  <c:v>0.31780831805288406</c:v>
                </c:pt>
                <c:pt idx="3">
                  <c:v>0.25137535976602748</c:v>
                </c:pt>
                <c:pt idx="4">
                  <c:v>0.25050603398315124</c:v>
                </c:pt>
                <c:pt idx="5">
                  <c:v>0.32148666455617275</c:v>
                </c:pt>
                <c:pt idx="6">
                  <c:v>0.25670247195914275</c:v>
                </c:pt>
                <c:pt idx="7">
                  <c:v>0.24260915479230427</c:v>
                </c:pt>
                <c:pt idx="8">
                  <c:v>0.32350940332911193</c:v>
                </c:pt>
                <c:pt idx="9">
                  <c:v>0.24355059701363491</c:v>
                </c:pt>
                <c:pt idx="10">
                  <c:v>0.24868873438220951</c:v>
                </c:pt>
                <c:pt idx="11">
                  <c:v>0.32250399696894994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F7-4738-8FB9-33DA33CC3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0"/>
        <c:axId val="-1929382768"/>
        <c:axId val="-1929388208"/>
      </c:barChart>
      <c:catAx>
        <c:axId val="-1929382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929388208"/>
        <c:crosses val="autoZero"/>
        <c:auto val="1"/>
        <c:lblAlgn val="ctr"/>
        <c:lblOffset val="100"/>
        <c:noMultiLvlLbl val="0"/>
      </c:catAx>
      <c:valAx>
        <c:axId val="-192938820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-192938276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22" fmlaLink="'BH (1)'!$C$4" fmlaRange="Regime" sel="2" val="0"/>
</file>

<file path=xl/ctrlProps/ctrlProp5.xml><?xml version="1.0" encoding="utf-8"?>
<formControlPr xmlns="http://schemas.microsoft.com/office/spreadsheetml/2009/9/main" objectType="Drop" dropLines="6" dropStyle="combo" dx="22" fmlaLink="'BH (1)'!$C$8" fmlaRange="Anexo" sel="6" val="0"/>
</file>

<file path=xl/ctrlProps/ctrlProp6.xml><?xml version="1.0" encoding="utf-8"?>
<formControlPr xmlns="http://schemas.microsoft.com/office/spreadsheetml/2009/9/main" objectType="Drop" dropLines="2" dropStyle="combo" dx="22" fmlaLink="'BH (1)'!$C$15" fmlaRange="'BH (1)'!$B$15:$B$16" sel="1" val="0"/>
</file>

<file path=xl/ctrlProps/ctrlProp7.xml><?xml version="1.0" encoding="utf-8"?>
<formControlPr xmlns="http://schemas.microsoft.com/office/spreadsheetml/2009/9/main" objectType="Radio" firstButton="1" fmlaLink="'BH (1)'!$B$18" lockText="1"/>
</file>

<file path=xl/ctrlProps/ctrlProp8.xml><?xml version="1.0" encoding="utf-8"?>
<formControlPr xmlns="http://schemas.microsoft.com/office/spreadsheetml/2009/9/main" objectType="Radio" checked="Checked" lockText="1"/>
</file>

<file path=xl/ctrlProps/ctrlProp9.xml><?xml version="1.0" encoding="utf-8"?>
<formControlPr xmlns="http://schemas.microsoft.com/office/spreadsheetml/2009/9/main" objectType="CheckBox" fmlaLink="'BH (1)'!$C$5" lockText="1"/>
</file>

<file path=xl/ctrlProps/ctrlProp10.xml><?xml version="1.0" encoding="utf-8"?>
<formControlPr xmlns="http://schemas.microsoft.com/office/spreadsheetml/2009/9/main" objectType="CheckBox" fmlaLink="'BH (1)'!$C$5" lockText="1"/>
</file>

<file path=xl/ctrlProps/ctrlProp11.xml><?xml version="1.0" encoding="utf-8"?>
<formControlPr xmlns="http://schemas.microsoft.com/office/spreadsheetml/2009/9/main" objectType="Drop" dropLines="2" dropStyle="combo" dx="22" fmlaLink="'BH (1)'!$C$15" fmlaRange="'BH (1)'!$B$15:$B$16" sel="1" val="0"/>
</file>

<file path=xl/ctrlProps/ctrlProp12.xml><?xml version="1.0" encoding="utf-8"?>
<formControlPr xmlns="http://schemas.microsoft.com/office/spreadsheetml/2009/9/main" objectType="Drop" dropLines="2" dropStyle="combo" dx="22" fmlaLink="'BH (1)'!$C$15" fmlaRange="'BH (1)'!$B$15:$B$16" sel="1" val="0"/>
</file>

<file path=xl/ctrlProps/ctrlProp13.xml><?xml version="1.0" encoding="utf-8"?>
<formControlPr xmlns="http://schemas.microsoft.com/office/spreadsheetml/2009/9/main" objectType="Drop" dropLines="2" dropStyle="combo" dx="22" fmlaLink="'BH (1)'!$C$15" fmlaRange="'BH (1)'!$B$15:$B$16" sel="1" val="0"/>
</file>

<file path=xl/ctrlProps/ctrlProp14.xml><?xml version="1.0" encoding="utf-8"?>
<formControlPr xmlns="http://schemas.microsoft.com/office/spreadsheetml/2009/9/main" objectType="Drop" dropLines="2" dropStyle="combo" dx="22" fmlaLink="'BH (1)'!$C$15" fmlaRange="'BH (1)'!$B$15:$B$16" sel="1" val="0"/>
</file>

<file path=xl/ctrlProps/ctrlProp15.xml><?xml version="1.0" encoding="utf-8"?>
<formControlPr xmlns="http://schemas.microsoft.com/office/spreadsheetml/2009/9/main" objectType="Drop" dropLines="2" dropStyle="combo" dx="22" fmlaLink="'BH (1)'!$C$15" fmlaRange="'BH (1)'!$B$15:$B$16" sel="1" val="0"/>
</file>

<file path=xl/ctrlProps/ctrlProp16.xml><?xml version="1.0" encoding="utf-8"?>
<formControlPr xmlns="http://schemas.microsoft.com/office/spreadsheetml/2009/9/main" objectType="Drop" dropLines="2" dropStyle="combo" dx="22" fmlaLink="'BH (1)'!$C$15" fmlaRange="'BH (1)'!$B$15:$B$16" sel="1" val="0"/>
</file>

<file path=xl/ctrlProps/ctrlProp17.xml><?xml version="1.0" encoding="utf-8"?>
<formControlPr xmlns="http://schemas.microsoft.com/office/spreadsheetml/2009/9/main" objectType="Drop" dropLines="2" dropStyle="combo" dx="22" fmlaLink="'BH (1)'!$C$15" fmlaRange="'BH (1)'!$B$15:$B$16" sel="1" val="0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Drop" dropLines="9" dropStyle="combo" dx="22" fmlaLink="'BH (1)'!$H$4" fmlaRange="'BH (1)'!$G$4:$G$12" sel="9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5" Type="http://schemas.openxmlformats.org/officeDocument/2006/relationships/hyperlink" Target="#Dashboard!A1"/><Relationship Id="rId4" Type="http://schemas.openxmlformats.org/officeDocument/2006/relationships/hyperlink" Target="#Controle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7" Type="http://schemas.openxmlformats.org/officeDocument/2006/relationships/image" Target="../media/image6.svg"/><Relationship Id="rId2" Type="http://schemas.openxmlformats.org/officeDocument/2006/relationships/image" Target="../media/image1.png"/><Relationship Id="rId1" Type="http://schemas.openxmlformats.org/officeDocument/2006/relationships/hyperlink" Target="#In&#237;cio!A1"/><Relationship Id="rId6" Type="http://schemas.openxmlformats.org/officeDocument/2006/relationships/image" Target="../media/image5.png"/><Relationship Id="rId5" Type="http://schemas.openxmlformats.org/officeDocument/2006/relationships/image" Target="../media/image4.sv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svg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image" Target="../media/image11.png"/><Relationship Id="rId2" Type="http://schemas.openxmlformats.org/officeDocument/2006/relationships/hyperlink" Target="#Cadastros!A1"/><Relationship Id="rId16" Type="http://schemas.openxmlformats.org/officeDocument/2006/relationships/image" Target="../media/image14.svg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image" Target="../media/image10.svg"/><Relationship Id="rId5" Type="http://schemas.openxmlformats.org/officeDocument/2006/relationships/hyperlink" Target="#Dashboard!A1"/><Relationship Id="rId15" Type="http://schemas.openxmlformats.org/officeDocument/2006/relationships/image" Target="../media/image13.png"/><Relationship Id="rId10" Type="http://schemas.openxmlformats.org/officeDocument/2006/relationships/image" Target="../media/image9.png"/><Relationship Id="rId4" Type="http://schemas.openxmlformats.org/officeDocument/2006/relationships/hyperlink" Target="#Controles!A1"/><Relationship Id="rId9" Type="http://schemas.openxmlformats.org/officeDocument/2006/relationships/image" Target="../media/image8.svg"/><Relationship Id="rId14" Type="http://schemas.openxmlformats.org/officeDocument/2006/relationships/hyperlink" Target="#GO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Par!A1"/><Relationship Id="rId13" Type="http://schemas.openxmlformats.org/officeDocument/2006/relationships/image" Target="../media/image18.svg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image" Target="../media/image17.png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image" Target="../media/image16.svg"/><Relationship Id="rId5" Type="http://schemas.openxmlformats.org/officeDocument/2006/relationships/hyperlink" Target="#Dashboard!A1"/><Relationship Id="rId10" Type="http://schemas.openxmlformats.org/officeDocument/2006/relationships/image" Target="../media/image15.png"/><Relationship Id="rId4" Type="http://schemas.openxmlformats.org/officeDocument/2006/relationships/hyperlink" Target="#Controles!A1"/><Relationship Id="rId9" Type="http://schemas.openxmlformats.org/officeDocument/2006/relationships/hyperlink" Target="#TabR!A1"/><Relationship Id="rId14" Type="http://schemas.openxmlformats.org/officeDocument/2006/relationships/hyperlink" Target="#TransR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Par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5" Type="http://schemas.openxmlformats.org/officeDocument/2006/relationships/hyperlink" Target="#Dashboard!A1"/><Relationship Id="rId10" Type="http://schemas.openxmlformats.org/officeDocument/2006/relationships/hyperlink" Target="#TransR!A1"/><Relationship Id="rId4" Type="http://schemas.openxmlformats.org/officeDocument/2006/relationships/hyperlink" Target="#Controles!A1"/><Relationship Id="rId9" Type="http://schemas.openxmlformats.org/officeDocument/2006/relationships/hyperlink" Target="#TabR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Par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hyperlink" Target="#TabS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hyperlink" Target="#TabP!A1"/><Relationship Id="rId5" Type="http://schemas.openxmlformats.org/officeDocument/2006/relationships/hyperlink" Target="#Dashboard!A1"/><Relationship Id="rId10" Type="http://schemas.openxmlformats.org/officeDocument/2006/relationships/hyperlink" Target="#TransR!A1"/><Relationship Id="rId4" Type="http://schemas.openxmlformats.org/officeDocument/2006/relationships/hyperlink" Target="#Controles!A1"/><Relationship Id="rId9" Type="http://schemas.openxmlformats.org/officeDocument/2006/relationships/hyperlink" Target="#TabR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Par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hyperlink" Target="#TabS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hyperlink" Target="#TabP!A1"/><Relationship Id="rId5" Type="http://schemas.openxmlformats.org/officeDocument/2006/relationships/hyperlink" Target="#Dashboard!A1"/><Relationship Id="rId10" Type="http://schemas.openxmlformats.org/officeDocument/2006/relationships/hyperlink" Target="#TransR!A1"/><Relationship Id="rId4" Type="http://schemas.openxmlformats.org/officeDocument/2006/relationships/hyperlink" Target="#Controles!A1"/><Relationship Id="rId9" Type="http://schemas.openxmlformats.org/officeDocument/2006/relationships/hyperlink" Target="#TabR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Par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hyperlink" Target="#TabS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hyperlink" Target="#TabP!A1"/><Relationship Id="rId5" Type="http://schemas.openxmlformats.org/officeDocument/2006/relationships/hyperlink" Target="#Dashboard!A1"/><Relationship Id="rId10" Type="http://schemas.openxmlformats.org/officeDocument/2006/relationships/hyperlink" Target="#TransR!A1"/><Relationship Id="rId4" Type="http://schemas.openxmlformats.org/officeDocument/2006/relationships/hyperlink" Target="#Controles!A1"/><Relationship Id="rId9" Type="http://schemas.openxmlformats.org/officeDocument/2006/relationships/hyperlink" Target="#TabR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Par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5" Type="http://schemas.openxmlformats.org/officeDocument/2006/relationships/hyperlink" Target="#Dashboard!A1"/><Relationship Id="rId10" Type="http://schemas.openxmlformats.org/officeDocument/2006/relationships/hyperlink" Target="#TransR!A1"/><Relationship Id="rId4" Type="http://schemas.openxmlformats.org/officeDocument/2006/relationships/hyperlink" Target="#Controles!A1"/><Relationship Id="rId9" Type="http://schemas.openxmlformats.org/officeDocument/2006/relationships/hyperlink" Target="#TabR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Fat1'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hyperlink" Target="#'Ref1'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hyperlink" Target="#Desp!A1"/><Relationship Id="rId5" Type="http://schemas.openxmlformats.org/officeDocument/2006/relationships/hyperlink" Target="#Dashboard!A1"/><Relationship Id="rId10" Type="http://schemas.openxmlformats.org/officeDocument/2006/relationships/hyperlink" Target="#Cus!A1"/><Relationship Id="rId4" Type="http://schemas.openxmlformats.org/officeDocument/2006/relationships/hyperlink" Target="#Controles!A1"/><Relationship Id="rId9" Type="http://schemas.openxmlformats.org/officeDocument/2006/relationships/hyperlink" Target="#Simp1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Fat1'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hyperlink" Target="#Desp!A1"/><Relationship Id="rId5" Type="http://schemas.openxmlformats.org/officeDocument/2006/relationships/hyperlink" Target="#Dashboard!A1"/><Relationship Id="rId10" Type="http://schemas.openxmlformats.org/officeDocument/2006/relationships/hyperlink" Target="#Cus!A1"/><Relationship Id="rId4" Type="http://schemas.openxmlformats.org/officeDocument/2006/relationships/hyperlink" Target="#Controles!A1"/><Relationship Id="rId9" Type="http://schemas.openxmlformats.org/officeDocument/2006/relationships/hyperlink" Target="#Simp1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Base!A1"/><Relationship Id="rId13" Type="http://schemas.openxmlformats.org/officeDocument/2006/relationships/hyperlink" Target="#'Fat2'!A1"/><Relationship Id="rId18" Type="http://schemas.openxmlformats.org/officeDocument/2006/relationships/hyperlink" Target="#'Ref1'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hyperlink" Target="#Desp!A1"/><Relationship Id="rId17" Type="http://schemas.openxmlformats.org/officeDocument/2006/relationships/hyperlink" Target="#'Fat6'!A1"/><Relationship Id="rId2" Type="http://schemas.openxmlformats.org/officeDocument/2006/relationships/hyperlink" Target="#Cadastros!A1"/><Relationship Id="rId16" Type="http://schemas.openxmlformats.org/officeDocument/2006/relationships/hyperlink" Target="#'Fat5'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hyperlink" Target="#Cus!A1"/><Relationship Id="rId5" Type="http://schemas.openxmlformats.org/officeDocument/2006/relationships/hyperlink" Target="#Dashboard!A1"/><Relationship Id="rId15" Type="http://schemas.openxmlformats.org/officeDocument/2006/relationships/hyperlink" Target="#'Fat4'!A1"/><Relationship Id="rId10" Type="http://schemas.openxmlformats.org/officeDocument/2006/relationships/hyperlink" Target="#Simp1!A1"/><Relationship Id="rId4" Type="http://schemas.openxmlformats.org/officeDocument/2006/relationships/hyperlink" Target="#Controles!A1"/><Relationship Id="rId9" Type="http://schemas.openxmlformats.org/officeDocument/2006/relationships/hyperlink" Target="#'Fat1'!A1"/><Relationship Id="rId14" Type="http://schemas.openxmlformats.org/officeDocument/2006/relationships/hyperlink" Target="#'Fat3'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'Fat1'!A1"/><Relationship Id="rId13" Type="http://schemas.openxmlformats.org/officeDocument/2006/relationships/hyperlink" Target="#'Fat3'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hyperlink" Target="#'Fat2'!A1"/><Relationship Id="rId17" Type="http://schemas.openxmlformats.org/officeDocument/2006/relationships/hyperlink" Target="#'Ref1'!A1"/><Relationship Id="rId2" Type="http://schemas.openxmlformats.org/officeDocument/2006/relationships/hyperlink" Target="#Cadastros!A1"/><Relationship Id="rId16" Type="http://schemas.openxmlformats.org/officeDocument/2006/relationships/hyperlink" Target="#'Fat6'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hyperlink" Target="#Desp!A1"/><Relationship Id="rId5" Type="http://schemas.openxmlformats.org/officeDocument/2006/relationships/hyperlink" Target="#Dashboard!A1"/><Relationship Id="rId15" Type="http://schemas.openxmlformats.org/officeDocument/2006/relationships/hyperlink" Target="#'Fat5'!A1"/><Relationship Id="rId10" Type="http://schemas.openxmlformats.org/officeDocument/2006/relationships/hyperlink" Target="#Cus!A1"/><Relationship Id="rId4" Type="http://schemas.openxmlformats.org/officeDocument/2006/relationships/hyperlink" Target="#Controles!A1"/><Relationship Id="rId9" Type="http://schemas.openxmlformats.org/officeDocument/2006/relationships/hyperlink" Target="#Simp1!A1"/><Relationship Id="rId14" Type="http://schemas.openxmlformats.org/officeDocument/2006/relationships/hyperlink" Target="#'Fat4'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'Fat1'!A1"/><Relationship Id="rId13" Type="http://schemas.openxmlformats.org/officeDocument/2006/relationships/hyperlink" Target="#'Fat3'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hyperlink" Target="#'Fat2'!A1"/><Relationship Id="rId17" Type="http://schemas.openxmlformats.org/officeDocument/2006/relationships/hyperlink" Target="#'Ref1'!A1"/><Relationship Id="rId2" Type="http://schemas.openxmlformats.org/officeDocument/2006/relationships/hyperlink" Target="#Cadastros!A1"/><Relationship Id="rId16" Type="http://schemas.openxmlformats.org/officeDocument/2006/relationships/hyperlink" Target="#'Fat6'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hyperlink" Target="#Desp!A1"/><Relationship Id="rId5" Type="http://schemas.openxmlformats.org/officeDocument/2006/relationships/hyperlink" Target="#Dashboard!A1"/><Relationship Id="rId15" Type="http://schemas.openxmlformats.org/officeDocument/2006/relationships/hyperlink" Target="#'Fat5'!A1"/><Relationship Id="rId10" Type="http://schemas.openxmlformats.org/officeDocument/2006/relationships/hyperlink" Target="#Cus!A1"/><Relationship Id="rId4" Type="http://schemas.openxmlformats.org/officeDocument/2006/relationships/hyperlink" Target="#Controles!A1"/><Relationship Id="rId9" Type="http://schemas.openxmlformats.org/officeDocument/2006/relationships/hyperlink" Target="#Simp1!A1"/><Relationship Id="rId14" Type="http://schemas.openxmlformats.org/officeDocument/2006/relationships/hyperlink" Target="#'Fat4'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'Fat1'!A1"/><Relationship Id="rId13" Type="http://schemas.openxmlformats.org/officeDocument/2006/relationships/hyperlink" Target="#'Fat3'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hyperlink" Target="#'Fat2'!A1"/><Relationship Id="rId17" Type="http://schemas.openxmlformats.org/officeDocument/2006/relationships/hyperlink" Target="#'Ref1'!A1"/><Relationship Id="rId2" Type="http://schemas.openxmlformats.org/officeDocument/2006/relationships/hyperlink" Target="#Cadastros!A1"/><Relationship Id="rId16" Type="http://schemas.openxmlformats.org/officeDocument/2006/relationships/hyperlink" Target="#'Fat6'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hyperlink" Target="#Desp!A1"/><Relationship Id="rId5" Type="http://schemas.openxmlformats.org/officeDocument/2006/relationships/hyperlink" Target="#Dashboard!A1"/><Relationship Id="rId15" Type="http://schemas.openxmlformats.org/officeDocument/2006/relationships/hyperlink" Target="#'Fat5'!A1"/><Relationship Id="rId10" Type="http://schemas.openxmlformats.org/officeDocument/2006/relationships/hyperlink" Target="#Cus!A1"/><Relationship Id="rId4" Type="http://schemas.openxmlformats.org/officeDocument/2006/relationships/hyperlink" Target="#Controles!A1"/><Relationship Id="rId9" Type="http://schemas.openxmlformats.org/officeDocument/2006/relationships/hyperlink" Target="#Simp1!A1"/><Relationship Id="rId14" Type="http://schemas.openxmlformats.org/officeDocument/2006/relationships/hyperlink" Target="#'Fat4'!A1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hyperlink" Target="#'Fat1'!A1"/><Relationship Id="rId13" Type="http://schemas.openxmlformats.org/officeDocument/2006/relationships/hyperlink" Target="#'Fat3'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hyperlink" Target="#'Fat2'!A1"/><Relationship Id="rId17" Type="http://schemas.openxmlformats.org/officeDocument/2006/relationships/hyperlink" Target="#'Ref1'!A1"/><Relationship Id="rId2" Type="http://schemas.openxmlformats.org/officeDocument/2006/relationships/hyperlink" Target="#Cadastros!A1"/><Relationship Id="rId16" Type="http://schemas.openxmlformats.org/officeDocument/2006/relationships/hyperlink" Target="#'Fat6'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hyperlink" Target="#Desp!A1"/><Relationship Id="rId5" Type="http://schemas.openxmlformats.org/officeDocument/2006/relationships/hyperlink" Target="#Dashboard!A1"/><Relationship Id="rId15" Type="http://schemas.openxmlformats.org/officeDocument/2006/relationships/hyperlink" Target="#'Fat5'!A1"/><Relationship Id="rId10" Type="http://schemas.openxmlformats.org/officeDocument/2006/relationships/hyperlink" Target="#Cus!A1"/><Relationship Id="rId4" Type="http://schemas.openxmlformats.org/officeDocument/2006/relationships/hyperlink" Target="#Controles!A1"/><Relationship Id="rId9" Type="http://schemas.openxmlformats.org/officeDocument/2006/relationships/hyperlink" Target="#Simp1!A1"/><Relationship Id="rId14" Type="http://schemas.openxmlformats.org/officeDocument/2006/relationships/hyperlink" Target="#'Fat4'!A1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'Fat1'!A1"/><Relationship Id="rId13" Type="http://schemas.openxmlformats.org/officeDocument/2006/relationships/hyperlink" Target="#'Fat3'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hyperlink" Target="#'Fat2'!A1"/><Relationship Id="rId17" Type="http://schemas.openxmlformats.org/officeDocument/2006/relationships/hyperlink" Target="#'Ref1'!A1"/><Relationship Id="rId2" Type="http://schemas.openxmlformats.org/officeDocument/2006/relationships/hyperlink" Target="#Cadastros!A1"/><Relationship Id="rId16" Type="http://schemas.openxmlformats.org/officeDocument/2006/relationships/hyperlink" Target="#'Fat6'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hyperlink" Target="#Desp!A1"/><Relationship Id="rId5" Type="http://schemas.openxmlformats.org/officeDocument/2006/relationships/hyperlink" Target="#Dashboard!A1"/><Relationship Id="rId15" Type="http://schemas.openxmlformats.org/officeDocument/2006/relationships/hyperlink" Target="#'Fat5'!A1"/><Relationship Id="rId10" Type="http://schemas.openxmlformats.org/officeDocument/2006/relationships/hyperlink" Target="#Cus!A1"/><Relationship Id="rId4" Type="http://schemas.openxmlformats.org/officeDocument/2006/relationships/hyperlink" Target="#Controles!A1"/><Relationship Id="rId9" Type="http://schemas.openxmlformats.org/officeDocument/2006/relationships/hyperlink" Target="#Simp1!A1"/><Relationship Id="rId14" Type="http://schemas.openxmlformats.org/officeDocument/2006/relationships/hyperlink" Target="#'Fat4'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Fat1'!A1"/><Relationship Id="rId13" Type="http://schemas.openxmlformats.org/officeDocument/2006/relationships/hyperlink" Target="#Simp3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hyperlink" Target="#Simp2!A1"/><Relationship Id="rId17" Type="http://schemas.openxmlformats.org/officeDocument/2006/relationships/hyperlink" Target="#'Ref1'!A1"/><Relationship Id="rId2" Type="http://schemas.openxmlformats.org/officeDocument/2006/relationships/hyperlink" Target="#Cadastros!A1"/><Relationship Id="rId16" Type="http://schemas.openxmlformats.org/officeDocument/2006/relationships/hyperlink" Target="#Simp6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hyperlink" Target="#Desp!A1"/><Relationship Id="rId5" Type="http://schemas.openxmlformats.org/officeDocument/2006/relationships/hyperlink" Target="#Dashboard!A1"/><Relationship Id="rId15" Type="http://schemas.openxmlformats.org/officeDocument/2006/relationships/hyperlink" Target="#Simp5!A1"/><Relationship Id="rId10" Type="http://schemas.openxmlformats.org/officeDocument/2006/relationships/hyperlink" Target="#Cus!A1"/><Relationship Id="rId4" Type="http://schemas.openxmlformats.org/officeDocument/2006/relationships/hyperlink" Target="#Controles!A1"/><Relationship Id="rId9" Type="http://schemas.openxmlformats.org/officeDocument/2006/relationships/hyperlink" Target="#Simp1!A1"/><Relationship Id="rId14" Type="http://schemas.openxmlformats.org/officeDocument/2006/relationships/hyperlink" Target="#Simp4!A1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Simp1!A1"/><Relationship Id="rId13" Type="http://schemas.openxmlformats.org/officeDocument/2006/relationships/hyperlink" Target="#Simp6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hyperlink" Target="#Simp5!A1"/><Relationship Id="rId17" Type="http://schemas.openxmlformats.org/officeDocument/2006/relationships/hyperlink" Target="#'Ref1'!A1"/><Relationship Id="rId2" Type="http://schemas.openxmlformats.org/officeDocument/2006/relationships/hyperlink" Target="#Cadastros!A1"/><Relationship Id="rId16" Type="http://schemas.openxmlformats.org/officeDocument/2006/relationships/hyperlink" Target="#Desp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hyperlink" Target="#Simp4!A1"/><Relationship Id="rId5" Type="http://schemas.openxmlformats.org/officeDocument/2006/relationships/hyperlink" Target="#Dashboard!A1"/><Relationship Id="rId15" Type="http://schemas.openxmlformats.org/officeDocument/2006/relationships/hyperlink" Target="#Cus!A1"/><Relationship Id="rId10" Type="http://schemas.openxmlformats.org/officeDocument/2006/relationships/hyperlink" Target="#Simp3!A1"/><Relationship Id="rId4" Type="http://schemas.openxmlformats.org/officeDocument/2006/relationships/hyperlink" Target="#Controles!A1"/><Relationship Id="rId9" Type="http://schemas.openxmlformats.org/officeDocument/2006/relationships/hyperlink" Target="#Simp2!A1"/><Relationship Id="rId14" Type="http://schemas.openxmlformats.org/officeDocument/2006/relationships/hyperlink" Target="#'Fat1'!A1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Simp1!A1"/><Relationship Id="rId13" Type="http://schemas.openxmlformats.org/officeDocument/2006/relationships/hyperlink" Target="#Simp6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hyperlink" Target="#Simp5!A1"/><Relationship Id="rId17" Type="http://schemas.openxmlformats.org/officeDocument/2006/relationships/hyperlink" Target="#'Ref1'!A1"/><Relationship Id="rId2" Type="http://schemas.openxmlformats.org/officeDocument/2006/relationships/hyperlink" Target="#Cadastros!A1"/><Relationship Id="rId16" Type="http://schemas.openxmlformats.org/officeDocument/2006/relationships/hyperlink" Target="#Desp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hyperlink" Target="#Simp4!A1"/><Relationship Id="rId5" Type="http://schemas.openxmlformats.org/officeDocument/2006/relationships/hyperlink" Target="#Dashboard!A1"/><Relationship Id="rId15" Type="http://schemas.openxmlformats.org/officeDocument/2006/relationships/hyperlink" Target="#Cus!A1"/><Relationship Id="rId10" Type="http://schemas.openxmlformats.org/officeDocument/2006/relationships/hyperlink" Target="#Simp3!A1"/><Relationship Id="rId4" Type="http://schemas.openxmlformats.org/officeDocument/2006/relationships/hyperlink" Target="#Controles!A1"/><Relationship Id="rId9" Type="http://schemas.openxmlformats.org/officeDocument/2006/relationships/hyperlink" Target="#Simp2!A1"/><Relationship Id="rId14" Type="http://schemas.openxmlformats.org/officeDocument/2006/relationships/hyperlink" Target="#'Fat1'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Simp1!A1"/><Relationship Id="rId13" Type="http://schemas.openxmlformats.org/officeDocument/2006/relationships/hyperlink" Target="#Simp6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hyperlink" Target="#Simp5!A1"/><Relationship Id="rId17" Type="http://schemas.openxmlformats.org/officeDocument/2006/relationships/hyperlink" Target="#'Ref1'!A1"/><Relationship Id="rId2" Type="http://schemas.openxmlformats.org/officeDocument/2006/relationships/hyperlink" Target="#Cadastros!A1"/><Relationship Id="rId16" Type="http://schemas.openxmlformats.org/officeDocument/2006/relationships/hyperlink" Target="#Desp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hyperlink" Target="#Simp4!A1"/><Relationship Id="rId5" Type="http://schemas.openxmlformats.org/officeDocument/2006/relationships/hyperlink" Target="#Dashboard!A1"/><Relationship Id="rId15" Type="http://schemas.openxmlformats.org/officeDocument/2006/relationships/hyperlink" Target="#Cus!A1"/><Relationship Id="rId10" Type="http://schemas.openxmlformats.org/officeDocument/2006/relationships/hyperlink" Target="#Simp3!A1"/><Relationship Id="rId4" Type="http://schemas.openxmlformats.org/officeDocument/2006/relationships/hyperlink" Target="#Controles!A1"/><Relationship Id="rId9" Type="http://schemas.openxmlformats.org/officeDocument/2006/relationships/hyperlink" Target="#Simp2!A1"/><Relationship Id="rId14" Type="http://schemas.openxmlformats.org/officeDocument/2006/relationships/hyperlink" Target="#'Fat1'!A1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Simp1!A1"/><Relationship Id="rId13" Type="http://schemas.openxmlformats.org/officeDocument/2006/relationships/hyperlink" Target="#Simp6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hyperlink" Target="#Simp5!A1"/><Relationship Id="rId17" Type="http://schemas.openxmlformats.org/officeDocument/2006/relationships/hyperlink" Target="#'Ref1'!A1"/><Relationship Id="rId2" Type="http://schemas.openxmlformats.org/officeDocument/2006/relationships/hyperlink" Target="#Cadastros!A1"/><Relationship Id="rId16" Type="http://schemas.openxmlformats.org/officeDocument/2006/relationships/hyperlink" Target="#Desp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hyperlink" Target="#Simp4!A1"/><Relationship Id="rId5" Type="http://schemas.openxmlformats.org/officeDocument/2006/relationships/hyperlink" Target="#Dashboard!A1"/><Relationship Id="rId15" Type="http://schemas.openxmlformats.org/officeDocument/2006/relationships/hyperlink" Target="#Cus!A1"/><Relationship Id="rId10" Type="http://schemas.openxmlformats.org/officeDocument/2006/relationships/hyperlink" Target="#Simp3!A1"/><Relationship Id="rId4" Type="http://schemas.openxmlformats.org/officeDocument/2006/relationships/hyperlink" Target="#Controles!A1"/><Relationship Id="rId9" Type="http://schemas.openxmlformats.org/officeDocument/2006/relationships/hyperlink" Target="#Simp2!A1"/><Relationship Id="rId14" Type="http://schemas.openxmlformats.org/officeDocument/2006/relationships/hyperlink" Target="#'Fat1'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Simp1!A1"/><Relationship Id="rId13" Type="http://schemas.openxmlformats.org/officeDocument/2006/relationships/hyperlink" Target="#Simp6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hyperlink" Target="#Simp5!A1"/><Relationship Id="rId17" Type="http://schemas.openxmlformats.org/officeDocument/2006/relationships/hyperlink" Target="#'Ref1'!A1"/><Relationship Id="rId2" Type="http://schemas.openxmlformats.org/officeDocument/2006/relationships/hyperlink" Target="#Cadastros!A1"/><Relationship Id="rId16" Type="http://schemas.openxmlformats.org/officeDocument/2006/relationships/hyperlink" Target="#Desp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hyperlink" Target="#Simp4!A1"/><Relationship Id="rId5" Type="http://schemas.openxmlformats.org/officeDocument/2006/relationships/hyperlink" Target="#Dashboard!A1"/><Relationship Id="rId15" Type="http://schemas.openxmlformats.org/officeDocument/2006/relationships/hyperlink" Target="#Cus!A1"/><Relationship Id="rId10" Type="http://schemas.openxmlformats.org/officeDocument/2006/relationships/hyperlink" Target="#Simp3!A1"/><Relationship Id="rId4" Type="http://schemas.openxmlformats.org/officeDocument/2006/relationships/hyperlink" Target="#Controles!A1"/><Relationship Id="rId9" Type="http://schemas.openxmlformats.org/officeDocument/2006/relationships/hyperlink" Target="#Simp2!A1"/><Relationship Id="rId14" Type="http://schemas.openxmlformats.org/officeDocument/2006/relationships/hyperlink" Target="#'Fat1'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Fat1'!A1"/><Relationship Id="rId13" Type="http://schemas.openxmlformats.org/officeDocument/2006/relationships/hyperlink" Target="#'Ref2'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hyperlink" Target="#'Ref1'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hyperlink" Target="#Desp!A1"/><Relationship Id="rId5" Type="http://schemas.openxmlformats.org/officeDocument/2006/relationships/hyperlink" Target="#Dashboard!A1"/><Relationship Id="rId15" Type="http://schemas.openxmlformats.org/officeDocument/2006/relationships/hyperlink" Target="#'Ref4'!A1"/><Relationship Id="rId10" Type="http://schemas.openxmlformats.org/officeDocument/2006/relationships/hyperlink" Target="#Cus!A1"/><Relationship Id="rId4" Type="http://schemas.openxmlformats.org/officeDocument/2006/relationships/hyperlink" Target="#Controles!A1"/><Relationship Id="rId9" Type="http://schemas.openxmlformats.org/officeDocument/2006/relationships/hyperlink" Target="#Simp1!A1"/><Relationship Id="rId14" Type="http://schemas.openxmlformats.org/officeDocument/2006/relationships/hyperlink" Target="#'Ref3'!A1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Fat1'!A1"/><Relationship Id="rId13" Type="http://schemas.openxmlformats.org/officeDocument/2006/relationships/hyperlink" Target="#'Ref2'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hyperlink" Target="#'Ref1'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hyperlink" Target="#Desp!A1"/><Relationship Id="rId5" Type="http://schemas.openxmlformats.org/officeDocument/2006/relationships/hyperlink" Target="#Dashboard!A1"/><Relationship Id="rId15" Type="http://schemas.openxmlformats.org/officeDocument/2006/relationships/hyperlink" Target="#'Ref4'!A1"/><Relationship Id="rId10" Type="http://schemas.openxmlformats.org/officeDocument/2006/relationships/hyperlink" Target="#Cus!A1"/><Relationship Id="rId4" Type="http://schemas.openxmlformats.org/officeDocument/2006/relationships/hyperlink" Target="#Controles!A1"/><Relationship Id="rId9" Type="http://schemas.openxmlformats.org/officeDocument/2006/relationships/hyperlink" Target="#Simp1!A1"/><Relationship Id="rId14" Type="http://schemas.openxmlformats.org/officeDocument/2006/relationships/hyperlink" Target="#'Ref3'!A1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Fat1'!A1"/><Relationship Id="rId13" Type="http://schemas.openxmlformats.org/officeDocument/2006/relationships/hyperlink" Target="#'Ref2'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hyperlink" Target="#'Ref1'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hyperlink" Target="#Desp!A1"/><Relationship Id="rId5" Type="http://schemas.openxmlformats.org/officeDocument/2006/relationships/hyperlink" Target="#Dashboard!A1"/><Relationship Id="rId15" Type="http://schemas.openxmlformats.org/officeDocument/2006/relationships/hyperlink" Target="#'Ref4'!A1"/><Relationship Id="rId10" Type="http://schemas.openxmlformats.org/officeDocument/2006/relationships/hyperlink" Target="#Cus!A1"/><Relationship Id="rId4" Type="http://schemas.openxmlformats.org/officeDocument/2006/relationships/hyperlink" Target="#Controles!A1"/><Relationship Id="rId9" Type="http://schemas.openxmlformats.org/officeDocument/2006/relationships/hyperlink" Target="#Simp1!A1"/><Relationship Id="rId14" Type="http://schemas.openxmlformats.org/officeDocument/2006/relationships/hyperlink" Target="#'Ref3'!A1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Fat1'!A1"/><Relationship Id="rId13" Type="http://schemas.openxmlformats.org/officeDocument/2006/relationships/hyperlink" Target="#'Ref2'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hyperlink" Target="#'Ref1'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hyperlink" Target="#Desp!A1"/><Relationship Id="rId5" Type="http://schemas.openxmlformats.org/officeDocument/2006/relationships/hyperlink" Target="#Dashboard!A1"/><Relationship Id="rId15" Type="http://schemas.openxmlformats.org/officeDocument/2006/relationships/hyperlink" Target="#'Ref4'!A1"/><Relationship Id="rId10" Type="http://schemas.openxmlformats.org/officeDocument/2006/relationships/hyperlink" Target="#Cus!A1"/><Relationship Id="rId4" Type="http://schemas.openxmlformats.org/officeDocument/2006/relationships/hyperlink" Target="#Controles!A1"/><Relationship Id="rId9" Type="http://schemas.openxmlformats.org/officeDocument/2006/relationships/hyperlink" Target="#Simp1!A1"/><Relationship Id="rId14" Type="http://schemas.openxmlformats.org/officeDocument/2006/relationships/hyperlink" Target="#'Ref3'!A1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Fat1'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hyperlink" Target="#'Ref1'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hyperlink" Target="#Desp!A1"/><Relationship Id="rId5" Type="http://schemas.openxmlformats.org/officeDocument/2006/relationships/hyperlink" Target="#Dashboard!A1"/><Relationship Id="rId10" Type="http://schemas.openxmlformats.org/officeDocument/2006/relationships/hyperlink" Target="#Cus!A1"/><Relationship Id="rId4" Type="http://schemas.openxmlformats.org/officeDocument/2006/relationships/hyperlink" Target="#Controles!A1"/><Relationship Id="rId9" Type="http://schemas.openxmlformats.org/officeDocument/2006/relationships/hyperlink" Target="#Simp1!A1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Fat1'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hyperlink" Target="#'Ref1'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hyperlink" Target="#Desp!A1"/><Relationship Id="rId5" Type="http://schemas.openxmlformats.org/officeDocument/2006/relationships/hyperlink" Target="#Dashboard!A1"/><Relationship Id="rId10" Type="http://schemas.openxmlformats.org/officeDocument/2006/relationships/hyperlink" Target="#Cus!A1"/><Relationship Id="rId4" Type="http://schemas.openxmlformats.org/officeDocument/2006/relationships/hyperlink" Target="#Controles!A1"/><Relationship Id="rId9" Type="http://schemas.openxmlformats.org/officeDocument/2006/relationships/hyperlink" Target="#Simp1!A1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13" Type="http://schemas.openxmlformats.org/officeDocument/2006/relationships/hyperlink" Target="#'2031'!A1"/><Relationship Id="rId3" Type="http://schemas.openxmlformats.org/officeDocument/2006/relationships/hyperlink" Target="#Cadastros!A1"/><Relationship Id="rId7" Type="http://schemas.openxmlformats.org/officeDocument/2006/relationships/hyperlink" Target="#Suporte!A1"/><Relationship Id="rId12" Type="http://schemas.openxmlformats.org/officeDocument/2006/relationships/hyperlink" Target="#'2030'!A1"/><Relationship Id="rId2" Type="http://schemas.openxmlformats.org/officeDocument/2006/relationships/hyperlink" Target="#In&#237;cio!A1"/><Relationship Id="rId1" Type="http://schemas.openxmlformats.org/officeDocument/2006/relationships/hyperlink" Target="#'2028'!A1"/><Relationship Id="rId6" Type="http://schemas.openxmlformats.org/officeDocument/2006/relationships/hyperlink" Target="#Dashboard!A1"/><Relationship Id="rId11" Type="http://schemas.openxmlformats.org/officeDocument/2006/relationships/hyperlink" Target="#'2029'!A1"/><Relationship Id="rId5" Type="http://schemas.openxmlformats.org/officeDocument/2006/relationships/hyperlink" Target="#Controles!A1"/><Relationship Id="rId15" Type="http://schemas.openxmlformats.org/officeDocument/2006/relationships/hyperlink" Target="#'2033'!A1"/><Relationship Id="rId10" Type="http://schemas.openxmlformats.org/officeDocument/2006/relationships/hyperlink" Target="#'2027'!A1"/><Relationship Id="rId4" Type="http://schemas.openxmlformats.org/officeDocument/2006/relationships/hyperlink" Target="#Lan&#231;amentos!A1"/><Relationship Id="rId9" Type="http://schemas.openxmlformats.org/officeDocument/2006/relationships/hyperlink" Target="#'2026'!A1"/><Relationship Id="rId14" Type="http://schemas.openxmlformats.org/officeDocument/2006/relationships/hyperlink" Target="#'2032'!A1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2028'!A1"/><Relationship Id="rId13" Type="http://schemas.openxmlformats.org/officeDocument/2006/relationships/hyperlink" Target="#'2031'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hyperlink" Target="#'2030'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hyperlink" Target="#'2029'!A1"/><Relationship Id="rId5" Type="http://schemas.openxmlformats.org/officeDocument/2006/relationships/hyperlink" Target="#Dashboard!A1"/><Relationship Id="rId15" Type="http://schemas.openxmlformats.org/officeDocument/2006/relationships/hyperlink" Target="#'2033'!A1"/><Relationship Id="rId10" Type="http://schemas.openxmlformats.org/officeDocument/2006/relationships/hyperlink" Target="#'2027'!A1"/><Relationship Id="rId4" Type="http://schemas.openxmlformats.org/officeDocument/2006/relationships/hyperlink" Target="#Controles!A1"/><Relationship Id="rId9" Type="http://schemas.openxmlformats.org/officeDocument/2006/relationships/hyperlink" Target="#'2026'!A1"/><Relationship Id="rId14" Type="http://schemas.openxmlformats.org/officeDocument/2006/relationships/hyperlink" Target="#'2032'!A1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hyperlink" Target="#'2028'!A1"/><Relationship Id="rId13" Type="http://schemas.openxmlformats.org/officeDocument/2006/relationships/hyperlink" Target="#'2031'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hyperlink" Target="#'2030'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hyperlink" Target="#'2029'!A1"/><Relationship Id="rId5" Type="http://schemas.openxmlformats.org/officeDocument/2006/relationships/hyperlink" Target="#Dashboard!A1"/><Relationship Id="rId15" Type="http://schemas.openxmlformats.org/officeDocument/2006/relationships/hyperlink" Target="#'2033'!A1"/><Relationship Id="rId10" Type="http://schemas.openxmlformats.org/officeDocument/2006/relationships/hyperlink" Target="#'2027'!A1"/><Relationship Id="rId4" Type="http://schemas.openxmlformats.org/officeDocument/2006/relationships/hyperlink" Target="#Controles!A1"/><Relationship Id="rId9" Type="http://schemas.openxmlformats.org/officeDocument/2006/relationships/hyperlink" Target="#'2026'!A1"/><Relationship Id="rId14" Type="http://schemas.openxmlformats.org/officeDocument/2006/relationships/hyperlink" Target="#'2032'!A1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hyperlink" Target="#'2028'!A1"/><Relationship Id="rId13" Type="http://schemas.openxmlformats.org/officeDocument/2006/relationships/hyperlink" Target="#'2031'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hyperlink" Target="#'2030'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hyperlink" Target="#'2029'!A1"/><Relationship Id="rId5" Type="http://schemas.openxmlformats.org/officeDocument/2006/relationships/hyperlink" Target="#Dashboard!A1"/><Relationship Id="rId15" Type="http://schemas.openxmlformats.org/officeDocument/2006/relationships/hyperlink" Target="#'2033'!A1"/><Relationship Id="rId10" Type="http://schemas.openxmlformats.org/officeDocument/2006/relationships/hyperlink" Target="#'2027'!A1"/><Relationship Id="rId4" Type="http://schemas.openxmlformats.org/officeDocument/2006/relationships/hyperlink" Target="#Controles!A1"/><Relationship Id="rId9" Type="http://schemas.openxmlformats.org/officeDocument/2006/relationships/hyperlink" Target="#'2026'!A1"/><Relationship Id="rId14" Type="http://schemas.openxmlformats.org/officeDocument/2006/relationships/hyperlink" Target="#'2032'!A1"/></Relationships>
</file>

<file path=xl/drawings/_rels/drawing36.xml.rels><?xml version="1.0" encoding="UTF-8" standalone="yes"?>
<Relationships xmlns="http://schemas.openxmlformats.org/package/2006/relationships"><Relationship Id="rId8" Type="http://schemas.openxmlformats.org/officeDocument/2006/relationships/hyperlink" Target="#'2028'!A1"/><Relationship Id="rId13" Type="http://schemas.openxmlformats.org/officeDocument/2006/relationships/hyperlink" Target="#'2031'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hyperlink" Target="#'2030'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hyperlink" Target="#'2029'!A1"/><Relationship Id="rId5" Type="http://schemas.openxmlformats.org/officeDocument/2006/relationships/hyperlink" Target="#Dashboard!A1"/><Relationship Id="rId15" Type="http://schemas.openxmlformats.org/officeDocument/2006/relationships/hyperlink" Target="#'2033'!A1"/><Relationship Id="rId10" Type="http://schemas.openxmlformats.org/officeDocument/2006/relationships/hyperlink" Target="#'2027'!A1"/><Relationship Id="rId4" Type="http://schemas.openxmlformats.org/officeDocument/2006/relationships/hyperlink" Target="#Controles!A1"/><Relationship Id="rId9" Type="http://schemas.openxmlformats.org/officeDocument/2006/relationships/hyperlink" Target="#'2026'!A1"/><Relationship Id="rId14" Type="http://schemas.openxmlformats.org/officeDocument/2006/relationships/hyperlink" Target="#'2032'!A1"/></Relationships>
</file>

<file path=xl/drawings/_rels/drawing37.xml.rels><?xml version="1.0" encoding="UTF-8" standalone="yes"?>
<Relationships xmlns="http://schemas.openxmlformats.org/package/2006/relationships"><Relationship Id="rId8" Type="http://schemas.openxmlformats.org/officeDocument/2006/relationships/hyperlink" Target="#'2028'!A1"/><Relationship Id="rId13" Type="http://schemas.openxmlformats.org/officeDocument/2006/relationships/hyperlink" Target="#'2031'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hyperlink" Target="#'2030'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hyperlink" Target="#'2029'!A1"/><Relationship Id="rId5" Type="http://schemas.openxmlformats.org/officeDocument/2006/relationships/hyperlink" Target="#Dashboard!A1"/><Relationship Id="rId15" Type="http://schemas.openxmlformats.org/officeDocument/2006/relationships/hyperlink" Target="#'2033'!A1"/><Relationship Id="rId10" Type="http://schemas.openxmlformats.org/officeDocument/2006/relationships/hyperlink" Target="#'2027'!A1"/><Relationship Id="rId4" Type="http://schemas.openxmlformats.org/officeDocument/2006/relationships/hyperlink" Target="#Controles!A1"/><Relationship Id="rId9" Type="http://schemas.openxmlformats.org/officeDocument/2006/relationships/hyperlink" Target="#'2026'!A1"/><Relationship Id="rId14" Type="http://schemas.openxmlformats.org/officeDocument/2006/relationships/hyperlink" Target="#'2032'!A1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hyperlink" Target="#'2028'!A1"/><Relationship Id="rId13" Type="http://schemas.openxmlformats.org/officeDocument/2006/relationships/hyperlink" Target="#'2031'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hyperlink" Target="#'2030'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hyperlink" Target="#'2029'!A1"/><Relationship Id="rId5" Type="http://schemas.openxmlformats.org/officeDocument/2006/relationships/hyperlink" Target="#Dashboard!A1"/><Relationship Id="rId15" Type="http://schemas.openxmlformats.org/officeDocument/2006/relationships/hyperlink" Target="#'2033'!A1"/><Relationship Id="rId10" Type="http://schemas.openxmlformats.org/officeDocument/2006/relationships/hyperlink" Target="#'2027'!A1"/><Relationship Id="rId4" Type="http://schemas.openxmlformats.org/officeDocument/2006/relationships/hyperlink" Target="#Controles!A1"/><Relationship Id="rId9" Type="http://schemas.openxmlformats.org/officeDocument/2006/relationships/hyperlink" Target="#'2026'!A1"/><Relationship Id="rId14" Type="http://schemas.openxmlformats.org/officeDocument/2006/relationships/hyperlink" Target="#'2032'!A1"/></Relationships>
</file>

<file path=xl/drawings/_rels/drawing39.xml.rels><?xml version="1.0" encoding="UTF-8" standalone="yes"?>
<Relationships xmlns="http://schemas.openxmlformats.org/package/2006/relationships"><Relationship Id="rId8" Type="http://schemas.openxmlformats.org/officeDocument/2006/relationships/hyperlink" Target="#'2028'!A1"/><Relationship Id="rId13" Type="http://schemas.openxmlformats.org/officeDocument/2006/relationships/hyperlink" Target="#'2031'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hyperlink" Target="#'2030'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hyperlink" Target="#'2029'!A1"/><Relationship Id="rId5" Type="http://schemas.openxmlformats.org/officeDocument/2006/relationships/hyperlink" Target="#Dashboard!A1"/><Relationship Id="rId15" Type="http://schemas.openxmlformats.org/officeDocument/2006/relationships/hyperlink" Target="#'2033'!A1"/><Relationship Id="rId10" Type="http://schemas.openxmlformats.org/officeDocument/2006/relationships/hyperlink" Target="#'2027'!A1"/><Relationship Id="rId4" Type="http://schemas.openxmlformats.org/officeDocument/2006/relationships/hyperlink" Target="#Controles!A1"/><Relationship Id="rId9" Type="http://schemas.openxmlformats.org/officeDocument/2006/relationships/hyperlink" Target="#'2026'!A1"/><Relationship Id="rId14" Type="http://schemas.openxmlformats.org/officeDocument/2006/relationships/hyperlink" Target="#'2032'!A1"/></Relationships>
</file>

<file path=xl/drawings/_rels/drawing40.xml.rels><?xml version="1.0" encoding="UTF-8" standalone="yes"?>
<Relationships xmlns="http://schemas.openxmlformats.org/package/2006/relationships"><Relationship Id="rId8" Type="http://schemas.openxmlformats.org/officeDocument/2006/relationships/hyperlink" Target="#'2028'!A1"/><Relationship Id="rId13" Type="http://schemas.openxmlformats.org/officeDocument/2006/relationships/hyperlink" Target="#'2031'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hyperlink" Target="#'2030'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hyperlink" Target="#'2029'!A1"/><Relationship Id="rId5" Type="http://schemas.openxmlformats.org/officeDocument/2006/relationships/hyperlink" Target="#Dashboard!A1"/><Relationship Id="rId15" Type="http://schemas.openxmlformats.org/officeDocument/2006/relationships/hyperlink" Target="#'2033'!A1"/><Relationship Id="rId10" Type="http://schemas.openxmlformats.org/officeDocument/2006/relationships/hyperlink" Target="#'2027'!A1"/><Relationship Id="rId4" Type="http://schemas.openxmlformats.org/officeDocument/2006/relationships/hyperlink" Target="#Controles!A1"/><Relationship Id="rId9" Type="http://schemas.openxmlformats.org/officeDocument/2006/relationships/hyperlink" Target="#'2026'!A1"/><Relationship Id="rId14" Type="http://schemas.openxmlformats.org/officeDocument/2006/relationships/hyperlink" Target="#'2032'!A1"/></Relationships>
</file>

<file path=xl/drawings/_rels/drawing41.xml.rels><?xml version="1.0" encoding="UTF-8" standalone="yes"?>
<Relationships xmlns="http://schemas.openxmlformats.org/package/2006/relationships"><Relationship Id="rId8" Type="http://schemas.openxmlformats.org/officeDocument/2006/relationships/hyperlink" Target="#Crono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hyperlink" Target="#Impress&#227;o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hyperlink" Target="#Evolu!A1"/><Relationship Id="rId5" Type="http://schemas.openxmlformats.org/officeDocument/2006/relationships/hyperlink" Target="#Dashboard!A1"/><Relationship Id="rId10" Type="http://schemas.openxmlformats.org/officeDocument/2006/relationships/hyperlink" Target="#Lucra!A1"/><Relationship Id="rId4" Type="http://schemas.openxmlformats.org/officeDocument/2006/relationships/hyperlink" Target="#Controles!A1"/><Relationship Id="rId9" Type="http://schemas.openxmlformats.org/officeDocument/2006/relationships/hyperlink" Target="#Carga!A1"/></Relationships>
</file>

<file path=xl/drawings/_rels/drawing42.xml.rels><?xml version="1.0" encoding="UTF-8" standalone="yes"?>
<Relationships xmlns="http://schemas.openxmlformats.org/package/2006/relationships"><Relationship Id="rId8" Type="http://schemas.openxmlformats.org/officeDocument/2006/relationships/hyperlink" Target="#Crono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hyperlink" Target="#Impress&#227;o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hyperlink" Target="#Evolu!A1"/><Relationship Id="rId5" Type="http://schemas.openxmlformats.org/officeDocument/2006/relationships/hyperlink" Target="#Dashboard!A1"/><Relationship Id="rId10" Type="http://schemas.openxmlformats.org/officeDocument/2006/relationships/hyperlink" Target="#Lucra!A1"/><Relationship Id="rId4" Type="http://schemas.openxmlformats.org/officeDocument/2006/relationships/hyperlink" Target="#Controles!A1"/><Relationship Id="rId9" Type="http://schemas.openxmlformats.org/officeDocument/2006/relationships/hyperlink" Target="#Carga!A1"/></Relationships>
</file>

<file path=xl/drawings/_rels/drawing43.xml.rels><?xml version="1.0" encoding="UTF-8" standalone="yes"?>
<Relationships xmlns="http://schemas.openxmlformats.org/package/2006/relationships"><Relationship Id="rId8" Type="http://schemas.openxmlformats.org/officeDocument/2006/relationships/hyperlink" Target="#Crono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hyperlink" Target="#Impress&#227;o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hyperlink" Target="#Evolu!A1"/><Relationship Id="rId5" Type="http://schemas.openxmlformats.org/officeDocument/2006/relationships/hyperlink" Target="#Dashboard!A1"/><Relationship Id="rId10" Type="http://schemas.openxmlformats.org/officeDocument/2006/relationships/hyperlink" Target="#Lucra!A1"/><Relationship Id="rId4" Type="http://schemas.openxmlformats.org/officeDocument/2006/relationships/hyperlink" Target="#Controles!A1"/><Relationship Id="rId9" Type="http://schemas.openxmlformats.org/officeDocument/2006/relationships/hyperlink" Target="#Carga!A1"/></Relationships>
</file>

<file path=xl/drawings/_rels/drawing44.xml.rels><?xml version="1.0" encoding="UTF-8" standalone="yes"?>
<Relationships xmlns="http://schemas.openxmlformats.org/package/2006/relationships"><Relationship Id="rId8" Type="http://schemas.openxmlformats.org/officeDocument/2006/relationships/hyperlink" Target="#Crono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hyperlink" Target="#Impress&#227;o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hyperlink" Target="#Evolu!A1"/><Relationship Id="rId5" Type="http://schemas.openxmlformats.org/officeDocument/2006/relationships/hyperlink" Target="#Dashboard!A1"/><Relationship Id="rId10" Type="http://schemas.openxmlformats.org/officeDocument/2006/relationships/hyperlink" Target="#Lucra!A1"/><Relationship Id="rId4" Type="http://schemas.openxmlformats.org/officeDocument/2006/relationships/hyperlink" Target="#Controles!A1"/><Relationship Id="rId9" Type="http://schemas.openxmlformats.org/officeDocument/2006/relationships/hyperlink" Target="#Carga!A1"/></Relationships>
</file>

<file path=xl/drawings/_rels/drawing45.xml.rels><?xml version="1.0" encoding="UTF-8" standalone="yes"?>
<Relationships xmlns="http://schemas.openxmlformats.org/package/2006/relationships"><Relationship Id="rId8" Type="http://schemas.openxmlformats.org/officeDocument/2006/relationships/hyperlink" Target="#Crono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hyperlink" Target="#Impress&#227;o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hyperlink" Target="#Evolu!A1"/><Relationship Id="rId5" Type="http://schemas.openxmlformats.org/officeDocument/2006/relationships/hyperlink" Target="#Dashboard!A1"/><Relationship Id="rId10" Type="http://schemas.openxmlformats.org/officeDocument/2006/relationships/hyperlink" Target="#Lucra!A1"/><Relationship Id="rId4" Type="http://schemas.openxmlformats.org/officeDocument/2006/relationships/hyperlink" Target="#Controles!A1"/><Relationship Id="rId9" Type="http://schemas.openxmlformats.org/officeDocument/2006/relationships/hyperlink" Target="#Carga!A1"/></Relationships>
</file>

<file path=xl/drawings/_rels/drawing46.xml.rels><?xml version="1.0" encoding="UTF-8" standalone="yes"?>
<Relationships xmlns="http://schemas.openxmlformats.org/package/2006/relationships"><Relationship Id="rId8" Type="http://schemas.openxmlformats.org/officeDocument/2006/relationships/hyperlink" Target="#Crono!A1"/><Relationship Id="rId13" Type="http://schemas.openxmlformats.org/officeDocument/2006/relationships/chart" Target="../charts/chart1.xml"/><Relationship Id="rId18" Type="http://schemas.openxmlformats.org/officeDocument/2006/relationships/chart" Target="../charts/chart6.xml"/><Relationship Id="rId3" Type="http://schemas.openxmlformats.org/officeDocument/2006/relationships/hyperlink" Target="#Lan&#231;amentos!A1"/><Relationship Id="rId21" Type="http://schemas.openxmlformats.org/officeDocument/2006/relationships/chart" Target="../charts/chart9.xml"/><Relationship Id="rId7" Type="http://schemas.openxmlformats.org/officeDocument/2006/relationships/hyperlink" Target="#Relat&#243;rios!A1"/><Relationship Id="rId12" Type="http://schemas.openxmlformats.org/officeDocument/2006/relationships/hyperlink" Target="#Impress&#227;o!A1"/><Relationship Id="rId17" Type="http://schemas.openxmlformats.org/officeDocument/2006/relationships/chart" Target="../charts/chart5.xml"/><Relationship Id="rId2" Type="http://schemas.openxmlformats.org/officeDocument/2006/relationships/hyperlink" Target="#Cadastros!A1"/><Relationship Id="rId16" Type="http://schemas.openxmlformats.org/officeDocument/2006/relationships/chart" Target="../charts/chart4.xml"/><Relationship Id="rId20" Type="http://schemas.openxmlformats.org/officeDocument/2006/relationships/chart" Target="../charts/chart8.xml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hyperlink" Target="#Evolu!A1"/><Relationship Id="rId5" Type="http://schemas.openxmlformats.org/officeDocument/2006/relationships/hyperlink" Target="#Dashboard!A1"/><Relationship Id="rId15" Type="http://schemas.openxmlformats.org/officeDocument/2006/relationships/chart" Target="../charts/chart3.xml"/><Relationship Id="rId10" Type="http://schemas.openxmlformats.org/officeDocument/2006/relationships/hyperlink" Target="#Lucra!A1"/><Relationship Id="rId19" Type="http://schemas.openxmlformats.org/officeDocument/2006/relationships/chart" Target="../charts/chart7.xml"/><Relationship Id="rId4" Type="http://schemas.openxmlformats.org/officeDocument/2006/relationships/hyperlink" Target="#Controles!A1"/><Relationship Id="rId9" Type="http://schemas.openxmlformats.org/officeDocument/2006/relationships/hyperlink" Target="#Carga!A1"/><Relationship Id="rId14" Type="http://schemas.openxmlformats.org/officeDocument/2006/relationships/chart" Target="../charts/chart2.xml"/></Relationships>
</file>

<file path=xl/drawings/_rels/drawing4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chart" Target="../charts/chart11.xml"/><Relationship Id="rId5" Type="http://schemas.openxmlformats.org/officeDocument/2006/relationships/hyperlink" Target="#Dashboard!A1"/><Relationship Id="rId10" Type="http://schemas.openxmlformats.org/officeDocument/2006/relationships/hyperlink" Target="#Dash3!A1"/><Relationship Id="rId4" Type="http://schemas.openxmlformats.org/officeDocument/2006/relationships/hyperlink" Target="#Controles!A1"/><Relationship Id="rId9" Type="http://schemas.openxmlformats.org/officeDocument/2006/relationships/hyperlink" Target="#Dash2!A1"/></Relationships>
</file>

<file path=xl/drawings/_rels/drawing48.xml.rels><?xml version="1.0" encoding="UTF-8" standalone="yes"?>
<Relationships xmlns="http://schemas.openxmlformats.org/package/2006/relationships"><Relationship Id="rId8" Type="http://schemas.openxmlformats.org/officeDocument/2006/relationships/hyperlink" Target="#Dash2!A1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chart" Target="../charts/chart14.xml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chart" Target="../charts/chart13.xml"/><Relationship Id="rId5" Type="http://schemas.openxmlformats.org/officeDocument/2006/relationships/hyperlink" Target="#Dashboard!A1"/><Relationship Id="rId10" Type="http://schemas.openxmlformats.org/officeDocument/2006/relationships/chart" Target="../charts/chart12.xml"/><Relationship Id="rId4" Type="http://schemas.openxmlformats.org/officeDocument/2006/relationships/hyperlink" Target="#Controles!A1"/><Relationship Id="rId9" Type="http://schemas.openxmlformats.org/officeDocument/2006/relationships/hyperlink" Target="#Dash3!A1"/></Relationships>
</file>

<file path=xl/drawings/_rels/drawing49.xml.rels><?xml version="1.0" encoding="UTF-8" standalone="yes"?>
<Relationships xmlns="http://schemas.openxmlformats.org/package/2006/relationships"><Relationship Id="rId8" Type="http://schemas.openxmlformats.org/officeDocument/2006/relationships/hyperlink" Target="#Dash2!A1"/><Relationship Id="rId13" Type="http://schemas.openxmlformats.org/officeDocument/2006/relationships/chart" Target="../charts/chart18.xml"/><Relationship Id="rId3" Type="http://schemas.openxmlformats.org/officeDocument/2006/relationships/hyperlink" Target="#Lan&#231;amentos!A1"/><Relationship Id="rId7" Type="http://schemas.openxmlformats.org/officeDocument/2006/relationships/hyperlink" Target="#Relat&#243;rios!A1"/><Relationship Id="rId12" Type="http://schemas.openxmlformats.org/officeDocument/2006/relationships/chart" Target="../charts/chart17.xml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Suporte!A1"/><Relationship Id="rId11" Type="http://schemas.openxmlformats.org/officeDocument/2006/relationships/chart" Target="../charts/chart16.xml"/><Relationship Id="rId5" Type="http://schemas.openxmlformats.org/officeDocument/2006/relationships/hyperlink" Target="#Dashboard!A1"/><Relationship Id="rId10" Type="http://schemas.openxmlformats.org/officeDocument/2006/relationships/chart" Target="../charts/chart15.xml"/><Relationship Id="rId4" Type="http://schemas.openxmlformats.org/officeDocument/2006/relationships/hyperlink" Target="#Controles!A1"/><Relationship Id="rId9" Type="http://schemas.openxmlformats.org/officeDocument/2006/relationships/hyperlink" Target="#Dash3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542925</xdr:colOff>
      <xdr:row>0</xdr:row>
      <xdr:rowOff>85725</xdr:rowOff>
    </xdr:from>
    <xdr:to>
      <xdr:col>6</xdr:col>
      <xdr:colOff>222750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6</xdr:col>
      <xdr:colOff>247650</xdr:colOff>
      <xdr:row>0</xdr:row>
      <xdr:rowOff>85725</xdr:rowOff>
    </xdr:from>
    <xdr:to>
      <xdr:col>8</xdr:col>
      <xdr:colOff>108450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8</xdr:col>
      <xdr:colOff>133350</xdr:colOff>
      <xdr:row>0</xdr:row>
      <xdr:rowOff>85725</xdr:rowOff>
    </xdr:from>
    <xdr:to>
      <xdr:col>9</xdr:col>
      <xdr:colOff>603750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11</xdr:col>
      <xdr:colOff>514350</xdr:colOff>
      <xdr:row>0</xdr:row>
      <xdr:rowOff>85725</xdr:rowOff>
    </xdr:from>
    <xdr:to>
      <xdr:col>13</xdr:col>
      <xdr:colOff>375150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13</xdr:col>
      <xdr:colOff>400050</xdr:colOff>
      <xdr:row>0</xdr:row>
      <xdr:rowOff>85725</xdr:rowOff>
    </xdr:from>
    <xdr:to>
      <xdr:col>15</xdr:col>
      <xdr:colOff>260850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15</xdr:col>
      <xdr:colOff>285750</xdr:colOff>
      <xdr:row>0</xdr:row>
      <xdr:rowOff>85725</xdr:rowOff>
    </xdr:from>
    <xdr:to>
      <xdr:col>17</xdr:col>
      <xdr:colOff>146550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15</xdr:col>
      <xdr:colOff>476250</xdr:colOff>
      <xdr:row>0</xdr:row>
      <xdr:rowOff>371475</xdr:rowOff>
    </xdr:from>
    <xdr:to>
      <xdr:col>16</xdr:col>
      <xdr:colOff>586650</xdr:colOff>
      <xdr:row>0</xdr:row>
      <xdr:rowOff>388425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8305800" y="371475"/>
          <a:ext cx="720000" cy="16950"/>
        </a:xfrm>
        <a:prstGeom prst="rect">
          <a:avLst/>
        </a:prstGeom>
        <a:solidFill>
          <a:srgbClr val="00C5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19050</xdr:colOff>
      <xdr:row>0</xdr:row>
      <xdr:rowOff>85725</xdr:rowOff>
    </xdr:from>
    <xdr:to>
      <xdr:col>11</xdr:col>
      <xdr:colOff>489450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3</xdr:col>
      <xdr:colOff>28575</xdr:colOff>
      <xdr:row>1</xdr:row>
      <xdr:rowOff>142875</xdr:rowOff>
    </xdr:from>
    <xdr:to>
      <xdr:col>5</xdr:col>
      <xdr:colOff>318000</xdr:colOff>
      <xdr:row>2</xdr:row>
      <xdr:rowOff>13875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Suporte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3</xdr:col>
      <xdr:colOff>73984</xdr:colOff>
      <xdr:row>0</xdr:row>
      <xdr:rowOff>428625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4" name="Meio-quadro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18</xdr:row>
          <xdr:rowOff>57150</xdr:rowOff>
        </xdr:from>
        <xdr:to>
          <xdr:col>22</xdr:col>
          <xdr:colOff>438150</xdr:colOff>
          <xdr:row>30</xdr:row>
          <xdr:rowOff>66675</xdr:rowOff>
        </xdr:to>
        <xdr:sp macro="" textlink="">
          <xdr:nvSpPr>
            <xdr:cNvPr id="1027" name="Group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9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Informações Importantes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152400</xdr:colOff>
      <xdr:row>20</xdr:row>
      <xdr:rowOff>47625</xdr:rowOff>
    </xdr:from>
    <xdr:to>
      <xdr:col>2</xdr:col>
      <xdr:colOff>247650</xdr:colOff>
      <xdr:row>20</xdr:row>
      <xdr:rowOff>152400</xdr:rowOff>
    </xdr:to>
    <xdr:sp macro="" textlink="">
      <xdr:nvSpPr>
        <xdr:cNvPr id="55" name="Seta: Divisa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/>
      </xdr:nvSpPr>
      <xdr:spPr>
        <a:xfrm>
          <a:off x="714375" y="4295775"/>
          <a:ext cx="95250" cy="104775"/>
        </a:xfrm>
        <a:prstGeom prst="chevron">
          <a:avLst/>
        </a:prstGeom>
        <a:solidFill>
          <a:srgbClr val="00BCB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152400</xdr:colOff>
      <xdr:row>22</xdr:row>
      <xdr:rowOff>47625</xdr:rowOff>
    </xdr:from>
    <xdr:to>
      <xdr:col>2</xdr:col>
      <xdr:colOff>247650</xdr:colOff>
      <xdr:row>22</xdr:row>
      <xdr:rowOff>152400</xdr:rowOff>
    </xdr:to>
    <xdr:sp macro="" textlink="">
      <xdr:nvSpPr>
        <xdr:cNvPr id="56" name="Seta: Divisa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SpPr/>
      </xdr:nvSpPr>
      <xdr:spPr>
        <a:xfrm>
          <a:off x="714375" y="4676775"/>
          <a:ext cx="95250" cy="104775"/>
        </a:xfrm>
        <a:prstGeom prst="chevron">
          <a:avLst/>
        </a:prstGeom>
        <a:solidFill>
          <a:srgbClr val="00BCB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152400</xdr:colOff>
      <xdr:row>24</xdr:row>
      <xdr:rowOff>47625</xdr:rowOff>
    </xdr:from>
    <xdr:to>
      <xdr:col>2</xdr:col>
      <xdr:colOff>247650</xdr:colOff>
      <xdr:row>24</xdr:row>
      <xdr:rowOff>152400</xdr:rowOff>
    </xdr:to>
    <xdr:sp macro="" textlink="">
      <xdr:nvSpPr>
        <xdr:cNvPr id="57" name="Seta: Divisa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/>
      </xdr:nvSpPr>
      <xdr:spPr>
        <a:xfrm>
          <a:off x="714375" y="5057775"/>
          <a:ext cx="95250" cy="104775"/>
        </a:xfrm>
        <a:prstGeom prst="chevron">
          <a:avLst/>
        </a:prstGeom>
        <a:solidFill>
          <a:srgbClr val="00BCB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152400</xdr:colOff>
      <xdr:row>26</xdr:row>
      <xdr:rowOff>47625</xdr:rowOff>
    </xdr:from>
    <xdr:to>
      <xdr:col>2</xdr:col>
      <xdr:colOff>247650</xdr:colOff>
      <xdr:row>26</xdr:row>
      <xdr:rowOff>152400</xdr:rowOff>
    </xdr:to>
    <xdr:sp macro="" textlink="">
      <xdr:nvSpPr>
        <xdr:cNvPr id="58" name="Seta: Divisa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/>
      </xdr:nvSpPr>
      <xdr:spPr>
        <a:xfrm>
          <a:off x="714375" y="5438775"/>
          <a:ext cx="95250" cy="104775"/>
        </a:xfrm>
        <a:prstGeom prst="chevron">
          <a:avLst/>
        </a:prstGeom>
        <a:solidFill>
          <a:srgbClr val="00BCB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142875</xdr:colOff>
      <xdr:row>9</xdr:row>
      <xdr:rowOff>76200</xdr:rowOff>
    </xdr:from>
    <xdr:to>
      <xdr:col>2</xdr:col>
      <xdr:colOff>214875</xdr:colOff>
      <xdr:row>9</xdr:row>
      <xdr:rowOff>148200</xdr:rowOff>
    </xdr:to>
    <xdr:sp macro="" textlink="">
      <xdr:nvSpPr>
        <xdr:cNvPr id="60" name="Fluxograma: Conector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/>
      </xdr:nvSpPr>
      <xdr:spPr>
        <a:xfrm>
          <a:off x="704850" y="2228850"/>
          <a:ext cx="72000" cy="72000"/>
        </a:xfrm>
        <a:prstGeom prst="flowChartConnector">
          <a:avLst/>
        </a:prstGeom>
        <a:solidFill>
          <a:srgbClr val="00BCB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rgbClr val="FF0000"/>
            </a:solidFill>
          </a:endParaRPr>
        </a:p>
      </xdr:txBody>
    </xdr:sp>
    <xdr:clientData/>
  </xdr:twoCellAnchor>
  <xdr:twoCellAnchor>
    <xdr:from>
      <xdr:col>2</xdr:col>
      <xdr:colOff>142875</xdr:colOff>
      <xdr:row>11</xdr:row>
      <xdr:rowOff>76200</xdr:rowOff>
    </xdr:from>
    <xdr:to>
      <xdr:col>2</xdr:col>
      <xdr:colOff>214875</xdr:colOff>
      <xdr:row>11</xdr:row>
      <xdr:rowOff>148200</xdr:rowOff>
    </xdr:to>
    <xdr:sp macro="" textlink="">
      <xdr:nvSpPr>
        <xdr:cNvPr id="61" name="Fluxograma: Conector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/>
      </xdr:nvSpPr>
      <xdr:spPr>
        <a:xfrm>
          <a:off x="704850" y="2609850"/>
          <a:ext cx="72000" cy="72000"/>
        </a:xfrm>
        <a:prstGeom prst="flowChartConnector">
          <a:avLst/>
        </a:prstGeom>
        <a:solidFill>
          <a:srgbClr val="00BCB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rgbClr val="FF0000"/>
            </a:solidFill>
          </a:endParaRPr>
        </a:p>
      </xdr:txBody>
    </xdr:sp>
    <xdr:clientData/>
  </xdr:twoCellAnchor>
  <xdr:twoCellAnchor>
    <xdr:from>
      <xdr:col>2</xdr:col>
      <xdr:colOff>142875</xdr:colOff>
      <xdr:row>13</xdr:row>
      <xdr:rowOff>76200</xdr:rowOff>
    </xdr:from>
    <xdr:to>
      <xdr:col>2</xdr:col>
      <xdr:colOff>214875</xdr:colOff>
      <xdr:row>13</xdr:row>
      <xdr:rowOff>148200</xdr:rowOff>
    </xdr:to>
    <xdr:sp macro="" textlink="">
      <xdr:nvSpPr>
        <xdr:cNvPr id="62" name="Fluxograma: Conector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/>
      </xdr:nvSpPr>
      <xdr:spPr>
        <a:xfrm>
          <a:off x="704850" y="2990850"/>
          <a:ext cx="72000" cy="72000"/>
        </a:xfrm>
        <a:prstGeom prst="flowChartConnector">
          <a:avLst/>
        </a:prstGeom>
        <a:solidFill>
          <a:srgbClr val="00BCB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rgbClr val="FF0000"/>
            </a:solidFill>
          </a:endParaRPr>
        </a:p>
      </xdr:txBody>
    </xdr:sp>
    <xdr:clientData/>
  </xdr:twoCellAnchor>
  <xdr:twoCellAnchor>
    <xdr:from>
      <xdr:col>2</xdr:col>
      <xdr:colOff>142875</xdr:colOff>
      <xdr:row>13</xdr:row>
      <xdr:rowOff>76200</xdr:rowOff>
    </xdr:from>
    <xdr:to>
      <xdr:col>2</xdr:col>
      <xdr:colOff>214875</xdr:colOff>
      <xdr:row>13</xdr:row>
      <xdr:rowOff>148200</xdr:rowOff>
    </xdr:to>
    <xdr:sp macro="" textlink="">
      <xdr:nvSpPr>
        <xdr:cNvPr id="30" name="Fluxograma: Conector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704850" y="3371850"/>
          <a:ext cx="72000" cy="72000"/>
        </a:xfrm>
        <a:prstGeom prst="flowChartConnector">
          <a:avLst/>
        </a:prstGeom>
        <a:solidFill>
          <a:srgbClr val="00BCB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0</xdr:row>
      <xdr:rowOff>95250</xdr:rowOff>
    </xdr:from>
    <xdr:to>
      <xdr:col>6</xdr:col>
      <xdr:colOff>0</xdr:colOff>
      <xdr:row>10</xdr:row>
      <xdr:rowOff>19050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52425" y="95250"/>
          <a:ext cx="3305175" cy="1828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47625</xdr:colOff>
      <xdr:row>11</xdr:row>
      <xdr:rowOff>9525</xdr:rowOff>
    </xdr:from>
    <xdr:ext cx="11365034" cy="718466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657225" y="2105025"/>
          <a:ext cx="11365034" cy="718466"/>
        </a:xfrm>
        <a:prstGeom prst="rect">
          <a:avLst/>
        </a:prstGeom>
        <a:solidFill>
          <a:srgbClr val="00CDC8"/>
        </a:solidFill>
        <a:ln>
          <a:solidFill>
            <a:srgbClr val="009999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4000" b="1">
              <a:solidFill>
                <a:schemeClr val="bg1"/>
              </a:solidFill>
            </a:rPr>
            <a:t>1° Passo: Habilitar</a:t>
          </a:r>
          <a:r>
            <a:rPr lang="pt-BR" sz="4000" b="1" baseline="0">
              <a:solidFill>
                <a:schemeClr val="bg1"/>
              </a:solidFill>
            </a:rPr>
            <a:t> Conteúdo para Iniciar na Planilha</a:t>
          </a:r>
          <a:endParaRPr lang="pt-BR" sz="4000" b="1">
            <a:solidFill>
              <a:schemeClr val="bg1"/>
            </a:solidFill>
          </a:endParaRPr>
        </a:p>
      </xdr:txBody>
    </xdr:sp>
    <xdr:clientData/>
  </xdr:oneCellAnchor>
  <xdr:twoCellAnchor>
    <xdr:from>
      <xdr:col>4</xdr:col>
      <xdr:colOff>190500</xdr:colOff>
      <xdr:row>0</xdr:row>
      <xdr:rowOff>161925</xdr:rowOff>
    </xdr:from>
    <xdr:to>
      <xdr:col>7</xdr:col>
      <xdr:colOff>19050</xdr:colOff>
      <xdr:row>11</xdr:row>
      <xdr:rowOff>66675</xdr:rowOff>
    </xdr:to>
    <xdr:sp macro="" textlink="">
      <xdr:nvSpPr>
        <xdr:cNvPr id="3" name="Seta: Dobrada para Cima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628900" y="161925"/>
          <a:ext cx="1657350" cy="2000250"/>
        </a:xfrm>
        <a:prstGeom prst="bentUpArrow">
          <a:avLst>
            <a:gd name="adj1" fmla="val 3255"/>
            <a:gd name="adj2" fmla="val 10651"/>
            <a:gd name="adj3" fmla="val 18045"/>
          </a:avLst>
        </a:prstGeom>
        <a:solidFill>
          <a:srgbClr val="00CDC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5</xdr:col>
      <xdr:colOff>606907</xdr:colOff>
      <xdr:row>23</xdr:row>
      <xdr:rowOff>19051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FB050A34-ABAE-4CFD-9F84-C2568046D5D6}"/>
            </a:ext>
          </a:extLst>
        </xdr:cNvPr>
        <xdr:cNvGrpSpPr/>
      </xdr:nvGrpSpPr>
      <xdr:grpSpPr>
        <a:xfrm>
          <a:off x="609600" y="3048000"/>
          <a:ext cx="3045307" cy="1352551"/>
          <a:chOff x="1355243" y="438149"/>
          <a:chExt cx="3045307" cy="1352551"/>
        </a:xfrm>
      </xdr:grpSpPr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717EE50F-4134-53F2-B8C5-4EFCC330E533}"/>
              </a:ext>
            </a:extLst>
          </xdr:cNvPr>
          <xdr:cNvSpPr txBox="1"/>
        </xdr:nvSpPr>
        <xdr:spPr>
          <a:xfrm>
            <a:off x="2057359" y="438149"/>
            <a:ext cx="2343191" cy="13525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60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5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18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5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0" name="Meio-quadro 9">
            <a:extLst>
              <a:ext uri="{FF2B5EF4-FFF2-40B4-BE49-F238E27FC236}">
                <a16:creationId xmlns:a16="http://schemas.microsoft.com/office/drawing/2014/main" id="{55305658-CCA4-FAFD-757B-3C62B748DD41}"/>
              </a:ext>
            </a:extLst>
          </xdr:cNvPr>
          <xdr:cNvSpPr/>
        </xdr:nvSpPr>
        <xdr:spPr>
          <a:xfrm rot="19006200">
            <a:off x="1718255" y="1079913"/>
            <a:ext cx="544625" cy="496378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1" name="Meio-quadro 10">
            <a:extLst>
              <a:ext uri="{FF2B5EF4-FFF2-40B4-BE49-F238E27FC236}">
                <a16:creationId xmlns:a16="http://schemas.microsoft.com/office/drawing/2014/main" id="{9BD69E74-C7EB-1BD1-5845-1B9B0C0C341C}"/>
              </a:ext>
            </a:extLst>
          </xdr:cNvPr>
          <xdr:cNvSpPr/>
        </xdr:nvSpPr>
        <xdr:spPr>
          <a:xfrm rot="8219073">
            <a:off x="1355243" y="661975"/>
            <a:ext cx="544625" cy="496378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200025</xdr:colOff>
      <xdr:row>19</xdr:row>
      <xdr:rowOff>76200</xdr:rowOff>
    </xdr:from>
    <xdr:to>
      <xdr:col>18</xdr:col>
      <xdr:colOff>352425</xdr:colOff>
      <xdr:row>26</xdr:row>
      <xdr:rowOff>180975</xdr:rowOff>
    </xdr:to>
    <xdr:sp macro="" textlink="">
      <xdr:nvSpPr>
        <xdr:cNvPr id="19" name="Retângulo: Cantos Arredondado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7515225" y="3695700"/>
          <a:ext cx="3810000" cy="1438275"/>
        </a:xfrm>
        <a:prstGeom prst="roundRect">
          <a:avLst/>
        </a:prstGeom>
        <a:solidFill>
          <a:srgbClr val="00B2B0"/>
        </a:solidFill>
        <a:ln>
          <a:noFill/>
        </a:ln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800" b="1"/>
            <a:t>Iniciar</a:t>
          </a:r>
        </a:p>
      </xdr:txBody>
    </xdr:sp>
    <xdr:clientData/>
  </xdr:twoCellAnchor>
  <xdr:twoCellAnchor>
    <xdr:from>
      <xdr:col>0</xdr:col>
      <xdr:colOff>116993</xdr:colOff>
      <xdr:row>2</xdr:row>
      <xdr:rowOff>85724</xdr:rowOff>
    </xdr:from>
    <xdr:to>
      <xdr:col>5</xdr:col>
      <xdr:colOff>114300</xdr:colOff>
      <xdr:row>9</xdr:row>
      <xdr:rowOff>104775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116993" y="466724"/>
          <a:ext cx="3045307" cy="1352551"/>
          <a:chOff x="1355243" y="438149"/>
          <a:chExt cx="3045307" cy="1352551"/>
        </a:xfrm>
      </xdr:grpSpPr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SpPr txBox="1"/>
        </xdr:nvSpPr>
        <xdr:spPr>
          <a:xfrm>
            <a:off x="2057359" y="438149"/>
            <a:ext cx="2343191" cy="13525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60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5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18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5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22" name="Meio-quadro 21">
            <a:extLst>
              <a:ext uri="{FF2B5EF4-FFF2-40B4-BE49-F238E27FC236}">
                <a16:creationId xmlns:a16="http://schemas.microsoft.com/office/drawing/2014/main" id="{00000000-0008-0000-0600-000016000000}"/>
              </a:ext>
            </a:extLst>
          </xdr:cNvPr>
          <xdr:cNvSpPr/>
        </xdr:nvSpPr>
        <xdr:spPr>
          <a:xfrm rot="19006200">
            <a:off x="1718255" y="1079913"/>
            <a:ext cx="544625" cy="496378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23" name="Meio-quadro 22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SpPr/>
        </xdr:nvSpPr>
        <xdr:spPr>
          <a:xfrm rot="8219073">
            <a:off x="1355243" y="661975"/>
            <a:ext cx="544625" cy="496378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oneCellAnchor>
    <xdr:from>
      <xdr:col>0</xdr:col>
      <xdr:colOff>381000</xdr:colOff>
      <xdr:row>11</xdr:row>
      <xdr:rowOff>28575</xdr:rowOff>
    </xdr:from>
    <xdr:ext cx="5558381" cy="1297919"/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 txBox="1"/>
      </xdr:nvSpPr>
      <xdr:spPr>
        <a:xfrm>
          <a:off x="381000" y="2124075"/>
          <a:ext cx="5558381" cy="12979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>
              <a:solidFill>
                <a:schemeClr val="accent5">
                  <a:lumMod val="20000"/>
                  <a:lumOff val="80000"/>
                </a:schemeClr>
              </a:solidFill>
            </a:rPr>
            <a:t>Caro</a:t>
          </a:r>
          <a:r>
            <a:rPr lang="pt-BR" sz="1100" baseline="0">
              <a:solidFill>
                <a:schemeClr val="accent5">
                  <a:lumMod val="20000"/>
                  <a:lumOff val="80000"/>
                </a:schemeClr>
              </a:solidFill>
            </a:rPr>
            <a:t>(a) Cliente,</a:t>
          </a:r>
          <a:endParaRPr lang="pt-BR" sz="1100">
            <a:solidFill>
              <a:schemeClr val="accent5">
                <a:lumMod val="20000"/>
                <a:lumOff val="80000"/>
              </a:schemeClr>
            </a:solidFill>
          </a:endParaRPr>
        </a:p>
        <a:p>
          <a:endParaRPr lang="pt-BR" sz="1100">
            <a:solidFill>
              <a:schemeClr val="accent5">
                <a:lumMod val="20000"/>
                <a:lumOff val="80000"/>
              </a:schemeClr>
            </a:solidFill>
          </a:endParaRPr>
        </a:p>
        <a:p>
          <a:r>
            <a:rPr lang="pt-BR" sz="1100">
              <a:solidFill>
                <a:schemeClr val="accent5">
                  <a:lumMod val="20000"/>
                  <a:lumOff val="80000"/>
                </a:schemeClr>
              </a:solidFill>
            </a:rPr>
            <a:t>Seja</a:t>
          </a:r>
          <a:r>
            <a:rPr lang="pt-BR" sz="1100" baseline="0">
              <a:solidFill>
                <a:schemeClr val="accent5">
                  <a:lumMod val="20000"/>
                  <a:lumOff val="80000"/>
                </a:schemeClr>
              </a:solidFill>
            </a:rPr>
            <a:t> muito bem vindo a </a:t>
          </a:r>
          <a:r>
            <a:rPr lang="pt-BR" sz="1100" b="1" baseline="0">
              <a:solidFill>
                <a:schemeClr val="accent5">
                  <a:lumMod val="20000"/>
                  <a:lumOff val="80000"/>
                </a:schemeClr>
              </a:solidFill>
            </a:rPr>
            <a:t>Onside Corporation ®</a:t>
          </a:r>
          <a:r>
            <a:rPr lang="pt-BR" sz="1100" baseline="0">
              <a:solidFill>
                <a:schemeClr val="accent5">
                  <a:lumMod val="20000"/>
                  <a:lumOff val="80000"/>
                </a:schemeClr>
              </a:solidFill>
            </a:rPr>
            <a:t> - Soluções em Planilhas Inteligentes</a:t>
          </a:r>
        </a:p>
        <a:p>
          <a:r>
            <a:rPr lang="pt-BR" sz="1100" baseline="0">
              <a:solidFill>
                <a:schemeClr val="accent5">
                  <a:lumMod val="20000"/>
                  <a:lumOff val="80000"/>
                </a:schemeClr>
              </a:solidFill>
            </a:rPr>
            <a:t>Ficamos muito felizes pela confiança em nosso produto e pela preferência em nosso trabalho.</a:t>
          </a:r>
        </a:p>
        <a:p>
          <a:endParaRPr lang="pt-BR" sz="1100">
            <a:solidFill>
              <a:schemeClr val="accent5">
                <a:lumMod val="20000"/>
                <a:lumOff val="80000"/>
              </a:schemeClr>
            </a:solidFill>
          </a:endParaRPr>
        </a:p>
        <a:p>
          <a:endParaRPr lang="pt-BR" sz="1100">
            <a:solidFill>
              <a:schemeClr val="accent5">
                <a:lumMod val="20000"/>
                <a:lumOff val="80000"/>
              </a:schemeClr>
            </a:solidFill>
          </a:endParaRPr>
        </a:p>
        <a:p>
          <a:endParaRPr lang="pt-BR" sz="1100">
            <a:solidFill>
              <a:schemeClr val="accent5">
                <a:lumMod val="20000"/>
                <a:lumOff val="80000"/>
              </a:schemeClr>
            </a:solidFill>
          </a:endParaRPr>
        </a:p>
      </xdr:txBody>
    </xdr:sp>
    <xdr:clientData/>
  </xdr:oneCellAnchor>
  <xdr:twoCellAnchor editAs="oneCell">
    <xdr:from>
      <xdr:col>0</xdr:col>
      <xdr:colOff>371475</xdr:colOff>
      <xdr:row>18</xdr:row>
      <xdr:rowOff>133350</xdr:rowOff>
    </xdr:from>
    <xdr:to>
      <xdr:col>1</xdr:col>
      <xdr:colOff>66675</xdr:colOff>
      <xdr:row>20</xdr:row>
      <xdr:rowOff>57150</xdr:rowOff>
    </xdr:to>
    <xdr:pic>
      <xdr:nvPicPr>
        <xdr:cNvPr id="25" name="Gráfico 24" descr="Marcador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71475" y="3562350"/>
          <a:ext cx="304800" cy="304800"/>
        </a:xfrm>
        <a:prstGeom prst="rect">
          <a:avLst/>
        </a:prstGeom>
      </xdr:spPr>
    </xdr:pic>
    <xdr:clientData/>
  </xdr:twoCellAnchor>
  <xdr:oneCellAnchor>
    <xdr:from>
      <xdr:col>1</xdr:col>
      <xdr:colOff>38100</xdr:colOff>
      <xdr:row>18</xdr:row>
      <xdr:rowOff>123825</xdr:rowOff>
    </xdr:from>
    <xdr:ext cx="5990038" cy="609013"/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 txBox="1"/>
      </xdr:nvSpPr>
      <xdr:spPr>
        <a:xfrm>
          <a:off x="647700" y="3552825"/>
          <a:ext cx="5990038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>
              <a:solidFill>
                <a:schemeClr val="accent5">
                  <a:lumMod val="20000"/>
                  <a:lumOff val="80000"/>
                </a:schemeClr>
              </a:solidFill>
            </a:rPr>
            <a:t>Parabéns!</a:t>
          </a:r>
          <a:r>
            <a:rPr lang="pt-BR" sz="1100">
              <a:solidFill>
                <a:schemeClr val="accent5">
                  <a:lumMod val="20000"/>
                  <a:lumOff val="80000"/>
                </a:schemeClr>
              </a:solidFill>
            </a:rPr>
            <a:t> Você acaba de adquirir</a:t>
          </a:r>
          <a:r>
            <a:rPr lang="pt-BR" sz="1100" baseline="0">
              <a:solidFill>
                <a:schemeClr val="accent5">
                  <a:lumMod val="20000"/>
                  <a:lumOff val="80000"/>
                </a:schemeClr>
              </a:solidFill>
            </a:rPr>
            <a:t> uma cópia da planilha </a:t>
          </a:r>
          <a:r>
            <a:rPr lang="pt-BR" sz="1100" b="1" baseline="0">
              <a:solidFill>
                <a:schemeClr val="accent5">
                  <a:lumMod val="20000"/>
                  <a:lumOff val="80000"/>
                </a:schemeClr>
              </a:solidFill>
            </a:rPr>
            <a:t>Transição da Reforma Tributária versão 6.0 </a:t>
          </a:r>
        </a:p>
        <a:p>
          <a:r>
            <a:rPr lang="pt-BR" sz="1100" b="0" baseline="0">
              <a:solidFill>
                <a:schemeClr val="accent5">
                  <a:lumMod val="20000"/>
                  <a:lumOff val="80000"/>
                </a:schemeClr>
              </a:solidFill>
            </a:rPr>
            <a:t>O serial (Licença) dessa planilha é gerada automaticamente após a compra, conforme</a:t>
          </a:r>
        </a:p>
        <a:p>
          <a:r>
            <a:rPr lang="pt-BR" sz="1100" b="0" baseline="0">
              <a:solidFill>
                <a:schemeClr val="accent5">
                  <a:lumMod val="20000"/>
                  <a:lumOff val="80000"/>
                </a:schemeClr>
              </a:solidFill>
            </a:rPr>
            <a:t>controle da Onside Corporation ®</a:t>
          </a:r>
          <a:endParaRPr lang="pt-BR" sz="1100" b="0">
            <a:solidFill>
              <a:schemeClr val="accent5">
                <a:lumMod val="20000"/>
                <a:lumOff val="80000"/>
              </a:schemeClr>
            </a:solidFill>
          </a:endParaRPr>
        </a:p>
      </xdr:txBody>
    </xdr:sp>
    <xdr:clientData/>
  </xdr:oneCellAnchor>
  <xdr:oneCellAnchor>
    <xdr:from>
      <xdr:col>1</xdr:col>
      <xdr:colOff>38099</xdr:colOff>
      <xdr:row>21</xdr:row>
      <xdr:rowOff>171450</xdr:rowOff>
    </xdr:from>
    <xdr:ext cx="5895975" cy="1419225"/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 txBox="1"/>
      </xdr:nvSpPr>
      <xdr:spPr>
        <a:xfrm>
          <a:off x="647699" y="4171950"/>
          <a:ext cx="5895975" cy="14192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100" b="0">
              <a:solidFill>
                <a:schemeClr val="accent5">
                  <a:lumMod val="20000"/>
                  <a:lumOff val="80000"/>
                </a:schemeClr>
              </a:solidFill>
            </a:rPr>
            <a:t>Essa licença é</a:t>
          </a:r>
          <a:r>
            <a:rPr lang="pt-BR" sz="1100" b="0" baseline="0">
              <a:solidFill>
                <a:schemeClr val="accent5">
                  <a:lumMod val="20000"/>
                  <a:lumOff val="80000"/>
                </a:schemeClr>
              </a:solidFill>
            </a:rPr>
            <a:t> única e exclusiva de sua propriedade, onde você poderá multiplicar a </a:t>
          </a:r>
        </a:p>
        <a:p>
          <a:r>
            <a:rPr lang="pt-BR" sz="1100" b="0" baseline="0">
              <a:solidFill>
                <a:schemeClr val="accent5">
                  <a:lumMod val="20000"/>
                  <a:lumOff val="80000"/>
                </a:schemeClr>
              </a:solidFill>
            </a:rPr>
            <a:t>planilha em SEU computador de acordo com sua necessidade. </a:t>
          </a:r>
        </a:p>
        <a:p>
          <a:endParaRPr lang="pt-BR" sz="1100" b="0" baseline="0">
            <a:solidFill>
              <a:schemeClr val="accent5">
                <a:lumMod val="20000"/>
                <a:lumOff val="80000"/>
              </a:schemeClr>
            </a:solidFill>
          </a:endParaRPr>
        </a:p>
        <a:p>
          <a:r>
            <a:rPr lang="pt-BR" sz="1100" b="1" baseline="0">
              <a:solidFill>
                <a:schemeClr val="accent5">
                  <a:lumMod val="20000"/>
                  <a:lumOff val="80000"/>
                </a:schemeClr>
              </a:solidFill>
            </a:rPr>
            <a:t>AVISO IMPORTANTE: </a:t>
          </a:r>
          <a:r>
            <a:rPr lang="pt-BR" sz="1100" b="0" baseline="0">
              <a:solidFill>
                <a:schemeClr val="accent5">
                  <a:lumMod val="20000"/>
                  <a:lumOff val="80000"/>
                </a:schemeClr>
              </a:solidFill>
            </a:rPr>
            <a:t>A planilha possui um ID vinculado ao serial, onde qualquer tentativa</a:t>
          </a:r>
        </a:p>
        <a:p>
          <a:r>
            <a:rPr lang="pt-BR" sz="1100" b="0" baseline="0">
              <a:solidFill>
                <a:schemeClr val="accent5">
                  <a:lumMod val="20000"/>
                  <a:lumOff val="80000"/>
                </a:schemeClr>
              </a:solidFill>
            </a:rPr>
            <a:t>de repassar a planilha a terceiros, resulta em </a:t>
          </a:r>
          <a:r>
            <a:rPr lang="pt-BR" sz="1100" b="1" baseline="0">
              <a:solidFill>
                <a:schemeClr val="accent5">
                  <a:lumMod val="20000"/>
                  <a:lumOff val="80000"/>
                </a:schemeClr>
              </a:solidFill>
            </a:rPr>
            <a:t>BLOQUEIO</a:t>
          </a:r>
          <a:r>
            <a:rPr lang="pt-BR" sz="1100" b="0" baseline="0">
              <a:solidFill>
                <a:schemeClr val="accent5">
                  <a:lumMod val="20000"/>
                  <a:lumOff val="80000"/>
                </a:schemeClr>
              </a:solidFill>
            </a:rPr>
            <a:t> IMEDIATO e AUTOMÁTICO da planilha.</a:t>
          </a:r>
        </a:p>
        <a:p>
          <a:r>
            <a:rPr lang="pt-BR" sz="1100" b="0">
              <a:solidFill>
                <a:srgbClr val="01B8AA"/>
              </a:solidFill>
            </a:rPr>
            <a:t>LEI Nº 9.609 DE 19 DE FEVEREIRO DE 1998.</a:t>
          </a:r>
        </a:p>
      </xdr:txBody>
    </xdr:sp>
    <xdr:clientData/>
  </xdr:oneCellAnchor>
  <xdr:twoCellAnchor editAs="oneCell">
    <xdr:from>
      <xdr:col>0</xdr:col>
      <xdr:colOff>371475</xdr:colOff>
      <xdr:row>24</xdr:row>
      <xdr:rowOff>142875</xdr:rowOff>
    </xdr:from>
    <xdr:to>
      <xdr:col>1</xdr:col>
      <xdr:colOff>66675</xdr:colOff>
      <xdr:row>26</xdr:row>
      <xdr:rowOff>66675</xdr:rowOff>
    </xdr:to>
    <xdr:pic>
      <xdr:nvPicPr>
        <xdr:cNvPr id="28" name="Gráfico 27" descr="Sirene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>
        <a:xfrm>
          <a:off x="371475" y="4714875"/>
          <a:ext cx="304800" cy="3048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381000</xdr:colOff>
      <xdr:row>22</xdr:row>
      <xdr:rowOff>19050</xdr:rowOff>
    </xdr:from>
    <xdr:to>
      <xdr:col>1</xdr:col>
      <xdr:colOff>59400</xdr:colOff>
      <xdr:row>23</xdr:row>
      <xdr:rowOff>116550</xdr:rowOff>
    </xdr:to>
    <xdr:pic>
      <xdr:nvPicPr>
        <xdr:cNvPr id="30" name="Gráfico 29" descr="Impressão digital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81000" y="4210050"/>
          <a:ext cx="288000" cy="288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466725</xdr:colOff>
      <xdr:row>0</xdr:row>
      <xdr:rowOff>85725</xdr:rowOff>
    </xdr:from>
    <xdr:to>
      <xdr:col>6</xdr:col>
      <xdr:colOff>327525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6</xdr:col>
      <xdr:colOff>352425</xdr:colOff>
      <xdr:row>0</xdr:row>
      <xdr:rowOff>85725</xdr:rowOff>
    </xdr:from>
    <xdr:to>
      <xdr:col>8</xdr:col>
      <xdr:colOff>213225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8</xdr:col>
      <xdr:colOff>238125</xdr:colOff>
      <xdr:row>0</xdr:row>
      <xdr:rowOff>85725</xdr:rowOff>
    </xdr:from>
    <xdr:to>
      <xdr:col>10</xdr:col>
      <xdr:colOff>98925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12</xdr:col>
      <xdr:colOff>9525</xdr:colOff>
      <xdr:row>0</xdr:row>
      <xdr:rowOff>85725</xdr:rowOff>
    </xdr:from>
    <xdr:to>
      <xdr:col>13</xdr:col>
      <xdr:colOff>479925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13</xdr:col>
      <xdr:colOff>504825</xdr:colOff>
      <xdr:row>0</xdr:row>
      <xdr:rowOff>85725</xdr:rowOff>
    </xdr:from>
    <xdr:to>
      <xdr:col>15</xdr:col>
      <xdr:colOff>365625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15</xdr:col>
      <xdr:colOff>390525</xdr:colOff>
      <xdr:row>0</xdr:row>
      <xdr:rowOff>85725</xdr:rowOff>
    </xdr:from>
    <xdr:to>
      <xdr:col>17</xdr:col>
      <xdr:colOff>251325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5</xdr:col>
      <xdr:colOff>47625</xdr:colOff>
      <xdr:row>0</xdr:row>
      <xdr:rowOff>371475</xdr:rowOff>
    </xdr:from>
    <xdr:to>
      <xdr:col>6</xdr:col>
      <xdr:colOff>158025</xdr:colOff>
      <xdr:row>0</xdr:row>
      <xdr:rowOff>388425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16764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123825</xdr:colOff>
      <xdr:row>0</xdr:row>
      <xdr:rowOff>85725</xdr:rowOff>
    </xdr:from>
    <xdr:to>
      <xdr:col>11</xdr:col>
      <xdr:colOff>594225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oneCell">
    <xdr:from>
      <xdr:col>0</xdr:col>
      <xdr:colOff>113929</xdr:colOff>
      <xdr:row>0</xdr:row>
      <xdr:rowOff>0</xdr:rowOff>
    </xdr:from>
    <xdr:to>
      <xdr:col>3</xdr:col>
      <xdr:colOff>607384</xdr:colOff>
      <xdr:row>0</xdr:row>
      <xdr:rowOff>428625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4" name="Meio-quadro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oneCellAnchor>
    <xdr:from>
      <xdr:col>0</xdr:col>
      <xdr:colOff>95250</xdr:colOff>
      <xdr:row>30</xdr:row>
      <xdr:rowOff>133350</xdr:rowOff>
    </xdr:from>
    <xdr:ext cx="1845313" cy="342786"/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95250" y="6286500"/>
          <a:ext cx="1845313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>
              <a:solidFill>
                <a:schemeClr val="accent5">
                  <a:lumMod val="20000"/>
                  <a:lumOff val="80000"/>
                </a:schemeClr>
              </a:solidFill>
            </a:rPr>
            <a:t>Copyright © 2026 Onside Corporation ®</a:t>
          </a:r>
        </a:p>
        <a:p>
          <a:r>
            <a:rPr lang="pt-BR" sz="800">
              <a:solidFill>
                <a:schemeClr val="accent5">
                  <a:lumMod val="20000"/>
                  <a:lumOff val="80000"/>
                </a:schemeClr>
              </a:solidFill>
            </a:rPr>
            <a:t>Todos os direitos reservados.</a:t>
          </a:r>
        </a:p>
      </xdr:txBody>
    </xdr:sp>
    <xdr:clientData/>
  </xdr:oneCellAnchor>
  <xdr:twoCellAnchor editAs="oneCell">
    <xdr:from>
      <xdr:col>2</xdr:col>
      <xdr:colOff>85725</xdr:colOff>
      <xdr:row>20</xdr:row>
      <xdr:rowOff>9525</xdr:rowOff>
    </xdr:from>
    <xdr:to>
      <xdr:col>3</xdr:col>
      <xdr:colOff>264750</xdr:colOff>
      <xdr:row>21</xdr:row>
      <xdr:rowOff>179025</xdr:rowOff>
    </xdr:to>
    <xdr:pic>
      <xdr:nvPicPr>
        <xdr:cNvPr id="16" name="Gráfico 15" descr="Troféu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447675" y="425767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83325</xdr:colOff>
      <xdr:row>23</xdr:row>
      <xdr:rowOff>7125</xdr:rowOff>
    </xdr:from>
    <xdr:to>
      <xdr:col>3</xdr:col>
      <xdr:colOff>262350</xdr:colOff>
      <xdr:row>24</xdr:row>
      <xdr:rowOff>176625</xdr:rowOff>
    </xdr:to>
    <xdr:pic>
      <xdr:nvPicPr>
        <xdr:cNvPr id="17" name="Gráfico 16" descr="Olho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45275" y="482677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90450</xdr:colOff>
      <xdr:row>26</xdr:row>
      <xdr:rowOff>23775</xdr:rowOff>
    </xdr:from>
    <xdr:to>
      <xdr:col>3</xdr:col>
      <xdr:colOff>269475</xdr:colOff>
      <xdr:row>28</xdr:row>
      <xdr:rowOff>2775</xdr:rowOff>
    </xdr:to>
    <xdr:pic>
      <xdr:nvPicPr>
        <xdr:cNvPr id="18" name="Gráfico 17" descr="Aperto de mãos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452400" y="5414925"/>
          <a:ext cx="360000" cy="360000"/>
        </a:xfrm>
        <a:prstGeom prst="rect">
          <a:avLst/>
        </a:prstGeom>
      </xdr:spPr>
    </xdr:pic>
    <xdr:clientData/>
  </xdr:twoCellAnchor>
  <xdr:oneCellAnchor>
    <xdr:from>
      <xdr:col>2</xdr:col>
      <xdr:colOff>0</xdr:colOff>
      <xdr:row>14</xdr:row>
      <xdr:rowOff>0</xdr:rowOff>
    </xdr:from>
    <xdr:ext cx="914400" cy="914400"/>
    <xdr:pic>
      <xdr:nvPicPr>
        <xdr:cNvPr id="28" name="Gráfico 27" descr="Professor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8600" y="3105150"/>
          <a:ext cx="914400" cy="914400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409575</xdr:colOff>
      <xdr:row>0</xdr:row>
      <xdr:rowOff>85725</xdr:rowOff>
    </xdr:from>
    <xdr:to>
      <xdr:col>3</xdr:col>
      <xdr:colOff>1489575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3</xdr:col>
      <xdr:colOff>1514475</xdr:colOff>
      <xdr:row>0</xdr:row>
      <xdr:rowOff>85725</xdr:rowOff>
    </xdr:from>
    <xdr:to>
      <xdr:col>4</xdr:col>
      <xdr:colOff>213225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4</xdr:col>
      <xdr:colOff>238125</xdr:colOff>
      <xdr:row>0</xdr:row>
      <xdr:rowOff>85725</xdr:rowOff>
    </xdr:from>
    <xdr:to>
      <xdr:col>5</xdr:col>
      <xdr:colOff>270375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5</xdr:col>
      <xdr:colOff>1400175</xdr:colOff>
      <xdr:row>0</xdr:row>
      <xdr:rowOff>85725</xdr:rowOff>
    </xdr:from>
    <xdr:to>
      <xdr:col>7</xdr:col>
      <xdr:colOff>156075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7</xdr:col>
      <xdr:colOff>180975</xdr:colOff>
      <xdr:row>0</xdr:row>
      <xdr:rowOff>85725</xdr:rowOff>
    </xdr:from>
    <xdr:to>
      <xdr:col>9</xdr:col>
      <xdr:colOff>41775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9</xdr:col>
      <xdr:colOff>66675</xdr:colOff>
      <xdr:row>0</xdr:row>
      <xdr:rowOff>85725</xdr:rowOff>
    </xdr:from>
    <xdr:to>
      <xdr:col>10</xdr:col>
      <xdr:colOff>537075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3</xdr:col>
      <xdr:colOff>1695450</xdr:colOff>
      <xdr:row>0</xdr:row>
      <xdr:rowOff>371475</xdr:rowOff>
    </xdr:from>
    <xdr:to>
      <xdr:col>4</xdr:col>
      <xdr:colOff>34200</xdr:colOff>
      <xdr:row>0</xdr:row>
      <xdr:rowOff>388425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2771775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295275</xdr:colOff>
      <xdr:row>0</xdr:row>
      <xdr:rowOff>85725</xdr:rowOff>
    </xdr:from>
    <xdr:to>
      <xdr:col>5</xdr:col>
      <xdr:colOff>1375275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2</xdr:col>
      <xdr:colOff>742950</xdr:colOff>
      <xdr:row>1</xdr:row>
      <xdr:rowOff>142875</xdr:rowOff>
    </xdr:from>
    <xdr:to>
      <xdr:col>3</xdr:col>
      <xdr:colOff>975225</xdr:colOff>
      <xdr:row>2</xdr:row>
      <xdr:rowOff>13875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Informações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4" name="Meio-quadro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3</xdr:col>
      <xdr:colOff>990600</xdr:colOff>
      <xdr:row>1</xdr:row>
      <xdr:rowOff>142875</xdr:rowOff>
    </xdr:from>
    <xdr:to>
      <xdr:col>3</xdr:col>
      <xdr:colOff>2070600</xdr:colOff>
      <xdr:row>2</xdr:row>
      <xdr:rowOff>13875</xdr:rowOff>
    </xdr:to>
    <xdr:sp macro="" textlink="">
      <xdr:nvSpPr>
        <xdr:cNvPr id="15" name="Retângul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Parâmetros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</xdr:colOff>
          <xdr:row>2</xdr:row>
          <xdr:rowOff>219075</xdr:rowOff>
        </xdr:from>
        <xdr:to>
          <xdr:col>3</xdr:col>
          <xdr:colOff>1781175</xdr:colOff>
          <xdr:row>3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E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Colocar no Modo Sistema Novamente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1857375</xdr:colOff>
          <xdr:row>2</xdr:row>
          <xdr:rowOff>219075</xdr:rowOff>
        </xdr:from>
        <xdr:to>
          <xdr:col>5</xdr:col>
          <xdr:colOff>952500</xdr:colOff>
          <xdr:row>3</xdr:row>
          <xdr:rowOff>142875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E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Retirar do Modo Sistema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2085975</xdr:colOff>
      <xdr:row>1</xdr:row>
      <xdr:rowOff>142875</xdr:rowOff>
    </xdr:from>
    <xdr:to>
      <xdr:col>4</xdr:col>
      <xdr:colOff>784725</xdr:colOff>
      <xdr:row>2</xdr:row>
      <xdr:rowOff>13875</xdr:rowOff>
    </xdr:to>
    <xdr:sp macro="" textlink="">
      <xdr:nvSpPr>
        <xdr:cNvPr id="17" name="Retângulo 1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D6431F95-1FB1-4B86-BE22-21305C2CD0D3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Tabelas</a:t>
          </a:r>
        </a:p>
      </xdr:txBody>
    </xdr:sp>
    <xdr:clientData/>
  </xdr:twoCellAnchor>
  <xdr:oneCellAnchor>
    <xdr:from>
      <xdr:col>2</xdr:col>
      <xdr:colOff>1</xdr:colOff>
      <xdr:row>4</xdr:row>
      <xdr:rowOff>0</xdr:rowOff>
    </xdr:from>
    <xdr:ext cx="12249150" cy="2596608"/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7EEF4699-10B7-4BA3-9C18-46F54A4DB273}"/>
            </a:ext>
          </a:extLst>
        </xdr:cNvPr>
        <xdr:cNvSpPr txBox="1"/>
      </xdr:nvSpPr>
      <xdr:spPr>
        <a:xfrm>
          <a:off x="228601" y="1476375"/>
          <a:ext cx="12249150" cy="25966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</a:rPr>
            <a:t>Objetivo</a:t>
          </a:r>
          <a:r>
            <a:rPr lang="pt-BR" sz="1000">
              <a:solidFill>
                <a:schemeClr val="tx1">
                  <a:lumMod val="75000"/>
                  <a:lumOff val="25000"/>
                </a:schemeClr>
              </a:solidFill>
            </a:rPr>
            <a:t>: substituir gradualmente os atuais tributos sobre o consumo (PIS, COFINS, IPI, ICMS, ISS) por novos tributos do tipo IVA: </a:t>
          </a:r>
        </a:p>
        <a:p>
          <a:endParaRPr lang="pt-BR" sz="1000">
            <a:solidFill>
              <a:schemeClr val="tx1">
                <a:lumMod val="75000"/>
                <a:lumOff val="25000"/>
              </a:schemeClr>
            </a:solidFill>
          </a:endParaRPr>
        </a:p>
        <a:p>
          <a:r>
            <a:rPr lang="pt-BR" sz="1000">
              <a:solidFill>
                <a:schemeClr val="tx1">
                  <a:lumMod val="75000"/>
                  <a:lumOff val="25000"/>
                </a:schemeClr>
              </a:solidFill>
            </a:rPr>
            <a:t>o </a:t>
          </a:r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</a:rPr>
            <a:t>IBS</a:t>
          </a:r>
          <a:r>
            <a:rPr lang="pt-BR" sz="1000">
              <a:solidFill>
                <a:schemeClr val="tx1">
                  <a:lumMod val="75000"/>
                  <a:lumOff val="25000"/>
                </a:schemeClr>
              </a:solidFill>
            </a:rPr>
            <a:t> (Imposto sobre Bens e Serviços — partilhado entre entes) e a </a:t>
          </a:r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</a:rPr>
            <a:t>CBS</a:t>
          </a:r>
          <a:r>
            <a:rPr lang="pt-BR" sz="1000">
              <a:solidFill>
                <a:schemeClr val="tx1">
                  <a:lumMod val="75000"/>
                  <a:lumOff val="25000"/>
                </a:schemeClr>
              </a:solidFill>
            </a:rPr>
            <a:t> (Contribuição sobre Bens e Serviços — federal). </a:t>
          </a:r>
        </a:p>
        <a:p>
          <a:r>
            <a:rPr lang="pt-BR" sz="1000">
              <a:solidFill>
                <a:schemeClr val="tx1">
                  <a:lumMod val="75000"/>
                  <a:lumOff val="25000"/>
                </a:schemeClr>
              </a:solidFill>
            </a:rPr>
            <a:t>A Emenda Constitucional que criou o novo modelo foi promulgada e a regulamentação tem sido feita por leis complementares. </a:t>
          </a:r>
        </a:p>
        <a:p>
          <a:endParaRPr lang="pt-BR" sz="1000">
            <a:solidFill>
              <a:schemeClr val="tx1">
                <a:lumMod val="75000"/>
                <a:lumOff val="25000"/>
              </a:schemeClr>
            </a:solidFill>
          </a:endParaRPr>
        </a:p>
        <a:p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</a:rPr>
            <a:t>Cronograma oficial</a:t>
          </a:r>
          <a:r>
            <a:rPr lang="pt-BR" sz="1000">
              <a:solidFill>
                <a:schemeClr val="tx1">
                  <a:lumMod val="75000"/>
                  <a:lumOff val="25000"/>
                </a:schemeClr>
              </a:solidFill>
            </a:rPr>
            <a:t>:</a:t>
          </a:r>
        </a:p>
        <a:p>
          <a:endParaRPr lang="pt-BR" sz="1000">
            <a:solidFill>
              <a:schemeClr val="tx1">
                <a:lumMod val="75000"/>
                <a:lumOff val="25000"/>
              </a:schemeClr>
            </a:solidFill>
          </a:endParaRPr>
        </a:p>
        <a:p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</a:rPr>
            <a:t>• 2024–2025</a:t>
          </a:r>
          <a:r>
            <a:rPr lang="pt-BR" sz="1000">
              <a:solidFill>
                <a:schemeClr val="tx1">
                  <a:lumMod val="75000"/>
                  <a:lumOff val="25000"/>
                </a:schemeClr>
              </a:solidFill>
            </a:rPr>
            <a:t>: aprovação e regulamentação (leis complementares). </a:t>
          </a:r>
        </a:p>
        <a:p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</a:rPr>
            <a:t>• 2026</a:t>
          </a:r>
          <a:r>
            <a:rPr lang="pt-BR" sz="1000">
              <a:solidFill>
                <a:schemeClr val="tx1">
                  <a:lumMod val="75000"/>
                  <a:lumOff val="25000"/>
                </a:schemeClr>
              </a:solidFill>
            </a:rPr>
            <a:t>: </a:t>
          </a:r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</a:rPr>
            <a:t>início do período de transição</a:t>
          </a:r>
          <a:r>
            <a:rPr lang="pt-BR" sz="1000">
              <a:solidFill>
                <a:schemeClr val="tx1">
                  <a:lumMod val="75000"/>
                  <a:lumOff val="25000"/>
                </a:schemeClr>
              </a:solidFill>
            </a:rPr>
            <a:t> — fase de testes/implantação do IBS e da CBS (cobrança em “teste”), com alíquotas simbólicas para testar sistemas e fluxo de créditos. Parte da transição começa já neste ano. </a:t>
          </a:r>
        </a:p>
        <a:p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</a:rPr>
            <a:t>• 2027</a:t>
          </a:r>
          <a:r>
            <a:rPr lang="pt-BR" sz="1000">
              <a:solidFill>
                <a:schemeClr val="tx1">
                  <a:lumMod val="75000"/>
                  <a:lumOff val="25000"/>
                </a:schemeClr>
              </a:solidFill>
            </a:rPr>
            <a:t>: previsão de </a:t>
          </a:r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</a:rPr>
            <a:t>extinção plena do PIS/COFINS</a:t>
          </a:r>
          <a:r>
            <a:rPr lang="pt-BR" sz="1000">
              <a:solidFill>
                <a:schemeClr val="tx1">
                  <a:lumMod val="75000"/>
                  <a:lumOff val="25000"/>
                </a:schemeClr>
              </a:solidFill>
            </a:rPr>
            <a:t> e entrada em operação da </a:t>
          </a:r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</a:rPr>
            <a:t>CBS</a:t>
          </a:r>
          <a:r>
            <a:rPr lang="pt-BR" sz="1000">
              <a:solidFill>
                <a:schemeClr val="tx1">
                  <a:lumMod val="75000"/>
                  <a:lumOff val="25000"/>
                </a:schemeClr>
              </a:solidFill>
            </a:rPr>
            <a:t> (estadual/federal conforme a regulamentação). </a:t>
          </a:r>
        </a:p>
        <a:p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</a:rPr>
            <a:t>• 2029–2032</a:t>
          </a:r>
          <a:r>
            <a:rPr lang="pt-BR" sz="1000">
              <a:solidFill>
                <a:schemeClr val="tx1">
                  <a:lumMod val="75000"/>
                  <a:lumOff val="25000"/>
                </a:schemeClr>
              </a:solidFill>
            </a:rPr>
            <a:t>: fase de </a:t>
          </a:r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</a:rPr>
            <a:t>transição gradual</a:t>
          </a:r>
          <a:r>
            <a:rPr lang="pt-BR" sz="1000">
              <a:solidFill>
                <a:schemeClr val="tx1">
                  <a:lumMod val="75000"/>
                  <a:lumOff val="25000"/>
                </a:schemeClr>
              </a:solidFill>
            </a:rPr>
            <a:t> entre ICMS/ISS e o IBS (redução progressiva dos tributos antigos e aumento das alíquotas efetivas do novo IBS para compensar receitas), com regras de “calibração” para neutralidade fiscal entre entes. </a:t>
          </a:r>
        </a:p>
        <a:p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</a:rPr>
            <a:t>• 2033</a:t>
          </a:r>
          <a:r>
            <a:rPr lang="pt-BR" sz="1000">
              <a:solidFill>
                <a:schemeClr val="tx1">
                  <a:lumMod val="75000"/>
                  <a:lumOff val="25000"/>
                </a:schemeClr>
              </a:solidFill>
            </a:rPr>
            <a:t>: conclusão da transição — tributos sobre o consumo antigos extintos e novo regime plenamente vigente. </a:t>
          </a:r>
        </a:p>
        <a:p>
          <a:endParaRPr lang="pt-BR" sz="1000">
            <a:solidFill>
              <a:schemeClr val="tx1">
                <a:lumMod val="75000"/>
                <a:lumOff val="25000"/>
              </a:schemeClr>
            </a:solidFill>
          </a:endParaRPr>
        </a:p>
        <a:p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</a:rPr>
            <a:t>Observações legais</a:t>
          </a:r>
          <a:r>
            <a:rPr lang="pt-BR" sz="1000">
              <a:solidFill>
                <a:schemeClr val="tx1">
                  <a:lumMod val="75000"/>
                  <a:lumOff val="25000"/>
                </a:schemeClr>
              </a:solidFill>
            </a:rPr>
            <a:t>: a Lei Complementar nº 214/2025 (exemplo de norma) instituiu mecanismos do IBS e CBS e disciplinou fases; porém a regulamentação detalhada (conselho federativo, fundo regional, ressarcimentos, cálculo de neutralidade) é feita por leis complementares e atos normativos posteriores. </a:t>
          </a:r>
          <a:endParaRPr lang="pt-BR" sz="1000" kern="12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oneCellAnchor>
  <xdr:twoCellAnchor editAs="oneCell">
    <xdr:from>
      <xdr:col>2</xdr:col>
      <xdr:colOff>64275</xdr:colOff>
      <xdr:row>12</xdr:row>
      <xdr:rowOff>26175</xdr:rowOff>
    </xdr:from>
    <xdr:to>
      <xdr:col>3</xdr:col>
      <xdr:colOff>476550</xdr:colOff>
      <xdr:row>15</xdr:row>
      <xdr:rowOff>143175</xdr:rowOff>
    </xdr:to>
    <xdr:pic>
      <xdr:nvPicPr>
        <xdr:cNvPr id="26" name="Gráfico 25" descr="Lista de verificação DPE">
          <a:extLst>
            <a:ext uri="{FF2B5EF4-FFF2-40B4-BE49-F238E27FC236}">
              <a16:creationId xmlns:a16="http://schemas.microsoft.com/office/drawing/2014/main" id="{FD2AADDF-F947-F6CD-A810-D9CCD7499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92875" y="4550550"/>
          <a:ext cx="1260000" cy="12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714375</xdr:colOff>
      <xdr:row>11</xdr:row>
      <xdr:rowOff>200025</xdr:rowOff>
    </xdr:from>
    <xdr:to>
      <xdr:col>3</xdr:col>
      <xdr:colOff>766650</xdr:colOff>
      <xdr:row>13</xdr:row>
      <xdr:rowOff>338025</xdr:rowOff>
    </xdr:to>
    <xdr:pic>
      <xdr:nvPicPr>
        <xdr:cNvPr id="24" name="Gráfico 23" descr="Lupa">
          <a:extLst>
            <a:ext uri="{FF2B5EF4-FFF2-40B4-BE49-F238E27FC236}">
              <a16:creationId xmlns:a16="http://schemas.microsoft.com/office/drawing/2014/main" id="{BC7D46F8-B823-0498-BB0E-1FA9AE912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942975" y="4343400"/>
          <a:ext cx="900000" cy="90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800100</xdr:colOff>
      <xdr:row>1</xdr:row>
      <xdr:rowOff>142875</xdr:rowOff>
    </xdr:from>
    <xdr:to>
      <xdr:col>5</xdr:col>
      <xdr:colOff>832350</xdr:colOff>
      <xdr:row>2</xdr:row>
      <xdr:rowOff>13875</xdr:rowOff>
    </xdr:to>
    <xdr:sp macro="" textlink="">
      <xdr:nvSpPr>
        <xdr:cNvPr id="18" name="Retângulo 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4A60F48-B46E-483C-A1ED-479361605165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Transição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381000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6386" name="Drop Dow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F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8" name="Drop Dow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F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6389" name="Drop Dow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F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9</xdr:row>
          <xdr:rowOff>76200</xdr:rowOff>
        </xdr:from>
        <xdr:to>
          <xdr:col>3</xdr:col>
          <xdr:colOff>790575</xdr:colOff>
          <xdr:row>9</xdr:row>
          <xdr:rowOff>304800</xdr:rowOff>
        </xdr:to>
        <xdr:sp macro="" textlink="">
          <xdr:nvSpPr>
            <xdr:cNvPr id="16390" name="Option 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F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838200</xdr:colOff>
          <xdr:row>9</xdr:row>
          <xdr:rowOff>76200</xdr:rowOff>
        </xdr:from>
        <xdr:to>
          <xdr:col>3</xdr:col>
          <xdr:colOff>1543050</xdr:colOff>
          <xdr:row>9</xdr:row>
          <xdr:rowOff>304800</xdr:rowOff>
        </xdr:to>
        <xdr:sp macro="" textlink="">
          <xdr:nvSpPr>
            <xdr:cNvPr id="16391" name="Option 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F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xdr:twoCellAnchor editAs="absolute">
    <xdr:from>
      <xdr:col>2</xdr:col>
      <xdr:colOff>1257300</xdr:colOff>
      <xdr:row>0</xdr:row>
      <xdr:rowOff>85725</xdr:rowOff>
    </xdr:from>
    <xdr:to>
      <xdr:col>2</xdr:col>
      <xdr:colOff>2337300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D1ADFA-5FA9-44AC-AEEE-3EBC8EB30EFA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2</xdr:col>
      <xdr:colOff>2362200</xdr:colOff>
      <xdr:row>0</xdr:row>
      <xdr:rowOff>85725</xdr:rowOff>
    </xdr:from>
    <xdr:to>
      <xdr:col>3</xdr:col>
      <xdr:colOff>965700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7814B81-4F54-416B-901E-2DA6D96C24CB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3</xdr:col>
      <xdr:colOff>990600</xdr:colOff>
      <xdr:row>0</xdr:row>
      <xdr:rowOff>85725</xdr:rowOff>
    </xdr:from>
    <xdr:to>
      <xdr:col>3</xdr:col>
      <xdr:colOff>2070600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A94C460-D168-444D-9471-5691959267E1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3</xdr:col>
      <xdr:colOff>3200400</xdr:colOff>
      <xdr:row>0</xdr:row>
      <xdr:rowOff>85725</xdr:rowOff>
    </xdr:from>
    <xdr:to>
      <xdr:col>5</xdr:col>
      <xdr:colOff>289425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34B0C8-A370-4AB6-8727-1DED8A995811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5</xdr:col>
      <xdr:colOff>314325</xdr:colOff>
      <xdr:row>0</xdr:row>
      <xdr:rowOff>85725</xdr:rowOff>
    </xdr:from>
    <xdr:to>
      <xdr:col>7</xdr:col>
      <xdr:colOff>175125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C43EE09-0E1E-411B-802F-EE093F8B542C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7</xdr:col>
      <xdr:colOff>200025</xdr:colOff>
      <xdr:row>0</xdr:row>
      <xdr:rowOff>85725</xdr:rowOff>
    </xdr:from>
    <xdr:to>
      <xdr:col>9</xdr:col>
      <xdr:colOff>60825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B47D3C6-3F67-4DA9-9242-F1A79B57E80C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3</xdr:col>
      <xdr:colOff>66675</xdr:colOff>
      <xdr:row>0</xdr:row>
      <xdr:rowOff>371475</xdr:rowOff>
    </xdr:from>
    <xdr:to>
      <xdr:col>3</xdr:col>
      <xdr:colOff>786675</xdr:colOff>
      <xdr:row>0</xdr:row>
      <xdr:rowOff>388425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87C78C38-1504-4D84-B360-B472A3937B4A}"/>
            </a:ext>
          </a:extLst>
        </xdr:cNvPr>
        <xdr:cNvSpPr/>
      </xdr:nvSpPr>
      <xdr:spPr>
        <a:xfrm>
          <a:off x="2771775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2095500</xdr:colOff>
      <xdr:row>0</xdr:row>
      <xdr:rowOff>85725</xdr:rowOff>
    </xdr:from>
    <xdr:to>
      <xdr:col>3</xdr:col>
      <xdr:colOff>3175500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8470724-82EC-41FD-9B18-026DA80EA84E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2</xdr:col>
      <xdr:colOff>742950</xdr:colOff>
      <xdr:row>1</xdr:row>
      <xdr:rowOff>142875</xdr:rowOff>
    </xdr:from>
    <xdr:to>
      <xdr:col>2</xdr:col>
      <xdr:colOff>1822950</xdr:colOff>
      <xdr:row>2</xdr:row>
      <xdr:rowOff>13875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4F75A83-85AB-4721-B0A9-BBD54BA1450E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Informações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562980FC-73C9-4876-8466-BA69B9674348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A3185420-F2DB-63DB-C3D4-D5AAB349C02D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220D6425-C1C4-151C-E433-D39676D89F63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4" name="Meio-quadro 13">
            <a:extLst>
              <a:ext uri="{FF2B5EF4-FFF2-40B4-BE49-F238E27FC236}">
                <a16:creationId xmlns:a16="http://schemas.microsoft.com/office/drawing/2014/main" id="{DEA633C0-55B2-F939-377A-966830F37C2F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1838325</xdr:colOff>
      <xdr:row>1</xdr:row>
      <xdr:rowOff>142875</xdr:rowOff>
    </xdr:from>
    <xdr:to>
      <xdr:col>3</xdr:col>
      <xdr:colOff>441825</xdr:colOff>
      <xdr:row>2</xdr:row>
      <xdr:rowOff>13875</xdr:rowOff>
    </xdr:to>
    <xdr:sp macro="" textlink="">
      <xdr:nvSpPr>
        <xdr:cNvPr id="15" name="Retângul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9BB95CD-55D2-48AB-AFEB-3CB075C10B4A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Parâmetros</a:t>
          </a:r>
        </a:p>
      </xdr:txBody>
    </xdr:sp>
    <xdr:clientData/>
  </xdr:twoCellAnchor>
  <xdr:twoCellAnchor editAs="absolute">
    <xdr:from>
      <xdr:col>3</xdr:col>
      <xdr:colOff>457200</xdr:colOff>
      <xdr:row>1</xdr:row>
      <xdr:rowOff>142875</xdr:rowOff>
    </xdr:from>
    <xdr:to>
      <xdr:col>3</xdr:col>
      <xdr:colOff>1537200</xdr:colOff>
      <xdr:row>2</xdr:row>
      <xdr:rowOff>13875</xdr:rowOff>
    </xdr:to>
    <xdr:sp macro="" textlink="">
      <xdr:nvSpPr>
        <xdr:cNvPr id="16" name="Retâ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15F4285-8DEF-4552-AB84-16D99AC4448B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Tabelas</a:t>
          </a:r>
        </a:p>
      </xdr:txBody>
    </xdr:sp>
    <xdr:clientData/>
  </xdr:twoCellAnchor>
  <xdr:twoCellAnchor editAs="absolute">
    <xdr:from>
      <xdr:col>3</xdr:col>
      <xdr:colOff>1552575</xdr:colOff>
      <xdr:row>1</xdr:row>
      <xdr:rowOff>142875</xdr:rowOff>
    </xdr:from>
    <xdr:to>
      <xdr:col>3</xdr:col>
      <xdr:colOff>2632575</xdr:colOff>
      <xdr:row>2</xdr:row>
      <xdr:rowOff>13875</xdr:rowOff>
    </xdr:to>
    <xdr:sp macro="" textlink="">
      <xdr:nvSpPr>
        <xdr:cNvPr id="17" name="Retângulo 1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3455B56-1CBE-427F-9E15-47F93114CBDF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Transição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161925</xdr:rowOff>
    </xdr:from>
    <xdr:to>
      <xdr:col>17</xdr:col>
      <xdr:colOff>0</xdr:colOff>
      <xdr:row>2</xdr:row>
      <xdr:rowOff>701925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A7013EFC-2402-DD7F-10FB-8E9DA3072242}"/>
            </a:ext>
          </a:extLst>
        </xdr:cNvPr>
        <xdr:cNvSpPr/>
      </xdr:nvSpPr>
      <xdr:spPr>
        <a:xfrm>
          <a:off x="3486150" y="981075"/>
          <a:ext cx="8391525" cy="540000"/>
        </a:xfrm>
        <a:prstGeom prst="rect">
          <a:avLst/>
        </a:prstGeom>
        <a:noFill/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oneCellAnchor>
    <xdr:from>
      <xdr:col>7</xdr:col>
      <xdr:colOff>333375</xdr:colOff>
      <xdr:row>2</xdr:row>
      <xdr:rowOff>381000</xdr:rowOff>
    </xdr:from>
    <xdr:ext cx="184731" cy="264560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C2E063B6-55B8-ECBD-DEC1-4B3F3579569F}"/>
            </a:ext>
          </a:extLst>
        </xdr:cNvPr>
        <xdr:cNvSpPr txBox="1"/>
      </xdr:nvSpPr>
      <xdr:spPr>
        <a:xfrm>
          <a:off x="4267200" y="1200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 kern="12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2</xdr:row>
          <xdr:rowOff>314325</xdr:rowOff>
        </xdr:from>
        <xdr:to>
          <xdr:col>15</xdr:col>
          <xdr:colOff>371475</xdr:colOff>
          <xdr:row>2</xdr:row>
          <xdr:rowOff>552450</xdr:rowOff>
        </xdr:to>
        <xdr:sp macro="" textlink="">
          <xdr:nvSpPr>
            <xdr:cNvPr id="20481" name="Check Box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0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 empresa possui faturamento tributado em múltiplas alíquotas de ICMS, IPI ou ISS</a:t>
              </a:r>
            </a:p>
          </xdr:txBody>
        </xdr:sp>
        <xdr:clientData/>
      </xdr:twoCellAnchor>
    </mc:Choice>
    <mc:Fallback/>
  </mc:AlternateContent>
  <xdr:twoCellAnchor editAs="absolute">
    <xdr:from>
      <xdr:col>3</xdr:col>
      <xdr:colOff>809625</xdr:colOff>
      <xdr:row>0</xdr:row>
      <xdr:rowOff>85725</xdr:rowOff>
    </xdr:from>
    <xdr:to>
      <xdr:col>3</xdr:col>
      <xdr:colOff>1889625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DD7A48E-4BCC-4E02-A75A-516BACFC82E0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3</xdr:col>
      <xdr:colOff>1914525</xdr:colOff>
      <xdr:row>0</xdr:row>
      <xdr:rowOff>85725</xdr:rowOff>
    </xdr:from>
    <xdr:to>
      <xdr:col>4</xdr:col>
      <xdr:colOff>708525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DE99BC-8AC6-4473-B146-52101EBAA083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4</xdr:col>
      <xdr:colOff>733425</xdr:colOff>
      <xdr:row>0</xdr:row>
      <xdr:rowOff>85725</xdr:rowOff>
    </xdr:from>
    <xdr:to>
      <xdr:col>7</xdr:col>
      <xdr:colOff>70350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ACE155C-375E-477D-AA32-1DAEE8CF42BA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8</xdr:col>
      <xdr:colOff>152400</xdr:colOff>
      <xdr:row>0</xdr:row>
      <xdr:rowOff>85725</xdr:rowOff>
    </xdr:from>
    <xdr:to>
      <xdr:col>9</xdr:col>
      <xdr:colOff>318000</xdr:colOff>
      <xdr:row>0</xdr:row>
      <xdr:rowOff>373725</xdr:rowOff>
    </xdr:to>
    <xdr:sp macro="" textlink="">
      <xdr:nvSpPr>
        <xdr:cNvPr id="8" name="Retângul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8B558C2-F4D7-4C3A-957B-5BDD578FB135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9</xdr:col>
      <xdr:colOff>342900</xdr:colOff>
      <xdr:row>0</xdr:row>
      <xdr:rowOff>85725</xdr:rowOff>
    </xdr:from>
    <xdr:to>
      <xdr:col>11</xdr:col>
      <xdr:colOff>594225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3773F15-3885-4204-9972-6838C075DBBC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11</xdr:col>
      <xdr:colOff>619125</xdr:colOff>
      <xdr:row>0</xdr:row>
      <xdr:rowOff>85725</xdr:rowOff>
    </xdr:from>
    <xdr:to>
      <xdr:col>12</xdr:col>
      <xdr:colOff>651375</xdr:colOff>
      <xdr:row>0</xdr:row>
      <xdr:rowOff>373725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4A94F9C-B837-4E0F-85CE-D853118363E9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3</xdr:col>
      <xdr:colOff>2095500</xdr:colOff>
      <xdr:row>0</xdr:row>
      <xdr:rowOff>371475</xdr:rowOff>
    </xdr:from>
    <xdr:to>
      <xdr:col>4</xdr:col>
      <xdr:colOff>529500</xdr:colOff>
      <xdr:row>0</xdr:row>
      <xdr:rowOff>388425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893AFC32-9E77-4F5C-BDCF-EC2A4513CA88}"/>
            </a:ext>
          </a:extLst>
        </xdr:cNvPr>
        <xdr:cNvSpPr/>
      </xdr:nvSpPr>
      <xdr:spPr>
        <a:xfrm>
          <a:off x="2771775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95250</xdr:colOff>
      <xdr:row>0</xdr:row>
      <xdr:rowOff>85725</xdr:rowOff>
    </xdr:from>
    <xdr:to>
      <xdr:col>8</xdr:col>
      <xdr:colOff>127500</xdr:colOff>
      <xdr:row>0</xdr:row>
      <xdr:rowOff>373725</xdr:rowOff>
    </xdr:to>
    <xdr:sp macro="" textlink="">
      <xdr:nvSpPr>
        <xdr:cNvPr id="12" name="Retângul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1FEB978-6FA4-414A-B7CB-70304BD08CE5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3</xdr:col>
      <xdr:colOff>295275</xdr:colOff>
      <xdr:row>1</xdr:row>
      <xdr:rowOff>142875</xdr:rowOff>
    </xdr:from>
    <xdr:to>
      <xdr:col>3</xdr:col>
      <xdr:colOff>1375275</xdr:colOff>
      <xdr:row>2</xdr:row>
      <xdr:rowOff>13875</xdr:rowOff>
    </xdr:to>
    <xdr:sp macro="" textlink="">
      <xdr:nvSpPr>
        <xdr:cNvPr id="13" name="Retângulo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5D45380-5D95-49CA-998D-E3C5921710EA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Informações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3</xdr:col>
      <xdr:colOff>340684</xdr:colOff>
      <xdr:row>0</xdr:row>
      <xdr:rowOff>428625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30069E4C-F6A5-456C-A7A8-346288C2E727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4AB17954-249C-C32E-39A2-B5772A0CA283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6" name="Meio-quadro 15">
            <a:extLst>
              <a:ext uri="{FF2B5EF4-FFF2-40B4-BE49-F238E27FC236}">
                <a16:creationId xmlns:a16="http://schemas.microsoft.com/office/drawing/2014/main" id="{4DD77DB4-9277-132B-D937-822AEA9D887B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7" name="Meio-quadro 16">
            <a:extLst>
              <a:ext uri="{FF2B5EF4-FFF2-40B4-BE49-F238E27FC236}">
                <a16:creationId xmlns:a16="http://schemas.microsoft.com/office/drawing/2014/main" id="{345AAB06-00FE-1F51-99C5-23755D3DE2EC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3</xdr:col>
      <xdr:colOff>1390650</xdr:colOff>
      <xdr:row>1</xdr:row>
      <xdr:rowOff>142875</xdr:rowOff>
    </xdr:from>
    <xdr:to>
      <xdr:col>4</xdr:col>
      <xdr:colOff>184650</xdr:colOff>
      <xdr:row>2</xdr:row>
      <xdr:rowOff>13875</xdr:rowOff>
    </xdr:to>
    <xdr:sp macro="" textlink="">
      <xdr:nvSpPr>
        <xdr:cNvPr id="18" name="Retângulo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B122FEB-0EDF-47C4-9650-E6C489E43C74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Parâmetros</a:t>
          </a:r>
        </a:p>
      </xdr:txBody>
    </xdr:sp>
    <xdr:clientData/>
  </xdr:twoCellAnchor>
  <xdr:twoCellAnchor editAs="absolute">
    <xdr:from>
      <xdr:col>4</xdr:col>
      <xdr:colOff>200025</xdr:colOff>
      <xdr:row>1</xdr:row>
      <xdr:rowOff>142875</xdr:rowOff>
    </xdr:from>
    <xdr:to>
      <xdr:col>5</xdr:col>
      <xdr:colOff>365625</xdr:colOff>
      <xdr:row>2</xdr:row>
      <xdr:rowOff>13875</xdr:rowOff>
    </xdr:to>
    <xdr:sp macro="" textlink="">
      <xdr:nvSpPr>
        <xdr:cNvPr id="19" name="Retângulo 1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47939416-B32F-41F8-A5B7-36AC57998DE6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Tabelas</a:t>
          </a:r>
        </a:p>
      </xdr:txBody>
    </xdr:sp>
    <xdr:clientData/>
  </xdr:twoCellAnchor>
  <xdr:twoCellAnchor editAs="absolute">
    <xdr:from>
      <xdr:col>6</xdr:col>
      <xdr:colOff>0</xdr:colOff>
      <xdr:row>1</xdr:row>
      <xdr:rowOff>142875</xdr:rowOff>
    </xdr:from>
    <xdr:to>
      <xdr:col>7</xdr:col>
      <xdr:colOff>632325</xdr:colOff>
      <xdr:row>2</xdr:row>
      <xdr:rowOff>13875</xdr:rowOff>
    </xdr:to>
    <xdr:sp macro="" textlink="">
      <xdr:nvSpPr>
        <xdr:cNvPr id="20" name="Retângulo 1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6F019D78-C1D7-4543-B758-F5A72E2219A5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Transição</a:t>
          </a:r>
        </a:p>
      </xdr:txBody>
    </xdr:sp>
    <xdr:clientData/>
  </xdr:twoCellAnchor>
  <xdr:twoCellAnchor editAs="absolute">
    <xdr:from>
      <xdr:col>1</xdr:col>
      <xdr:colOff>104774</xdr:colOff>
      <xdr:row>2</xdr:row>
      <xdr:rowOff>333375</xdr:rowOff>
    </xdr:from>
    <xdr:to>
      <xdr:col>3</xdr:col>
      <xdr:colOff>727199</xdr:colOff>
      <xdr:row>2</xdr:row>
      <xdr:rowOff>585375</xdr:rowOff>
    </xdr:to>
    <xdr:sp macro="" textlink="">
      <xdr:nvSpPr>
        <xdr:cNvPr id="32" name="Retângulo 3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2427D7C-8FAF-4682-9DE2-C22ED6C8478C}"/>
            </a:ext>
          </a:extLst>
        </xdr:cNvPr>
        <xdr:cNvSpPr/>
      </xdr:nvSpPr>
      <xdr:spPr>
        <a:xfrm>
          <a:off x="219074" y="1152525"/>
          <a:ext cx="1184400" cy="252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bg1"/>
              </a:solidFill>
            </a:rPr>
            <a:t>Lucro Real</a:t>
          </a:r>
        </a:p>
      </xdr:txBody>
    </xdr:sp>
    <xdr:clientData/>
  </xdr:twoCellAnchor>
  <xdr:twoCellAnchor editAs="absolute">
    <xdr:from>
      <xdr:col>3</xdr:col>
      <xdr:colOff>723900</xdr:colOff>
      <xdr:row>2</xdr:row>
      <xdr:rowOff>323850</xdr:rowOff>
    </xdr:from>
    <xdr:to>
      <xdr:col>3</xdr:col>
      <xdr:colOff>723900</xdr:colOff>
      <xdr:row>2</xdr:row>
      <xdr:rowOff>575850</xdr:rowOff>
    </xdr:to>
    <xdr:cxnSp macro="">
      <xdr:nvCxnSpPr>
        <xdr:cNvPr id="33" name="Conector reto 32">
          <a:extLst>
            <a:ext uri="{FF2B5EF4-FFF2-40B4-BE49-F238E27FC236}">
              <a16:creationId xmlns:a16="http://schemas.microsoft.com/office/drawing/2014/main" id="{E5E991CD-562C-4467-BF8C-DF0CF879A2B2}"/>
            </a:ext>
          </a:extLst>
        </xdr:cNvPr>
        <xdr:cNvCxnSpPr/>
      </xdr:nvCxnSpPr>
      <xdr:spPr>
        <a:xfrm>
          <a:off x="1400175" y="1143000"/>
          <a:ext cx="0" cy="25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104775</xdr:colOff>
      <xdr:row>2</xdr:row>
      <xdr:rowOff>581025</xdr:rowOff>
    </xdr:from>
    <xdr:to>
      <xdr:col>3</xdr:col>
      <xdr:colOff>727200</xdr:colOff>
      <xdr:row>2</xdr:row>
      <xdr:rowOff>581025</xdr:rowOff>
    </xdr:to>
    <xdr:cxnSp macro="">
      <xdr:nvCxnSpPr>
        <xdr:cNvPr id="34" name="Conector reto 33">
          <a:extLst>
            <a:ext uri="{FF2B5EF4-FFF2-40B4-BE49-F238E27FC236}">
              <a16:creationId xmlns:a16="http://schemas.microsoft.com/office/drawing/2014/main" id="{E0FCCB84-6F6E-4429-8235-0F93DC875E36}"/>
            </a:ext>
          </a:extLst>
        </xdr:cNvPr>
        <xdr:cNvCxnSpPr/>
      </xdr:nvCxnSpPr>
      <xdr:spPr>
        <a:xfrm>
          <a:off x="219075" y="1400175"/>
          <a:ext cx="1184400" cy="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761999</xdr:colOff>
      <xdr:row>2</xdr:row>
      <xdr:rowOff>333375</xdr:rowOff>
    </xdr:from>
    <xdr:to>
      <xdr:col>3</xdr:col>
      <xdr:colOff>1946399</xdr:colOff>
      <xdr:row>2</xdr:row>
      <xdr:rowOff>585375</xdr:rowOff>
    </xdr:to>
    <xdr:sp macro="" textlink="">
      <xdr:nvSpPr>
        <xdr:cNvPr id="35" name="Retângulo 3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62771D2-0BC9-4849-9D07-18130FD0F219}"/>
            </a:ext>
          </a:extLst>
        </xdr:cNvPr>
        <xdr:cNvSpPr/>
      </xdr:nvSpPr>
      <xdr:spPr>
        <a:xfrm>
          <a:off x="1438274" y="1152525"/>
          <a:ext cx="11844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Lucro Presumido</a:t>
          </a:r>
        </a:p>
      </xdr:txBody>
    </xdr:sp>
    <xdr:clientData/>
  </xdr:twoCellAnchor>
  <xdr:twoCellAnchor editAs="absolute">
    <xdr:from>
      <xdr:col>3</xdr:col>
      <xdr:colOff>1943100</xdr:colOff>
      <xdr:row>2</xdr:row>
      <xdr:rowOff>323850</xdr:rowOff>
    </xdr:from>
    <xdr:to>
      <xdr:col>3</xdr:col>
      <xdr:colOff>1943100</xdr:colOff>
      <xdr:row>2</xdr:row>
      <xdr:rowOff>575850</xdr:rowOff>
    </xdr:to>
    <xdr:cxnSp macro="">
      <xdr:nvCxnSpPr>
        <xdr:cNvPr id="36" name="Conector reto 35">
          <a:extLst>
            <a:ext uri="{FF2B5EF4-FFF2-40B4-BE49-F238E27FC236}">
              <a16:creationId xmlns:a16="http://schemas.microsoft.com/office/drawing/2014/main" id="{93699FE7-DF56-44B4-A260-0D81275D9DEB}"/>
            </a:ext>
          </a:extLst>
        </xdr:cNvPr>
        <xdr:cNvCxnSpPr/>
      </xdr:nvCxnSpPr>
      <xdr:spPr>
        <a:xfrm>
          <a:off x="2619375" y="1143000"/>
          <a:ext cx="0" cy="25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762000</xdr:colOff>
      <xdr:row>2</xdr:row>
      <xdr:rowOff>581025</xdr:rowOff>
    </xdr:from>
    <xdr:to>
      <xdr:col>3</xdr:col>
      <xdr:colOff>1946400</xdr:colOff>
      <xdr:row>2</xdr:row>
      <xdr:rowOff>581025</xdr:rowOff>
    </xdr:to>
    <xdr:cxnSp macro="">
      <xdr:nvCxnSpPr>
        <xdr:cNvPr id="37" name="Conector reto 36">
          <a:extLst>
            <a:ext uri="{FF2B5EF4-FFF2-40B4-BE49-F238E27FC236}">
              <a16:creationId xmlns:a16="http://schemas.microsoft.com/office/drawing/2014/main" id="{C3A2AA74-F649-445F-BF1E-8E6A966DBC4D}"/>
            </a:ext>
          </a:extLst>
        </xdr:cNvPr>
        <xdr:cNvCxnSpPr/>
      </xdr:nvCxnSpPr>
      <xdr:spPr>
        <a:xfrm>
          <a:off x="1438275" y="1400175"/>
          <a:ext cx="1184400" cy="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1981200</xdr:colOff>
      <xdr:row>2</xdr:row>
      <xdr:rowOff>333375</xdr:rowOff>
    </xdr:from>
    <xdr:to>
      <xdr:col>4</xdr:col>
      <xdr:colOff>879600</xdr:colOff>
      <xdr:row>2</xdr:row>
      <xdr:rowOff>585375</xdr:rowOff>
    </xdr:to>
    <xdr:sp macro="" textlink="">
      <xdr:nvSpPr>
        <xdr:cNvPr id="38" name="Retângulo 3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90166690-B9DE-47F1-8E7D-3D1DFA06F1E9}"/>
            </a:ext>
          </a:extLst>
        </xdr:cNvPr>
        <xdr:cNvSpPr/>
      </xdr:nvSpPr>
      <xdr:spPr>
        <a:xfrm>
          <a:off x="2657475" y="1152525"/>
          <a:ext cx="11844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Simples Nacional</a:t>
          </a:r>
        </a:p>
      </xdr:txBody>
    </xdr:sp>
    <xdr:clientData/>
  </xdr:twoCellAnchor>
  <xdr:twoCellAnchor editAs="absolute">
    <xdr:from>
      <xdr:col>4</xdr:col>
      <xdr:colOff>876301</xdr:colOff>
      <xdr:row>2</xdr:row>
      <xdr:rowOff>323850</xdr:rowOff>
    </xdr:from>
    <xdr:to>
      <xdr:col>4</xdr:col>
      <xdr:colOff>876301</xdr:colOff>
      <xdr:row>2</xdr:row>
      <xdr:rowOff>575850</xdr:rowOff>
    </xdr:to>
    <xdr:cxnSp macro="">
      <xdr:nvCxnSpPr>
        <xdr:cNvPr id="39" name="Conector reto 38">
          <a:extLst>
            <a:ext uri="{FF2B5EF4-FFF2-40B4-BE49-F238E27FC236}">
              <a16:creationId xmlns:a16="http://schemas.microsoft.com/office/drawing/2014/main" id="{BFFFFA92-660C-435F-8925-DE8F4419DBDD}"/>
            </a:ext>
          </a:extLst>
        </xdr:cNvPr>
        <xdr:cNvCxnSpPr/>
      </xdr:nvCxnSpPr>
      <xdr:spPr>
        <a:xfrm>
          <a:off x="3838576" y="1143000"/>
          <a:ext cx="0" cy="25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1981201</xdr:colOff>
      <xdr:row>2</xdr:row>
      <xdr:rowOff>581025</xdr:rowOff>
    </xdr:from>
    <xdr:to>
      <xdr:col>4</xdr:col>
      <xdr:colOff>879601</xdr:colOff>
      <xdr:row>2</xdr:row>
      <xdr:rowOff>581025</xdr:rowOff>
    </xdr:to>
    <xdr:cxnSp macro="">
      <xdr:nvCxnSpPr>
        <xdr:cNvPr id="40" name="Conector reto 39">
          <a:extLst>
            <a:ext uri="{FF2B5EF4-FFF2-40B4-BE49-F238E27FC236}">
              <a16:creationId xmlns:a16="http://schemas.microsoft.com/office/drawing/2014/main" id="{FC3B1B3C-9487-46E1-9E27-A2754C21A864}"/>
            </a:ext>
          </a:extLst>
        </xdr:cNvPr>
        <xdr:cNvCxnSpPr/>
      </xdr:nvCxnSpPr>
      <xdr:spPr>
        <a:xfrm>
          <a:off x="2657476" y="1400175"/>
          <a:ext cx="1184400" cy="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161925</xdr:rowOff>
    </xdr:from>
    <xdr:to>
      <xdr:col>18</xdr:col>
      <xdr:colOff>0</xdr:colOff>
      <xdr:row>2</xdr:row>
      <xdr:rowOff>701925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4CA7C596-2595-455C-B792-59BD7E701915}"/>
            </a:ext>
          </a:extLst>
        </xdr:cNvPr>
        <xdr:cNvSpPr/>
      </xdr:nvSpPr>
      <xdr:spPr>
        <a:xfrm>
          <a:off x="3486150" y="981075"/>
          <a:ext cx="8391525" cy="540000"/>
        </a:xfrm>
        <a:prstGeom prst="rect">
          <a:avLst/>
        </a:prstGeom>
        <a:noFill/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oneCellAnchor>
    <xdr:from>
      <xdr:col>8</xdr:col>
      <xdr:colOff>333375</xdr:colOff>
      <xdr:row>2</xdr:row>
      <xdr:rowOff>381000</xdr:rowOff>
    </xdr:from>
    <xdr:ext cx="184731" cy="264560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10EBC534-C107-476E-872C-E88FB897B0AE}"/>
            </a:ext>
          </a:extLst>
        </xdr:cNvPr>
        <xdr:cNvSpPr txBox="1"/>
      </xdr:nvSpPr>
      <xdr:spPr>
        <a:xfrm>
          <a:off x="4267200" y="1200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 kern="12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485775</xdr:colOff>
          <xdr:row>2</xdr:row>
          <xdr:rowOff>314325</xdr:rowOff>
        </xdr:from>
        <xdr:to>
          <xdr:col>16</xdr:col>
          <xdr:colOff>371475</xdr:colOff>
          <xdr:row>2</xdr:row>
          <xdr:rowOff>552450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 empresa possui faturamento tributado em múltiplas alíquotas de ICMS, IPI ou ISS</a:t>
              </a:r>
            </a:p>
          </xdr:txBody>
        </xdr:sp>
        <xdr:clientData/>
      </xdr:twoCellAnchor>
    </mc:Choice>
    <mc:Fallback/>
  </mc:AlternateContent>
  <xdr:twoCellAnchor editAs="absolute">
    <xdr:from>
      <xdr:col>3</xdr:col>
      <xdr:colOff>809625</xdr:colOff>
      <xdr:row>0</xdr:row>
      <xdr:rowOff>85725</xdr:rowOff>
    </xdr:from>
    <xdr:to>
      <xdr:col>4</xdr:col>
      <xdr:colOff>508500</xdr:colOff>
      <xdr:row>0</xdr:row>
      <xdr:rowOff>373725</xdr:rowOff>
    </xdr:to>
    <xdr:sp macro="" textlink="">
      <xdr:nvSpPr>
        <xdr:cNvPr id="17" name="Retângulo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5DEAD5-3331-4646-AB92-DD561D7BD6C1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4</xdr:col>
      <xdr:colOff>533400</xdr:colOff>
      <xdr:row>0</xdr:row>
      <xdr:rowOff>85725</xdr:rowOff>
    </xdr:from>
    <xdr:to>
      <xdr:col>5</xdr:col>
      <xdr:colOff>699000</xdr:colOff>
      <xdr:row>0</xdr:row>
      <xdr:rowOff>373725</xdr:rowOff>
    </xdr:to>
    <xdr:sp macro="" textlink="">
      <xdr:nvSpPr>
        <xdr:cNvPr id="18" name="Retângul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E5B909E-7BB0-42DC-95C1-552871723C73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5</xdr:col>
      <xdr:colOff>723900</xdr:colOff>
      <xdr:row>0</xdr:row>
      <xdr:rowOff>85725</xdr:rowOff>
    </xdr:from>
    <xdr:to>
      <xdr:col>8</xdr:col>
      <xdr:colOff>60825</xdr:colOff>
      <xdr:row>0</xdr:row>
      <xdr:rowOff>373725</xdr:rowOff>
    </xdr:to>
    <xdr:sp macro="" textlink="">
      <xdr:nvSpPr>
        <xdr:cNvPr id="19" name="Retângulo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9C26E44-6AA9-438B-9F07-B6244DFDC857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9</xdr:col>
      <xdr:colOff>142875</xdr:colOff>
      <xdr:row>0</xdr:row>
      <xdr:rowOff>85725</xdr:rowOff>
    </xdr:from>
    <xdr:to>
      <xdr:col>10</xdr:col>
      <xdr:colOff>308475</xdr:colOff>
      <xdr:row>0</xdr:row>
      <xdr:rowOff>373725</xdr:rowOff>
    </xdr:to>
    <xdr:sp macro="" textlink="">
      <xdr:nvSpPr>
        <xdr:cNvPr id="20" name="Retângulo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E900C5E-AB4E-4FA8-B88A-3908AF810096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10</xdr:col>
      <xdr:colOff>333375</xdr:colOff>
      <xdr:row>0</xdr:row>
      <xdr:rowOff>85725</xdr:rowOff>
    </xdr:from>
    <xdr:to>
      <xdr:col>12</xdr:col>
      <xdr:colOff>584700</xdr:colOff>
      <xdr:row>0</xdr:row>
      <xdr:rowOff>373725</xdr:rowOff>
    </xdr:to>
    <xdr:sp macro="" textlink="">
      <xdr:nvSpPr>
        <xdr:cNvPr id="21" name="Retângulo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62D6A24-092C-4799-B18B-290E88961A7E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12</xdr:col>
      <xdr:colOff>609600</xdr:colOff>
      <xdr:row>0</xdr:row>
      <xdr:rowOff>85725</xdr:rowOff>
    </xdr:from>
    <xdr:to>
      <xdr:col>13</xdr:col>
      <xdr:colOff>641850</xdr:colOff>
      <xdr:row>0</xdr:row>
      <xdr:rowOff>373725</xdr:rowOff>
    </xdr:to>
    <xdr:sp macro="" textlink="">
      <xdr:nvSpPr>
        <xdr:cNvPr id="22" name="Retângulo 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59D5825-EF68-414B-918F-BDAC5E131D9F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4</xdr:col>
      <xdr:colOff>714375</xdr:colOff>
      <xdr:row>0</xdr:row>
      <xdr:rowOff>371475</xdr:rowOff>
    </xdr:from>
    <xdr:to>
      <xdr:col>5</xdr:col>
      <xdr:colOff>519975</xdr:colOff>
      <xdr:row>0</xdr:row>
      <xdr:rowOff>388425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EC4873D0-BC9B-4CF0-818C-1593B5D5C050}"/>
            </a:ext>
          </a:extLst>
        </xdr:cNvPr>
        <xdr:cNvSpPr/>
      </xdr:nvSpPr>
      <xdr:spPr>
        <a:xfrm>
          <a:off x="2771775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85725</xdr:colOff>
      <xdr:row>0</xdr:row>
      <xdr:rowOff>85725</xdr:rowOff>
    </xdr:from>
    <xdr:to>
      <xdr:col>9</xdr:col>
      <xdr:colOff>117975</xdr:colOff>
      <xdr:row>0</xdr:row>
      <xdr:rowOff>373725</xdr:rowOff>
    </xdr:to>
    <xdr:sp macro="" textlink="">
      <xdr:nvSpPr>
        <xdr:cNvPr id="24" name="Retângulo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0C4EBC8-24D5-43FC-B072-072880B15DFC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3</xdr:col>
      <xdr:colOff>295275</xdr:colOff>
      <xdr:row>1</xdr:row>
      <xdr:rowOff>142875</xdr:rowOff>
    </xdr:from>
    <xdr:to>
      <xdr:col>3</xdr:col>
      <xdr:colOff>1375275</xdr:colOff>
      <xdr:row>2</xdr:row>
      <xdr:rowOff>13875</xdr:rowOff>
    </xdr:to>
    <xdr:sp macro="" textlink="">
      <xdr:nvSpPr>
        <xdr:cNvPr id="25" name="Retângulo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A6062A8-7CA2-4EC7-9334-6839E97EB484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Informações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3</xdr:col>
      <xdr:colOff>340684</xdr:colOff>
      <xdr:row>0</xdr:row>
      <xdr:rowOff>428625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F395EA63-7505-470E-BA9E-27C9A818D42B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4D9CF186-7850-0B7A-776B-8522311C0DEF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28" name="Meio-quadro 27">
            <a:extLst>
              <a:ext uri="{FF2B5EF4-FFF2-40B4-BE49-F238E27FC236}">
                <a16:creationId xmlns:a16="http://schemas.microsoft.com/office/drawing/2014/main" id="{89A5E6B2-0512-F108-E014-B4144BC62B7E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29" name="Meio-quadro 28">
            <a:extLst>
              <a:ext uri="{FF2B5EF4-FFF2-40B4-BE49-F238E27FC236}">
                <a16:creationId xmlns:a16="http://schemas.microsoft.com/office/drawing/2014/main" id="{EE27362C-B527-FCFC-27C6-90AD20E307D2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4</xdr:col>
      <xdr:colOff>9525</xdr:colOff>
      <xdr:row>1</xdr:row>
      <xdr:rowOff>142875</xdr:rowOff>
    </xdr:from>
    <xdr:to>
      <xdr:col>5</xdr:col>
      <xdr:colOff>175125</xdr:colOff>
      <xdr:row>2</xdr:row>
      <xdr:rowOff>13875</xdr:rowOff>
    </xdr:to>
    <xdr:sp macro="" textlink="">
      <xdr:nvSpPr>
        <xdr:cNvPr id="30" name="Retângulo 2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52ABAF0-3DE7-41D3-9286-603019AB0B47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Parâmetros</a:t>
          </a:r>
        </a:p>
      </xdr:txBody>
    </xdr:sp>
    <xdr:clientData/>
  </xdr:twoCellAnchor>
  <xdr:twoCellAnchor editAs="absolute">
    <xdr:from>
      <xdr:col>5</xdr:col>
      <xdr:colOff>190500</xdr:colOff>
      <xdr:row>1</xdr:row>
      <xdr:rowOff>142875</xdr:rowOff>
    </xdr:from>
    <xdr:to>
      <xdr:col>6</xdr:col>
      <xdr:colOff>356100</xdr:colOff>
      <xdr:row>2</xdr:row>
      <xdr:rowOff>13875</xdr:rowOff>
    </xdr:to>
    <xdr:sp macro="" textlink="">
      <xdr:nvSpPr>
        <xdr:cNvPr id="31" name="Retângulo 3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6ACC49B6-3C8E-4595-98E4-842F7EBC7C35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Tabelas</a:t>
          </a:r>
        </a:p>
      </xdr:txBody>
    </xdr:sp>
    <xdr:clientData/>
  </xdr:twoCellAnchor>
  <xdr:twoCellAnchor editAs="absolute">
    <xdr:from>
      <xdr:col>6</xdr:col>
      <xdr:colOff>371475</xdr:colOff>
      <xdr:row>1</xdr:row>
      <xdr:rowOff>142875</xdr:rowOff>
    </xdr:from>
    <xdr:to>
      <xdr:col>8</xdr:col>
      <xdr:colOff>622800</xdr:colOff>
      <xdr:row>2</xdr:row>
      <xdr:rowOff>13875</xdr:rowOff>
    </xdr:to>
    <xdr:sp macro="" textlink="">
      <xdr:nvSpPr>
        <xdr:cNvPr id="32" name="Retângulo 3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F8AE0680-9B4F-4334-88BB-321C5C5074D2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Transição</a:t>
          </a:r>
        </a:p>
      </xdr:txBody>
    </xdr:sp>
    <xdr:clientData/>
  </xdr:twoCellAnchor>
  <xdr:twoCellAnchor editAs="absolute">
    <xdr:from>
      <xdr:col>1</xdr:col>
      <xdr:colOff>104774</xdr:colOff>
      <xdr:row>2</xdr:row>
      <xdr:rowOff>333375</xdr:rowOff>
    </xdr:from>
    <xdr:to>
      <xdr:col>3</xdr:col>
      <xdr:colOff>727199</xdr:colOff>
      <xdr:row>2</xdr:row>
      <xdr:rowOff>585375</xdr:rowOff>
    </xdr:to>
    <xdr:sp macro="" textlink="">
      <xdr:nvSpPr>
        <xdr:cNvPr id="2" name="Retângulo 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F09ECB2-0FC2-4C0B-8181-8D073B1A958B}"/>
            </a:ext>
          </a:extLst>
        </xdr:cNvPr>
        <xdr:cNvSpPr/>
      </xdr:nvSpPr>
      <xdr:spPr>
        <a:xfrm>
          <a:off x="219074" y="1152525"/>
          <a:ext cx="11844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Lucro Real</a:t>
          </a:r>
        </a:p>
      </xdr:txBody>
    </xdr:sp>
    <xdr:clientData/>
  </xdr:twoCellAnchor>
  <xdr:twoCellAnchor editAs="absolute">
    <xdr:from>
      <xdr:col>3</xdr:col>
      <xdr:colOff>723900</xdr:colOff>
      <xdr:row>2</xdr:row>
      <xdr:rowOff>323850</xdr:rowOff>
    </xdr:from>
    <xdr:to>
      <xdr:col>3</xdr:col>
      <xdr:colOff>723900</xdr:colOff>
      <xdr:row>2</xdr:row>
      <xdr:rowOff>575850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F12610CC-893B-4F1E-BAD2-43188BE2BBB5}"/>
            </a:ext>
          </a:extLst>
        </xdr:cNvPr>
        <xdr:cNvCxnSpPr/>
      </xdr:nvCxnSpPr>
      <xdr:spPr>
        <a:xfrm>
          <a:off x="1400175" y="1143000"/>
          <a:ext cx="0" cy="25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104775</xdr:colOff>
      <xdr:row>2</xdr:row>
      <xdr:rowOff>581025</xdr:rowOff>
    </xdr:from>
    <xdr:to>
      <xdr:col>3</xdr:col>
      <xdr:colOff>727200</xdr:colOff>
      <xdr:row>2</xdr:row>
      <xdr:rowOff>581025</xdr:rowOff>
    </xdr:to>
    <xdr:cxnSp macro="">
      <xdr:nvCxnSpPr>
        <xdr:cNvPr id="7" name="Conector reto 6">
          <a:extLst>
            <a:ext uri="{FF2B5EF4-FFF2-40B4-BE49-F238E27FC236}">
              <a16:creationId xmlns:a16="http://schemas.microsoft.com/office/drawing/2014/main" id="{57F49B95-0773-4EE4-8AFA-5684828EF676}"/>
            </a:ext>
          </a:extLst>
        </xdr:cNvPr>
        <xdr:cNvCxnSpPr/>
      </xdr:nvCxnSpPr>
      <xdr:spPr>
        <a:xfrm>
          <a:off x="219075" y="1400175"/>
          <a:ext cx="1184400" cy="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761999</xdr:colOff>
      <xdr:row>2</xdr:row>
      <xdr:rowOff>333375</xdr:rowOff>
    </xdr:from>
    <xdr:to>
      <xdr:col>4</xdr:col>
      <xdr:colOff>565274</xdr:colOff>
      <xdr:row>2</xdr:row>
      <xdr:rowOff>585375</xdr:rowOff>
    </xdr:to>
    <xdr:sp macro="" textlink="">
      <xdr:nvSpPr>
        <xdr:cNvPr id="10" name="Retângulo 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405B867-4BAD-4AE3-892E-FB5F238A48FE}"/>
            </a:ext>
          </a:extLst>
        </xdr:cNvPr>
        <xdr:cNvSpPr/>
      </xdr:nvSpPr>
      <xdr:spPr>
        <a:xfrm>
          <a:off x="1438274" y="1152525"/>
          <a:ext cx="1184400" cy="252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bg1"/>
              </a:solidFill>
            </a:rPr>
            <a:t>Lucro Presumido</a:t>
          </a:r>
        </a:p>
      </xdr:txBody>
    </xdr:sp>
    <xdr:clientData/>
  </xdr:twoCellAnchor>
  <xdr:twoCellAnchor editAs="absolute">
    <xdr:from>
      <xdr:col>4</xdr:col>
      <xdr:colOff>561975</xdr:colOff>
      <xdr:row>2</xdr:row>
      <xdr:rowOff>323850</xdr:rowOff>
    </xdr:from>
    <xdr:to>
      <xdr:col>4</xdr:col>
      <xdr:colOff>561975</xdr:colOff>
      <xdr:row>2</xdr:row>
      <xdr:rowOff>575850</xdr:rowOff>
    </xdr:to>
    <xdr:cxnSp macro="">
      <xdr:nvCxnSpPr>
        <xdr:cNvPr id="33" name="Conector reto 32">
          <a:extLst>
            <a:ext uri="{FF2B5EF4-FFF2-40B4-BE49-F238E27FC236}">
              <a16:creationId xmlns:a16="http://schemas.microsoft.com/office/drawing/2014/main" id="{97F3F56B-86F6-419C-BC63-964A0F1E520B}"/>
            </a:ext>
          </a:extLst>
        </xdr:cNvPr>
        <xdr:cNvCxnSpPr/>
      </xdr:nvCxnSpPr>
      <xdr:spPr>
        <a:xfrm>
          <a:off x="2619375" y="1143000"/>
          <a:ext cx="0" cy="25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762000</xdr:colOff>
      <xdr:row>2</xdr:row>
      <xdr:rowOff>581025</xdr:rowOff>
    </xdr:from>
    <xdr:to>
      <xdr:col>4</xdr:col>
      <xdr:colOff>565275</xdr:colOff>
      <xdr:row>2</xdr:row>
      <xdr:rowOff>581025</xdr:rowOff>
    </xdr:to>
    <xdr:cxnSp macro="">
      <xdr:nvCxnSpPr>
        <xdr:cNvPr id="34" name="Conector reto 33">
          <a:extLst>
            <a:ext uri="{FF2B5EF4-FFF2-40B4-BE49-F238E27FC236}">
              <a16:creationId xmlns:a16="http://schemas.microsoft.com/office/drawing/2014/main" id="{C7BF479E-C160-4468-8142-A280D98C758F}"/>
            </a:ext>
          </a:extLst>
        </xdr:cNvPr>
        <xdr:cNvCxnSpPr/>
      </xdr:nvCxnSpPr>
      <xdr:spPr>
        <a:xfrm>
          <a:off x="1438275" y="1400175"/>
          <a:ext cx="1184400" cy="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600075</xdr:colOff>
      <xdr:row>2</xdr:row>
      <xdr:rowOff>333375</xdr:rowOff>
    </xdr:from>
    <xdr:to>
      <xdr:col>5</xdr:col>
      <xdr:colOff>870075</xdr:colOff>
      <xdr:row>2</xdr:row>
      <xdr:rowOff>585375</xdr:rowOff>
    </xdr:to>
    <xdr:sp macro="" textlink="">
      <xdr:nvSpPr>
        <xdr:cNvPr id="35" name="Retângulo 3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4476ECB-8DEC-479A-80CA-A21201C6A12B}"/>
            </a:ext>
          </a:extLst>
        </xdr:cNvPr>
        <xdr:cNvSpPr/>
      </xdr:nvSpPr>
      <xdr:spPr>
        <a:xfrm>
          <a:off x="2657475" y="1152525"/>
          <a:ext cx="11844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Simples Nacional</a:t>
          </a:r>
        </a:p>
      </xdr:txBody>
    </xdr:sp>
    <xdr:clientData/>
  </xdr:twoCellAnchor>
  <xdr:twoCellAnchor editAs="absolute">
    <xdr:from>
      <xdr:col>5</xdr:col>
      <xdr:colOff>866776</xdr:colOff>
      <xdr:row>2</xdr:row>
      <xdr:rowOff>323850</xdr:rowOff>
    </xdr:from>
    <xdr:to>
      <xdr:col>5</xdr:col>
      <xdr:colOff>866776</xdr:colOff>
      <xdr:row>2</xdr:row>
      <xdr:rowOff>575850</xdr:rowOff>
    </xdr:to>
    <xdr:cxnSp macro="">
      <xdr:nvCxnSpPr>
        <xdr:cNvPr id="36" name="Conector reto 35">
          <a:extLst>
            <a:ext uri="{FF2B5EF4-FFF2-40B4-BE49-F238E27FC236}">
              <a16:creationId xmlns:a16="http://schemas.microsoft.com/office/drawing/2014/main" id="{56891713-CE36-4834-810A-735D7B090017}"/>
            </a:ext>
          </a:extLst>
        </xdr:cNvPr>
        <xdr:cNvCxnSpPr/>
      </xdr:nvCxnSpPr>
      <xdr:spPr>
        <a:xfrm>
          <a:off x="3838576" y="1143000"/>
          <a:ext cx="0" cy="25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600076</xdr:colOff>
      <xdr:row>2</xdr:row>
      <xdr:rowOff>581025</xdr:rowOff>
    </xdr:from>
    <xdr:to>
      <xdr:col>5</xdr:col>
      <xdr:colOff>870076</xdr:colOff>
      <xdr:row>2</xdr:row>
      <xdr:rowOff>581025</xdr:rowOff>
    </xdr:to>
    <xdr:cxnSp macro="">
      <xdr:nvCxnSpPr>
        <xdr:cNvPr id="37" name="Conector reto 36">
          <a:extLst>
            <a:ext uri="{FF2B5EF4-FFF2-40B4-BE49-F238E27FC236}">
              <a16:creationId xmlns:a16="http://schemas.microsoft.com/office/drawing/2014/main" id="{E09C18B1-0F1E-473E-93E9-F1AB71E42BC1}"/>
            </a:ext>
          </a:extLst>
        </xdr:cNvPr>
        <xdr:cNvCxnSpPr/>
      </xdr:nvCxnSpPr>
      <xdr:spPr>
        <a:xfrm>
          <a:off x="2657476" y="1400175"/>
          <a:ext cx="1184400" cy="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809625</xdr:colOff>
      <xdr:row>0</xdr:row>
      <xdr:rowOff>85725</xdr:rowOff>
    </xdr:from>
    <xdr:to>
      <xdr:col>4</xdr:col>
      <xdr:colOff>508500</xdr:colOff>
      <xdr:row>0</xdr:row>
      <xdr:rowOff>373725</xdr:rowOff>
    </xdr:to>
    <xdr:sp macro="" textlink="">
      <xdr:nvSpPr>
        <xdr:cNvPr id="12" name="Retângulo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5860AE-4CA8-4F68-AF67-B092675F0D5E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4</xdr:col>
      <xdr:colOff>533400</xdr:colOff>
      <xdr:row>0</xdr:row>
      <xdr:rowOff>85725</xdr:rowOff>
    </xdr:from>
    <xdr:to>
      <xdr:col>5</xdr:col>
      <xdr:colOff>232275</xdr:colOff>
      <xdr:row>0</xdr:row>
      <xdr:rowOff>373725</xdr:rowOff>
    </xdr:to>
    <xdr:sp macro="" textlink="">
      <xdr:nvSpPr>
        <xdr:cNvPr id="13" name="Retângulo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3658BCB-9D89-484D-BC74-F9A45E4DB2BA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5</xdr:col>
      <xdr:colOff>257175</xdr:colOff>
      <xdr:row>0</xdr:row>
      <xdr:rowOff>85725</xdr:rowOff>
    </xdr:from>
    <xdr:to>
      <xdr:col>6</xdr:col>
      <xdr:colOff>89400</xdr:colOff>
      <xdr:row>0</xdr:row>
      <xdr:rowOff>373725</xdr:rowOff>
    </xdr:to>
    <xdr:sp macro="" textlink="">
      <xdr:nvSpPr>
        <xdr:cNvPr id="14" name="Retângulo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A2269F0-6A97-4FA1-BA80-C8D698FED5BE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6</xdr:col>
      <xdr:colOff>1219200</xdr:colOff>
      <xdr:row>0</xdr:row>
      <xdr:rowOff>85725</xdr:rowOff>
    </xdr:from>
    <xdr:to>
      <xdr:col>7</xdr:col>
      <xdr:colOff>1051425</xdr:colOff>
      <xdr:row>0</xdr:row>
      <xdr:rowOff>373725</xdr:rowOff>
    </xdr:to>
    <xdr:sp macro="" textlink="">
      <xdr:nvSpPr>
        <xdr:cNvPr id="15" name="Retângulo 1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C3DAEE6-45BC-45A0-9E43-928DAFB871E4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7</xdr:col>
      <xdr:colOff>1076325</xdr:colOff>
      <xdr:row>0</xdr:row>
      <xdr:rowOff>85725</xdr:rowOff>
    </xdr:from>
    <xdr:to>
      <xdr:col>8</xdr:col>
      <xdr:colOff>908550</xdr:colOff>
      <xdr:row>0</xdr:row>
      <xdr:rowOff>373725</xdr:rowOff>
    </xdr:to>
    <xdr:sp macro="" textlink="">
      <xdr:nvSpPr>
        <xdr:cNvPr id="16" name="Retângulo 1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7725A44-1B46-4BEB-8160-53E69ACE8BC0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8</xdr:col>
      <xdr:colOff>933450</xdr:colOff>
      <xdr:row>0</xdr:row>
      <xdr:rowOff>85725</xdr:rowOff>
    </xdr:from>
    <xdr:to>
      <xdr:col>10</xdr:col>
      <xdr:colOff>156075</xdr:colOff>
      <xdr:row>0</xdr:row>
      <xdr:rowOff>373725</xdr:rowOff>
    </xdr:to>
    <xdr:sp macro="" textlink="">
      <xdr:nvSpPr>
        <xdr:cNvPr id="17" name="Retângulo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A99E5EA-CD27-4B21-8F8A-EDB86AD20995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4</xdr:col>
      <xdr:colOff>714375</xdr:colOff>
      <xdr:row>0</xdr:row>
      <xdr:rowOff>371475</xdr:rowOff>
    </xdr:from>
    <xdr:to>
      <xdr:col>5</xdr:col>
      <xdr:colOff>53250</xdr:colOff>
      <xdr:row>0</xdr:row>
      <xdr:rowOff>388425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E61FEA33-EA92-4822-A544-69C9EAD250DF}"/>
            </a:ext>
          </a:extLst>
        </xdr:cNvPr>
        <xdr:cNvSpPr/>
      </xdr:nvSpPr>
      <xdr:spPr>
        <a:xfrm>
          <a:off x="2771775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114300</xdr:colOff>
      <xdr:row>0</xdr:row>
      <xdr:rowOff>85725</xdr:rowOff>
    </xdr:from>
    <xdr:to>
      <xdr:col>6</xdr:col>
      <xdr:colOff>1194300</xdr:colOff>
      <xdr:row>0</xdr:row>
      <xdr:rowOff>373725</xdr:rowOff>
    </xdr:to>
    <xdr:sp macro="" textlink="">
      <xdr:nvSpPr>
        <xdr:cNvPr id="19" name="Retângulo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A46BCDB-953A-4AAD-BB1C-9A6B27BA6BEF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3</xdr:col>
      <xdr:colOff>295275</xdr:colOff>
      <xdr:row>1</xdr:row>
      <xdr:rowOff>142875</xdr:rowOff>
    </xdr:from>
    <xdr:to>
      <xdr:col>3</xdr:col>
      <xdr:colOff>1375275</xdr:colOff>
      <xdr:row>2</xdr:row>
      <xdr:rowOff>13875</xdr:rowOff>
    </xdr:to>
    <xdr:sp macro="" textlink="">
      <xdr:nvSpPr>
        <xdr:cNvPr id="20" name="Retângulo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5CAB917-E184-455C-9093-0DD50E244E0A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Informações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3</xdr:col>
      <xdr:colOff>340684</xdr:colOff>
      <xdr:row>0</xdr:row>
      <xdr:rowOff>428625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F4A201B0-AB25-4097-9EB7-C6B2B8A8C4E8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789B8BD0-0FFD-B995-08D8-CEAA355B7425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23" name="Meio-quadro 22">
            <a:extLst>
              <a:ext uri="{FF2B5EF4-FFF2-40B4-BE49-F238E27FC236}">
                <a16:creationId xmlns:a16="http://schemas.microsoft.com/office/drawing/2014/main" id="{2641E3BF-CA91-4B21-315E-EDE154BC98F6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24" name="Meio-quadro 23">
            <a:extLst>
              <a:ext uri="{FF2B5EF4-FFF2-40B4-BE49-F238E27FC236}">
                <a16:creationId xmlns:a16="http://schemas.microsoft.com/office/drawing/2014/main" id="{2176AED4-5172-031C-D5BC-297FE569B786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4</xdr:col>
      <xdr:colOff>9525</xdr:colOff>
      <xdr:row>1</xdr:row>
      <xdr:rowOff>142875</xdr:rowOff>
    </xdr:from>
    <xdr:to>
      <xdr:col>4</xdr:col>
      <xdr:colOff>1089525</xdr:colOff>
      <xdr:row>2</xdr:row>
      <xdr:rowOff>13875</xdr:rowOff>
    </xdr:to>
    <xdr:sp macro="" textlink="">
      <xdr:nvSpPr>
        <xdr:cNvPr id="25" name="Retângulo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917B540-E29C-422E-8065-38915F5AC57F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Parâmetros</a:t>
          </a:r>
        </a:p>
      </xdr:txBody>
    </xdr:sp>
    <xdr:clientData/>
  </xdr:twoCellAnchor>
  <xdr:twoCellAnchor editAs="absolute">
    <xdr:from>
      <xdr:col>4</xdr:col>
      <xdr:colOff>1104900</xdr:colOff>
      <xdr:row>1</xdr:row>
      <xdr:rowOff>142875</xdr:rowOff>
    </xdr:from>
    <xdr:to>
      <xdr:col>5</xdr:col>
      <xdr:colOff>803775</xdr:colOff>
      <xdr:row>2</xdr:row>
      <xdr:rowOff>13875</xdr:rowOff>
    </xdr:to>
    <xdr:sp macro="" textlink="">
      <xdr:nvSpPr>
        <xdr:cNvPr id="26" name="Retângulo 2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1AC9762-7BBF-4D4B-915A-481FC2F51B34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Tabelas</a:t>
          </a:r>
        </a:p>
      </xdr:txBody>
    </xdr:sp>
    <xdr:clientData/>
  </xdr:twoCellAnchor>
  <xdr:twoCellAnchor editAs="absolute">
    <xdr:from>
      <xdr:col>5</xdr:col>
      <xdr:colOff>819150</xdr:colOff>
      <xdr:row>1</xdr:row>
      <xdr:rowOff>142875</xdr:rowOff>
    </xdr:from>
    <xdr:to>
      <xdr:col>6</xdr:col>
      <xdr:colOff>651375</xdr:colOff>
      <xdr:row>2</xdr:row>
      <xdr:rowOff>13875</xdr:rowOff>
    </xdr:to>
    <xdr:sp macro="" textlink="">
      <xdr:nvSpPr>
        <xdr:cNvPr id="27" name="Retângulo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2E679E2-C64A-403C-9FBA-4CA988607E9D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Transição</a:t>
          </a:r>
        </a:p>
      </xdr:txBody>
    </xdr:sp>
    <xdr:clientData/>
  </xdr:twoCellAnchor>
  <xdr:twoCellAnchor editAs="absolute">
    <xdr:from>
      <xdr:col>1</xdr:col>
      <xdr:colOff>104774</xdr:colOff>
      <xdr:row>2</xdr:row>
      <xdr:rowOff>333375</xdr:rowOff>
    </xdr:from>
    <xdr:to>
      <xdr:col>3</xdr:col>
      <xdr:colOff>727199</xdr:colOff>
      <xdr:row>2</xdr:row>
      <xdr:rowOff>585375</xdr:rowOff>
    </xdr:to>
    <xdr:sp macro="" textlink="">
      <xdr:nvSpPr>
        <xdr:cNvPr id="11" name="Retângulo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B12D537-0BE8-4B75-AB78-519F702F4EE8}"/>
            </a:ext>
          </a:extLst>
        </xdr:cNvPr>
        <xdr:cNvSpPr/>
      </xdr:nvSpPr>
      <xdr:spPr>
        <a:xfrm>
          <a:off x="219074" y="1152525"/>
          <a:ext cx="11844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Lucro Real</a:t>
          </a:r>
        </a:p>
      </xdr:txBody>
    </xdr:sp>
    <xdr:clientData/>
  </xdr:twoCellAnchor>
  <xdr:twoCellAnchor editAs="absolute">
    <xdr:from>
      <xdr:col>3</xdr:col>
      <xdr:colOff>723900</xdr:colOff>
      <xdr:row>2</xdr:row>
      <xdr:rowOff>323850</xdr:rowOff>
    </xdr:from>
    <xdr:to>
      <xdr:col>3</xdr:col>
      <xdr:colOff>723900</xdr:colOff>
      <xdr:row>2</xdr:row>
      <xdr:rowOff>575850</xdr:rowOff>
    </xdr:to>
    <xdr:cxnSp macro="">
      <xdr:nvCxnSpPr>
        <xdr:cNvPr id="28" name="Conector reto 27">
          <a:extLst>
            <a:ext uri="{FF2B5EF4-FFF2-40B4-BE49-F238E27FC236}">
              <a16:creationId xmlns:a16="http://schemas.microsoft.com/office/drawing/2014/main" id="{5C9AB800-EB57-4C85-B6F3-4EFA4139CF60}"/>
            </a:ext>
          </a:extLst>
        </xdr:cNvPr>
        <xdr:cNvCxnSpPr/>
      </xdr:nvCxnSpPr>
      <xdr:spPr>
        <a:xfrm>
          <a:off x="1400175" y="1143000"/>
          <a:ext cx="0" cy="25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104775</xdr:colOff>
      <xdr:row>2</xdr:row>
      <xdr:rowOff>581025</xdr:rowOff>
    </xdr:from>
    <xdr:to>
      <xdr:col>3</xdr:col>
      <xdr:colOff>727200</xdr:colOff>
      <xdr:row>2</xdr:row>
      <xdr:rowOff>581025</xdr:rowOff>
    </xdr:to>
    <xdr:cxnSp macro="">
      <xdr:nvCxnSpPr>
        <xdr:cNvPr id="29" name="Conector reto 28">
          <a:extLst>
            <a:ext uri="{FF2B5EF4-FFF2-40B4-BE49-F238E27FC236}">
              <a16:creationId xmlns:a16="http://schemas.microsoft.com/office/drawing/2014/main" id="{32816C79-ACE1-46B6-B885-F7CBEB537DD2}"/>
            </a:ext>
          </a:extLst>
        </xdr:cNvPr>
        <xdr:cNvCxnSpPr/>
      </xdr:nvCxnSpPr>
      <xdr:spPr>
        <a:xfrm>
          <a:off x="219075" y="1400175"/>
          <a:ext cx="1184400" cy="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761999</xdr:colOff>
      <xdr:row>2</xdr:row>
      <xdr:rowOff>333375</xdr:rowOff>
    </xdr:from>
    <xdr:to>
      <xdr:col>4</xdr:col>
      <xdr:colOff>565274</xdr:colOff>
      <xdr:row>2</xdr:row>
      <xdr:rowOff>585375</xdr:rowOff>
    </xdr:to>
    <xdr:sp macro="" textlink="">
      <xdr:nvSpPr>
        <xdr:cNvPr id="30" name="Retângulo 2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481FFDF-4CBD-43E4-8ACB-60D9E39AD617}"/>
            </a:ext>
          </a:extLst>
        </xdr:cNvPr>
        <xdr:cNvSpPr/>
      </xdr:nvSpPr>
      <xdr:spPr>
        <a:xfrm>
          <a:off x="1438274" y="1152525"/>
          <a:ext cx="11844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Lucro Presumido</a:t>
          </a:r>
        </a:p>
      </xdr:txBody>
    </xdr:sp>
    <xdr:clientData/>
  </xdr:twoCellAnchor>
  <xdr:twoCellAnchor editAs="absolute">
    <xdr:from>
      <xdr:col>4</xdr:col>
      <xdr:colOff>561975</xdr:colOff>
      <xdr:row>2</xdr:row>
      <xdr:rowOff>323850</xdr:rowOff>
    </xdr:from>
    <xdr:to>
      <xdr:col>4</xdr:col>
      <xdr:colOff>561975</xdr:colOff>
      <xdr:row>2</xdr:row>
      <xdr:rowOff>575850</xdr:rowOff>
    </xdr:to>
    <xdr:cxnSp macro="">
      <xdr:nvCxnSpPr>
        <xdr:cNvPr id="31" name="Conector reto 30">
          <a:extLst>
            <a:ext uri="{FF2B5EF4-FFF2-40B4-BE49-F238E27FC236}">
              <a16:creationId xmlns:a16="http://schemas.microsoft.com/office/drawing/2014/main" id="{2CA7AF79-6E95-45C1-9FA5-7E4F1EF14B9F}"/>
            </a:ext>
          </a:extLst>
        </xdr:cNvPr>
        <xdr:cNvCxnSpPr/>
      </xdr:nvCxnSpPr>
      <xdr:spPr>
        <a:xfrm>
          <a:off x="2619375" y="1143000"/>
          <a:ext cx="0" cy="25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762000</xdr:colOff>
      <xdr:row>2</xdr:row>
      <xdr:rowOff>581025</xdr:rowOff>
    </xdr:from>
    <xdr:to>
      <xdr:col>4</xdr:col>
      <xdr:colOff>565275</xdr:colOff>
      <xdr:row>2</xdr:row>
      <xdr:rowOff>581025</xdr:rowOff>
    </xdr:to>
    <xdr:cxnSp macro="">
      <xdr:nvCxnSpPr>
        <xdr:cNvPr id="32" name="Conector reto 31">
          <a:extLst>
            <a:ext uri="{FF2B5EF4-FFF2-40B4-BE49-F238E27FC236}">
              <a16:creationId xmlns:a16="http://schemas.microsoft.com/office/drawing/2014/main" id="{9B96C975-2F9C-4FF8-9230-B5BC28F2BB19}"/>
            </a:ext>
          </a:extLst>
        </xdr:cNvPr>
        <xdr:cNvCxnSpPr/>
      </xdr:nvCxnSpPr>
      <xdr:spPr>
        <a:xfrm>
          <a:off x="1438275" y="1400175"/>
          <a:ext cx="1184400" cy="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600075</xdr:colOff>
      <xdr:row>2</xdr:row>
      <xdr:rowOff>333375</xdr:rowOff>
    </xdr:from>
    <xdr:to>
      <xdr:col>5</xdr:col>
      <xdr:colOff>403350</xdr:colOff>
      <xdr:row>2</xdr:row>
      <xdr:rowOff>585375</xdr:rowOff>
    </xdr:to>
    <xdr:sp macro="" textlink="">
      <xdr:nvSpPr>
        <xdr:cNvPr id="33" name="Retângul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CD09BC1A-1FB2-4861-AEF7-4718862A7CBD}"/>
            </a:ext>
          </a:extLst>
        </xdr:cNvPr>
        <xdr:cNvSpPr/>
      </xdr:nvSpPr>
      <xdr:spPr>
        <a:xfrm>
          <a:off x="2657475" y="1152525"/>
          <a:ext cx="1184400" cy="252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bg1"/>
              </a:solidFill>
            </a:rPr>
            <a:t>Simples Nacional</a:t>
          </a:r>
        </a:p>
      </xdr:txBody>
    </xdr:sp>
    <xdr:clientData/>
  </xdr:twoCellAnchor>
  <xdr:twoCellAnchor editAs="absolute">
    <xdr:from>
      <xdr:col>5</xdr:col>
      <xdr:colOff>400051</xdr:colOff>
      <xdr:row>2</xdr:row>
      <xdr:rowOff>323850</xdr:rowOff>
    </xdr:from>
    <xdr:to>
      <xdr:col>5</xdr:col>
      <xdr:colOff>400051</xdr:colOff>
      <xdr:row>2</xdr:row>
      <xdr:rowOff>575850</xdr:rowOff>
    </xdr:to>
    <xdr:cxnSp macro="">
      <xdr:nvCxnSpPr>
        <xdr:cNvPr id="34" name="Conector reto 33">
          <a:extLst>
            <a:ext uri="{FF2B5EF4-FFF2-40B4-BE49-F238E27FC236}">
              <a16:creationId xmlns:a16="http://schemas.microsoft.com/office/drawing/2014/main" id="{87E5F4F2-217E-426A-AA08-BF3C78E135DB}"/>
            </a:ext>
          </a:extLst>
        </xdr:cNvPr>
        <xdr:cNvCxnSpPr/>
      </xdr:nvCxnSpPr>
      <xdr:spPr>
        <a:xfrm>
          <a:off x="3838576" y="1143000"/>
          <a:ext cx="0" cy="25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600076</xdr:colOff>
      <xdr:row>2</xdr:row>
      <xdr:rowOff>581025</xdr:rowOff>
    </xdr:from>
    <xdr:to>
      <xdr:col>5</xdr:col>
      <xdr:colOff>403351</xdr:colOff>
      <xdr:row>2</xdr:row>
      <xdr:rowOff>581025</xdr:rowOff>
    </xdr:to>
    <xdr:cxnSp macro="">
      <xdr:nvCxnSpPr>
        <xdr:cNvPr id="35" name="Conector reto 34">
          <a:extLst>
            <a:ext uri="{FF2B5EF4-FFF2-40B4-BE49-F238E27FC236}">
              <a16:creationId xmlns:a16="http://schemas.microsoft.com/office/drawing/2014/main" id="{A5F16D4D-D331-4831-8C82-1E57F8A5DDFD}"/>
            </a:ext>
          </a:extLst>
        </xdr:cNvPr>
        <xdr:cNvCxnSpPr/>
      </xdr:nvCxnSpPr>
      <xdr:spPr>
        <a:xfrm>
          <a:off x="2657476" y="1400175"/>
          <a:ext cx="1184400" cy="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542925</xdr:colOff>
      <xdr:row>0</xdr:row>
      <xdr:rowOff>85725</xdr:rowOff>
    </xdr:from>
    <xdr:to>
      <xdr:col>6</xdr:col>
      <xdr:colOff>79875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157342-28E8-46F6-8279-EE7D4A1A2854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6</xdr:col>
      <xdr:colOff>104775</xdr:colOff>
      <xdr:row>0</xdr:row>
      <xdr:rowOff>85725</xdr:rowOff>
    </xdr:from>
    <xdr:to>
      <xdr:col>8</xdr:col>
      <xdr:colOff>356100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6D05D70-1CA4-4C47-BE82-86FC61E73869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8</xdr:col>
      <xdr:colOff>381000</xdr:colOff>
      <xdr:row>0</xdr:row>
      <xdr:rowOff>85725</xdr:rowOff>
    </xdr:from>
    <xdr:to>
      <xdr:col>10</xdr:col>
      <xdr:colOff>32250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39577F-520D-4FB1-940B-0671F1720045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12</xdr:col>
      <xdr:colOff>333375</xdr:colOff>
      <xdr:row>0</xdr:row>
      <xdr:rowOff>85725</xdr:rowOff>
    </xdr:from>
    <xdr:to>
      <xdr:col>14</xdr:col>
      <xdr:colOff>584700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3F45D7-75C4-4367-856B-199B44B53E79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14</xdr:col>
      <xdr:colOff>609600</xdr:colOff>
      <xdr:row>0</xdr:row>
      <xdr:rowOff>85725</xdr:rowOff>
    </xdr:from>
    <xdr:to>
      <xdr:col>17</xdr:col>
      <xdr:colOff>146550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59B3DA0-3F44-4A1C-9D85-F46ED4814C9B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17</xdr:col>
      <xdr:colOff>171450</xdr:colOff>
      <xdr:row>0</xdr:row>
      <xdr:rowOff>85725</xdr:rowOff>
    </xdr:from>
    <xdr:to>
      <xdr:col>18</xdr:col>
      <xdr:colOff>537075</xdr:colOff>
      <xdr:row>0</xdr:row>
      <xdr:rowOff>373725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EA1C154-E08D-40B4-B6F2-1F60A7931650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6</xdr:col>
      <xdr:colOff>285750</xdr:colOff>
      <xdr:row>0</xdr:row>
      <xdr:rowOff>371475</xdr:rowOff>
    </xdr:from>
    <xdr:to>
      <xdr:col>8</xdr:col>
      <xdr:colOff>177075</xdr:colOff>
      <xdr:row>0</xdr:row>
      <xdr:rowOff>388425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2F5C14E8-2E8A-4437-8371-3F3D8C2F3BC3}"/>
            </a:ext>
          </a:extLst>
        </xdr:cNvPr>
        <xdr:cNvSpPr/>
      </xdr:nvSpPr>
      <xdr:spPr>
        <a:xfrm>
          <a:off x="2771775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57150</xdr:colOff>
      <xdr:row>0</xdr:row>
      <xdr:rowOff>85725</xdr:rowOff>
    </xdr:from>
    <xdr:to>
      <xdr:col>12</xdr:col>
      <xdr:colOff>308475</xdr:colOff>
      <xdr:row>0</xdr:row>
      <xdr:rowOff>373725</xdr:rowOff>
    </xdr:to>
    <xdr:sp macro="" textlink="">
      <xdr:nvSpPr>
        <xdr:cNvPr id="10" name="Retângul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A3FC855-4BAB-45F7-A860-F2754F919ACA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3</xdr:col>
      <xdr:colOff>28575</xdr:colOff>
      <xdr:row>1</xdr:row>
      <xdr:rowOff>142875</xdr:rowOff>
    </xdr:from>
    <xdr:to>
      <xdr:col>5</xdr:col>
      <xdr:colOff>279900</xdr:colOff>
      <xdr:row>2</xdr:row>
      <xdr:rowOff>13875</xdr:rowOff>
    </xdr:to>
    <xdr:sp macro="" textlink="">
      <xdr:nvSpPr>
        <xdr:cNvPr id="11" name="Retângulo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2E388E7-6C92-481E-9DCA-8077A5E3D471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Informações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3</xdr:col>
      <xdr:colOff>73984</xdr:colOff>
      <xdr:row>0</xdr:row>
      <xdr:rowOff>428625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FAA587A-FCEF-46D8-B159-2FA22AB5C682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2B7DC8A-B535-EDFE-F17A-764208F828F9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4" name="Meio-quadro 13">
            <a:extLst>
              <a:ext uri="{FF2B5EF4-FFF2-40B4-BE49-F238E27FC236}">
                <a16:creationId xmlns:a16="http://schemas.microsoft.com/office/drawing/2014/main" id="{1895A105-4FE4-5960-52D7-16096161575D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5" name="Meio-quadro 14">
            <a:extLst>
              <a:ext uri="{FF2B5EF4-FFF2-40B4-BE49-F238E27FC236}">
                <a16:creationId xmlns:a16="http://schemas.microsoft.com/office/drawing/2014/main" id="{22B1A85A-8FB5-309C-37E0-172E63606808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5</xdr:col>
      <xdr:colOff>295275</xdr:colOff>
      <xdr:row>1</xdr:row>
      <xdr:rowOff>142875</xdr:rowOff>
    </xdr:from>
    <xdr:to>
      <xdr:col>6</xdr:col>
      <xdr:colOff>660900</xdr:colOff>
      <xdr:row>2</xdr:row>
      <xdr:rowOff>13875</xdr:rowOff>
    </xdr:to>
    <xdr:sp macro="" textlink="">
      <xdr:nvSpPr>
        <xdr:cNvPr id="16" name="Retâ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AC04D7A-ECC0-45AF-9C5E-AA7576362CE0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Parâmetros</a:t>
          </a:r>
        </a:p>
      </xdr:txBody>
    </xdr:sp>
    <xdr:clientData/>
  </xdr:twoCellAnchor>
  <xdr:twoCellAnchor editAs="absolute">
    <xdr:from>
      <xdr:col>6</xdr:col>
      <xdr:colOff>676275</xdr:colOff>
      <xdr:row>1</xdr:row>
      <xdr:rowOff>142875</xdr:rowOff>
    </xdr:from>
    <xdr:to>
      <xdr:col>9</xdr:col>
      <xdr:colOff>213225</xdr:colOff>
      <xdr:row>2</xdr:row>
      <xdr:rowOff>13875</xdr:rowOff>
    </xdr:to>
    <xdr:sp macro="" textlink="">
      <xdr:nvSpPr>
        <xdr:cNvPr id="17" name="Retângulo 1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C3B002A-A418-4B0D-81F7-C0CC1F20781B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Tabelas</a:t>
          </a:r>
        </a:p>
      </xdr:txBody>
    </xdr:sp>
    <xdr:clientData/>
  </xdr:twoCellAnchor>
  <xdr:twoCellAnchor editAs="absolute">
    <xdr:from>
      <xdr:col>9</xdr:col>
      <xdr:colOff>228600</xdr:colOff>
      <xdr:row>1</xdr:row>
      <xdr:rowOff>142875</xdr:rowOff>
    </xdr:from>
    <xdr:to>
      <xdr:col>11</xdr:col>
      <xdr:colOff>479925</xdr:colOff>
      <xdr:row>2</xdr:row>
      <xdr:rowOff>13875</xdr:rowOff>
    </xdr:to>
    <xdr:sp macro="" textlink="">
      <xdr:nvSpPr>
        <xdr:cNvPr id="18" name="Retângul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A024B2E-DD62-4570-9A69-8AE2F8E5B785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Transição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342900</xdr:colOff>
      <xdr:row>0</xdr:row>
      <xdr:rowOff>85725</xdr:rowOff>
    </xdr:from>
    <xdr:to>
      <xdr:col>4</xdr:col>
      <xdr:colOff>546600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4</xdr:col>
      <xdr:colOff>571500</xdr:colOff>
      <xdr:row>0</xdr:row>
      <xdr:rowOff>85725</xdr:rowOff>
    </xdr:from>
    <xdr:to>
      <xdr:col>5</xdr:col>
      <xdr:colOff>775200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5</xdr:col>
      <xdr:colOff>800100</xdr:colOff>
      <xdr:row>0</xdr:row>
      <xdr:rowOff>85725</xdr:rowOff>
    </xdr:from>
    <xdr:to>
      <xdr:col>7</xdr:col>
      <xdr:colOff>127500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8</xdr:col>
      <xdr:colOff>381000</xdr:colOff>
      <xdr:row>0</xdr:row>
      <xdr:rowOff>85725</xdr:rowOff>
    </xdr:from>
    <xdr:to>
      <xdr:col>9</xdr:col>
      <xdr:colOff>584700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9</xdr:col>
      <xdr:colOff>609600</xdr:colOff>
      <xdr:row>0</xdr:row>
      <xdr:rowOff>85725</xdr:rowOff>
    </xdr:from>
    <xdr:to>
      <xdr:col>10</xdr:col>
      <xdr:colOff>813300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10</xdr:col>
      <xdr:colOff>838200</xdr:colOff>
      <xdr:row>0</xdr:row>
      <xdr:rowOff>85725</xdr:rowOff>
    </xdr:from>
    <xdr:to>
      <xdr:col>12</xdr:col>
      <xdr:colOff>165600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6</xdr:col>
      <xdr:colOff>114300</xdr:colOff>
      <xdr:row>0</xdr:row>
      <xdr:rowOff>371475</xdr:rowOff>
    </xdr:from>
    <xdr:to>
      <xdr:col>6</xdr:col>
      <xdr:colOff>834300</xdr:colOff>
      <xdr:row>0</xdr:row>
      <xdr:rowOff>388425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38862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152400</xdr:colOff>
      <xdr:row>0</xdr:row>
      <xdr:rowOff>85725</xdr:rowOff>
    </xdr:from>
    <xdr:to>
      <xdr:col>8</xdr:col>
      <xdr:colOff>356100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2</xdr:col>
      <xdr:colOff>742950</xdr:colOff>
      <xdr:row>1</xdr:row>
      <xdr:rowOff>142875</xdr:rowOff>
    </xdr:from>
    <xdr:to>
      <xdr:col>4</xdr:col>
      <xdr:colOff>32250</xdr:colOff>
      <xdr:row>2</xdr:row>
      <xdr:rowOff>13875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Compras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00000000-0008-0000-0B00-00000C000000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00000000-0008-0000-0B00-00000D000000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4" name="Meio-quadro 13">
            <a:extLst>
              <a:ext uri="{FF2B5EF4-FFF2-40B4-BE49-F238E27FC236}">
                <a16:creationId xmlns:a16="http://schemas.microsoft.com/office/drawing/2014/main" id="{00000000-0008-0000-0B00-00000E000000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4</xdr:col>
      <xdr:colOff>47625</xdr:colOff>
      <xdr:row>1</xdr:row>
      <xdr:rowOff>142875</xdr:rowOff>
    </xdr:from>
    <xdr:to>
      <xdr:col>5</xdr:col>
      <xdr:colOff>251325</xdr:colOff>
      <xdr:row>2</xdr:row>
      <xdr:rowOff>13875</xdr:rowOff>
    </xdr:to>
    <xdr:sp macro="" textlink="">
      <xdr:nvSpPr>
        <xdr:cNvPr id="16" name="Retâ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E6676A9-9AC7-4A39-91D5-2C1F6E58E641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Faturamento</a:t>
          </a:r>
        </a:p>
      </xdr:txBody>
    </xdr:sp>
    <xdr:clientData/>
  </xdr:twoCellAnchor>
  <xdr:twoCellAnchor editAs="absolute">
    <xdr:from>
      <xdr:col>5</xdr:col>
      <xdr:colOff>266700</xdr:colOff>
      <xdr:row>1</xdr:row>
      <xdr:rowOff>142875</xdr:rowOff>
    </xdr:from>
    <xdr:to>
      <xdr:col>6</xdr:col>
      <xdr:colOff>470400</xdr:colOff>
      <xdr:row>2</xdr:row>
      <xdr:rowOff>13875</xdr:rowOff>
    </xdr:to>
    <xdr:sp macro="" textlink="">
      <xdr:nvSpPr>
        <xdr:cNvPr id="17" name="Retângulo 1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3577AFC4-494E-44DC-B9CB-C8E6A8DFFEC1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Simples</a:t>
          </a:r>
        </a:p>
      </xdr:txBody>
    </xdr:sp>
    <xdr:clientData/>
  </xdr:twoCellAnchor>
  <xdr:twoCellAnchor editAs="absolute">
    <xdr:from>
      <xdr:col>6</xdr:col>
      <xdr:colOff>485775</xdr:colOff>
      <xdr:row>1</xdr:row>
      <xdr:rowOff>142875</xdr:rowOff>
    </xdr:from>
    <xdr:to>
      <xdr:col>7</xdr:col>
      <xdr:colOff>689475</xdr:colOff>
      <xdr:row>2</xdr:row>
      <xdr:rowOff>13875</xdr:rowOff>
    </xdr:to>
    <xdr:sp macro="" textlink="">
      <xdr:nvSpPr>
        <xdr:cNvPr id="18" name="Retângul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7C60D05-7363-4C1E-9581-1761B72B630D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Custos</a:t>
          </a:r>
        </a:p>
      </xdr:txBody>
    </xdr:sp>
    <xdr:clientData/>
  </xdr:twoCellAnchor>
  <xdr:twoCellAnchor editAs="absolute">
    <xdr:from>
      <xdr:col>7</xdr:col>
      <xdr:colOff>704850</xdr:colOff>
      <xdr:row>1</xdr:row>
      <xdr:rowOff>142875</xdr:rowOff>
    </xdr:from>
    <xdr:to>
      <xdr:col>9</xdr:col>
      <xdr:colOff>32250</xdr:colOff>
      <xdr:row>2</xdr:row>
      <xdr:rowOff>13875</xdr:rowOff>
    </xdr:to>
    <xdr:sp macro="" textlink="">
      <xdr:nvSpPr>
        <xdr:cNvPr id="19" name="Retângul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648F5EC-7C16-4AA3-9220-8352BC99767E}"/>
            </a:ext>
          </a:extLst>
        </xdr:cNvPr>
        <xdr:cNvSpPr/>
      </xdr:nvSpPr>
      <xdr:spPr>
        <a:xfrm>
          <a:off x="53530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Despesas</a:t>
          </a:r>
        </a:p>
      </xdr:txBody>
    </xdr:sp>
    <xdr:clientData/>
  </xdr:twoCellAnchor>
  <xdr:twoCellAnchor editAs="absolute">
    <xdr:from>
      <xdr:col>9</xdr:col>
      <xdr:colOff>47625</xdr:colOff>
      <xdr:row>1</xdr:row>
      <xdr:rowOff>142875</xdr:rowOff>
    </xdr:from>
    <xdr:to>
      <xdr:col>10</xdr:col>
      <xdr:colOff>251325</xdr:colOff>
      <xdr:row>2</xdr:row>
      <xdr:rowOff>13875</xdr:rowOff>
    </xdr:to>
    <xdr:sp macro="" textlink="">
      <xdr:nvSpPr>
        <xdr:cNvPr id="15" name="Retângulo 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26C035D-AD3C-4A71-BD47-19EF5C215111}"/>
            </a:ext>
          </a:extLst>
        </xdr:cNvPr>
        <xdr:cNvSpPr/>
      </xdr:nvSpPr>
      <xdr:spPr>
        <a:xfrm>
          <a:off x="64484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Reforma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342900</xdr:colOff>
      <xdr:row>0</xdr:row>
      <xdr:rowOff>85725</xdr:rowOff>
    </xdr:from>
    <xdr:to>
      <xdr:col>4</xdr:col>
      <xdr:colOff>546600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5C777F-4AB1-4B0F-B5E1-670DA68D1C7D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4</xdr:col>
      <xdr:colOff>571500</xdr:colOff>
      <xdr:row>0</xdr:row>
      <xdr:rowOff>85725</xdr:rowOff>
    </xdr:from>
    <xdr:to>
      <xdr:col>5</xdr:col>
      <xdr:colOff>775200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23D45E8-D1B9-4695-9FE2-873C4CFF96F8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5</xdr:col>
      <xdr:colOff>800100</xdr:colOff>
      <xdr:row>0</xdr:row>
      <xdr:rowOff>85725</xdr:rowOff>
    </xdr:from>
    <xdr:to>
      <xdr:col>7</xdr:col>
      <xdr:colOff>127500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FCA6CFC-6913-4862-BA34-5BEEFC1E4860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8</xdr:col>
      <xdr:colOff>381000</xdr:colOff>
      <xdr:row>0</xdr:row>
      <xdr:rowOff>85725</xdr:rowOff>
    </xdr:from>
    <xdr:to>
      <xdr:col>9</xdr:col>
      <xdr:colOff>584700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71523BF-268E-4198-B8A3-F4F5EA27DF4A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9</xdr:col>
      <xdr:colOff>609600</xdr:colOff>
      <xdr:row>0</xdr:row>
      <xdr:rowOff>85725</xdr:rowOff>
    </xdr:from>
    <xdr:to>
      <xdr:col>10</xdr:col>
      <xdr:colOff>813300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E51C0B6-7986-44DA-B717-747267613C33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10</xdr:col>
      <xdr:colOff>838200</xdr:colOff>
      <xdr:row>0</xdr:row>
      <xdr:rowOff>85725</xdr:rowOff>
    </xdr:from>
    <xdr:to>
      <xdr:col>12</xdr:col>
      <xdr:colOff>165600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BF5454-73B9-48EC-AA4D-D49E56543AC8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6</xdr:col>
      <xdr:colOff>114300</xdr:colOff>
      <xdr:row>0</xdr:row>
      <xdr:rowOff>371475</xdr:rowOff>
    </xdr:from>
    <xdr:to>
      <xdr:col>6</xdr:col>
      <xdr:colOff>834300</xdr:colOff>
      <xdr:row>0</xdr:row>
      <xdr:rowOff>388425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619316D9-3FFF-44C8-9915-22A89D0CBD31}"/>
            </a:ext>
          </a:extLst>
        </xdr:cNvPr>
        <xdr:cNvSpPr/>
      </xdr:nvSpPr>
      <xdr:spPr>
        <a:xfrm>
          <a:off x="38862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152400</xdr:colOff>
      <xdr:row>0</xdr:row>
      <xdr:rowOff>85725</xdr:rowOff>
    </xdr:from>
    <xdr:to>
      <xdr:col>8</xdr:col>
      <xdr:colOff>356100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697F852-399D-444B-99F1-799030FAAF92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475CC34A-950E-4660-BCEA-343D4A1AF5C4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E31FFD73-D79F-F21F-BA06-C7723FE2D051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917F6473-EAEF-4928-8ED2-FA3316B9031A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4" name="Meio-quadro 13">
            <a:extLst>
              <a:ext uri="{FF2B5EF4-FFF2-40B4-BE49-F238E27FC236}">
                <a16:creationId xmlns:a16="http://schemas.microsoft.com/office/drawing/2014/main" id="{EB725C7A-228E-BAE6-EC37-4AB0715AEA66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742950</xdr:colOff>
      <xdr:row>1</xdr:row>
      <xdr:rowOff>142875</xdr:rowOff>
    </xdr:from>
    <xdr:to>
      <xdr:col>4</xdr:col>
      <xdr:colOff>32250</xdr:colOff>
      <xdr:row>2</xdr:row>
      <xdr:rowOff>13875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D16AE3A-01CE-404F-85F6-1FD71C598142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Compras</a:t>
          </a:r>
        </a:p>
      </xdr:txBody>
    </xdr:sp>
    <xdr:clientData/>
  </xdr:twoCellAnchor>
  <xdr:twoCellAnchor editAs="absolute">
    <xdr:from>
      <xdr:col>4</xdr:col>
      <xdr:colOff>47625</xdr:colOff>
      <xdr:row>1</xdr:row>
      <xdr:rowOff>142875</xdr:rowOff>
    </xdr:from>
    <xdr:to>
      <xdr:col>5</xdr:col>
      <xdr:colOff>251325</xdr:colOff>
      <xdr:row>2</xdr:row>
      <xdr:rowOff>13875</xdr:rowOff>
    </xdr:to>
    <xdr:sp macro="" textlink="">
      <xdr:nvSpPr>
        <xdr:cNvPr id="16" name="Retâ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D854621-617E-4F7F-8C15-CA7B70D644DA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Faturamento</a:t>
          </a:r>
        </a:p>
      </xdr:txBody>
    </xdr:sp>
    <xdr:clientData/>
  </xdr:twoCellAnchor>
  <xdr:twoCellAnchor editAs="absolute">
    <xdr:from>
      <xdr:col>5</xdr:col>
      <xdr:colOff>266700</xdr:colOff>
      <xdr:row>1</xdr:row>
      <xdr:rowOff>142875</xdr:rowOff>
    </xdr:from>
    <xdr:to>
      <xdr:col>6</xdr:col>
      <xdr:colOff>470400</xdr:colOff>
      <xdr:row>2</xdr:row>
      <xdr:rowOff>13875</xdr:rowOff>
    </xdr:to>
    <xdr:sp macro="" textlink="">
      <xdr:nvSpPr>
        <xdr:cNvPr id="17" name="Retângulo 1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2F73DCA-B460-464C-9E25-C346626040EA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Simples</a:t>
          </a:r>
        </a:p>
      </xdr:txBody>
    </xdr:sp>
    <xdr:clientData/>
  </xdr:twoCellAnchor>
  <xdr:twoCellAnchor editAs="absolute">
    <xdr:from>
      <xdr:col>6</xdr:col>
      <xdr:colOff>485775</xdr:colOff>
      <xdr:row>1</xdr:row>
      <xdr:rowOff>142875</xdr:rowOff>
    </xdr:from>
    <xdr:to>
      <xdr:col>7</xdr:col>
      <xdr:colOff>689475</xdr:colOff>
      <xdr:row>2</xdr:row>
      <xdr:rowOff>13875</xdr:rowOff>
    </xdr:to>
    <xdr:sp macro="" textlink="">
      <xdr:nvSpPr>
        <xdr:cNvPr id="18" name="Retângul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3B851C3-FBF6-464D-85FC-560D20C61B70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Custos</a:t>
          </a:r>
        </a:p>
      </xdr:txBody>
    </xdr:sp>
    <xdr:clientData/>
  </xdr:twoCellAnchor>
  <xdr:twoCellAnchor editAs="absolute">
    <xdr:from>
      <xdr:col>7</xdr:col>
      <xdr:colOff>704850</xdr:colOff>
      <xdr:row>1</xdr:row>
      <xdr:rowOff>142875</xdr:rowOff>
    </xdr:from>
    <xdr:to>
      <xdr:col>9</xdr:col>
      <xdr:colOff>32250</xdr:colOff>
      <xdr:row>2</xdr:row>
      <xdr:rowOff>13875</xdr:rowOff>
    </xdr:to>
    <xdr:sp macro="" textlink="">
      <xdr:nvSpPr>
        <xdr:cNvPr id="19" name="Retângul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D9B0C0F-833E-4C5C-926B-91D9EF459AD8}"/>
            </a:ext>
          </a:extLst>
        </xdr:cNvPr>
        <xdr:cNvSpPr/>
      </xdr:nvSpPr>
      <xdr:spPr>
        <a:xfrm>
          <a:off x="53530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Despesas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342900</xdr:colOff>
      <xdr:row>0</xdr:row>
      <xdr:rowOff>85725</xdr:rowOff>
    </xdr:from>
    <xdr:to>
      <xdr:col>4</xdr:col>
      <xdr:colOff>546600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7F30FE8-EFBC-4C0E-BC17-D7448E638B12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4</xdr:col>
      <xdr:colOff>571500</xdr:colOff>
      <xdr:row>0</xdr:row>
      <xdr:rowOff>85725</xdr:rowOff>
    </xdr:from>
    <xdr:to>
      <xdr:col>5</xdr:col>
      <xdr:colOff>775200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D5AB02E-70AD-4E05-A3AA-8936C1090E17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5</xdr:col>
      <xdr:colOff>800100</xdr:colOff>
      <xdr:row>0</xdr:row>
      <xdr:rowOff>85725</xdr:rowOff>
    </xdr:from>
    <xdr:to>
      <xdr:col>7</xdr:col>
      <xdr:colOff>127500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1957E74-878D-4501-9AE8-F9A0B6E6545F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8</xdr:col>
      <xdr:colOff>381000</xdr:colOff>
      <xdr:row>0</xdr:row>
      <xdr:rowOff>85725</xdr:rowOff>
    </xdr:from>
    <xdr:to>
      <xdr:col>9</xdr:col>
      <xdr:colOff>584700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318724F-10D5-4376-9FE1-D8DC49C1A836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9</xdr:col>
      <xdr:colOff>609600</xdr:colOff>
      <xdr:row>0</xdr:row>
      <xdr:rowOff>85725</xdr:rowOff>
    </xdr:from>
    <xdr:to>
      <xdr:col>10</xdr:col>
      <xdr:colOff>813300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3A9C182-A57F-4204-84BE-F65530AA04B7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10</xdr:col>
      <xdr:colOff>838200</xdr:colOff>
      <xdr:row>0</xdr:row>
      <xdr:rowOff>85725</xdr:rowOff>
    </xdr:from>
    <xdr:to>
      <xdr:col>12</xdr:col>
      <xdr:colOff>165600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F5ABF62-4762-486C-BCFC-2E6B654A4837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6</xdr:col>
      <xdr:colOff>114300</xdr:colOff>
      <xdr:row>0</xdr:row>
      <xdr:rowOff>371475</xdr:rowOff>
    </xdr:from>
    <xdr:to>
      <xdr:col>6</xdr:col>
      <xdr:colOff>834300</xdr:colOff>
      <xdr:row>0</xdr:row>
      <xdr:rowOff>388425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ECEBEE8C-2FA9-446E-8527-4D0F886D0D31}"/>
            </a:ext>
          </a:extLst>
        </xdr:cNvPr>
        <xdr:cNvSpPr/>
      </xdr:nvSpPr>
      <xdr:spPr>
        <a:xfrm>
          <a:off x="38862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152400</xdr:colOff>
      <xdr:row>0</xdr:row>
      <xdr:rowOff>85725</xdr:rowOff>
    </xdr:from>
    <xdr:to>
      <xdr:col>8</xdr:col>
      <xdr:colOff>356100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9D9D05C-0F94-48BF-8461-4CF88990F814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10819710-4E8A-4801-85A7-DE25D9AB34D3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50809640-1D58-8458-69DE-807DFCD22F45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5A51A39A-2BAF-7FE5-3706-0D98094BE4F5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4" name="Meio-quadro 13">
            <a:extLst>
              <a:ext uri="{FF2B5EF4-FFF2-40B4-BE49-F238E27FC236}">
                <a16:creationId xmlns:a16="http://schemas.microsoft.com/office/drawing/2014/main" id="{38CC51AD-B6F6-454D-C959-11D2EFD515FD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0</xdr:colOff>
      <xdr:row>2</xdr:row>
      <xdr:rowOff>885823</xdr:rowOff>
    </xdr:from>
    <xdr:to>
      <xdr:col>16</xdr:col>
      <xdr:colOff>0</xdr:colOff>
      <xdr:row>2</xdr:row>
      <xdr:rowOff>1266822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4B79DC93-3F1B-4CCD-83BB-2043098EE307}"/>
            </a:ext>
          </a:extLst>
        </xdr:cNvPr>
        <xdr:cNvSpPr/>
      </xdr:nvSpPr>
      <xdr:spPr>
        <a:xfrm flipV="1">
          <a:off x="228600" y="1704973"/>
          <a:ext cx="12306300" cy="380999"/>
        </a:xfrm>
        <a:prstGeom prst="rect">
          <a:avLst/>
        </a:prstGeom>
        <a:noFill/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 editAs="absolute">
    <xdr:from>
      <xdr:col>6</xdr:col>
      <xdr:colOff>790575</xdr:colOff>
      <xdr:row>2</xdr:row>
      <xdr:rowOff>942975</xdr:rowOff>
    </xdr:from>
    <xdr:to>
      <xdr:col>13</xdr:col>
      <xdr:colOff>776475</xdr:colOff>
      <xdr:row>2</xdr:row>
      <xdr:rowOff>1191826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67CE6D31-9F66-71EC-24C4-1ED2D086CCAC}"/>
            </a:ext>
          </a:extLst>
        </xdr:cNvPr>
        <xdr:cNvSpPr txBox="1"/>
      </xdr:nvSpPr>
      <xdr:spPr>
        <a:xfrm>
          <a:off x="4562475" y="1762125"/>
          <a:ext cx="612000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Se</a:t>
          </a:r>
          <a:r>
            <a:rPr lang="pt-BR" sz="1000" kern="1200" baseline="0">
              <a:solidFill>
                <a:schemeClr val="tx1">
                  <a:lumMod val="75000"/>
                  <a:lumOff val="25000"/>
                </a:schemeClr>
              </a:solidFill>
            </a:rPr>
            <a:t> a</a:t>
          </a:r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 empresa possui faturamento tributado em múltiplas alíquotas de ICMS, IPI ou ISS, preencha essas bases aqui →</a:t>
          </a:r>
        </a:p>
      </xdr:txBody>
    </xdr:sp>
    <xdr:clientData/>
  </xdr:twoCellAnchor>
  <xdr:twoCellAnchor editAs="absolute">
    <xdr:from>
      <xdr:col>13</xdr:col>
      <xdr:colOff>819150</xdr:colOff>
      <xdr:row>2</xdr:row>
      <xdr:rowOff>952499</xdr:rowOff>
    </xdr:from>
    <xdr:to>
      <xdr:col>15</xdr:col>
      <xdr:colOff>742950</xdr:colOff>
      <xdr:row>2</xdr:row>
      <xdr:rowOff>1204499</xdr:rowOff>
    </xdr:to>
    <xdr:sp macro="" textlink="">
      <xdr:nvSpPr>
        <xdr:cNvPr id="24" name="Retângulo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BF9542F-E3FA-D646-F592-74FD8E1AC0B1}"/>
            </a:ext>
          </a:extLst>
        </xdr:cNvPr>
        <xdr:cNvSpPr/>
      </xdr:nvSpPr>
      <xdr:spPr>
        <a:xfrm>
          <a:off x="10725150" y="1771649"/>
          <a:ext cx="1676400" cy="25200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Bases Múltiplas</a:t>
          </a:r>
        </a:p>
      </xdr:txBody>
    </xdr:sp>
    <xdr:clientData/>
  </xdr:twoCellAnchor>
  <xdr:twoCellAnchor editAs="absolute">
    <xdr:from>
      <xdr:col>13</xdr:col>
      <xdr:colOff>819150</xdr:colOff>
      <xdr:row>2</xdr:row>
      <xdr:rowOff>1200150</xdr:rowOff>
    </xdr:from>
    <xdr:to>
      <xdr:col>15</xdr:col>
      <xdr:colOff>758550</xdr:colOff>
      <xdr:row>2</xdr:row>
      <xdr:rowOff>1200150</xdr:rowOff>
    </xdr:to>
    <xdr:cxnSp macro="">
      <xdr:nvCxnSpPr>
        <xdr:cNvPr id="26" name="Conector reto 25">
          <a:extLst>
            <a:ext uri="{FF2B5EF4-FFF2-40B4-BE49-F238E27FC236}">
              <a16:creationId xmlns:a16="http://schemas.microsoft.com/office/drawing/2014/main" id="{6569D680-6C42-DBF9-8C17-86228D1448BB}"/>
            </a:ext>
          </a:extLst>
        </xdr:cNvPr>
        <xdr:cNvCxnSpPr/>
      </xdr:nvCxnSpPr>
      <xdr:spPr>
        <a:xfrm>
          <a:off x="10725150" y="2019300"/>
          <a:ext cx="1692000" cy="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3">
          <a:schemeClr val="accent3"/>
        </a:lnRef>
        <a:fillRef idx="0">
          <a:schemeClr val="accent3"/>
        </a:fillRef>
        <a:effectRef idx="2">
          <a:schemeClr val="accent3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752475</xdr:colOff>
      <xdr:row>2</xdr:row>
      <xdr:rowOff>952500</xdr:rowOff>
    </xdr:from>
    <xdr:to>
      <xdr:col>15</xdr:col>
      <xdr:colOff>752475</xdr:colOff>
      <xdr:row>2</xdr:row>
      <xdr:rowOff>1204500</xdr:rowOff>
    </xdr:to>
    <xdr:cxnSp macro="">
      <xdr:nvCxnSpPr>
        <xdr:cNvPr id="28" name="Conector reto 27">
          <a:extLst>
            <a:ext uri="{FF2B5EF4-FFF2-40B4-BE49-F238E27FC236}">
              <a16:creationId xmlns:a16="http://schemas.microsoft.com/office/drawing/2014/main" id="{68883AE0-7BB1-185A-31EF-2828BA6DEBDB}"/>
            </a:ext>
          </a:extLst>
        </xdr:cNvPr>
        <xdr:cNvCxnSpPr/>
      </xdr:nvCxnSpPr>
      <xdr:spPr>
        <a:xfrm>
          <a:off x="12411075" y="1771650"/>
          <a:ext cx="0" cy="25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3">
          <a:schemeClr val="accent3"/>
        </a:lnRef>
        <a:fillRef idx="0">
          <a:schemeClr val="accent3"/>
        </a:fillRef>
        <a:effectRef idx="2">
          <a:schemeClr val="accent3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742950</xdr:colOff>
      <xdr:row>1</xdr:row>
      <xdr:rowOff>142875</xdr:rowOff>
    </xdr:from>
    <xdr:to>
      <xdr:col>4</xdr:col>
      <xdr:colOff>32250</xdr:colOff>
      <xdr:row>2</xdr:row>
      <xdr:rowOff>13875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5580206-B5C9-43DB-94AD-C486280C962C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Compras</a:t>
          </a:r>
        </a:p>
      </xdr:txBody>
    </xdr:sp>
    <xdr:clientData/>
  </xdr:twoCellAnchor>
  <xdr:twoCellAnchor editAs="absolute">
    <xdr:from>
      <xdr:col>4</xdr:col>
      <xdr:colOff>47625</xdr:colOff>
      <xdr:row>1</xdr:row>
      <xdr:rowOff>142875</xdr:rowOff>
    </xdr:from>
    <xdr:to>
      <xdr:col>5</xdr:col>
      <xdr:colOff>251325</xdr:colOff>
      <xdr:row>2</xdr:row>
      <xdr:rowOff>13875</xdr:rowOff>
    </xdr:to>
    <xdr:sp macro="" textlink="">
      <xdr:nvSpPr>
        <xdr:cNvPr id="16" name="Retâ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32461A76-F187-4092-898F-F2A58EDD5452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Faturamento</a:t>
          </a:r>
        </a:p>
      </xdr:txBody>
    </xdr:sp>
    <xdr:clientData/>
  </xdr:twoCellAnchor>
  <xdr:twoCellAnchor editAs="absolute">
    <xdr:from>
      <xdr:col>5</xdr:col>
      <xdr:colOff>266700</xdr:colOff>
      <xdr:row>1</xdr:row>
      <xdr:rowOff>142875</xdr:rowOff>
    </xdr:from>
    <xdr:to>
      <xdr:col>6</xdr:col>
      <xdr:colOff>470400</xdr:colOff>
      <xdr:row>2</xdr:row>
      <xdr:rowOff>13875</xdr:rowOff>
    </xdr:to>
    <xdr:sp macro="" textlink="">
      <xdr:nvSpPr>
        <xdr:cNvPr id="17" name="Retângulo 1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A1FEFFE-513E-4902-AD02-E946BC6B8FD6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Simples</a:t>
          </a:r>
        </a:p>
      </xdr:txBody>
    </xdr:sp>
    <xdr:clientData/>
  </xdr:twoCellAnchor>
  <xdr:twoCellAnchor editAs="absolute">
    <xdr:from>
      <xdr:col>6</xdr:col>
      <xdr:colOff>485775</xdr:colOff>
      <xdr:row>1</xdr:row>
      <xdr:rowOff>142875</xdr:rowOff>
    </xdr:from>
    <xdr:to>
      <xdr:col>7</xdr:col>
      <xdr:colOff>689475</xdr:colOff>
      <xdr:row>2</xdr:row>
      <xdr:rowOff>13875</xdr:rowOff>
    </xdr:to>
    <xdr:sp macro="" textlink="">
      <xdr:nvSpPr>
        <xdr:cNvPr id="18" name="Retângulo 1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6C42C67-C2AE-469D-9732-8E3C5F6C8D2B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Custos</a:t>
          </a:r>
        </a:p>
      </xdr:txBody>
    </xdr:sp>
    <xdr:clientData/>
  </xdr:twoCellAnchor>
  <xdr:twoCellAnchor editAs="absolute">
    <xdr:from>
      <xdr:col>7</xdr:col>
      <xdr:colOff>704850</xdr:colOff>
      <xdr:row>1</xdr:row>
      <xdr:rowOff>142875</xdr:rowOff>
    </xdr:from>
    <xdr:to>
      <xdr:col>9</xdr:col>
      <xdr:colOff>32250</xdr:colOff>
      <xdr:row>2</xdr:row>
      <xdr:rowOff>13875</xdr:rowOff>
    </xdr:to>
    <xdr:sp macro="" textlink="">
      <xdr:nvSpPr>
        <xdr:cNvPr id="19" name="Retângulo 1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41F672C-2286-4381-A542-8AED51360A5A}"/>
            </a:ext>
          </a:extLst>
        </xdr:cNvPr>
        <xdr:cNvSpPr/>
      </xdr:nvSpPr>
      <xdr:spPr>
        <a:xfrm>
          <a:off x="53530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Despesas</a:t>
          </a:r>
        </a:p>
      </xdr:txBody>
    </xdr:sp>
    <xdr:clientData/>
  </xdr:twoCellAnchor>
  <xdr:twoCellAnchor editAs="absolute">
    <xdr:from>
      <xdr:col>2</xdr:col>
      <xdr:colOff>0</xdr:colOff>
      <xdr:row>2</xdr:row>
      <xdr:rowOff>323850</xdr:rowOff>
    </xdr:from>
    <xdr:to>
      <xdr:col>4</xdr:col>
      <xdr:colOff>225300</xdr:colOff>
      <xdr:row>2</xdr:row>
      <xdr:rowOff>575850</xdr:rowOff>
    </xdr:to>
    <xdr:sp macro="" textlink="">
      <xdr:nvSpPr>
        <xdr:cNvPr id="25" name="Retângulo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EB43521C-3E77-444E-ACD4-7EEA7EB0CA55}"/>
            </a:ext>
          </a:extLst>
        </xdr:cNvPr>
        <xdr:cNvSpPr/>
      </xdr:nvSpPr>
      <xdr:spPr>
        <a:xfrm>
          <a:off x="228600" y="1143000"/>
          <a:ext cx="2016000" cy="252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bg1"/>
              </a:solidFill>
            </a:rPr>
            <a:t>Faturamento 100% Tributado</a:t>
          </a:r>
        </a:p>
      </xdr:txBody>
    </xdr:sp>
    <xdr:clientData/>
  </xdr:twoCellAnchor>
  <xdr:twoCellAnchor editAs="absolute">
    <xdr:from>
      <xdr:col>2</xdr:col>
      <xdr:colOff>9526</xdr:colOff>
      <xdr:row>2</xdr:row>
      <xdr:rowOff>571500</xdr:rowOff>
    </xdr:from>
    <xdr:to>
      <xdr:col>15</xdr:col>
      <xdr:colOff>819526</xdr:colOff>
      <xdr:row>2</xdr:row>
      <xdr:rowOff>571500</xdr:rowOff>
    </xdr:to>
    <xdr:cxnSp macro="">
      <xdr:nvCxnSpPr>
        <xdr:cNvPr id="27" name="Conector reto 26">
          <a:extLst>
            <a:ext uri="{FF2B5EF4-FFF2-40B4-BE49-F238E27FC236}">
              <a16:creationId xmlns:a16="http://schemas.microsoft.com/office/drawing/2014/main" id="{7A8AACB1-4CFE-415B-BE20-B3782877DC53}"/>
            </a:ext>
          </a:extLst>
        </xdr:cNvPr>
        <xdr:cNvCxnSpPr/>
      </xdr:nvCxnSpPr>
      <xdr:spPr>
        <a:xfrm>
          <a:off x="238126" y="1390650"/>
          <a:ext cx="12240000" cy="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257175</xdr:colOff>
      <xdr:row>2</xdr:row>
      <xdr:rowOff>323850</xdr:rowOff>
    </xdr:from>
    <xdr:to>
      <xdr:col>6</xdr:col>
      <xdr:colOff>520575</xdr:colOff>
      <xdr:row>2</xdr:row>
      <xdr:rowOff>575850</xdr:rowOff>
    </xdr:to>
    <xdr:sp macro="" textlink="">
      <xdr:nvSpPr>
        <xdr:cNvPr id="20" name="Retângulo 1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856C1DE2-D0E0-424A-AA4D-0DE3B73F2ECE}"/>
            </a:ext>
          </a:extLst>
        </xdr:cNvPr>
        <xdr:cNvSpPr/>
      </xdr:nvSpPr>
      <xdr:spPr>
        <a:xfrm>
          <a:off x="2276475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Monofásico</a:t>
          </a:r>
        </a:p>
      </xdr:txBody>
    </xdr:sp>
    <xdr:clientData/>
  </xdr:twoCellAnchor>
  <xdr:twoCellAnchor editAs="absolute">
    <xdr:from>
      <xdr:col>6</xdr:col>
      <xdr:colOff>552450</xdr:colOff>
      <xdr:row>2</xdr:row>
      <xdr:rowOff>323850</xdr:rowOff>
    </xdr:from>
    <xdr:to>
      <xdr:col>8</xdr:col>
      <xdr:colOff>815850</xdr:colOff>
      <xdr:row>2</xdr:row>
      <xdr:rowOff>575850</xdr:rowOff>
    </xdr:to>
    <xdr:sp macro="" textlink="">
      <xdr:nvSpPr>
        <xdr:cNvPr id="34" name="Retângulo 3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7C8B74E5-0FE5-4271-BD5A-3572B117118D}"/>
            </a:ext>
          </a:extLst>
        </xdr:cNvPr>
        <xdr:cNvSpPr/>
      </xdr:nvSpPr>
      <xdr:spPr>
        <a:xfrm>
          <a:off x="4324350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ST</a:t>
          </a:r>
        </a:p>
      </xdr:txBody>
    </xdr:sp>
    <xdr:clientData/>
  </xdr:twoCellAnchor>
  <xdr:twoCellAnchor editAs="absolute">
    <xdr:from>
      <xdr:col>8</xdr:col>
      <xdr:colOff>847725</xdr:colOff>
      <xdr:row>2</xdr:row>
      <xdr:rowOff>323850</xdr:rowOff>
    </xdr:from>
    <xdr:to>
      <xdr:col>11</xdr:col>
      <xdr:colOff>234825</xdr:colOff>
      <xdr:row>2</xdr:row>
      <xdr:rowOff>575850</xdr:rowOff>
    </xdr:to>
    <xdr:sp macro="" textlink="">
      <xdr:nvSpPr>
        <xdr:cNvPr id="35" name="Retângulo 3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92AB1FAE-F3BE-4433-92D3-057CEDBCB73D}"/>
            </a:ext>
          </a:extLst>
        </xdr:cNvPr>
        <xdr:cNvSpPr/>
      </xdr:nvSpPr>
      <xdr:spPr>
        <a:xfrm>
          <a:off x="6372225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Monofásico e ST</a:t>
          </a:r>
        </a:p>
      </xdr:txBody>
    </xdr:sp>
    <xdr:clientData/>
  </xdr:twoCellAnchor>
  <xdr:twoCellAnchor editAs="absolute">
    <xdr:from>
      <xdr:col>11</xdr:col>
      <xdr:colOff>266700</xdr:colOff>
      <xdr:row>2</xdr:row>
      <xdr:rowOff>323850</xdr:rowOff>
    </xdr:from>
    <xdr:to>
      <xdr:col>13</xdr:col>
      <xdr:colOff>530100</xdr:colOff>
      <xdr:row>2</xdr:row>
      <xdr:rowOff>575850</xdr:rowOff>
    </xdr:to>
    <xdr:sp macro="" textlink="">
      <xdr:nvSpPr>
        <xdr:cNvPr id="36" name="Retângulo 35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7E049449-1842-4001-8A12-73D19435626F}"/>
            </a:ext>
          </a:extLst>
        </xdr:cNvPr>
        <xdr:cNvSpPr/>
      </xdr:nvSpPr>
      <xdr:spPr>
        <a:xfrm>
          <a:off x="8420100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</a:t>
          </a:r>
          <a:r>
            <a:rPr lang="pt-BR" sz="1000" kern="1200" baseline="0">
              <a:solidFill>
                <a:schemeClr val="tx1">
                  <a:lumMod val="75000"/>
                  <a:lumOff val="25000"/>
                </a:schemeClr>
              </a:solidFill>
            </a:rPr>
            <a:t> Isento</a:t>
          </a:r>
          <a:endParaRPr lang="pt-BR" sz="1000" kern="12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13</xdr:col>
      <xdr:colOff>561975</xdr:colOff>
      <xdr:row>2</xdr:row>
      <xdr:rowOff>323850</xdr:rowOff>
    </xdr:from>
    <xdr:to>
      <xdr:col>15</xdr:col>
      <xdr:colOff>825375</xdr:colOff>
      <xdr:row>2</xdr:row>
      <xdr:rowOff>575850</xdr:rowOff>
    </xdr:to>
    <xdr:sp macro="" textlink="">
      <xdr:nvSpPr>
        <xdr:cNvPr id="37" name="Retângulo 3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B5FE6B3-45D1-462E-89B7-C1119F175135}"/>
            </a:ext>
          </a:extLst>
        </xdr:cNvPr>
        <xdr:cNvSpPr/>
      </xdr:nvSpPr>
      <xdr:spPr>
        <a:xfrm>
          <a:off x="10467975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Consolidado</a:t>
          </a:r>
        </a:p>
      </xdr:txBody>
    </xdr:sp>
    <xdr:clientData/>
  </xdr:twoCellAnchor>
  <xdr:twoCellAnchor editAs="absolute">
    <xdr:from>
      <xdr:col>15</xdr:col>
      <xdr:colOff>828675</xdr:colOff>
      <xdr:row>2</xdr:row>
      <xdr:rowOff>323850</xdr:rowOff>
    </xdr:from>
    <xdr:to>
      <xdr:col>15</xdr:col>
      <xdr:colOff>828675</xdr:colOff>
      <xdr:row>2</xdr:row>
      <xdr:rowOff>575850</xdr:rowOff>
    </xdr:to>
    <xdr:cxnSp macro="">
      <xdr:nvCxnSpPr>
        <xdr:cNvPr id="38" name="Conector reto 37">
          <a:extLst>
            <a:ext uri="{FF2B5EF4-FFF2-40B4-BE49-F238E27FC236}">
              <a16:creationId xmlns:a16="http://schemas.microsoft.com/office/drawing/2014/main" id="{2FD9A3FB-DD94-4A35-97D7-B2E5670E9DD0}"/>
            </a:ext>
          </a:extLst>
        </xdr:cNvPr>
        <xdr:cNvCxnSpPr/>
      </xdr:nvCxnSpPr>
      <xdr:spPr>
        <a:xfrm>
          <a:off x="12487275" y="1143000"/>
          <a:ext cx="0" cy="25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47625</xdr:colOff>
      <xdr:row>1</xdr:row>
      <xdr:rowOff>142875</xdr:rowOff>
    </xdr:from>
    <xdr:to>
      <xdr:col>10</xdr:col>
      <xdr:colOff>251325</xdr:colOff>
      <xdr:row>2</xdr:row>
      <xdr:rowOff>13875</xdr:rowOff>
    </xdr:to>
    <xdr:sp macro="" textlink="">
      <xdr:nvSpPr>
        <xdr:cNvPr id="15" name="Retângulo 1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9F43F5C5-B0A0-4E6C-B85B-E5F742BC20EA}"/>
            </a:ext>
          </a:extLst>
        </xdr:cNvPr>
        <xdr:cNvSpPr/>
      </xdr:nvSpPr>
      <xdr:spPr>
        <a:xfrm>
          <a:off x="64484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Reforma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342900</xdr:colOff>
      <xdr:row>0</xdr:row>
      <xdr:rowOff>85725</xdr:rowOff>
    </xdr:from>
    <xdr:to>
      <xdr:col>4</xdr:col>
      <xdr:colOff>546600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03EC5E-F5B6-4889-BD03-20E45F78CABD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4</xdr:col>
      <xdr:colOff>571500</xdr:colOff>
      <xdr:row>0</xdr:row>
      <xdr:rowOff>85725</xdr:rowOff>
    </xdr:from>
    <xdr:to>
      <xdr:col>5</xdr:col>
      <xdr:colOff>775200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3ACE13D-CA81-4689-BB3D-99CCFA939C86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5</xdr:col>
      <xdr:colOff>800100</xdr:colOff>
      <xdr:row>0</xdr:row>
      <xdr:rowOff>85725</xdr:rowOff>
    </xdr:from>
    <xdr:to>
      <xdr:col>7</xdr:col>
      <xdr:colOff>127500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51CE3C5-9006-40C8-9A99-24F4CDC924E4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8</xdr:col>
      <xdr:colOff>381000</xdr:colOff>
      <xdr:row>0</xdr:row>
      <xdr:rowOff>85725</xdr:rowOff>
    </xdr:from>
    <xdr:to>
      <xdr:col>9</xdr:col>
      <xdr:colOff>584700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5E54B1A-FD33-48D4-8241-D60D8983DF58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9</xdr:col>
      <xdr:colOff>609600</xdr:colOff>
      <xdr:row>0</xdr:row>
      <xdr:rowOff>85725</xdr:rowOff>
    </xdr:from>
    <xdr:to>
      <xdr:col>10</xdr:col>
      <xdr:colOff>813300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B3759E4-1375-4A4A-A454-2BABC6D24E6C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10</xdr:col>
      <xdr:colOff>838200</xdr:colOff>
      <xdr:row>0</xdr:row>
      <xdr:rowOff>85725</xdr:rowOff>
    </xdr:from>
    <xdr:to>
      <xdr:col>12</xdr:col>
      <xdr:colOff>165600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1BD6F18-AD85-48A8-A87B-451581F6563F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6</xdr:col>
      <xdr:colOff>114300</xdr:colOff>
      <xdr:row>0</xdr:row>
      <xdr:rowOff>371475</xdr:rowOff>
    </xdr:from>
    <xdr:to>
      <xdr:col>6</xdr:col>
      <xdr:colOff>834300</xdr:colOff>
      <xdr:row>0</xdr:row>
      <xdr:rowOff>388425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4A1B1F10-6C80-40EA-B958-6C3D9E06DB02}"/>
            </a:ext>
          </a:extLst>
        </xdr:cNvPr>
        <xdr:cNvSpPr/>
      </xdr:nvSpPr>
      <xdr:spPr>
        <a:xfrm>
          <a:off x="38862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152400</xdr:colOff>
      <xdr:row>0</xdr:row>
      <xdr:rowOff>85725</xdr:rowOff>
    </xdr:from>
    <xdr:to>
      <xdr:col>8</xdr:col>
      <xdr:colOff>356100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214FAD8-CCA8-4DF5-AA4A-D2A7B1E2DECD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267F674-D24E-4447-BC26-F773738ACCF9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563E6021-C1AE-3FCE-66CE-8A6A5AF8902C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B8F0ABC1-23E0-7D6D-ADBA-277B0C868ECF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4" name="Meio-quadro 13">
            <a:extLst>
              <a:ext uri="{FF2B5EF4-FFF2-40B4-BE49-F238E27FC236}">
                <a16:creationId xmlns:a16="http://schemas.microsoft.com/office/drawing/2014/main" id="{2F59A426-6A13-2D6D-19F2-C0090FDEC929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0</xdr:colOff>
      <xdr:row>2</xdr:row>
      <xdr:rowOff>885823</xdr:rowOff>
    </xdr:from>
    <xdr:to>
      <xdr:col>16</xdr:col>
      <xdr:colOff>0</xdr:colOff>
      <xdr:row>2</xdr:row>
      <xdr:rowOff>1266822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225A1303-DEF3-46F1-9163-538B0E117C53}"/>
            </a:ext>
          </a:extLst>
        </xdr:cNvPr>
        <xdr:cNvSpPr/>
      </xdr:nvSpPr>
      <xdr:spPr>
        <a:xfrm flipV="1">
          <a:off x="228600" y="1704973"/>
          <a:ext cx="12306300" cy="380999"/>
        </a:xfrm>
        <a:prstGeom prst="rect">
          <a:avLst/>
        </a:prstGeom>
        <a:noFill/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 editAs="absolute">
    <xdr:from>
      <xdr:col>2</xdr:col>
      <xdr:colOff>742950</xdr:colOff>
      <xdr:row>1</xdr:row>
      <xdr:rowOff>142875</xdr:rowOff>
    </xdr:from>
    <xdr:to>
      <xdr:col>4</xdr:col>
      <xdr:colOff>32250</xdr:colOff>
      <xdr:row>2</xdr:row>
      <xdr:rowOff>13875</xdr:rowOff>
    </xdr:to>
    <xdr:sp macro="" textlink="">
      <xdr:nvSpPr>
        <xdr:cNvPr id="39" name="Retângulo 3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1A900E-7302-422A-84C8-E2E5134D611D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Compras</a:t>
          </a:r>
        </a:p>
      </xdr:txBody>
    </xdr:sp>
    <xdr:clientData/>
  </xdr:twoCellAnchor>
  <xdr:twoCellAnchor editAs="absolute">
    <xdr:from>
      <xdr:col>4</xdr:col>
      <xdr:colOff>47625</xdr:colOff>
      <xdr:row>1</xdr:row>
      <xdr:rowOff>142875</xdr:rowOff>
    </xdr:from>
    <xdr:to>
      <xdr:col>5</xdr:col>
      <xdr:colOff>251325</xdr:colOff>
      <xdr:row>2</xdr:row>
      <xdr:rowOff>13875</xdr:rowOff>
    </xdr:to>
    <xdr:sp macro="" textlink="">
      <xdr:nvSpPr>
        <xdr:cNvPr id="40" name="Retângulo 3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7D9DFD9-4710-41AA-B717-2F702B129DD3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Faturamento</a:t>
          </a:r>
        </a:p>
      </xdr:txBody>
    </xdr:sp>
    <xdr:clientData/>
  </xdr:twoCellAnchor>
  <xdr:twoCellAnchor editAs="absolute">
    <xdr:from>
      <xdr:col>5</xdr:col>
      <xdr:colOff>266700</xdr:colOff>
      <xdr:row>1</xdr:row>
      <xdr:rowOff>142875</xdr:rowOff>
    </xdr:from>
    <xdr:to>
      <xdr:col>6</xdr:col>
      <xdr:colOff>470400</xdr:colOff>
      <xdr:row>2</xdr:row>
      <xdr:rowOff>13875</xdr:rowOff>
    </xdr:to>
    <xdr:sp macro="" textlink="">
      <xdr:nvSpPr>
        <xdr:cNvPr id="41" name="Retângulo 4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35BEEC7-7394-4062-B784-9BEC3EB035A5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Simples</a:t>
          </a:r>
        </a:p>
      </xdr:txBody>
    </xdr:sp>
    <xdr:clientData/>
  </xdr:twoCellAnchor>
  <xdr:twoCellAnchor editAs="absolute">
    <xdr:from>
      <xdr:col>6</xdr:col>
      <xdr:colOff>485775</xdr:colOff>
      <xdr:row>1</xdr:row>
      <xdr:rowOff>142875</xdr:rowOff>
    </xdr:from>
    <xdr:to>
      <xdr:col>7</xdr:col>
      <xdr:colOff>689475</xdr:colOff>
      <xdr:row>2</xdr:row>
      <xdr:rowOff>13875</xdr:rowOff>
    </xdr:to>
    <xdr:sp macro="" textlink="">
      <xdr:nvSpPr>
        <xdr:cNvPr id="42" name="Retângulo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78621A0-B79F-479A-8456-900E152C9E80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Custos</a:t>
          </a:r>
        </a:p>
      </xdr:txBody>
    </xdr:sp>
    <xdr:clientData/>
  </xdr:twoCellAnchor>
  <xdr:twoCellAnchor editAs="absolute">
    <xdr:from>
      <xdr:col>7</xdr:col>
      <xdr:colOff>704850</xdr:colOff>
      <xdr:row>1</xdr:row>
      <xdr:rowOff>142875</xdr:rowOff>
    </xdr:from>
    <xdr:to>
      <xdr:col>9</xdr:col>
      <xdr:colOff>32250</xdr:colOff>
      <xdr:row>2</xdr:row>
      <xdr:rowOff>13875</xdr:rowOff>
    </xdr:to>
    <xdr:sp macro="" textlink="">
      <xdr:nvSpPr>
        <xdr:cNvPr id="43" name="Retângulo 4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08927CE-CB25-4B51-BA2E-7D83B07F8C3E}"/>
            </a:ext>
          </a:extLst>
        </xdr:cNvPr>
        <xdr:cNvSpPr/>
      </xdr:nvSpPr>
      <xdr:spPr>
        <a:xfrm>
          <a:off x="53530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Despesas</a:t>
          </a:r>
        </a:p>
      </xdr:txBody>
    </xdr:sp>
    <xdr:clientData/>
  </xdr:twoCellAnchor>
  <xdr:twoCellAnchor editAs="absolute">
    <xdr:from>
      <xdr:col>2</xdr:col>
      <xdr:colOff>0</xdr:colOff>
      <xdr:row>2</xdr:row>
      <xdr:rowOff>323850</xdr:rowOff>
    </xdr:from>
    <xdr:to>
      <xdr:col>4</xdr:col>
      <xdr:colOff>225300</xdr:colOff>
      <xdr:row>2</xdr:row>
      <xdr:rowOff>575850</xdr:rowOff>
    </xdr:to>
    <xdr:sp macro="" textlink="">
      <xdr:nvSpPr>
        <xdr:cNvPr id="44" name="Retângulo 4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B3F8A37-993C-449A-83CA-15397C6EB101}"/>
            </a:ext>
          </a:extLst>
        </xdr:cNvPr>
        <xdr:cNvSpPr/>
      </xdr:nvSpPr>
      <xdr:spPr>
        <a:xfrm>
          <a:off x="228600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100% Tributado</a:t>
          </a:r>
        </a:p>
      </xdr:txBody>
    </xdr:sp>
    <xdr:clientData/>
  </xdr:twoCellAnchor>
  <xdr:twoCellAnchor editAs="absolute">
    <xdr:from>
      <xdr:col>2</xdr:col>
      <xdr:colOff>9526</xdr:colOff>
      <xdr:row>2</xdr:row>
      <xdr:rowOff>571500</xdr:rowOff>
    </xdr:from>
    <xdr:to>
      <xdr:col>15</xdr:col>
      <xdr:colOff>819526</xdr:colOff>
      <xdr:row>2</xdr:row>
      <xdr:rowOff>571500</xdr:rowOff>
    </xdr:to>
    <xdr:cxnSp macro="">
      <xdr:nvCxnSpPr>
        <xdr:cNvPr id="45" name="Conector reto 44">
          <a:extLst>
            <a:ext uri="{FF2B5EF4-FFF2-40B4-BE49-F238E27FC236}">
              <a16:creationId xmlns:a16="http://schemas.microsoft.com/office/drawing/2014/main" id="{BE57E699-BB8A-46DC-82CA-95D9DA1958FB}"/>
            </a:ext>
          </a:extLst>
        </xdr:cNvPr>
        <xdr:cNvCxnSpPr/>
      </xdr:nvCxnSpPr>
      <xdr:spPr>
        <a:xfrm>
          <a:off x="238126" y="1390650"/>
          <a:ext cx="12240000" cy="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257175</xdr:colOff>
      <xdr:row>2</xdr:row>
      <xdr:rowOff>323850</xdr:rowOff>
    </xdr:from>
    <xdr:to>
      <xdr:col>6</xdr:col>
      <xdr:colOff>520575</xdr:colOff>
      <xdr:row>2</xdr:row>
      <xdr:rowOff>575850</xdr:rowOff>
    </xdr:to>
    <xdr:sp macro="" textlink="">
      <xdr:nvSpPr>
        <xdr:cNvPr id="46" name="Retângulo 4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10A08214-25E8-4D0A-9A5A-3694AEDB2715}"/>
            </a:ext>
          </a:extLst>
        </xdr:cNvPr>
        <xdr:cNvSpPr/>
      </xdr:nvSpPr>
      <xdr:spPr>
        <a:xfrm>
          <a:off x="2276475" y="1143000"/>
          <a:ext cx="2016000" cy="252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bg1"/>
              </a:solidFill>
            </a:rPr>
            <a:t>Faturamento Monofásico</a:t>
          </a:r>
        </a:p>
      </xdr:txBody>
    </xdr:sp>
    <xdr:clientData/>
  </xdr:twoCellAnchor>
  <xdr:twoCellAnchor editAs="absolute">
    <xdr:from>
      <xdr:col>6</xdr:col>
      <xdr:colOff>552450</xdr:colOff>
      <xdr:row>2</xdr:row>
      <xdr:rowOff>323850</xdr:rowOff>
    </xdr:from>
    <xdr:to>
      <xdr:col>8</xdr:col>
      <xdr:colOff>815850</xdr:colOff>
      <xdr:row>2</xdr:row>
      <xdr:rowOff>575850</xdr:rowOff>
    </xdr:to>
    <xdr:sp macro="" textlink="">
      <xdr:nvSpPr>
        <xdr:cNvPr id="47" name="Retângulo 4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51EC020E-A78B-4721-91A4-72E8BF4E670A}"/>
            </a:ext>
          </a:extLst>
        </xdr:cNvPr>
        <xdr:cNvSpPr/>
      </xdr:nvSpPr>
      <xdr:spPr>
        <a:xfrm>
          <a:off x="4324350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ST</a:t>
          </a:r>
        </a:p>
      </xdr:txBody>
    </xdr:sp>
    <xdr:clientData/>
  </xdr:twoCellAnchor>
  <xdr:twoCellAnchor editAs="absolute">
    <xdr:from>
      <xdr:col>8</xdr:col>
      <xdr:colOff>847725</xdr:colOff>
      <xdr:row>2</xdr:row>
      <xdr:rowOff>323850</xdr:rowOff>
    </xdr:from>
    <xdr:to>
      <xdr:col>11</xdr:col>
      <xdr:colOff>234825</xdr:colOff>
      <xdr:row>2</xdr:row>
      <xdr:rowOff>575850</xdr:rowOff>
    </xdr:to>
    <xdr:sp macro="" textlink="">
      <xdr:nvSpPr>
        <xdr:cNvPr id="48" name="Retângulo 4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C97A1248-9E64-481D-9E87-54839C78A7B9}"/>
            </a:ext>
          </a:extLst>
        </xdr:cNvPr>
        <xdr:cNvSpPr/>
      </xdr:nvSpPr>
      <xdr:spPr>
        <a:xfrm>
          <a:off x="6372225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Monofásico e ST</a:t>
          </a:r>
        </a:p>
      </xdr:txBody>
    </xdr:sp>
    <xdr:clientData/>
  </xdr:twoCellAnchor>
  <xdr:twoCellAnchor editAs="absolute">
    <xdr:from>
      <xdr:col>11</xdr:col>
      <xdr:colOff>266700</xdr:colOff>
      <xdr:row>2</xdr:row>
      <xdr:rowOff>323850</xdr:rowOff>
    </xdr:from>
    <xdr:to>
      <xdr:col>13</xdr:col>
      <xdr:colOff>530100</xdr:colOff>
      <xdr:row>2</xdr:row>
      <xdr:rowOff>575850</xdr:rowOff>
    </xdr:to>
    <xdr:sp macro="" textlink="">
      <xdr:nvSpPr>
        <xdr:cNvPr id="49" name="Retângulo 4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F978E602-C44A-40BF-8566-D056A1A56201}"/>
            </a:ext>
          </a:extLst>
        </xdr:cNvPr>
        <xdr:cNvSpPr/>
      </xdr:nvSpPr>
      <xdr:spPr>
        <a:xfrm>
          <a:off x="8420100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</a:t>
          </a:r>
          <a:r>
            <a:rPr lang="pt-BR" sz="1000" kern="1200" baseline="0">
              <a:solidFill>
                <a:schemeClr val="tx1">
                  <a:lumMod val="75000"/>
                  <a:lumOff val="25000"/>
                </a:schemeClr>
              </a:solidFill>
            </a:rPr>
            <a:t> Isento</a:t>
          </a:r>
          <a:endParaRPr lang="pt-BR" sz="1000" kern="12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13</xdr:col>
      <xdr:colOff>561975</xdr:colOff>
      <xdr:row>2</xdr:row>
      <xdr:rowOff>323850</xdr:rowOff>
    </xdr:from>
    <xdr:to>
      <xdr:col>15</xdr:col>
      <xdr:colOff>825375</xdr:colOff>
      <xdr:row>2</xdr:row>
      <xdr:rowOff>575850</xdr:rowOff>
    </xdr:to>
    <xdr:sp macro="" textlink="">
      <xdr:nvSpPr>
        <xdr:cNvPr id="50" name="Retângulo 4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181E6F9-6054-41F3-BD24-CDDE51C09E73}"/>
            </a:ext>
          </a:extLst>
        </xdr:cNvPr>
        <xdr:cNvSpPr/>
      </xdr:nvSpPr>
      <xdr:spPr>
        <a:xfrm>
          <a:off x="10467975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Consolidado</a:t>
          </a:r>
        </a:p>
      </xdr:txBody>
    </xdr:sp>
    <xdr:clientData/>
  </xdr:twoCellAnchor>
  <xdr:twoCellAnchor editAs="absolute">
    <xdr:from>
      <xdr:col>15</xdr:col>
      <xdr:colOff>828675</xdr:colOff>
      <xdr:row>2</xdr:row>
      <xdr:rowOff>323850</xdr:rowOff>
    </xdr:from>
    <xdr:to>
      <xdr:col>15</xdr:col>
      <xdr:colOff>828675</xdr:colOff>
      <xdr:row>2</xdr:row>
      <xdr:rowOff>575850</xdr:rowOff>
    </xdr:to>
    <xdr:cxnSp macro="">
      <xdr:nvCxnSpPr>
        <xdr:cNvPr id="51" name="Conector reto 50">
          <a:extLst>
            <a:ext uri="{FF2B5EF4-FFF2-40B4-BE49-F238E27FC236}">
              <a16:creationId xmlns:a16="http://schemas.microsoft.com/office/drawing/2014/main" id="{0165A4F7-B587-46A4-905F-F4FCEA9F7C70}"/>
            </a:ext>
          </a:extLst>
        </xdr:cNvPr>
        <xdr:cNvCxnSpPr/>
      </xdr:nvCxnSpPr>
      <xdr:spPr>
        <a:xfrm>
          <a:off x="12487275" y="1143000"/>
          <a:ext cx="0" cy="25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47625</xdr:colOff>
      <xdr:row>1</xdr:row>
      <xdr:rowOff>142875</xdr:rowOff>
    </xdr:from>
    <xdr:to>
      <xdr:col>10</xdr:col>
      <xdr:colOff>251325</xdr:colOff>
      <xdr:row>2</xdr:row>
      <xdr:rowOff>13875</xdr:rowOff>
    </xdr:to>
    <xdr:sp macro="" textlink="">
      <xdr:nvSpPr>
        <xdr:cNvPr id="10" name="Retângulo 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F5D06AC2-90BA-43AB-95DB-D5D91FD51955}"/>
            </a:ext>
          </a:extLst>
        </xdr:cNvPr>
        <xdr:cNvSpPr/>
      </xdr:nvSpPr>
      <xdr:spPr>
        <a:xfrm>
          <a:off x="64484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Reforma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342900</xdr:colOff>
      <xdr:row>0</xdr:row>
      <xdr:rowOff>85725</xdr:rowOff>
    </xdr:from>
    <xdr:to>
      <xdr:col>4</xdr:col>
      <xdr:colOff>546600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0689EC-1136-4C11-905D-B33C696D0B90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4</xdr:col>
      <xdr:colOff>571500</xdr:colOff>
      <xdr:row>0</xdr:row>
      <xdr:rowOff>85725</xdr:rowOff>
    </xdr:from>
    <xdr:to>
      <xdr:col>5</xdr:col>
      <xdr:colOff>775200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799CD3D-98F6-4D8A-9AC5-05F8E3FAEF9D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5</xdr:col>
      <xdr:colOff>800100</xdr:colOff>
      <xdr:row>0</xdr:row>
      <xdr:rowOff>85725</xdr:rowOff>
    </xdr:from>
    <xdr:to>
      <xdr:col>7</xdr:col>
      <xdr:colOff>127500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B2E4292-12E6-4BC6-B892-2D16246FE0DF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8</xdr:col>
      <xdr:colOff>381000</xdr:colOff>
      <xdr:row>0</xdr:row>
      <xdr:rowOff>85725</xdr:rowOff>
    </xdr:from>
    <xdr:to>
      <xdr:col>9</xdr:col>
      <xdr:colOff>584700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8DE954C-1B6E-4BB5-A98A-B930004F54B5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9</xdr:col>
      <xdr:colOff>609600</xdr:colOff>
      <xdr:row>0</xdr:row>
      <xdr:rowOff>85725</xdr:rowOff>
    </xdr:from>
    <xdr:to>
      <xdr:col>10</xdr:col>
      <xdr:colOff>813300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F641921-421E-4508-813A-57FECEF7E475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10</xdr:col>
      <xdr:colOff>838200</xdr:colOff>
      <xdr:row>0</xdr:row>
      <xdr:rowOff>85725</xdr:rowOff>
    </xdr:from>
    <xdr:to>
      <xdr:col>12</xdr:col>
      <xdr:colOff>165600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2AA0FA6-B643-4CFA-8972-1EAAA350F17C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6</xdr:col>
      <xdr:colOff>114300</xdr:colOff>
      <xdr:row>0</xdr:row>
      <xdr:rowOff>371475</xdr:rowOff>
    </xdr:from>
    <xdr:to>
      <xdr:col>6</xdr:col>
      <xdr:colOff>834300</xdr:colOff>
      <xdr:row>0</xdr:row>
      <xdr:rowOff>388425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4A0CEF36-E771-4079-85F3-6B03E37DF6E1}"/>
            </a:ext>
          </a:extLst>
        </xdr:cNvPr>
        <xdr:cNvSpPr/>
      </xdr:nvSpPr>
      <xdr:spPr>
        <a:xfrm>
          <a:off x="38862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152400</xdr:colOff>
      <xdr:row>0</xdr:row>
      <xdr:rowOff>85725</xdr:rowOff>
    </xdr:from>
    <xdr:to>
      <xdr:col>8</xdr:col>
      <xdr:colOff>356100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817E7ACE-2394-4FE1-9ECC-20C1680072B8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7E63129D-6567-435A-9437-A283701C74B0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06D1692C-3CD9-D04B-DAB2-6D72357F6BEF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9745FA1C-A98B-8DD5-C491-4EB7736FD2FD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4" name="Meio-quadro 13">
            <a:extLst>
              <a:ext uri="{FF2B5EF4-FFF2-40B4-BE49-F238E27FC236}">
                <a16:creationId xmlns:a16="http://schemas.microsoft.com/office/drawing/2014/main" id="{F723E648-7AFE-45BA-9039-8AA756C48983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0</xdr:colOff>
      <xdr:row>2</xdr:row>
      <xdr:rowOff>885823</xdr:rowOff>
    </xdr:from>
    <xdr:to>
      <xdr:col>16</xdr:col>
      <xdr:colOff>0</xdr:colOff>
      <xdr:row>2</xdr:row>
      <xdr:rowOff>1266822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DA2FEDB4-955A-497C-AEBA-E29DD29E6646}"/>
            </a:ext>
          </a:extLst>
        </xdr:cNvPr>
        <xdr:cNvSpPr/>
      </xdr:nvSpPr>
      <xdr:spPr>
        <a:xfrm flipV="1">
          <a:off x="228600" y="1704973"/>
          <a:ext cx="12306300" cy="380999"/>
        </a:xfrm>
        <a:prstGeom prst="rect">
          <a:avLst/>
        </a:prstGeom>
        <a:noFill/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 editAs="absolute">
    <xdr:from>
      <xdr:col>2</xdr:col>
      <xdr:colOff>742950</xdr:colOff>
      <xdr:row>1</xdr:row>
      <xdr:rowOff>142875</xdr:rowOff>
    </xdr:from>
    <xdr:to>
      <xdr:col>4</xdr:col>
      <xdr:colOff>32250</xdr:colOff>
      <xdr:row>2</xdr:row>
      <xdr:rowOff>13875</xdr:rowOff>
    </xdr:to>
    <xdr:sp macro="" textlink="">
      <xdr:nvSpPr>
        <xdr:cNvPr id="39" name="Retângulo 3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80A6BC-E08A-4245-838D-E20E35A0C9AF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Compras</a:t>
          </a:r>
        </a:p>
      </xdr:txBody>
    </xdr:sp>
    <xdr:clientData/>
  </xdr:twoCellAnchor>
  <xdr:twoCellAnchor editAs="absolute">
    <xdr:from>
      <xdr:col>4</xdr:col>
      <xdr:colOff>47625</xdr:colOff>
      <xdr:row>1</xdr:row>
      <xdr:rowOff>142875</xdr:rowOff>
    </xdr:from>
    <xdr:to>
      <xdr:col>5</xdr:col>
      <xdr:colOff>251325</xdr:colOff>
      <xdr:row>2</xdr:row>
      <xdr:rowOff>13875</xdr:rowOff>
    </xdr:to>
    <xdr:sp macro="" textlink="">
      <xdr:nvSpPr>
        <xdr:cNvPr id="40" name="Retângulo 3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AC5C4F5-8178-43D1-BFD1-AAB148993A1F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Faturamento</a:t>
          </a:r>
        </a:p>
      </xdr:txBody>
    </xdr:sp>
    <xdr:clientData/>
  </xdr:twoCellAnchor>
  <xdr:twoCellAnchor editAs="absolute">
    <xdr:from>
      <xdr:col>5</xdr:col>
      <xdr:colOff>266700</xdr:colOff>
      <xdr:row>1</xdr:row>
      <xdr:rowOff>142875</xdr:rowOff>
    </xdr:from>
    <xdr:to>
      <xdr:col>6</xdr:col>
      <xdr:colOff>470400</xdr:colOff>
      <xdr:row>2</xdr:row>
      <xdr:rowOff>13875</xdr:rowOff>
    </xdr:to>
    <xdr:sp macro="" textlink="">
      <xdr:nvSpPr>
        <xdr:cNvPr id="41" name="Retângulo 4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DD1B252-215B-4F97-AD3D-309E44F5BB8A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Simples</a:t>
          </a:r>
        </a:p>
      </xdr:txBody>
    </xdr:sp>
    <xdr:clientData/>
  </xdr:twoCellAnchor>
  <xdr:twoCellAnchor editAs="absolute">
    <xdr:from>
      <xdr:col>6</xdr:col>
      <xdr:colOff>485775</xdr:colOff>
      <xdr:row>1</xdr:row>
      <xdr:rowOff>142875</xdr:rowOff>
    </xdr:from>
    <xdr:to>
      <xdr:col>7</xdr:col>
      <xdr:colOff>689475</xdr:colOff>
      <xdr:row>2</xdr:row>
      <xdr:rowOff>13875</xdr:rowOff>
    </xdr:to>
    <xdr:sp macro="" textlink="">
      <xdr:nvSpPr>
        <xdr:cNvPr id="42" name="Retângulo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26BB8AA-B963-4C68-BF6D-E6E81FB1F180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Custos</a:t>
          </a:r>
        </a:p>
      </xdr:txBody>
    </xdr:sp>
    <xdr:clientData/>
  </xdr:twoCellAnchor>
  <xdr:twoCellAnchor editAs="absolute">
    <xdr:from>
      <xdr:col>7</xdr:col>
      <xdr:colOff>704850</xdr:colOff>
      <xdr:row>1</xdr:row>
      <xdr:rowOff>142875</xdr:rowOff>
    </xdr:from>
    <xdr:to>
      <xdr:col>9</xdr:col>
      <xdr:colOff>32250</xdr:colOff>
      <xdr:row>2</xdr:row>
      <xdr:rowOff>13875</xdr:rowOff>
    </xdr:to>
    <xdr:sp macro="" textlink="">
      <xdr:nvSpPr>
        <xdr:cNvPr id="43" name="Retângulo 4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859A150-1C0E-437B-85F0-071E9F971D20}"/>
            </a:ext>
          </a:extLst>
        </xdr:cNvPr>
        <xdr:cNvSpPr/>
      </xdr:nvSpPr>
      <xdr:spPr>
        <a:xfrm>
          <a:off x="53530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Despesas</a:t>
          </a:r>
        </a:p>
      </xdr:txBody>
    </xdr:sp>
    <xdr:clientData/>
  </xdr:twoCellAnchor>
  <xdr:twoCellAnchor editAs="absolute">
    <xdr:from>
      <xdr:col>2</xdr:col>
      <xdr:colOff>0</xdr:colOff>
      <xdr:row>2</xdr:row>
      <xdr:rowOff>323850</xdr:rowOff>
    </xdr:from>
    <xdr:to>
      <xdr:col>4</xdr:col>
      <xdr:colOff>225300</xdr:colOff>
      <xdr:row>2</xdr:row>
      <xdr:rowOff>575850</xdr:rowOff>
    </xdr:to>
    <xdr:sp macro="" textlink="">
      <xdr:nvSpPr>
        <xdr:cNvPr id="44" name="Retângulo 4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91D2713-9AB1-4EA3-8351-FE35D37BEDAA}"/>
            </a:ext>
          </a:extLst>
        </xdr:cNvPr>
        <xdr:cNvSpPr/>
      </xdr:nvSpPr>
      <xdr:spPr>
        <a:xfrm>
          <a:off x="228600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100% Tributado</a:t>
          </a:r>
        </a:p>
      </xdr:txBody>
    </xdr:sp>
    <xdr:clientData/>
  </xdr:twoCellAnchor>
  <xdr:twoCellAnchor editAs="absolute">
    <xdr:from>
      <xdr:col>2</xdr:col>
      <xdr:colOff>9526</xdr:colOff>
      <xdr:row>2</xdr:row>
      <xdr:rowOff>571500</xdr:rowOff>
    </xdr:from>
    <xdr:to>
      <xdr:col>15</xdr:col>
      <xdr:colOff>819526</xdr:colOff>
      <xdr:row>2</xdr:row>
      <xdr:rowOff>571500</xdr:rowOff>
    </xdr:to>
    <xdr:cxnSp macro="">
      <xdr:nvCxnSpPr>
        <xdr:cNvPr id="45" name="Conector reto 44">
          <a:extLst>
            <a:ext uri="{FF2B5EF4-FFF2-40B4-BE49-F238E27FC236}">
              <a16:creationId xmlns:a16="http://schemas.microsoft.com/office/drawing/2014/main" id="{91DD3007-943D-42CA-A3B0-4112D812E0EF}"/>
            </a:ext>
          </a:extLst>
        </xdr:cNvPr>
        <xdr:cNvCxnSpPr/>
      </xdr:nvCxnSpPr>
      <xdr:spPr>
        <a:xfrm>
          <a:off x="238126" y="1390650"/>
          <a:ext cx="12240000" cy="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257175</xdr:colOff>
      <xdr:row>2</xdr:row>
      <xdr:rowOff>323850</xdr:rowOff>
    </xdr:from>
    <xdr:to>
      <xdr:col>6</xdr:col>
      <xdr:colOff>520575</xdr:colOff>
      <xdr:row>2</xdr:row>
      <xdr:rowOff>575850</xdr:rowOff>
    </xdr:to>
    <xdr:sp macro="" textlink="">
      <xdr:nvSpPr>
        <xdr:cNvPr id="46" name="Retângulo 4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F8468FED-8904-40AC-92D2-D49C68E4905C}"/>
            </a:ext>
          </a:extLst>
        </xdr:cNvPr>
        <xdr:cNvSpPr/>
      </xdr:nvSpPr>
      <xdr:spPr>
        <a:xfrm>
          <a:off x="2276475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Monofásico</a:t>
          </a:r>
        </a:p>
      </xdr:txBody>
    </xdr:sp>
    <xdr:clientData/>
  </xdr:twoCellAnchor>
  <xdr:twoCellAnchor editAs="absolute">
    <xdr:from>
      <xdr:col>6</xdr:col>
      <xdr:colOff>552450</xdr:colOff>
      <xdr:row>2</xdr:row>
      <xdr:rowOff>323850</xdr:rowOff>
    </xdr:from>
    <xdr:to>
      <xdr:col>8</xdr:col>
      <xdr:colOff>815850</xdr:colOff>
      <xdr:row>2</xdr:row>
      <xdr:rowOff>575850</xdr:rowOff>
    </xdr:to>
    <xdr:sp macro="" textlink="">
      <xdr:nvSpPr>
        <xdr:cNvPr id="47" name="Retângulo 4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19F850D2-D29D-4C8D-8087-179A44D67DB1}"/>
            </a:ext>
          </a:extLst>
        </xdr:cNvPr>
        <xdr:cNvSpPr/>
      </xdr:nvSpPr>
      <xdr:spPr>
        <a:xfrm>
          <a:off x="4324350" y="1143000"/>
          <a:ext cx="2016000" cy="252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bg1"/>
              </a:solidFill>
            </a:rPr>
            <a:t>Faturamento ST</a:t>
          </a:r>
        </a:p>
      </xdr:txBody>
    </xdr:sp>
    <xdr:clientData/>
  </xdr:twoCellAnchor>
  <xdr:twoCellAnchor editAs="absolute">
    <xdr:from>
      <xdr:col>8</xdr:col>
      <xdr:colOff>847725</xdr:colOff>
      <xdr:row>2</xdr:row>
      <xdr:rowOff>323850</xdr:rowOff>
    </xdr:from>
    <xdr:to>
      <xdr:col>11</xdr:col>
      <xdr:colOff>234825</xdr:colOff>
      <xdr:row>2</xdr:row>
      <xdr:rowOff>575850</xdr:rowOff>
    </xdr:to>
    <xdr:sp macro="" textlink="">
      <xdr:nvSpPr>
        <xdr:cNvPr id="48" name="Retângulo 4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7C864DF2-09C8-4671-BA46-9809D0394ACA}"/>
            </a:ext>
          </a:extLst>
        </xdr:cNvPr>
        <xdr:cNvSpPr/>
      </xdr:nvSpPr>
      <xdr:spPr>
        <a:xfrm>
          <a:off x="6372225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Monofásico e ST</a:t>
          </a:r>
        </a:p>
      </xdr:txBody>
    </xdr:sp>
    <xdr:clientData/>
  </xdr:twoCellAnchor>
  <xdr:twoCellAnchor editAs="absolute">
    <xdr:from>
      <xdr:col>11</xdr:col>
      <xdr:colOff>266700</xdr:colOff>
      <xdr:row>2</xdr:row>
      <xdr:rowOff>323850</xdr:rowOff>
    </xdr:from>
    <xdr:to>
      <xdr:col>13</xdr:col>
      <xdr:colOff>530100</xdr:colOff>
      <xdr:row>2</xdr:row>
      <xdr:rowOff>575850</xdr:rowOff>
    </xdr:to>
    <xdr:sp macro="" textlink="">
      <xdr:nvSpPr>
        <xdr:cNvPr id="49" name="Retângulo 4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21EE7985-36CE-4561-852E-4AA248A72EA5}"/>
            </a:ext>
          </a:extLst>
        </xdr:cNvPr>
        <xdr:cNvSpPr/>
      </xdr:nvSpPr>
      <xdr:spPr>
        <a:xfrm>
          <a:off x="8420100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</a:t>
          </a:r>
          <a:r>
            <a:rPr lang="pt-BR" sz="1000" kern="1200" baseline="0">
              <a:solidFill>
                <a:schemeClr val="tx1">
                  <a:lumMod val="75000"/>
                  <a:lumOff val="25000"/>
                </a:schemeClr>
              </a:solidFill>
            </a:rPr>
            <a:t> Isento</a:t>
          </a:r>
          <a:endParaRPr lang="pt-BR" sz="1000" kern="12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13</xdr:col>
      <xdr:colOff>561975</xdr:colOff>
      <xdr:row>2</xdr:row>
      <xdr:rowOff>323850</xdr:rowOff>
    </xdr:from>
    <xdr:to>
      <xdr:col>15</xdr:col>
      <xdr:colOff>825375</xdr:colOff>
      <xdr:row>2</xdr:row>
      <xdr:rowOff>575850</xdr:rowOff>
    </xdr:to>
    <xdr:sp macro="" textlink="">
      <xdr:nvSpPr>
        <xdr:cNvPr id="50" name="Retângulo 4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0FFEA05-1952-45C3-B460-3F6C6A66A30B}"/>
            </a:ext>
          </a:extLst>
        </xdr:cNvPr>
        <xdr:cNvSpPr/>
      </xdr:nvSpPr>
      <xdr:spPr>
        <a:xfrm>
          <a:off x="10467975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Consolidado</a:t>
          </a:r>
        </a:p>
      </xdr:txBody>
    </xdr:sp>
    <xdr:clientData/>
  </xdr:twoCellAnchor>
  <xdr:twoCellAnchor editAs="absolute">
    <xdr:from>
      <xdr:col>15</xdr:col>
      <xdr:colOff>828675</xdr:colOff>
      <xdr:row>2</xdr:row>
      <xdr:rowOff>323850</xdr:rowOff>
    </xdr:from>
    <xdr:to>
      <xdr:col>15</xdr:col>
      <xdr:colOff>828675</xdr:colOff>
      <xdr:row>2</xdr:row>
      <xdr:rowOff>575850</xdr:rowOff>
    </xdr:to>
    <xdr:cxnSp macro="">
      <xdr:nvCxnSpPr>
        <xdr:cNvPr id="51" name="Conector reto 50">
          <a:extLst>
            <a:ext uri="{FF2B5EF4-FFF2-40B4-BE49-F238E27FC236}">
              <a16:creationId xmlns:a16="http://schemas.microsoft.com/office/drawing/2014/main" id="{FF42B43C-6B56-4CF5-8261-C38D34B28123}"/>
            </a:ext>
          </a:extLst>
        </xdr:cNvPr>
        <xdr:cNvCxnSpPr/>
      </xdr:nvCxnSpPr>
      <xdr:spPr>
        <a:xfrm>
          <a:off x="12487275" y="1143000"/>
          <a:ext cx="0" cy="25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47625</xdr:colOff>
      <xdr:row>1</xdr:row>
      <xdr:rowOff>142875</xdr:rowOff>
    </xdr:from>
    <xdr:to>
      <xdr:col>10</xdr:col>
      <xdr:colOff>251325</xdr:colOff>
      <xdr:row>2</xdr:row>
      <xdr:rowOff>13875</xdr:rowOff>
    </xdr:to>
    <xdr:sp macro="" textlink="">
      <xdr:nvSpPr>
        <xdr:cNvPr id="10" name="Retângulo 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59372D2-A485-41AD-9D89-948E15DD70E2}"/>
            </a:ext>
          </a:extLst>
        </xdr:cNvPr>
        <xdr:cNvSpPr/>
      </xdr:nvSpPr>
      <xdr:spPr>
        <a:xfrm>
          <a:off x="64484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Reforma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342900</xdr:colOff>
      <xdr:row>0</xdr:row>
      <xdr:rowOff>85725</xdr:rowOff>
    </xdr:from>
    <xdr:to>
      <xdr:col>4</xdr:col>
      <xdr:colOff>546600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D0D2404-F042-47BB-8098-4F66EBEA4F3E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4</xdr:col>
      <xdr:colOff>571500</xdr:colOff>
      <xdr:row>0</xdr:row>
      <xdr:rowOff>85725</xdr:rowOff>
    </xdr:from>
    <xdr:to>
      <xdr:col>5</xdr:col>
      <xdr:colOff>775200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B56622B-42AD-4702-8235-9F3B274278DE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5</xdr:col>
      <xdr:colOff>800100</xdr:colOff>
      <xdr:row>0</xdr:row>
      <xdr:rowOff>85725</xdr:rowOff>
    </xdr:from>
    <xdr:to>
      <xdr:col>7</xdr:col>
      <xdr:colOff>127500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93DF59A-FE79-4DBC-A89D-8BA96AEA0C41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8</xdr:col>
      <xdr:colOff>381000</xdr:colOff>
      <xdr:row>0</xdr:row>
      <xdr:rowOff>85725</xdr:rowOff>
    </xdr:from>
    <xdr:to>
      <xdr:col>9</xdr:col>
      <xdr:colOff>584700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7230A4D-26B2-46F4-B0EB-79CB634ED34C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9</xdr:col>
      <xdr:colOff>609600</xdr:colOff>
      <xdr:row>0</xdr:row>
      <xdr:rowOff>85725</xdr:rowOff>
    </xdr:from>
    <xdr:to>
      <xdr:col>10</xdr:col>
      <xdr:colOff>813300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86D60D7-F3F6-4DB7-8E68-7D78A846B934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10</xdr:col>
      <xdr:colOff>838200</xdr:colOff>
      <xdr:row>0</xdr:row>
      <xdr:rowOff>85725</xdr:rowOff>
    </xdr:from>
    <xdr:to>
      <xdr:col>12</xdr:col>
      <xdr:colOff>165600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30A16C7-25B7-4DD5-A1E1-9399DF41A482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6</xdr:col>
      <xdr:colOff>114300</xdr:colOff>
      <xdr:row>0</xdr:row>
      <xdr:rowOff>371475</xdr:rowOff>
    </xdr:from>
    <xdr:to>
      <xdr:col>6</xdr:col>
      <xdr:colOff>834300</xdr:colOff>
      <xdr:row>0</xdr:row>
      <xdr:rowOff>388425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1B9C1F7F-B49F-4686-AE88-F64F725F8327}"/>
            </a:ext>
          </a:extLst>
        </xdr:cNvPr>
        <xdr:cNvSpPr/>
      </xdr:nvSpPr>
      <xdr:spPr>
        <a:xfrm>
          <a:off x="38862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152400</xdr:colOff>
      <xdr:row>0</xdr:row>
      <xdr:rowOff>85725</xdr:rowOff>
    </xdr:from>
    <xdr:to>
      <xdr:col>8</xdr:col>
      <xdr:colOff>356100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10D82C1-9B77-4854-82BE-5B8D48C95029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FB8F74-4E2E-47B7-8B92-90A3E8DF8A29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A9A74862-C689-7618-30C0-7BB9A850D1A5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9D02AC25-C682-105D-B43E-1330D67241D5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4" name="Meio-quadro 13">
            <a:extLst>
              <a:ext uri="{FF2B5EF4-FFF2-40B4-BE49-F238E27FC236}">
                <a16:creationId xmlns:a16="http://schemas.microsoft.com/office/drawing/2014/main" id="{57357D13-D913-7943-538E-2ED41F23074F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0</xdr:colOff>
      <xdr:row>2</xdr:row>
      <xdr:rowOff>885823</xdr:rowOff>
    </xdr:from>
    <xdr:to>
      <xdr:col>16</xdr:col>
      <xdr:colOff>0</xdr:colOff>
      <xdr:row>2</xdr:row>
      <xdr:rowOff>1266822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3A5AD72B-64A5-4D7F-9329-2803DD9B0B4D}"/>
            </a:ext>
          </a:extLst>
        </xdr:cNvPr>
        <xdr:cNvSpPr/>
      </xdr:nvSpPr>
      <xdr:spPr>
        <a:xfrm flipV="1">
          <a:off x="228600" y="1704973"/>
          <a:ext cx="12306300" cy="380999"/>
        </a:xfrm>
        <a:prstGeom prst="rect">
          <a:avLst/>
        </a:prstGeom>
        <a:noFill/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 editAs="absolute">
    <xdr:from>
      <xdr:col>2</xdr:col>
      <xdr:colOff>742950</xdr:colOff>
      <xdr:row>1</xdr:row>
      <xdr:rowOff>142875</xdr:rowOff>
    </xdr:from>
    <xdr:to>
      <xdr:col>4</xdr:col>
      <xdr:colOff>32250</xdr:colOff>
      <xdr:row>2</xdr:row>
      <xdr:rowOff>13875</xdr:rowOff>
    </xdr:to>
    <xdr:sp macro="" textlink="">
      <xdr:nvSpPr>
        <xdr:cNvPr id="30" name="Retângulo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E81FA95-FE17-4D30-B0EE-40B70C097772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Compras</a:t>
          </a:r>
        </a:p>
      </xdr:txBody>
    </xdr:sp>
    <xdr:clientData/>
  </xdr:twoCellAnchor>
  <xdr:twoCellAnchor editAs="absolute">
    <xdr:from>
      <xdr:col>4</xdr:col>
      <xdr:colOff>47625</xdr:colOff>
      <xdr:row>1</xdr:row>
      <xdr:rowOff>142875</xdr:rowOff>
    </xdr:from>
    <xdr:to>
      <xdr:col>5</xdr:col>
      <xdr:colOff>251325</xdr:colOff>
      <xdr:row>2</xdr:row>
      <xdr:rowOff>13875</xdr:rowOff>
    </xdr:to>
    <xdr:sp macro="" textlink="">
      <xdr:nvSpPr>
        <xdr:cNvPr id="31" name="Retângulo 3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8082463-226F-4295-9CDA-FF8F1298F7D2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Faturamento</a:t>
          </a:r>
        </a:p>
      </xdr:txBody>
    </xdr:sp>
    <xdr:clientData/>
  </xdr:twoCellAnchor>
  <xdr:twoCellAnchor editAs="absolute">
    <xdr:from>
      <xdr:col>5</xdr:col>
      <xdr:colOff>266700</xdr:colOff>
      <xdr:row>1</xdr:row>
      <xdr:rowOff>142875</xdr:rowOff>
    </xdr:from>
    <xdr:to>
      <xdr:col>6</xdr:col>
      <xdr:colOff>470400</xdr:colOff>
      <xdr:row>2</xdr:row>
      <xdr:rowOff>13875</xdr:rowOff>
    </xdr:to>
    <xdr:sp macro="" textlink="">
      <xdr:nvSpPr>
        <xdr:cNvPr id="32" name="Retângulo 3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DEC8E05-F081-4226-96E0-95C1A67B8CD8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Simples</a:t>
          </a:r>
        </a:p>
      </xdr:txBody>
    </xdr:sp>
    <xdr:clientData/>
  </xdr:twoCellAnchor>
  <xdr:twoCellAnchor editAs="absolute">
    <xdr:from>
      <xdr:col>6</xdr:col>
      <xdr:colOff>485775</xdr:colOff>
      <xdr:row>1</xdr:row>
      <xdr:rowOff>142875</xdr:rowOff>
    </xdr:from>
    <xdr:to>
      <xdr:col>7</xdr:col>
      <xdr:colOff>689475</xdr:colOff>
      <xdr:row>2</xdr:row>
      <xdr:rowOff>13875</xdr:rowOff>
    </xdr:to>
    <xdr:sp macro="" textlink="">
      <xdr:nvSpPr>
        <xdr:cNvPr id="33" name="Retângulo 3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15920CD-F69C-4178-849E-D4A83E6BE9AE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Custos</a:t>
          </a:r>
        </a:p>
      </xdr:txBody>
    </xdr:sp>
    <xdr:clientData/>
  </xdr:twoCellAnchor>
  <xdr:twoCellAnchor editAs="absolute">
    <xdr:from>
      <xdr:col>7</xdr:col>
      <xdr:colOff>704850</xdr:colOff>
      <xdr:row>1</xdr:row>
      <xdr:rowOff>142875</xdr:rowOff>
    </xdr:from>
    <xdr:to>
      <xdr:col>9</xdr:col>
      <xdr:colOff>32250</xdr:colOff>
      <xdr:row>2</xdr:row>
      <xdr:rowOff>13875</xdr:rowOff>
    </xdr:to>
    <xdr:sp macro="" textlink="">
      <xdr:nvSpPr>
        <xdr:cNvPr id="34" name="Retângulo 3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06E60FC-13A3-4D52-A270-12B46BC01B8A}"/>
            </a:ext>
          </a:extLst>
        </xdr:cNvPr>
        <xdr:cNvSpPr/>
      </xdr:nvSpPr>
      <xdr:spPr>
        <a:xfrm>
          <a:off x="53530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Despesas</a:t>
          </a:r>
        </a:p>
      </xdr:txBody>
    </xdr:sp>
    <xdr:clientData/>
  </xdr:twoCellAnchor>
  <xdr:twoCellAnchor editAs="absolute">
    <xdr:from>
      <xdr:col>2</xdr:col>
      <xdr:colOff>0</xdr:colOff>
      <xdr:row>2</xdr:row>
      <xdr:rowOff>323850</xdr:rowOff>
    </xdr:from>
    <xdr:to>
      <xdr:col>4</xdr:col>
      <xdr:colOff>225300</xdr:colOff>
      <xdr:row>2</xdr:row>
      <xdr:rowOff>575850</xdr:rowOff>
    </xdr:to>
    <xdr:sp macro="" textlink="">
      <xdr:nvSpPr>
        <xdr:cNvPr id="35" name="Retângulo 3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C9C1D34-9625-4C6F-A089-5B70C00E91E4}"/>
            </a:ext>
          </a:extLst>
        </xdr:cNvPr>
        <xdr:cNvSpPr/>
      </xdr:nvSpPr>
      <xdr:spPr>
        <a:xfrm>
          <a:off x="228600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100% Tributado</a:t>
          </a:r>
        </a:p>
      </xdr:txBody>
    </xdr:sp>
    <xdr:clientData/>
  </xdr:twoCellAnchor>
  <xdr:twoCellAnchor editAs="absolute">
    <xdr:from>
      <xdr:col>2</xdr:col>
      <xdr:colOff>9526</xdr:colOff>
      <xdr:row>2</xdr:row>
      <xdr:rowOff>571500</xdr:rowOff>
    </xdr:from>
    <xdr:to>
      <xdr:col>15</xdr:col>
      <xdr:colOff>819526</xdr:colOff>
      <xdr:row>2</xdr:row>
      <xdr:rowOff>571500</xdr:rowOff>
    </xdr:to>
    <xdr:cxnSp macro="">
      <xdr:nvCxnSpPr>
        <xdr:cNvPr id="36" name="Conector reto 35">
          <a:extLst>
            <a:ext uri="{FF2B5EF4-FFF2-40B4-BE49-F238E27FC236}">
              <a16:creationId xmlns:a16="http://schemas.microsoft.com/office/drawing/2014/main" id="{D04FBA75-AC40-4C0F-8443-CC0E7BCA1F5F}"/>
            </a:ext>
          </a:extLst>
        </xdr:cNvPr>
        <xdr:cNvCxnSpPr/>
      </xdr:nvCxnSpPr>
      <xdr:spPr>
        <a:xfrm>
          <a:off x="238126" y="1390650"/>
          <a:ext cx="12240000" cy="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257175</xdr:colOff>
      <xdr:row>2</xdr:row>
      <xdr:rowOff>323850</xdr:rowOff>
    </xdr:from>
    <xdr:to>
      <xdr:col>6</xdr:col>
      <xdr:colOff>520575</xdr:colOff>
      <xdr:row>2</xdr:row>
      <xdr:rowOff>575850</xdr:rowOff>
    </xdr:to>
    <xdr:sp macro="" textlink="">
      <xdr:nvSpPr>
        <xdr:cNvPr id="37" name="Retângulo 3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9A9EF726-B571-4FEB-8E73-7D2998FCE5AE}"/>
            </a:ext>
          </a:extLst>
        </xdr:cNvPr>
        <xdr:cNvSpPr/>
      </xdr:nvSpPr>
      <xdr:spPr>
        <a:xfrm>
          <a:off x="2276475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Monofásico</a:t>
          </a:r>
        </a:p>
      </xdr:txBody>
    </xdr:sp>
    <xdr:clientData/>
  </xdr:twoCellAnchor>
  <xdr:twoCellAnchor editAs="absolute">
    <xdr:from>
      <xdr:col>6</xdr:col>
      <xdr:colOff>552450</xdr:colOff>
      <xdr:row>2</xdr:row>
      <xdr:rowOff>323850</xdr:rowOff>
    </xdr:from>
    <xdr:to>
      <xdr:col>8</xdr:col>
      <xdr:colOff>815850</xdr:colOff>
      <xdr:row>2</xdr:row>
      <xdr:rowOff>575850</xdr:rowOff>
    </xdr:to>
    <xdr:sp macro="" textlink="">
      <xdr:nvSpPr>
        <xdr:cNvPr id="38" name="Retângulo 3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87F39D8B-B037-46A3-A204-046F1AA64619}"/>
            </a:ext>
          </a:extLst>
        </xdr:cNvPr>
        <xdr:cNvSpPr/>
      </xdr:nvSpPr>
      <xdr:spPr>
        <a:xfrm>
          <a:off x="4324350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ST</a:t>
          </a:r>
        </a:p>
      </xdr:txBody>
    </xdr:sp>
    <xdr:clientData/>
  </xdr:twoCellAnchor>
  <xdr:twoCellAnchor editAs="absolute">
    <xdr:from>
      <xdr:col>8</xdr:col>
      <xdr:colOff>847725</xdr:colOff>
      <xdr:row>2</xdr:row>
      <xdr:rowOff>323850</xdr:rowOff>
    </xdr:from>
    <xdr:to>
      <xdr:col>11</xdr:col>
      <xdr:colOff>234825</xdr:colOff>
      <xdr:row>2</xdr:row>
      <xdr:rowOff>575850</xdr:rowOff>
    </xdr:to>
    <xdr:sp macro="" textlink="">
      <xdr:nvSpPr>
        <xdr:cNvPr id="39" name="Retângulo 3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AE71915-F9DB-4A0B-B6A0-D6CF65FCDFD1}"/>
            </a:ext>
          </a:extLst>
        </xdr:cNvPr>
        <xdr:cNvSpPr/>
      </xdr:nvSpPr>
      <xdr:spPr>
        <a:xfrm>
          <a:off x="6372225" y="1143000"/>
          <a:ext cx="2016000" cy="252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bg1"/>
              </a:solidFill>
            </a:rPr>
            <a:t>Faturamento Monofásico e ST</a:t>
          </a:r>
        </a:p>
      </xdr:txBody>
    </xdr:sp>
    <xdr:clientData/>
  </xdr:twoCellAnchor>
  <xdr:twoCellAnchor editAs="absolute">
    <xdr:from>
      <xdr:col>11</xdr:col>
      <xdr:colOff>266700</xdr:colOff>
      <xdr:row>2</xdr:row>
      <xdr:rowOff>323850</xdr:rowOff>
    </xdr:from>
    <xdr:to>
      <xdr:col>13</xdr:col>
      <xdr:colOff>530100</xdr:colOff>
      <xdr:row>2</xdr:row>
      <xdr:rowOff>575850</xdr:rowOff>
    </xdr:to>
    <xdr:sp macro="" textlink="">
      <xdr:nvSpPr>
        <xdr:cNvPr id="40" name="Retângulo 3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DB4D7A3D-5FA5-4494-90ED-1399A22C1807}"/>
            </a:ext>
          </a:extLst>
        </xdr:cNvPr>
        <xdr:cNvSpPr/>
      </xdr:nvSpPr>
      <xdr:spPr>
        <a:xfrm>
          <a:off x="8420100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</a:t>
          </a:r>
          <a:r>
            <a:rPr lang="pt-BR" sz="1000" kern="1200" baseline="0">
              <a:solidFill>
                <a:schemeClr val="tx1">
                  <a:lumMod val="75000"/>
                  <a:lumOff val="25000"/>
                </a:schemeClr>
              </a:solidFill>
            </a:rPr>
            <a:t> Isento</a:t>
          </a:r>
          <a:endParaRPr lang="pt-BR" sz="1000" kern="12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13</xdr:col>
      <xdr:colOff>561975</xdr:colOff>
      <xdr:row>2</xdr:row>
      <xdr:rowOff>323850</xdr:rowOff>
    </xdr:from>
    <xdr:to>
      <xdr:col>15</xdr:col>
      <xdr:colOff>825375</xdr:colOff>
      <xdr:row>2</xdr:row>
      <xdr:rowOff>575850</xdr:rowOff>
    </xdr:to>
    <xdr:sp macro="" textlink="">
      <xdr:nvSpPr>
        <xdr:cNvPr id="41" name="Retângulo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312B68C4-44D2-4DCA-BCF0-23093A07F852}"/>
            </a:ext>
          </a:extLst>
        </xdr:cNvPr>
        <xdr:cNvSpPr/>
      </xdr:nvSpPr>
      <xdr:spPr>
        <a:xfrm>
          <a:off x="10467975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Consolidado</a:t>
          </a:r>
        </a:p>
      </xdr:txBody>
    </xdr:sp>
    <xdr:clientData/>
  </xdr:twoCellAnchor>
  <xdr:twoCellAnchor editAs="absolute">
    <xdr:from>
      <xdr:col>15</xdr:col>
      <xdr:colOff>828675</xdr:colOff>
      <xdr:row>2</xdr:row>
      <xdr:rowOff>323850</xdr:rowOff>
    </xdr:from>
    <xdr:to>
      <xdr:col>15</xdr:col>
      <xdr:colOff>828675</xdr:colOff>
      <xdr:row>2</xdr:row>
      <xdr:rowOff>575850</xdr:rowOff>
    </xdr:to>
    <xdr:cxnSp macro="">
      <xdr:nvCxnSpPr>
        <xdr:cNvPr id="42" name="Conector reto 41">
          <a:extLst>
            <a:ext uri="{FF2B5EF4-FFF2-40B4-BE49-F238E27FC236}">
              <a16:creationId xmlns:a16="http://schemas.microsoft.com/office/drawing/2014/main" id="{8FE888FA-676E-42CD-B80E-3093986B182A}"/>
            </a:ext>
          </a:extLst>
        </xdr:cNvPr>
        <xdr:cNvCxnSpPr/>
      </xdr:nvCxnSpPr>
      <xdr:spPr>
        <a:xfrm>
          <a:off x="12487275" y="1143000"/>
          <a:ext cx="0" cy="25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47625</xdr:colOff>
      <xdr:row>1</xdr:row>
      <xdr:rowOff>142875</xdr:rowOff>
    </xdr:from>
    <xdr:to>
      <xdr:col>10</xdr:col>
      <xdr:colOff>251325</xdr:colOff>
      <xdr:row>2</xdr:row>
      <xdr:rowOff>13875</xdr:rowOff>
    </xdr:to>
    <xdr:sp macro="" textlink="">
      <xdr:nvSpPr>
        <xdr:cNvPr id="10" name="Retângulo 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5EF819E-3717-44ED-8974-8E53D9CBC8DF}"/>
            </a:ext>
          </a:extLst>
        </xdr:cNvPr>
        <xdr:cNvSpPr/>
      </xdr:nvSpPr>
      <xdr:spPr>
        <a:xfrm>
          <a:off x="64484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Reforma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342900</xdr:colOff>
      <xdr:row>0</xdr:row>
      <xdr:rowOff>85725</xdr:rowOff>
    </xdr:from>
    <xdr:to>
      <xdr:col>4</xdr:col>
      <xdr:colOff>546600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ADC8B3-D4BC-47AD-B53B-90C26066E348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4</xdr:col>
      <xdr:colOff>571500</xdr:colOff>
      <xdr:row>0</xdr:row>
      <xdr:rowOff>85725</xdr:rowOff>
    </xdr:from>
    <xdr:to>
      <xdr:col>5</xdr:col>
      <xdr:colOff>775200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BB0F739-9575-417D-B608-A39F0002CEE0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5</xdr:col>
      <xdr:colOff>800100</xdr:colOff>
      <xdr:row>0</xdr:row>
      <xdr:rowOff>85725</xdr:rowOff>
    </xdr:from>
    <xdr:to>
      <xdr:col>7</xdr:col>
      <xdr:colOff>127500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DCDA336-EF2F-4A16-A6B8-080F7CC28989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8</xdr:col>
      <xdr:colOff>381000</xdr:colOff>
      <xdr:row>0</xdr:row>
      <xdr:rowOff>85725</xdr:rowOff>
    </xdr:from>
    <xdr:to>
      <xdr:col>9</xdr:col>
      <xdr:colOff>584700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2A86204-2B7C-4E6E-906F-2A5D4F8610F3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9</xdr:col>
      <xdr:colOff>609600</xdr:colOff>
      <xdr:row>0</xdr:row>
      <xdr:rowOff>85725</xdr:rowOff>
    </xdr:from>
    <xdr:to>
      <xdr:col>10</xdr:col>
      <xdr:colOff>813300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744D4AA-A08D-4170-BC81-03C5D2865767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10</xdr:col>
      <xdr:colOff>838200</xdr:colOff>
      <xdr:row>0</xdr:row>
      <xdr:rowOff>85725</xdr:rowOff>
    </xdr:from>
    <xdr:to>
      <xdr:col>12</xdr:col>
      <xdr:colOff>165600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BDF377-BA63-4289-AEB0-B73A4AE04C27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6</xdr:col>
      <xdr:colOff>114300</xdr:colOff>
      <xdr:row>0</xdr:row>
      <xdr:rowOff>371475</xdr:rowOff>
    </xdr:from>
    <xdr:to>
      <xdr:col>6</xdr:col>
      <xdr:colOff>834300</xdr:colOff>
      <xdr:row>0</xdr:row>
      <xdr:rowOff>388425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ABCE7577-6FB7-48AA-8C1C-FA8FA76AE0B6}"/>
            </a:ext>
          </a:extLst>
        </xdr:cNvPr>
        <xdr:cNvSpPr/>
      </xdr:nvSpPr>
      <xdr:spPr>
        <a:xfrm>
          <a:off x="38862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152400</xdr:colOff>
      <xdr:row>0</xdr:row>
      <xdr:rowOff>85725</xdr:rowOff>
    </xdr:from>
    <xdr:to>
      <xdr:col>8</xdr:col>
      <xdr:colOff>356100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0DB1EF6-4954-4C81-8267-CBF64F166AF1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4C048620-45D8-4F73-960D-9CEC921FA02F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C82AC87E-A99C-77F3-0AA8-0F3597977974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0441075B-103A-FC37-EB22-FD367741070F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4" name="Meio-quadro 13">
            <a:extLst>
              <a:ext uri="{FF2B5EF4-FFF2-40B4-BE49-F238E27FC236}">
                <a16:creationId xmlns:a16="http://schemas.microsoft.com/office/drawing/2014/main" id="{E0CDAFED-DA00-F04B-CF28-4FFDED58BA4B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0</xdr:colOff>
      <xdr:row>2</xdr:row>
      <xdr:rowOff>885823</xdr:rowOff>
    </xdr:from>
    <xdr:to>
      <xdr:col>16</xdr:col>
      <xdr:colOff>0</xdr:colOff>
      <xdr:row>2</xdr:row>
      <xdr:rowOff>1266822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B3B4B626-DBF8-4CD4-A639-FC0F00F17644}"/>
            </a:ext>
          </a:extLst>
        </xdr:cNvPr>
        <xdr:cNvSpPr/>
      </xdr:nvSpPr>
      <xdr:spPr>
        <a:xfrm flipV="1">
          <a:off x="228600" y="1704973"/>
          <a:ext cx="12306300" cy="380999"/>
        </a:xfrm>
        <a:prstGeom prst="rect">
          <a:avLst/>
        </a:prstGeom>
        <a:noFill/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 editAs="absolute">
    <xdr:from>
      <xdr:col>2</xdr:col>
      <xdr:colOff>742950</xdr:colOff>
      <xdr:row>1</xdr:row>
      <xdr:rowOff>142875</xdr:rowOff>
    </xdr:from>
    <xdr:to>
      <xdr:col>4</xdr:col>
      <xdr:colOff>32250</xdr:colOff>
      <xdr:row>2</xdr:row>
      <xdr:rowOff>13875</xdr:rowOff>
    </xdr:to>
    <xdr:sp macro="" textlink="">
      <xdr:nvSpPr>
        <xdr:cNvPr id="30" name="Retângulo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AE021C5-32E2-48AF-B353-79E6B1D824D5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Compras</a:t>
          </a:r>
        </a:p>
      </xdr:txBody>
    </xdr:sp>
    <xdr:clientData/>
  </xdr:twoCellAnchor>
  <xdr:twoCellAnchor editAs="absolute">
    <xdr:from>
      <xdr:col>4</xdr:col>
      <xdr:colOff>47625</xdr:colOff>
      <xdr:row>1</xdr:row>
      <xdr:rowOff>142875</xdr:rowOff>
    </xdr:from>
    <xdr:to>
      <xdr:col>5</xdr:col>
      <xdr:colOff>251325</xdr:colOff>
      <xdr:row>2</xdr:row>
      <xdr:rowOff>13875</xdr:rowOff>
    </xdr:to>
    <xdr:sp macro="" textlink="">
      <xdr:nvSpPr>
        <xdr:cNvPr id="31" name="Retângulo 3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44AD67-BD96-4681-A35B-0C332B8FDA81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Faturamento</a:t>
          </a:r>
        </a:p>
      </xdr:txBody>
    </xdr:sp>
    <xdr:clientData/>
  </xdr:twoCellAnchor>
  <xdr:twoCellAnchor editAs="absolute">
    <xdr:from>
      <xdr:col>5</xdr:col>
      <xdr:colOff>266700</xdr:colOff>
      <xdr:row>1</xdr:row>
      <xdr:rowOff>142875</xdr:rowOff>
    </xdr:from>
    <xdr:to>
      <xdr:col>6</xdr:col>
      <xdr:colOff>470400</xdr:colOff>
      <xdr:row>2</xdr:row>
      <xdr:rowOff>13875</xdr:rowOff>
    </xdr:to>
    <xdr:sp macro="" textlink="">
      <xdr:nvSpPr>
        <xdr:cNvPr id="32" name="Retângulo 3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6C36769B-17E0-4FEC-96A5-811A5E5D302B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Simples</a:t>
          </a:r>
        </a:p>
      </xdr:txBody>
    </xdr:sp>
    <xdr:clientData/>
  </xdr:twoCellAnchor>
  <xdr:twoCellAnchor editAs="absolute">
    <xdr:from>
      <xdr:col>6</xdr:col>
      <xdr:colOff>485775</xdr:colOff>
      <xdr:row>1</xdr:row>
      <xdr:rowOff>142875</xdr:rowOff>
    </xdr:from>
    <xdr:to>
      <xdr:col>7</xdr:col>
      <xdr:colOff>689475</xdr:colOff>
      <xdr:row>2</xdr:row>
      <xdr:rowOff>13875</xdr:rowOff>
    </xdr:to>
    <xdr:sp macro="" textlink="">
      <xdr:nvSpPr>
        <xdr:cNvPr id="33" name="Retângulo 3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D553E403-679E-4F62-8E7E-61ED5DB8595B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Custos</a:t>
          </a:r>
        </a:p>
      </xdr:txBody>
    </xdr:sp>
    <xdr:clientData/>
  </xdr:twoCellAnchor>
  <xdr:twoCellAnchor editAs="absolute">
    <xdr:from>
      <xdr:col>7</xdr:col>
      <xdr:colOff>704850</xdr:colOff>
      <xdr:row>1</xdr:row>
      <xdr:rowOff>142875</xdr:rowOff>
    </xdr:from>
    <xdr:to>
      <xdr:col>9</xdr:col>
      <xdr:colOff>32250</xdr:colOff>
      <xdr:row>2</xdr:row>
      <xdr:rowOff>13875</xdr:rowOff>
    </xdr:to>
    <xdr:sp macro="" textlink="">
      <xdr:nvSpPr>
        <xdr:cNvPr id="34" name="Retângulo 3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906FEC9-4432-47ED-AADB-7514EA98B702}"/>
            </a:ext>
          </a:extLst>
        </xdr:cNvPr>
        <xdr:cNvSpPr/>
      </xdr:nvSpPr>
      <xdr:spPr>
        <a:xfrm>
          <a:off x="53530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Despesas</a:t>
          </a:r>
        </a:p>
      </xdr:txBody>
    </xdr:sp>
    <xdr:clientData/>
  </xdr:twoCellAnchor>
  <xdr:twoCellAnchor editAs="absolute">
    <xdr:from>
      <xdr:col>2</xdr:col>
      <xdr:colOff>0</xdr:colOff>
      <xdr:row>2</xdr:row>
      <xdr:rowOff>323850</xdr:rowOff>
    </xdr:from>
    <xdr:to>
      <xdr:col>4</xdr:col>
      <xdr:colOff>225300</xdr:colOff>
      <xdr:row>2</xdr:row>
      <xdr:rowOff>575850</xdr:rowOff>
    </xdr:to>
    <xdr:sp macro="" textlink="">
      <xdr:nvSpPr>
        <xdr:cNvPr id="35" name="Retângulo 3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B9C14E3-6EBF-4CAF-937D-0C67A2B6DAFF}"/>
            </a:ext>
          </a:extLst>
        </xdr:cNvPr>
        <xdr:cNvSpPr/>
      </xdr:nvSpPr>
      <xdr:spPr>
        <a:xfrm>
          <a:off x="228600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100% Tributado</a:t>
          </a:r>
        </a:p>
      </xdr:txBody>
    </xdr:sp>
    <xdr:clientData/>
  </xdr:twoCellAnchor>
  <xdr:twoCellAnchor editAs="absolute">
    <xdr:from>
      <xdr:col>2</xdr:col>
      <xdr:colOff>9526</xdr:colOff>
      <xdr:row>2</xdr:row>
      <xdr:rowOff>571500</xdr:rowOff>
    </xdr:from>
    <xdr:to>
      <xdr:col>15</xdr:col>
      <xdr:colOff>819526</xdr:colOff>
      <xdr:row>2</xdr:row>
      <xdr:rowOff>571500</xdr:rowOff>
    </xdr:to>
    <xdr:cxnSp macro="">
      <xdr:nvCxnSpPr>
        <xdr:cNvPr id="36" name="Conector reto 35">
          <a:extLst>
            <a:ext uri="{FF2B5EF4-FFF2-40B4-BE49-F238E27FC236}">
              <a16:creationId xmlns:a16="http://schemas.microsoft.com/office/drawing/2014/main" id="{2CA1B821-91A4-4E27-9CA5-7A86C32E577A}"/>
            </a:ext>
          </a:extLst>
        </xdr:cNvPr>
        <xdr:cNvCxnSpPr/>
      </xdr:nvCxnSpPr>
      <xdr:spPr>
        <a:xfrm>
          <a:off x="238126" y="1390650"/>
          <a:ext cx="12240000" cy="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257175</xdr:colOff>
      <xdr:row>2</xdr:row>
      <xdr:rowOff>323850</xdr:rowOff>
    </xdr:from>
    <xdr:to>
      <xdr:col>6</xdr:col>
      <xdr:colOff>520575</xdr:colOff>
      <xdr:row>2</xdr:row>
      <xdr:rowOff>575850</xdr:rowOff>
    </xdr:to>
    <xdr:sp macro="" textlink="">
      <xdr:nvSpPr>
        <xdr:cNvPr id="37" name="Retângulo 3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A66E8571-1842-4EC2-B576-C305C2C28E24}"/>
            </a:ext>
          </a:extLst>
        </xdr:cNvPr>
        <xdr:cNvSpPr/>
      </xdr:nvSpPr>
      <xdr:spPr>
        <a:xfrm>
          <a:off x="2276475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Monofásico</a:t>
          </a:r>
        </a:p>
      </xdr:txBody>
    </xdr:sp>
    <xdr:clientData/>
  </xdr:twoCellAnchor>
  <xdr:twoCellAnchor editAs="absolute">
    <xdr:from>
      <xdr:col>6</xdr:col>
      <xdr:colOff>552450</xdr:colOff>
      <xdr:row>2</xdr:row>
      <xdr:rowOff>323850</xdr:rowOff>
    </xdr:from>
    <xdr:to>
      <xdr:col>8</xdr:col>
      <xdr:colOff>815850</xdr:colOff>
      <xdr:row>2</xdr:row>
      <xdr:rowOff>575850</xdr:rowOff>
    </xdr:to>
    <xdr:sp macro="" textlink="">
      <xdr:nvSpPr>
        <xdr:cNvPr id="38" name="Retângulo 3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33D60B4-FFC2-4CDA-BA6E-C8D502F6A965}"/>
            </a:ext>
          </a:extLst>
        </xdr:cNvPr>
        <xdr:cNvSpPr/>
      </xdr:nvSpPr>
      <xdr:spPr>
        <a:xfrm>
          <a:off x="4324350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ST</a:t>
          </a:r>
        </a:p>
      </xdr:txBody>
    </xdr:sp>
    <xdr:clientData/>
  </xdr:twoCellAnchor>
  <xdr:twoCellAnchor editAs="absolute">
    <xdr:from>
      <xdr:col>8</xdr:col>
      <xdr:colOff>847725</xdr:colOff>
      <xdr:row>2</xdr:row>
      <xdr:rowOff>323850</xdr:rowOff>
    </xdr:from>
    <xdr:to>
      <xdr:col>11</xdr:col>
      <xdr:colOff>234825</xdr:colOff>
      <xdr:row>2</xdr:row>
      <xdr:rowOff>575850</xdr:rowOff>
    </xdr:to>
    <xdr:sp macro="" textlink="">
      <xdr:nvSpPr>
        <xdr:cNvPr id="39" name="Retângulo 3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8710029-CFC8-4960-9557-AE0AB996BABC}"/>
            </a:ext>
          </a:extLst>
        </xdr:cNvPr>
        <xdr:cNvSpPr/>
      </xdr:nvSpPr>
      <xdr:spPr>
        <a:xfrm>
          <a:off x="6372225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Monofásico e ST</a:t>
          </a:r>
        </a:p>
      </xdr:txBody>
    </xdr:sp>
    <xdr:clientData/>
  </xdr:twoCellAnchor>
  <xdr:twoCellAnchor editAs="absolute">
    <xdr:from>
      <xdr:col>11</xdr:col>
      <xdr:colOff>266700</xdr:colOff>
      <xdr:row>2</xdr:row>
      <xdr:rowOff>323850</xdr:rowOff>
    </xdr:from>
    <xdr:to>
      <xdr:col>13</xdr:col>
      <xdr:colOff>530100</xdr:colOff>
      <xdr:row>2</xdr:row>
      <xdr:rowOff>575850</xdr:rowOff>
    </xdr:to>
    <xdr:sp macro="" textlink="">
      <xdr:nvSpPr>
        <xdr:cNvPr id="40" name="Retângulo 3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B3D583A2-E683-46EF-B1B6-DAAD826B06E4}"/>
            </a:ext>
          </a:extLst>
        </xdr:cNvPr>
        <xdr:cNvSpPr/>
      </xdr:nvSpPr>
      <xdr:spPr>
        <a:xfrm>
          <a:off x="8420100" y="1143000"/>
          <a:ext cx="2016000" cy="252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bg1"/>
              </a:solidFill>
            </a:rPr>
            <a:t>Faturamento</a:t>
          </a:r>
          <a:r>
            <a:rPr lang="pt-BR" sz="1000" kern="1200" baseline="0">
              <a:solidFill>
                <a:schemeClr val="bg1"/>
              </a:solidFill>
            </a:rPr>
            <a:t> Isento</a:t>
          </a:r>
          <a:endParaRPr lang="pt-BR" sz="1000" kern="12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13</xdr:col>
      <xdr:colOff>561975</xdr:colOff>
      <xdr:row>2</xdr:row>
      <xdr:rowOff>323850</xdr:rowOff>
    </xdr:from>
    <xdr:to>
      <xdr:col>15</xdr:col>
      <xdr:colOff>825375</xdr:colOff>
      <xdr:row>2</xdr:row>
      <xdr:rowOff>575850</xdr:rowOff>
    </xdr:to>
    <xdr:sp macro="" textlink="">
      <xdr:nvSpPr>
        <xdr:cNvPr id="41" name="Retângulo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D4F24D9-C232-4DAE-83F3-1B0B89D82684}"/>
            </a:ext>
          </a:extLst>
        </xdr:cNvPr>
        <xdr:cNvSpPr/>
      </xdr:nvSpPr>
      <xdr:spPr>
        <a:xfrm>
          <a:off x="10467975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Consolidado</a:t>
          </a:r>
        </a:p>
      </xdr:txBody>
    </xdr:sp>
    <xdr:clientData/>
  </xdr:twoCellAnchor>
  <xdr:twoCellAnchor editAs="absolute">
    <xdr:from>
      <xdr:col>15</xdr:col>
      <xdr:colOff>828675</xdr:colOff>
      <xdr:row>2</xdr:row>
      <xdr:rowOff>323850</xdr:rowOff>
    </xdr:from>
    <xdr:to>
      <xdr:col>15</xdr:col>
      <xdr:colOff>828675</xdr:colOff>
      <xdr:row>2</xdr:row>
      <xdr:rowOff>575850</xdr:rowOff>
    </xdr:to>
    <xdr:cxnSp macro="">
      <xdr:nvCxnSpPr>
        <xdr:cNvPr id="42" name="Conector reto 41">
          <a:extLst>
            <a:ext uri="{FF2B5EF4-FFF2-40B4-BE49-F238E27FC236}">
              <a16:creationId xmlns:a16="http://schemas.microsoft.com/office/drawing/2014/main" id="{F81EBF36-7504-4E8F-8574-1B67702BE4C6}"/>
            </a:ext>
          </a:extLst>
        </xdr:cNvPr>
        <xdr:cNvCxnSpPr/>
      </xdr:nvCxnSpPr>
      <xdr:spPr>
        <a:xfrm>
          <a:off x="12487275" y="1143000"/>
          <a:ext cx="0" cy="25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47625</xdr:colOff>
      <xdr:row>1</xdr:row>
      <xdr:rowOff>142875</xdr:rowOff>
    </xdr:from>
    <xdr:to>
      <xdr:col>10</xdr:col>
      <xdr:colOff>251325</xdr:colOff>
      <xdr:row>2</xdr:row>
      <xdr:rowOff>13875</xdr:rowOff>
    </xdr:to>
    <xdr:sp macro="" textlink="">
      <xdr:nvSpPr>
        <xdr:cNvPr id="10" name="Retângulo 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8B7D12C-3B53-49FD-9973-18C1D86FC7B8}"/>
            </a:ext>
          </a:extLst>
        </xdr:cNvPr>
        <xdr:cNvSpPr/>
      </xdr:nvSpPr>
      <xdr:spPr>
        <a:xfrm>
          <a:off x="64484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Reforma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342900</xdr:colOff>
      <xdr:row>0</xdr:row>
      <xdr:rowOff>85725</xdr:rowOff>
    </xdr:from>
    <xdr:to>
      <xdr:col>4</xdr:col>
      <xdr:colOff>546600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1D1516-A468-47ED-BB16-4B19F63F90CA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4</xdr:col>
      <xdr:colOff>571500</xdr:colOff>
      <xdr:row>0</xdr:row>
      <xdr:rowOff>85725</xdr:rowOff>
    </xdr:from>
    <xdr:to>
      <xdr:col>5</xdr:col>
      <xdr:colOff>775200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1795F11-5C68-41E5-AB49-85F50C56B466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5</xdr:col>
      <xdr:colOff>800100</xdr:colOff>
      <xdr:row>0</xdr:row>
      <xdr:rowOff>85725</xdr:rowOff>
    </xdr:from>
    <xdr:to>
      <xdr:col>7</xdr:col>
      <xdr:colOff>127500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F96B6DC-3468-4B59-B641-2AEFF2DFADA6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8</xdr:col>
      <xdr:colOff>381000</xdr:colOff>
      <xdr:row>0</xdr:row>
      <xdr:rowOff>85725</xdr:rowOff>
    </xdr:from>
    <xdr:to>
      <xdr:col>9</xdr:col>
      <xdr:colOff>584700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CD9C93F-213F-4996-AED7-080D09EA807D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9</xdr:col>
      <xdr:colOff>609600</xdr:colOff>
      <xdr:row>0</xdr:row>
      <xdr:rowOff>85725</xdr:rowOff>
    </xdr:from>
    <xdr:to>
      <xdr:col>10</xdr:col>
      <xdr:colOff>813300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7147CF7-5D1F-408E-AED6-E2418FA1AA94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10</xdr:col>
      <xdr:colOff>838200</xdr:colOff>
      <xdr:row>0</xdr:row>
      <xdr:rowOff>85725</xdr:rowOff>
    </xdr:from>
    <xdr:to>
      <xdr:col>12</xdr:col>
      <xdr:colOff>165600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E0BAF93-B2EE-4A6B-BC24-37B77DFA9EC6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6</xdr:col>
      <xdr:colOff>114300</xdr:colOff>
      <xdr:row>0</xdr:row>
      <xdr:rowOff>371475</xdr:rowOff>
    </xdr:from>
    <xdr:to>
      <xdr:col>6</xdr:col>
      <xdr:colOff>834300</xdr:colOff>
      <xdr:row>0</xdr:row>
      <xdr:rowOff>388425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A9A25EE2-29F9-4660-8F83-B64EC9512D25}"/>
            </a:ext>
          </a:extLst>
        </xdr:cNvPr>
        <xdr:cNvSpPr/>
      </xdr:nvSpPr>
      <xdr:spPr>
        <a:xfrm>
          <a:off x="38862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152400</xdr:colOff>
      <xdr:row>0</xdr:row>
      <xdr:rowOff>85725</xdr:rowOff>
    </xdr:from>
    <xdr:to>
      <xdr:col>8</xdr:col>
      <xdr:colOff>356100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1D7806A-1F59-43DD-901A-7AD075A38E79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E6D29D72-243A-4416-B935-C9922E24E28F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B4B75EBF-50F3-C50C-BD5C-106CB5DBBF97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33047502-CBCB-3904-ECF3-41FBBEFF7394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4" name="Meio-quadro 13">
            <a:extLst>
              <a:ext uri="{FF2B5EF4-FFF2-40B4-BE49-F238E27FC236}">
                <a16:creationId xmlns:a16="http://schemas.microsoft.com/office/drawing/2014/main" id="{ACFBE01A-6499-408D-4CBB-C9D28140DE62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0</xdr:colOff>
      <xdr:row>2</xdr:row>
      <xdr:rowOff>885823</xdr:rowOff>
    </xdr:from>
    <xdr:to>
      <xdr:col>16</xdr:col>
      <xdr:colOff>0</xdr:colOff>
      <xdr:row>2</xdr:row>
      <xdr:rowOff>1266822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5A899BD8-81C3-4040-A413-1A220DAD9217}"/>
            </a:ext>
          </a:extLst>
        </xdr:cNvPr>
        <xdr:cNvSpPr/>
      </xdr:nvSpPr>
      <xdr:spPr>
        <a:xfrm flipV="1">
          <a:off x="228600" y="1704973"/>
          <a:ext cx="12306300" cy="380999"/>
        </a:xfrm>
        <a:prstGeom prst="rect">
          <a:avLst/>
        </a:prstGeom>
        <a:noFill/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 editAs="absolute">
    <xdr:from>
      <xdr:col>2</xdr:col>
      <xdr:colOff>742950</xdr:colOff>
      <xdr:row>1</xdr:row>
      <xdr:rowOff>142875</xdr:rowOff>
    </xdr:from>
    <xdr:to>
      <xdr:col>4</xdr:col>
      <xdr:colOff>32250</xdr:colOff>
      <xdr:row>2</xdr:row>
      <xdr:rowOff>13875</xdr:rowOff>
    </xdr:to>
    <xdr:sp macro="" textlink="">
      <xdr:nvSpPr>
        <xdr:cNvPr id="30" name="Retângulo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881F67D-6D87-42BA-A28D-2575437C36C6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Compras</a:t>
          </a:r>
        </a:p>
      </xdr:txBody>
    </xdr:sp>
    <xdr:clientData/>
  </xdr:twoCellAnchor>
  <xdr:twoCellAnchor editAs="absolute">
    <xdr:from>
      <xdr:col>4</xdr:col>
      <xdr:colOff>47625</xdr:colOff>
      <xdr:row>1</xdr:row>
      <xdr:rowOff>142875</xdr:rowOff>
    </xdr:from>
    <xdr:to>
      <xdr:col>5</xdr:col>
      <xdr:colOff>251325</xdr:colOff>
      <xdr:row>2</xdr:row>
      <xdr:rowOff>13875</xdr:rowOff>
    </xdr:to>
    <xdr:sp macro="" textlink="">
      <xdr:nvSpPr>
        <xdr:cNvPr id="31" name="Retângulo 3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31F9768-AEEE-4495-B266-5A11ECBCCC02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Faturamento</a:t>
          </a:r>
        </a:p>
      </xdr:txBody>
    </xdr:sp>
    <xdr:clientData/>
  </xdr:twoCellAnchor>
  <xdr:twoCellAnchor editAs="absolute">
    <xdr:from>
      <xdr:col>5</xdr:col>
      <xdr:colOff>266700</xdr:colOff>
      <xdr:row>1</xdr:row>
      <xdr:rowOff>142875</xdr:rowOff>
    </xdr:from>
    <xdr:to>
      <xdr:col>6</xdr:col>
      <xdr:colOff>470400</xdr:colOff>
      <xdr:row>2</xdr:row>
      <xdr:rowOff>13875</xdr:rowOff>
    </xdr:to>
    <xdr:sp macro="" textlink="">
      <xdr:nvSpPr>
        <xdr:cNvPr id="32" name="Retângulo 3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8AFC077-CAE6-40A3-AE0C-57F7837EFB08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Simples</a:t>
          </a:r>
        </a:p>
      </xdr:txBody>
    </xdr:sp>
    <xdr:clientData/>
  </xdr:twoCellAnchor>
  <xdr:twoCellAnchor editAs="absolute">
    <xdr:from>
      <xdr:col>6</xdr:col>
      <xdr:colOff>485775</xdr:colOff>
      <xdr:row>1</xdr:row>
      <xdr:rowOff>142875</xdr:rowOff>
    </xdr:from>
    <xdr:to>
      <xdr:col>7</xdr:col>
      <xdr:colOff>689475</xdr:colOff>
      <xdr:row>2</xdr:row>
      <xdr:rowOff>13875</xdr:rowOff>
    </xdr:to>
    <xdr:sp macro="" textlink="">
      <xdr:nvSpPr>
        <xdr:cNvPr id="33" name="Retângulo 3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CDC6921-7243-4ABA-8D04-22791A4E91A2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Custos</a:t>
          </a:r>
        </a:p>
      </xdr:txBody>
    </xdr:sp>
    <xdr:clientData/>
  </xdr:twoCellAnchor>
  <xdr:twoCellAnchor editAs="absolute">
    <xdr:from>
      <xdr:col>7</xdr:col>
      <xdr:colOff>704850</xdr:colOff>
      <xdr:row>1</xdr:row>
      <xdr:rowOff>142875</xdr:rowOff>
    </xdr:from>
    <xdr:to>
      <xdr:col>9</xdr:col>
      <xdr:colOff>32250</xdr:colOff>
      <xdr:row>2</xdr:row>
      <xdr:rowOff>13875</xdr:rowOff>
    </xdr:to>
    <xdr:sp macro="" textlink="">
      <xdr:nvSpPr>
        <xdr:cNvPr id="34" name="Retângulo 3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D4883E4-F644-441C-B35B-8B703E5262CC}"/>
            </a:ext>
          </a:extLst>
        </xdr:cNvPr>
        <xdr:cNvSpPr/>
      </xdr:nvSpPr>
      <xdr:spPr>
        <a:xfrm>
          <a:off x="53530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Despesas</a:t>
          </a:r>
        </a:p>
      </xdr:txBody>
    </xdr:sp>
    <xdr:clientData/>
  </xdr:twoCellAnchor>
  <xdr:twoCellAnchor editAs="absolute">
    <xdr:from>
      <xdr:col>2</xdr:col>
      <xdr:colOff>0</xdr:colOff>
      <xdr:row>2</xdr:row>
      <xdr:rowOff>323850</xdr:rowOff>
    </xdr:from>
    <xdr:to>
      <xdr:col>4</xdr:col>
      <xdr:colOff>225300</xdr:colOff>
      <xdr:row>2</xdr:row>
      <xdr:rowOff>575850</xdr:rowOff>
    </xdr:to>
    <xdr:sp macro="" textlink="">
      <xdr:nvSpPr>
        <xdr:cNvPr id="35" name="Retângulo 3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1844F6A-D8EB-4B2D-89C9-29DF7C4B119D}"/>
            </a:ext>
          </a:extLst>
        </xdr:cNvPr>
        <xdr:cNvSpPr/>
      </xdr:nvSpPr>
      <xdr:spPr>
        <a:xfrm>
          <a:off x="228600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100% Tributado</a:t>
          </a:r>
        </a:p>
      </xdr:txBody>
    </xdr:sp>
    <xdr:clientData/>
  </xdr:twoCellAnchor>
  <xdr:twoCellAnchor editAs="absolute">
    <xdr:from>
      <xdr:col>2</xdr:col>
      <xdr:colOff>9526</xdr:colOff>
      <xdr:row>2</xdr:row>
      <xdr:rowOff>571500</xdr:rowOff>
    </xdr:from>
    <xdr:to>
      <xdr:col>15</xdr:col>
      <xdr:colOff>819526</xdr:colOff>
      <xdr:row>2</xdr:row>
      <xdr:rowOff>571500</xdr:rowOff>
    </xdr:to>
    <xdr:cxnSp macro="">
      <xdr:nvCxnSpPr>
        <xdr:cNvPr id="36" name="Conector reto 35">
          <a:extLst>
            <a:ext uri="{FF2B5EF4-FFF2-40B4-BE49-F238E27FC236}">
              <a16:creationId xmlns:a16="http://schemas.microsoft.com/office/drawing/2014/main" id="{E5B03E36-16C5-4DAE-BBDE-5CCB432F5ACB}"/>
            </a:ext>
          </a:extLst>
        </xdr:cNvPr>
        <xdr:cNvCxnSpPr/>
      </xdr:nvCxnSpPr>
      <xdr:spPr>
        <a:xfrm>
          <a:off x="238126" y="1390650"/>
          <a:ext cx="12240000" cy="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257175</xdr:colOff>
      <xdr:row>2</xdr:row>
      <xdr:rowOff>323850</xdr:rowOff>
    </xdr:from>
    <xdr:to>
      <xdr:col>6</xdr:col>
      <xdr:colOff>520575</xdr:colOff>
      <xdr:row>2</xdr:row>
      <xdr:rowOff>575850</xdr:rowOff>
    </xdr:to>
    <xdr:sp macro="" textlink="">
      <xdr:nvSpPr>
        <xdr:cNvPr id="37" name="Retângulo 3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7DAA087-220B-4336-B777-BFA9A0C4B2BD}"/>
            </a:ext>
          </a:extLst>
        </xdr:cNvPr>
        <xdr:cNvSpPr/>
      </xdr:nvSpPr>
      <xdr:spPr>
        <a:xfrm>
          <a:off x="2276475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Monofásico</a:t>
          </a:r>
        </a:p>
      </xdr:txBody>
    </xdr:sp>
    <xdr:clientData/>
  </xdr:twoCellAnchor>
  <xdr:twoCellAnchor editAs="absolute">
    <xdr:from>
      <xdr:col>6</xdr:col>
      <xdr:colOff>552450</xdr:colOff>
      <xdr:row>2</xdr:row>
      <xdr:rowOff>323850</xdr:rowOff>
    </xdr:from>
    <xdr:to>
      <xdr:col>8</xdr:col>
      <xdr:colOff>815850</xdr:colOff>
      <xdr:row>2</xdr:row>
      <xdr:rowOff>575850</xdr:rowOff>
    </xdr:to>
    <xdr:sp macro="" textlink="">
      <xdr:nvSpPr>
        <xdr:cNvPr id="38" name="Retângulo 3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11121A2F-96D5-42B8-B2F7-4FC2BEACFFCF}"/>
            </a:ext>
          </a:extLst>
        </xdr:cNvPr>
        <xdr:cNvSpPr/>
      </xdr:nvSpPr>
      <xdr:spPr>
        <a:xfrm>
          <a:off x="4324350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ST</a:t>
          </a:r>
        </a:p>
      </xdr:txBody>
    </xdr:sp>
    <xdr:clientData/>
  </xdr:twoCellAnchor>
  <xdr:twoCellAnchor editAs="absolute">
    <xdr:from>
      <xdr:col>8</xdr:col>
      <xdr:colOff>847725</xdr:colOff>
      <xdr:row>2</xdr:row>
      <xdr:rowOff>323850</xdr:rowOff>
    </xdr:from>
    <xdr:to>
      <xdr:col>11</xdr:col>
      <xdr:colOff>234825</xdr:colOff>
      <xdr:row>2</xdr:row>
      <xdr:rowOff>575850</xdr:rowOff>
    </xdr:to>
    <xdr:sp macro="" textlink="">
      <xdr:nvSpPr>
        <xdr:cNvPr id="39" name="Retângulo 3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F7EFE21-3879-47B5-9458-54E23A4C98B9}"/>
            </a:ext>
          </a:extLst>
        </xdr:cNvPr>
        <xdr:cNvSpPr/>
      </xdr:nvSpPr>
      <xdr:spPr>
        <a:xfrm>
          <a:off x="6372225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Monofásico e ST</a:t>
          </a:r>
        </a:p>
      </xdr:txBody>
    </xdr:sp>
    <xdr:clientData/>
  </xdr:twoCellAnchor>
  <xdr:twoCellAnchor editAs="absolute">
    <xdr:from>
      <xdr:col>11</xdr:col>
      <xdr:colOff>266700</xdr:colOff>
      <xdr:row>2</xdr:row>
      <xdr:rowOff>323850</xdr:rowOff>
    </xdr:from>
    <xdr:to>
      <xdr:col>13</xdr:col>
      <xdr:colOff>530100</xdr:colOff>
      <xdr:row>2</xdr:row>
      <xdr:rowOff>575850</xdr:rowOff>
    </xdr:to>
    <xdr:sp macro="" textlink="">
      <xdr:nvSpPr>
        <xdr:cNvPr id="40" name="Retângulo 3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5C4F6551-6EAC-41AF-A3EC-530ED45C7A9F}"/>
            </a:ext>
          </a:extLst>
        </xdr:cNvPr>
        <xdr:cNvSpPr/>
      </xdr:nvSpPr>
      <xdr:spPr>
        <a:xfrm>
          <a:off x="8420100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</a:t>
          </a:r>
          <a:r>
            <a:rPr lang="pt-BR" sz="1000" kern="1200" baseline="0">
              <a:solidFill>
                <a:schemeClr val="tx1">
                  <a:lumMod val="75000"/>
                  <a:lumOff val="25000"/>
                </a:schemeClr>
              </a:solidFill>
            </a:rPr>
            <a:t> Isento</a:t>
          </a:r>
          <a:endParaRPr lang="pt-BR" sz="1000" kern="12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13</xdr:col>
      <xdr:colOff>561975</xdr:colOff>
      <xdr:row>2</xdr:row>
      <xdr:rowOff>323850</xdr:rowOff>
    </xdr:from>
    <xdr:to>
      <xdr:col>15</xdr:col>
      <xdr:colOff>825375</xdr:colOff>
      <xdr:row>2</xdr:row>
      <xdr:rowOff>575850</xdr:rowOff>
    </xdr:to>
    <xdr:sp macro="" textlink="">
      <xdr:nvSpPr>
        <xdr:cNvPr id="41" name="Retângulo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28B2B56-36BF-4588-84F1-F7704C362890}"/>
            </a:ext>
          </a:extLst>
        </xdr:cNvPr>
        <xdr:cNvSpPr/>
      </xdr:nvSpPr>
      <xdr:spPr>
        <a:xfrm>
          <a:off x="10467975" y="1143000"/>
          <a:ext cx="2016000" cy="252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bg1"/>
              </a:solidFill>
            </a:rPr>
            <a:t>Faturamento Consolidado</a:t>
          </a:r>
        </a:p>
      </xdr:txBody>
    </xdr:sp>
    <xdr:clientData/>
  </xdr:twoCellAnchor>
  <xdr:twoCellAnchor editAs="absolute">
    <xdr:from>
      <xdr:col>15</xdr:col>
      <xdr:colOff>828675</xdr:colOff>
      <xdr:row>2</xdr:row>
      <xdr:rowOff>323850</xdr:rowOff>
    </xdr:from>
    <xdr:to>
      <xdr:col>15</xdr:col>
      <xdr:colOff>828675</xdr:colOff>
      <xdr:row>2</xdr:row>
      <xdr:rowOff>575850</xdr:rowOff>
    </xdr:to>
    <xdr:cxnSp macro="">
      <xdr:nvCxnSpPr>
        <xdr:cNvPr id="42" name="Conector reto 41">
          <a:extLst>
            <a:ext uri="{FF2B5EF4-FFF2-40B4-BE49-F238E27FC236}">
              <a16:creationId xmlns:a16="http://schemas.microsoft.com/office/drawing/2014/main" id="{8C5E1D8F-7195-4F0B-9299-E80467E4D03E}"/>
            </a:ext>
          </a:extLst>
        </xdr:cNvPr>
        <xdr:cNvCxnSpPr/>
      </xdr:nvCxnSpPr>
      <xdr:spPr>
        <a:xfrm>
          <a:off x="12487275" y="1143000"/>
          <a:ext cx="0" cy="25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47625</xdr:colOff>
      <xdr:row>1</xdr:row>
      <xdr:rowOff>142875</xdr:rowOff>
    </xdr:from>
    <xdr:to>
      <xdr:col>10</xdr:col>
      <xdr:colOff>251325</xdr:colOff>
      <xdr:row>2</xdr:row>
      <xdr:rowOff>13875</xdr:rowOff>
    </xdr:to>
    <xdr:sp macro="" textlink="">
      <xdr:nvSpPr>
        <xdr:cNvPr id="10" name="Retângulo 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39D5E958-0C74-4C87-8CE8-A97B96194FCE}"/>
            </a:ext>
          </a:extLst>
        </xdr:cNvPr>
        <xdr:cNvSpPr/>
      </xdr:nvSpPr>
      <xdr:spPr>
        <a:xfrm>
          <a:off x="64484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Reforma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342900</xdr:colOff>
      <xdr:row>0</xdr:row>
      <xdr:rowOff>85725</xdr:rowOff>
    </xdr:from>
    <xdr:to>
      <xdr:col>4</xdr:col>
      <xdr:colOff>546600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703598-95FB-4B01-9021-1E4E4045906E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4</xdr:col>
      <xdr:colOff>571500</xdr:colOff>
      <xdr:row>0</xdr:row>
      <xdr:rowOff>85725</xdr:rowOff>
    </xdr:from>
    <xdr:to>
      <xdr:col>5</xdr:col>
      <xdr:colOff>775200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DFDA823-A3E1-4219-B172-07E410AADE59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5</xdr:col>
      <xdr:colOff>800100</xdr:colOff>
      <xdr:row>0</xdr:row>
      <xdr:rowOff>85725</xdr:rowOff>
    </xdr:from>
    <xdr:to>
      <xdr:col>7</xdr:col>
      <xdr:colOff>127500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63BD81E-C23A-4A9D-8D57-31DD5F349058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8</xdr:col>
      <xdr:colOff>381000</xdr:colOff>
      <xdr:row>0</xdr:row>
      <xdr:rowOff>85725</xdr:rowOff>
    </xdr:from>
    <xdr:to>
      <xdr:col>9</xdr:col>
      <xdr:colOff>584700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18AF3F9-0726-4355-8B23-BD2CADBF14B3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9</xdr:col>
      <xdr:colOff>609600</xdr:colOff>
      <xdr:row>0</xdr:row>
      <xdr:rowOff>85725</xdr:rowOff>
    </xdr:from>
    <xdr:to>
      <xdr:col>10</xdr:col>
      <xdr:colOff>813300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1B15A6D-CBA1-4C28-BA2B-75E30567FCA0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10</xdr:col>
      <xdr:colOff>838200</xdr:colOff>
      <xdr:row>0</xdr:row>
      <xdr:rowOff>85725</xdr:rowOff>
    </xdr:from>
    <xdr:to>
      <xdr:col>12</xdr:col>
      <xdr:colOff>165600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4DAE9FD-5C87-45CC-8178-649395B68357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6</xdr:col>
      <xdr:colOff>114300</xdr:colOff>
      <xdr:row>0</xdr:row>
      <xdr:rowOff>371475</xdr:rowOff>
    </xdr:from>
    <xdr:to>
      <xdr:col>6</xdr:col>
      <xdr:colOff>834300</xdr:colOff>
      <xdr:row>0</xdr:row>
      <xdr:rowOff>388425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2D82F645-2FC1-4793-96AB-0A07B4CA57AB}"/>
            </a:ext>
          </a:extLst>
        </xdr:cNvPr>
        <xdr:cNvSpPr/>
      </xdr:nvSpPr>
      <xdr:spPr>
        <a:xfrm>
          <a:off x="38862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152400</xdr:colOff>
      <xdr:row>0</xdr:row>
      <xdr:rowOff>85725</xdr:rowOff>
    </xdr:from>
    <xdr:to>
      <xdr:col>8</xdr:col>
      <xdr:colOff>356100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2AF3C7A-87AD-40C7-9620-014B21F950B2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C7F70EF2-7C8A-475C-8510-88A90ADBBA28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0AC576DF-CC24-4B12-531B-BC52951EDE88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6A1EC5EC-BEB7-469C-5863-C9F24AB275EC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4" name="Meio-quadro 13">
            <a:extLst>
              <a:ext uri="{FF2B5EF4-FFF2-40B4-BE49-F238E27FC236}">
                <a16:creationId xmlns:a16="http://schemas.microsoft.com/office/drawing/2014/main" id="{E2B103E7-0FAC-2636-E5F3-0F91DC59A7C2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742950</xdr:colOff>
      <xdr:row>1</xdr:row>
      <xdr:rowOff>142875</xdr:rowOff>
    </xdr:from>
    <xdr:to>
      <xdr:col>4</xdr:col>
      <xdr:colOff>32250</xdr:colOff>
      <xdr:row>2</xdr:row>
      <xdr:rowOff>13875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0DB4EC4-CF96-451C-BA01-1D675E9A57D0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Compras</a:t>
          </a:r>
        </a:p>
      </xdr:txBody>
    </xdr:sp>
    <xdr:clientData/>
  </xdr:twoCellAnchor>
  <xdr:twoCellAnchor editAs="absolute">
    <xdr:from>
      <xdr:col>4</xdr:col>
      <xdr:colOff>47625</xdr:colOff>
      <xdr:row>1</xdr:row>
      <xdr:rowOff>142875</xdr:rowOff>
    </xdr:from>
    <xdr:to>
      <xdr:col>5</xdr:col>
      <xdr:colOff>251325</xdr:colOff>
      <xdr:row>2</xdr:row>
      <xdr:rowOff>13875</xdr:rowOff>
    </xdr:to>
    <xdr:sp macro="" textlink="">
      <xdr:nvSpPr>
        <xdr:cNvPr id="16" name="Retâ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BD67530-A259-45FD-ACBF-AFC744069678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Faturamento</a:t>
          </a:r>
        </a:p>
      </xdr:txBody>
    </xdr:sp>
    <xdr:clientData/>
  </xdr:twoCellAnchor>
  <xdr:twoCellAnchor editAs="absolute">
    <xdr:from>
      <xdr:col>5</xdr:col>
      <xdr:colOff>266700</xdr:colOff>
      <xdr:row>1</xdr:row>
      <xdr:rowOff>142875</xdr:rowOff>
    </xdr:from>
    <xdr:to>
      <xdr:col>6</xdr:col>
      <xdr:colOff>470400</xdr:colOff>
      <xdr:row>2</xdr:row>
      <xdr:rowOff>13875</xdr:rowOff>
    </xdr:to>
    <xdr:sp macro="" textlink="">
      <xdr:nvSpPr>
        <xdr:cNvPr id="17" name="Retângulo 1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E366ED77-896C-47EC-BCF1-5ADEF1679EDD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Simples</a:t>
          </a:r>
        </a:p>
      </xdr:txBody>
    </xdr:sp>
    <xdr:clientData/>
  </xdr:twoCellAnchor>
  <xdr:twoCellAnchor editAs="absolute">
    <xdr:from>
      <xdr:col>6</xdr:col>
      <xdr:colOff>485775</xdr:colOff>
      <xdr:row>1</xdr:row>
      <xdr:rowOff>142875</xdr:rowOff>
    </xdr:from>
    <xdr:to>
      <xdr:col>7</xdr:col>
      <xdr:colOff>689475</xdr:colOff>
      <xdr:row>2</xdr:row>
      <xdr:rowOff>13875</xdr:rowOff>
    </xdr:to>
    <xdr:sp macro="" textlink="">
      <xdr:nvSpPr>
        <xdr:cNvPr id="18" name="Retângul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8E0B663-3EDB-494F-837C-DE6F9E08E8FC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Custos</a:t>
          </a:r>
        </a:p>
      </xdr:txBody>
    </xdr:sp>
    <xdr:clientData/>
  </xdr:twoCellAnchor>
  <xdr:twoCellAnchor editAs="absolute">
    <xdr:from>
      <xdr:col>7</xdr:col>
      <xdr:colOff>704850</xdr:colOff>
      <xdr:row>1</xdr:row>
      <xdr:rowOff>142875</xdr:rowOff>
    </xdr:from>
    <xdr:to>
      <xdr:col>9</xdr:col>
      <xdr:colOff>32250</xdr:colOff>
      <xdr:row>2</xdr:row>
      <xdr:rowOff>13875</xdr:rowOff>
    </xdr:to>
    <xdr:sp macro="" textlink="">
      <xdr:nvSpPr>
        <xdr:cNvPr id="19" name="Retângul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B5544D2-DD04-4679-8A90-4ADE7BFE9A16}"/>
            </a:ext>
          </a:extLst>
        </xdr:cNvPr>
        <xdr:cNvSpPr/>
      </xdr:nvSpPr>
      <xdr:spPr>
        <a:xfrm>
          <a:off x="53530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Despesas</a:t>
          </a:r>
        </a:p>
      </xdr:txBody>
    </xdr:sp>
    <xdr:clientData/>
  </xdr:twoCellAnchor>
  <xdr:twoCellAnchor editAs="absolute">
    <xdr:from>
      <xdr:col>2</xdr:col>
      <xdr:colOff>0</xdr:colOff>
      <xdr:row>2</xdr:row>
      <xdr:rowOff>323850</xdr:rowOff>
    </xdr:from>
    <xdr:to>
      <xdr:col>4</xdr:col>
      <xdr:colOff>225300</xdr:colOff>
      <xdr:row>2</xdr:row>
      <xdr:rowOff>575850</xdr:rowOff>
    </xdr:to>
    <xdr:sp macro="" textlink="">
      <xdr:nvSpPr>
        <xdr:cNvPr id="21" name="Retângulo 2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89367D-D2C5-429F-B9CB-A6A68C522E60}"/>
            </a:ext>
          </a:extLst>
        </xdr:cNvPr>
        <xdr:cNvSpPr/>
      </xdr:nvSpPr>
      <xdr:spPr>
        <a:xfrm>
          <a:off x="228600" y="1143000"/>
          <a:ext cx="2016000" cy="252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bg1"/>
              </a:solidFill>
            </a:rPr>
            <a:t>Faturamento 100% Tributado</a:t>
          </a:r>
        </a:p>
      </xdr:txBody>
    </xdr:sp>
    <xdr:clientData/>
  </xdr:twoCellAnchor>
  <xdr:twoCellAnchor editAs="absolute">
    <xdr:from>
      <xdr:col>2</xdr:col>
      <xdr:colOff>9526</xdr:colOff>
      <xdr:row>2</xdr:row>
      <xdr:rowOff>571500</xdr:rowOff>
    </xdr:from>
    <xdr:to>
      <xdr:col>15</xdr:col>
      <xdr:colOff>819526</xdr:colOff>
      <xdr:row>2</xdr:row>
      <xdr:rowOff>571500</xdr:rowOff>
    </xdr:to>
    <xdr:cxnSp macro="">
      <xdr:nvCxnSpPr>
        <xdr:cNvPr id="22" name="Conector reto 21">
          <a:extLst>
            <a:ext uri="{FF2B5EF4-FFF2-40B4-BE49-F238E27FC236}">
              <a16:creationId xmlns:a16="http://schemas.microsoft.com/office/drawing/2014/main" id="{EABF2B1A-FEA0-4951-91DD-53AEA3F27310}"/>
            </a:ext>
          </a:extLst>
        </xdr:cNvPr>
        <xdr:cNvCxnSpPr/>
      </xdr:nvCxnSpPr>
      <xdr:spPr>
        <a:xfrm>
          <a:off x="238126" y="1390650"/>
          <a:ext cx="12240000" cy="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257175</xdr:colOff>
      <xdr:row>2</xdr:row>
      <xdr:rowOff>323850</xdr:rowOff>
    </xdr:from>
    <xdr:to>
      <xdr:col>6</xdr:col>
      <xdr:colOff>520575</xdr:colOff>
      <xdr:row>2</xdr:row>
      <xdr:rowOff>575850</xdr:rowOff>
    </xdr:to>
    <xdr:sp macro="" textlink="">
      <xdr:nvSpPr>
        <xdr:cNvPr id="23" name="Retângulo 2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E76317E4-93F4-434B-9653-1C4822763814}"/>
            </a:ext>
          </a:extLst>
        </xdr:cNvPr>
        <xdr:cNvSpPr/>
      </xdr:nvSpPr>
      <xdr:spPr>
        <a:xfrm>
          <a:off x="2276475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Monofásico</a:t>
          </a:r>
        </a:p>
      </xdr:txBody>
    </xdr:sp>
    <xdr:clientData/>
  </xdr:twoCellAnchor>
  <xdr:twoCellAnchor editAs="absolute">
    <xdr:from>
      <xdr:col>6</xdr:col>
      <xdr:colOff>552450</xdr:colOff>
      <xdr:row>2</xdr:row>
      <xdr:rowOff>323850</xdr:rowOff>
    </xdr:from>
    <xdr:to>
      <xdr:col>8</xdr:col>
      <xdr:colOff>815850</xdr:colOff>
      <xdr:row>2</xdr:row>
      <xdr:rowOff>575850</xdr:rowOff>
    </xdr:to>
    <xdr:sp macro="" textlink="">
      <xdr:nvSpPr>
        <xdr:cNvPr id="24" name="Retângulo 2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50BCC2D8-429C-473D-9136-788CBEE2F19F}"/>
            </a:ext>
          </a:extLst>
        </xdr:cNvPr>
        <xdr:cNvSpPr/>
      </xdr:nvSpPr>
      <xdr:spPr>
        <a:xfrm>
          <a:off x="4324350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ST</a:t>
          </a:r>
        </a:p>
      </xdr:txBody>
    </xdr:sp>
    <xdr:clientData/>
  </xdr:twoCellAnchor>
  <xdr:twoCellAnchor editAs="absolute">
    <xdr:from>
      <xdr:col>8</xdr:col>
      <xdr:colOff>847725</xdr:colOff>
      <xdr:row>2</xdr:row>
      <xdr:rowOff>323850</xdr:rowOff>
    </xdr:from>
    <xdr:to>
      <xdr:col>11</xdr:col>
      <xdr:colOff>234825</xdr:colOff>
      <xdr:row>2</xdr:row>
      <xdr:rowOff>575850</xdr:rowOff>
    </xdr:to>
    <xdr:sp macro="" textlink="">
      <xdr:nvSpPr>
        <xdr:cNvPr id="25" name="Retângulo 2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1B8C2B4-AED9-48CA-8FE5-CD26C668AF9A}"/>
            </a:ext>
          </a:extLst>
        </xdr:cNvPr>
        <xdr:cNvSpPr/>
      </xdr:nvSpPr>
      <xdr:spPr>
        <a:xfrm>
          <a:off x="6372225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Monofásico e ST</a:t>
          </a:r>
        </a:p>
      </xdr:txBody>
    </xdr:sp>
    <xdr:clientData/>
  </xdr:twoCellAnchor>
  <xdr:twoCellAnchor editAs="absolute">
    <xdr:from>
      <xdr:col>11</xdr:col>
      <xdr:colOff>266700</xdr:colOff>
      <xdr:row>2</xdr:row>
      <xdr:rowOff>323850</xdr:rowOff>
    </xdr:from>
    <xdr:to>
      <xdr:col>13</xdr:col>
      <xdr:colOff>530100</xdr:colOff>
      <xdr:row>2</xdr:row>
      <xdr:rowOff>575850</xdr:rowOff>
    </xdr:to>
    <xdr:sp macro="" textlink="">
      <xdr:nvSpPr>
        <xdr:cNvPr id="26" name="Retângulo 2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225677D7-1B0B-42BF-94BC-C345DAF0929B}"/>
            </a:ext>
          </a:extLst>
        </xdr:cNvPr>
        <xdr:cNvSpPr/>
      </xdr:nvSpPr>
      <xdr:spPr>
        <a:xfrm>
          <a:off x="8420100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</a:t>
          </a:r>
          <a:r>
            <a:rPr lang="pt-BR" sz="1000" kern="1200" baseline="0">
              <a:solidFill>
                <a:schemeClr val="tx1">
                  <a:lumMod val="75000"/>
                  <a:lumOff val="25000"/>
                </a:schemeClr>
              </a:solidFill>
            </a:rPr>
            <a:t> Isento</a:t>
          </a:r>
          <a:endParaRPr lang="pt-BR" sz="1000" kern="12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13</xdr:col>
      <xdr:colOff>561975</xdr:colOff>
      <xdr:row>2</xdr:row>
      <xdr:rowOff>323850</xdr:rowOff>
    </xdr:from>
    <xdr:to>
      <xdr:col>15</xdr:col>
      <xdr:colOff>825375</xdr:colOff>
      <xdr:row>2</xdr:row>
      <xdr:rowOff>575850</xdr:rowOff>
    </xdr:to>
    <xdr:sp macro="" textlink="">
      <xdr:nvSpPr>
        <xdr:cNvPr id="27" name="Retângulo 2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6465A836-1B72-42F7-AD14-EF4A402B740F}"/>
            </a:ext>
          </a:extLst>
        </xdr:cNvPr>
        <xdr:cNvSpPr/>
      </xdr:nvSpPr>
      <xdr:spPr>
        <a:xfrm>
          <a:off x="10467975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Consolidado</a:t>
          </a:r>
        </a:p>
      </xdr:txBody>
    </xdr:sp>
    <xdr:clientData/>
  </xdr:twoCellAnchor>
  <xdr:twoCellAnchor editAs="absolute">
    <xdr:from>
      <xdr:col>15</xdr:col>
      <xdr:colOff>828675</xdr:colOff>
      <xdr:row>2</xdr:row>
      <xdr:rowOff>323850</xdr:rowOff>
    </xdr:from>
    <xdr:to>
      <xdr:col>15</xdr:col>
      <xdr:colOff>828675</xdr:colOff>
      <xdr:row>2</xdr:row>
      <xdr:rowOff>575850</xdr:rowOff>
    </xdr:to>
    <xdr:cxnSp macro="">
      <xdr:nvCxnSpPr>
        <xdr:cNvPr id="28" name="Conector reto 27">
          <a:extLst>
            <a:ext uri="{FF2B5EF4-FFF2-40B4-BE49-F238E27FC236}">
              <a16:creationId xmlns:a16="http://schemas.microsoft.com/office/drawing/2014/main" id="{F23C0241-12AE-4F7D-B46C-1B6C7F16AD4A}"/>
            </a:ext>
          </a:extLst>
        </xdr:cNvPr>
        <xdr:cNvCxnSpPr/>
      </xdr:nvCxnSpPr>
      <xdr:spPr>
        <a:xfrm>
          <a:off x="12487275" y="1143000"/>
          <a:ext cx="0" cy="25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47625</xdr:colOff>
      <xdr:row>1</xdr:row>
      <xdr:rowOff>142875</xdr:rowOff>
    </xdr:from>
    <xdr:to>
      <xdr:col>10</xdr:col>
      <xdr:colOff>251325</xdr:colOff>
      <xdr:row>2</xdr:row>
      <xdr:rowOff>13875</xdr:rowOff>
    </xdr:to>
    <xdr:sp macro="" textlink="">
      <xdr:nvSpPr>
        <xdr:cNvPr id="15" name="Retângulo 1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71C1D69-4951-4384-8220-E042BE5BE7B6}"/>
            </a:ext>
          </a:extLst>
        </xdr:cNvPr>
        <xdr:cNvSpPr/>
      </xdr:nvSpPr>
      <xdr:spPr>
        <a:xfrm>
          <a:off x="64484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Reforma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342900</xdr:colOff>
      <xdr:row>0</xdr:row>
      <xdr:rowOff>85725</xdr:rowOff>
    </xdr:from>
    <xdr:to>
      <xdr:col>4</xdr:col>
      <xdr:colOff>546600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8D5E43-F75D-4E17-9367-56118233E7A6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4</xdr:col>
      <xdr:colOff>571500</xdr:colOff>
      <xdr:row>0</xdr:row>
      <xdr:rowOff>85725</xdr:rowOff>
    </xdr:from>
    <xdr:to>
      <xdr:col>5</xdr:col>
      <xdr:colOff>775200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36E7E11-9B17-4AB3-9857-C46AABA79E06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5</xdr:col>
      <xdr:colOff>800100</xdr:colOff>
      <xdr:row>0</xdr:row>
      <xdr:rowOff>85725</xdr:rowOff>
    </xdr:from>
    <xdr:to>
      <xdr:col>7</xdr:col>
      <xdr:colOff>127500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7F05ADD-F79F-4D95-B22D-9EC0D8CA85C1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8</xdr:col>
      <xdr:colOff>381000</xdr:colOff>
      <xdr:row>0</xdr:row>
      <xdr:rowOff>85725</xdr:rowOff>
    </xdr:from>
    <xdr:to>
      <xdr:col>9</xdr:col>
      <xdr:colOff>584700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C004BF4-E1E7-4797-9D00-95FC3A0E8D65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9</xdr:col>
      <xdr:colOff>609600</xdr:colOff>
      <xdr:row>0</xdr:row>
      <xdr:rowOff>85725</xdr:rowOff>
    </xdr:from>
    <xdr:to>
      <xdr:col>10</xdr:col>
      <xdr:colOff>813300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E508186-C7CC-44E5-B22D-FE4DDAF259F3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10</xdr:col>
      <xdr:colOff>838200</xdr:colOff>
      <xdr:row>0</xdr:row>
      <xdr:rowOff>85725</xdr:rowOff>
    </xdr:from>
    <xdr:to>
      <xdr:col>12</xdr:col>
      <xdr:colOff>165600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6779905-54B6-40C2-94A9-FBD5286DC984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6</xdr:col>
      <xdr:colOff>114300</xdr:colOff>
      <xdr:row>0</xdr:row>
      <xdr:rowOff>371475</xdr:rowOff>
    </xdr:from>
    <xdr:to>
      <xdr:col>6</xdr:col>
      <xdr:colOff>834300</xdr:colOff>
      <xdr:row>0</xdr:row>
      <xdr:rowOff>388425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77ABF3CA-464F-4296-B5B7-35B68DA50FF0}"/>
            </a:ext>
          </a:extLst>
        </xdr:cNvPr>
        <xdr:cNvSpPr/>
      </xdr:nvSpPr>
      <xdr:spPr>
        <a:xfrm>
          <a:off x="38862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152400</xdr:colOff>
      <xdr:row>0</xdr:row>
      <xdr:rowOff>85725</xdr:rowOff>
    </xdr:from>
    <xdr:to>
      <xdr:col>8</xdr:col>
      <xdr:colOff>356100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F4700F1-CC9F-42F8-A155-6FA626CAB467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B89E290B-0972-49FA-9221-A55BD32E8081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29545DD3-DEEE-1167-69CB-6D5A4585BB66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738AC1DB-402C-9177-F435-31DA1AA6477B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4" name="Meio-quadro 13">
            <a:extLst>
              <a:ext uri="{FF2B5EF4-FFF2-40B4-BE49-F238E27FC236}">
                <a16:creationId xmlns:a16="http://schemas.microsoft.com/office/drawing/2014/main" id="{3C26E476-4A11-FCB8-D1C4-DB474B7626E8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0</xdr:colOff>
      <xdr:row>2</xdr:row>
      <xdr:rowOff>323850</xdr:rowOff>
    </xdr:from>
    <xdr:to>
      <xdr:col>4</xdr:col>
      <xdr:colOff>225300</xdr:colOff>
      <xdr:row>2</xdr:row>
      <xdr:rowOff>575850</xdr:rowOff>
    </xdr:to>
    <xdr:sp macro="" textlink="">
      <xdr:nvSpPr>
        <xdr:cNvPr id="16" name="Retâ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2265938-41BC-499B-B9CD-F4BD8BC990FD}"/>
            </a:ext>
          </a:extLst>
        </xdr:cNvPr>
        <xdr:cNvSpPr/>
      </xdr:nvSpPr>
      <xdr:spPr>
        <a:xfrm>
          <a:off x="228600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100% Tributado</a:t>
          </a:r>
        </a:p>
      </xdr:txBody>
    </xdr:sp>
    <xdr:clientData/>
  </xdr:twoCellAnchor>
  <xdr:twoCellAnchor editAs="absolute">
    <xdr:from>
      <xdr:col>2</xdr:col>
      <xdr:colOff>9526</xdr:colOff>
      <xdr:row>2</xdr:row>
      <xdr:rowOff>571500</xdr:rowOff>
    </xdr:from>
    <xdr:to>
      <xdr:col>15</xdr:col>
      <xdr:colOff>819526</xdr:colOff>
      <xdr:row>2</xdr:row>
      <xdr:rowOff>571500</xdr:rowOff>
    </xdr:to>
    <xdr:cxnSp macro="">
      <xdr:nvCxnSpPr>
        <xdr:cNvPr id="17" name="Conector reto 16">
          <a:extLst>
            <a:ext uri="{FF2B5EF4-FFF2-40B4-BE49-F238E27FC236}">
              <a16:creationId xmlns:a16="http://schemas.microsoft.com/office/drawing/2014/main" id="{4A55C33D-0BBD-401F-BD92-4BEC665E433D}"/>
            </a:ext>
          </a:extLst>
        </xdr:cNvPr>
        <xdr:cNvCxnSpPr/>
      </xdr:nvCxnSpPr>
      <xdr:spPr>
        <a:xfrm>
          <a:off x="238126" y="1390650"/>
          <a:ext cx="12240000" cy="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257175</xdr:colOff>
      <xdr:row>2</xdr:row>
      <xdr:rowOff>323850</xdr:rowOff>
    </xdr:from>
    <xdr:to>
      <xdr:col>6</xdr:col>
      <xdr:colOff>520575</xdr:colOff>
      <xdr:row>2</xdr:row>
      <xdr:rowOff>575850</xdr:rowOff>
    </xdr:to>
    <xdr:sp macro="" textlink="">
      <xdr:nvSpPr>
        <xdr:cNvPr id="18" name="Retângulo 1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8907D24-7860-478A-A8BF-79466DC576DA}"/>
            </a:ext>
          </a:extLst>
        </xdr:cNvPr>
        <xdr:cNvSpPr/>
      </xdr:nvSpPr>
      <xdr:spPr>
        <a:xfrm>
          <a:off x="2276475" y="1143000"/>
          <a:ext cx="2016000" cy="252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bg1"/>
              </a:solidFill>
            </a:rPr>
            <a:t>Faturamento Monofásico</a:t>
          </a:r>
        </a:p>
      </xdr:txBody>
    </xdr:sp>
    <xdr:clientData/>
  </xdr:twoCellAnchor>
  <xdr:twoCellAnchor editAs="absolute">
    <xdr:from>
      <xdr:col>6</xdr:col>
      <xdr:colOff>552450</xdr:colOff>
      <xdr:row>2</xdr:row>
      <xdr:rowOff>323850</xdr:rowOff>
    </xdr:from>
    <xdr:to>
      <xdr:col>8</xdr:col>
      <xdr:colOff>815850</xdr:colOff>
      <xdr:row>2</xdr:row>
      <xdr:rowOff>575850</xdr:rowOff>
    </xdr:to>
    <xdr:sp macro="" textlink="">
      <xdr:nvSpPr>
        <xdr:cNvPr id="19" name="Retângulo 1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F2644BD-D025-4F05-A6EF-C3A92F73B5FA}"/>
            </a:ext>
          </a:extLst>
        </xdr:cNvPr>
        <xdr:cNvSpPr/>
      </xdr:nvSpPr>
      <xdr:spPr>
        <a:xfrm>
          <a:off x="4324350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ST</a:t>
          </a:r>
        </a:p>
      </xdr:txBody>
    </xdr:sp>
    <xdr:clientData/>
  </xdr:twoCellAnchor>
  <xdr:twoCellAnchor editAs="absolute">
    <xdr:from>
      <xdr:col>8</xdr:col>
      <xdr:colOff>847725</xdr:colOff>
      <xdr:row>2</xdr:row>
      <xdr:rowOff>323850</xdr:rowOff>
    </xdr:from>
    <xdr:to>
      <xdr:col>11</xdr:col>
      <xdr:colOff>234825</xdr:colOff>
      <xdr:row>2</xdr:row>
      <xdr:rowOff>575850</xdr:rowOff>
    </xdr:to>
    <xdr:sp macro="" textlink="">
      <xdr:nvSpPr>
        <xdr:cNvPr id="20" name="Retângulo 1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4A74285-6797-461B-BCA4-10E3F2C317AA}"/>
            </a:ext>
          </a:extLst>
        </xdr:cNvPr>
        <xdr:cNvSpPr/>
      </xdr:nvSpPr>
      <xdr:spPr>
        <a:xfrm>
          <a:off x="6372225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Monofásico e ST</a:t>
          </a:r>
        </a:p>
      </xdr:txBody>
    </xdr:sp>
    <xdr:clientData/>
  </xdr:twoCellAnchor>
  <xdr:twoCellAnchor editAs="absolute">
    <xdr:from>
      <xdr:col>11</xdr:col>
      <xdr:colOff>266700</xdr:colOff>
      <xdr:row>2</xdr:row>
      <xdr:rowOff>323850</xdr:rowOff>
    </xdr:from>
    <xdr:to>
      <xdr:col>13</xdr:col>
      <xdr:colOff>530100</xdr:colOff>
      <xdr:row>2</xdr:row>
      <xdr:rowOff>575850</xdr:rowOff>
    </xdr:to>
    <xdr:sp macro="" textlink="">
      <xdr:nvSpPr>
        <xdr:cNvPr id="21" name="Retângulo 2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10F08988-918C-4825-BD96-AB4D8A3FF3A4}"/>
            </a:ext>
          </a:extLst>
        </xdr:cNvPr>
        <xdr:cNvSpPr/>
      </xdr:nvSpPr>
      <xdr:spPr>
        <a:xfrm>
          <a:off x="8420100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</a:t>
          </a:r>
          <a:r>
            <a:rPr lang="pt-BR" sz="1000" kern="1200" baseline="0">
              <a:solidFill>
                <a:schemeClr val="tx1">
                  <a:lumMod val="75000"/>
                  <a:lumOff val="25000"/>
                </a:schemeClr>
              </a:solidFill>
            </a:rPr>
            <a:t> Isento</a:t>
          </a:r>
          <a:endParaRPr lang="pt-BR" sz="1000" kern="12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13</xdr:col>
      <xdr:colOff>561975</xdr:colOff>
      <xdr:row>2</xdr:row>
      <xdr:rowOff>323850</xdr:rowOff>
    </xdr:from>
    <xdr:to>
      <xdr:col>15</xdr:col>
      <xdr:colOff>825375</xdr:colOff>
      <xdr:row>2</xdr:row>
      <xdr:rowOff>575850</xdr:rowOff>
    </xdr:to>
    <xdr:sp macro="" textlink="">
      <xdr:nvSpPr>
        <xdr:cNvPr id="22" name="Retângulo 2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FD4420B-6B3E-41BB-9B19-D5A7EE05F268}"/>
            </a:ext>
          </a:extLst>
        </xdr:cNvPr>
        <xdr:cNvSpPr/>
      </xdr:nvSpPr>
      <xdr:spPr>
        <a:xfrm>
          <a:off x="10467975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Consolidado</a:t>
          </a:r>
        </a:p>
      </xdr:txBody>
    </xdr:sp>
    <xdr:clientData/>
  </xdr:twoCellAnchor>
  <xdr:twoCellAnchor editAs="absolute">
    <xdr:from>
      <xdr:col>15</xdr:col>
      <xdr:colOff>828675</xdr:colOff>
      <xdr:row>2</xdr:row>
      <xdr:rowOff>323850</xdr:rowOff>
    </xdr:from>
    <xdr:to>
      <xdr:col>15</xdr:col>
      <xdr:colOff>828675</xdr:colOff>
      <xdr:row>2</xdr:row>
      <xdr:rowOff>575850</xdr:rowOff>
    </xdr:to>
    <xdr:cxnSp macro="">
      <xdr:nvCxnSpPr>
        <xdr:cNvPr id="23" name="Conector reto 22">
          <a:extLst>
            <a:ext uri="{FF2B5EF4-FFF2-40B4-BE49-F238E27FC236}">
              <a16:creationId xmlns:a16="http://schemas.microsoft.com/office/drawing/2014/main" id="{AF33C27A-E8E9-4BB1-AFEA-AC4A1E628A31}"/>
            </a:ext>
          </a:extLst>
        </xdr:cNvPr>
        <xdr:cNvCxnSpPr/>
      </xdr:nvCxnSpPr>
      <xdr:spPr>
        <a:xfrm>
          <a:off x="12487275" y="1143000"/>
          <a:ext cx="0" cy="25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742950</xdr:colOff>
      <xdr:row>1</xdr:row>
      <xdr:rowOff>142875</xdr:rowOff>
    </xdr:from>
    <xdr:to>
      <xdr:col>4</xdr:col>
      <xdr:colOff>32250</xdr:colOff>
      <xdr:row>2</xdr:row>
      <xdr:rowOff>13875</xdr:rowOff>
    </xdr:to>
    <xdr:sp macro="" textlink="">
      <xdr:nvSpPr>
        <xdr:cNvPr id="24" name="Retângul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B950366-4182-4438-989D-317EF40EE5BA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Compras</a:t>
          </a:r>
        </a:p>
      </xdr:txBody>
    </xdr:sp>
    <xdr:clientData/>
  </xdr:twoCellAnchor>
  <xdr:twoCellAnchor editAs="absolute">
    <xdr:from>
      <xdr:col>4</xdr:col>
      <xdr:colOff>47625</xdr:colOff>
      <xdr:row>1</xdr:row>
      <xdr:rowOff>142875</xdr:rowOff>
    </xdr:from>
    <xdr:to>
      <xdr:col>5</xdr:col>
      <xdr:colOff>251325</xdr:colOff>
      <xdr:row>2</xdr:row>
      <xdr:rowOff>13875</xdr:rowOff>
    </xdr:to>
    <xdr:sp macro="" textlink="">
      <xdr:nvSpPr>
        <xdr:cNvPr id="25" name="Retângulo 2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3F15695-CFA9-45E5-9C0E-27E71E337118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Faturamento</a:t>
          </a:r>
        </a:p>
      </xdr:txBody>
    </xdr:sp>
    <xdr:clientData/>
  </xdr:twoCellAnchor>
  <xdr:twoCellAnchor editAs="absolute">
    <xdr:from>
      <xdr:col>5</xdr:col>
      <xdr:colOff>266700</xdr:colOff>
      <xdr:row>1</xdr:row>
      <xdr:rowOff>142875</xdr:rowOff>
    </xdr:from>
    <xdr:to>
      <xdr:col>6</xdr:col>
      <xdr:colOff>470400</xdr:colOff>
      <xdr:row>2</xdr:row>
      <xdr:rowOff>13875</xdr:rowOff>
    </xdr:to>
    <xdr:sp macro="" textlink="">
      <xdr:nvSpPr>
        <xdr:cNvPr id="26" name="Retângulo 2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C3F9D02-299F-49B8-80E3-98103549BDF5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Simples</a:t>
          </a:r>
        </a:p>
      </xdr:txBody>
    </xdr:sp>
    <xdr:clientData/>
  </xdr:twoCellAnchor>
  <xdr:twoCellAnchor editAs="absolute">
    <xdr:from>
      <xdr:col>6</xdr:col>
      <xdr:colOff>485775</xdr:colOff>
      <xdr:row>1</xdr:row>
      <xdr:rowOff>142875</xdr:rowOff>
    </xdr:from>
    <xdr:to>
      <xdr:col>7</xdr:col>
      <xdr:colOff>689475</xdr:colOff>
      <xdr:row>2</xdr:row>
      <xdr:rowOff>13875</xdr:rowOff>
    </xdr:to>
    <xdr:sp macro="" textlink="">
      <xdr:nvSpPr>
        <xdr:cNvPr id="27" name="Retângulo 2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8419123E-EE30-46B2-AD5D-F60B08E8506A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Custos</a:t>
          </a:r>
        </a:p>
      </xdr:txBody>
    </xdr:sp>
    <xdr:clientData/>
  </xdr:twoCellAnchor>
  <xdr:twoCellAnchor editAs="absolute">
    <xdr:from>
      <xdr:col>7</xdr:col>
      <xdr:colOff>704850</xdr:colOff>
      <xdr:row>1</xdr:row>
      <xdr:rowOff>142875</xdr:rowOff>
    </xdr:from>
    <xdr:to>
      <xdr:col>9</xdr:col>
      <xdr:colOff>32250</xdr:colOff>
      <xdr:row>2</xdr:row>
      <xdr:rowOff>13875</xdr:rowOff>
    </xdr:to>
    <xdr:sp macro="" textlink="">
      <xdr:nvSpPr>
        <xdr:cNvPr id="28" name="Retângulo 2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16C9B44-4D26-45E5-A4D0-83D7078B7A3C}"/>
            </a:ext>
          </a:extLst>
        </xdr:cNvPr>
        <xdr:cNvSpPr/>
      </xdr:nvSpPr>
      <xdr:spPr>
        <a:xfrm>
          <a:off x="53530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Despesas</a:t>
          </a:r>
        </a:p>
      </xdr:txBody>
    </xdr:sp>
    <xdr:clientData/>
  </xdr:twoCellAnchor>
  <xdr:twoCellAnchor editAs="absolute">
    <xdr:from>
      <xdr:col>9</xdr:col>
      <xdr:colOff>47625</xdr:colOff>
      <xdr:row>1</xdr:row>
      <xdr:rowOff>142875</xdr:rowOff>
    </xdr:from>
    <xdr:to>
      <xdr:col>10</xdr:col>
      <xdr:colOff>251325</xdr:colOff>
      <xdr:row>2</xdr:row>
      <xdr:rowOff>13875</xdr:rowOff>
    </xdr:to>
    <xdr:sp macro="" textlink="">
      <xdr:nvSpPr>
        <xdr:cNvPr id="10" name="Retângulo 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CE025A58-C633-496D-A312-77F8C6E31CBD}"/>
            </a:ext>
          </a:extLst>
        </xdr:cNvPr>
        <xdr:cNvSpPr/>
      </xdr:nvSpPr>
      <xdr:spPr>
        <a:xfrm>
          <a:off x="64484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Reforma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342900</xdr:colOff>
      <xdr:row>0</xdr:row>
      <xdr:rowOff>85725</xdr:rowOff>
    </xdr:from>
    <xdr:to>
      <xdr:col>4</xdr:col>
      <xdr:colOff>546600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593DE20-091C-4030-B2A9-94366A6F1B42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4</xdr:col>
      <xdr:colOff>571500</xdr:colOff>
      <xdr:row>0</xdr:row>
      <xdr:rowOff>85725</xdr:rowOff>
    </xdr:from>
    <xdr:to>
      <xdr:col>5</xdr:col>
      <xdr:colOff>775200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72C9C97-5F40-43A5-A228-755A97FA7BD6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5</xdr:col>
      <xdr:colOff>800100</xdr:colOff>
      <xdr:row>0</xdr:row>
      <xdr:rowOff>85725</xdr:rowOff>
    </xdr:from>
    <xdr:to>
      <xdr:col>7</xdr:col>
      <xdr:colOff>127500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C247905-206B-4BE0-B55B-9FA8A0BC09BF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8</xdr:col>
      <xdr:colOff>381000</xdr:colOff>
      <xdr:row>0</xdr:row>
      <xdr:rowOff>85725</xdr:rowOff>
    </xdr:from>
    <xdr:to>
      <xdr:col>9</xdr:col>
      <xdr:colOff>584700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6266E84-8D50-4737-9105-B21B50254B6C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9</xdr:col>
      <xdr:colOff>609600</xdr:colOff>
      <xdr:row>0</xdr:row>
      <xdr:rowOff>85725</xdr:rowOff>
    </xdr:from>
    <xdr:to>
      <xdr:col>10</xdr:col>
      <xdr:colOff>813300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F6D3F7C-AB1F-4758-B9C7-F74E1DC45AD1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10</xdr:col>
      <xdr:colOff>838200</xdr:colOff>
      <xdr:row>0</xdr:row>
      <xdr:rowOff>85725</xdr:rowOff>
    </xdr:from>
    <xdr:to>
      <xdr:col>12</xdr:col>
      <xdr:colOff>165600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D3D10D2-E6FF-4FFE-B291-51E3E14E820C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6</xdr:col>
      <xdr:colOff>114300</xdr:colOff>
      <xdr:row>0</xdr:row>
      <xdr:rowOff>371475</xdr:rowOff>
    </xdr:from>
    <xdr:to>
      <xdr:col>6</xdr:col>
      <xdr:colOff>834300</xdr:colOff>
      <xdr:row>0</xdr:row>
      <xdr:rowOff>388425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8D89CC1A-445C-408E-AC72-EFB173C5F85A}"/>
            </a:ext>
          </a:extLst>
        </xdr:cNvPr>
        <xdr:cNvSpPr/>
      </xdr:nvSpPr>
      <xdr:spPr>
        <a:xfrm>
          <a:off x="38862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152400</xdr:colOff>
      <xdr:row>0</xdr:row>
      <xdr:rowOff>85725</xdr:rowOff>
    </xdr:from>
    <xdr:to>
      <xdr:col>8</xdr:col>
      <xdr:colOff>356100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CEA634A-2058-4578-A95D-469DF94F675D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280172B-E8A8-46CC-9EF4-0165E5EE14CA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B4B1AD41-E377-BFC1-CF7D-595C297112FD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1FF70366-36B7-87BF-4504-34F0BF093C37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4" name="Meio-quadro 13">
            <a:extLst>
              <a:ext uri="{FF2B5EF4-FFF2-40B4-BE49-F238E27FC236}">
                <a16:creationId xmlns:a16="http://schemas.microsoft.com/office/drawing/2014/main" id="{1BB53CCA-BEEA-3762-7777-7388B15D4F50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0</xdr:colOff>
      <xdr:row>2</xdr:row>
      <xdr:rowOff>323850</xdr:rowOff>
    </xdr:from>
    <xdr:to>
      <xdr:col>4</xdr:col>
      <xdr:colOff>225300</xdr:colOff>
      <xdr:row>2</xdr:row>
      <xdr:rowOff>575850</xdr:rowOff>
    </xdr:to>
    <xdr:sp macro="" textlink="">
      <xdr:nvSpPr>
        <xdr:cNvPr id="16" name="Retâ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85FD960-0B7B-43A8-A9FD-89CCF1AAA7C6}"/>
            </a:ext>
          </a:extLst>
        </xdr:cNvPr>
        <xdr:cNvSpPr/>
      </xdr:nvSpPr>
      <xdr:spPr>
        <a:xfrm>
          <a:off x="228600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100% Tributado</a:t>
          </a:r>
        </a:p>
      </xdr:txBody>
    </xdr:sp>
    <xdr:clientData/>
  </xdr:twoCellAnchor>
  <xdr:twoCellAnchor editAs="absolute">
    <xdr:from>
      <xdr:col>2</xdr:col>
      <xdr:colOff>9526</xdr:colOff>
      <xdr:row>2</xdr:row>
      <xdr:rowOff>571500</xdr:rowOff>
    </xdr:from>
    <xdr:to>
      <xdr:col>15</xdr:col>
      <xdr:colOff>819526</xdr:colOff>
      <xdr:row>2</xdr:row>
      <xdr:rowOff>571500</xdr:rowOff>
    </xdr:to>
    <xdr:cxnSp macro="">
      <xdr:nvCxnSpPr>
        <xdr:cNvPr id="17" name="Conector reto 16">
          <a:extLst>
            <a:ext uri="{FF2B5EF4-FFF2-40B4-BE49-F238E27FC236}">
              <a16:creationId xmlns:a16="http://schemas.microsoft.com/office/drawing/2014/main" id="{927171A3-C7EC-4848-9809-D159DA0D52FA}"/>
            </a:ext>
          </a:extLst>
        </xdr:cNvPr>
        <xdr:cNvCxnSpPr/>
      </xdr:nvCxnSpPr>
      <xdr:spPr>
        <a:xfrm>
          <a:off x="238126" y="1390650"/>
          <a:ext cx="12240000" cy="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257175</xdr:colOff>
      <xdr:row>2</xdr:row>
      <xdr:rowOff>323850</xdr:rowOff>
    </xdr:from>
    <xdr:to>
      <xdr:col>6</xdr:col>
      <xdr:colOff>520575</xdr:colOff>
      <xdr:row>2</xdr:row>
      <xdr:rowOff>575850</xdr:rowOff>
    </xdr:to>
    <xdr:sp macro="" textlink="">
      <xdr:nvSpPr>
        <xdr:cNvPr id="18" name="Retângulo 1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A52C367-22E4-4595-B2EA-52251E2ABF5A}"/>
            </a:ext>
          </a:extLst>
        </xdr:cNvPr>
        <xdr:cNvSpPr/>
      </xdr:nvSpPr>
      <xdr:spPr>
        <a:xfrm>
          <a:off x="2276475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Monofásico</a:t>
          </a:r>
        </a:p>
      </xdr:txBody>
    </xdr:sp>
    <xdr:clientData/>
  </xdr:twoCellAnchor>
  <xdr:twoCellAnchor editAs="absolute">
    <xdr:from>
      <xdr:col>6</xdr:col>
      <xdr:colOff>552450</xdr:colOff>
      <xdr:row>2</xdr:row>
      <xdr:rowOff>323850</xdr:rowOff>
    </xdr:from>
    <xdr:to>
      <xdr:col>8</xdr:col>
      <xdr:colOff>815850</xdr:colOff>
      <xdr:row>2</xdr:row>
      <xdr:rowOff>575850</xdr:rowOff>
    </xdr:to>
    <xdr:sp macro="" textlink="">
      <xdr:nvSpPr>
        <xdr:cNvPr id="19" name="Retângulo 1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2019DAC-1FAF-4631-A3F3-50E341E1452F}"/>
            </a:ext>
          </a:extLst>
        </xdr:cNvPr>
        <xdr:cNvSpPr/>
      </xdr:nvSpPr>
      <xdr:spPr>
        <a:xfrm>
          <a:off x="4324350" y="1143000"/>
          <a:ext cx="2016000" cy="252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bg1"/>
              </a:solidFill>
            </a:rPr>
            <a:t>Faturamento ST</a:t>
          </a:r>
        </a:p>
      </xdr:txBody>
    </xdr:sp>
    <xdr:clientData/>
  </xdr:twoCellAnchor>
  <xdr:twoCellAnchor editAs="absolute">
    <xdr:from>
      <xdr:col>8</xdr:col>
      <xdr:colOff>847725</xdr:colOff>
      <xdr:row>2</xdr:row>
      <xdr:rowOff>323850</xdr:rowOff>
    </xdr:from>
    <xdr:to>
      <xdr:col>11</xdr:col>
      <xdr:colOff>234825</xdr:colOff>
      <xdr:row>2</xdr:row>
      <xdr:rowOff>575850</xdr:rowOff>
    </xdr:to>
    <xdr:sp macro="" textlink="">
      <xdr:nvSpPr>
        <xdr:cNvPr id="20" name="Retângulo 1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359087C-5AAD-4D28-BCD8-03E283D67AF9}"/>
            </a:ext>
          </a:extLst>
        </xdr:cNvPr>
        <xdr:cNvSpPr/>
      </xdr:nvSpPr>
      <xdr:spPr>
        <a:xfrm>
          <a:off x="6372225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Monofásico e ST</a:t>
          </a:r>
        </a:p>
      </xdr:txBody>
    </xdr:sp>
    <xdr:clientData/>
  </xdr:twoCellAnchor>
  <xdr:twoCellAnchor editAs="absolute">
    <xdr:from>
      <xdr:col>11</xdr:col>
      <xdr:colOff>266700</xdr:colOff>
      <xdr:row>2</xdr:row>
      <xdr:rowOff>323850</xdr:rowOff>
    </xdr:from>
    <xdr:to>
      <xdr:col>13</xdr:col>
      <xdr:colOff>530100</xdr:colOff>
      <xdr:row>2</xdr:row>
      <xdr:rowOff>575850</xdr:rowOff>
    </xdr:to>
    <xdr:sp macro="" textlink="">
      <xdr:nvSpPr>
        <xdr:cNvPr id="21" name="Retângulo 2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98095E57-0E5F-47E8-A4A9-6A65D0079CEC}"/>
            </a:ext>
          </a:extLst>
        </xdr:cNvPr>
        <xdr:cNvSpPr/>
      </xdr:nvSpPr>
      <xdr:spPr>
        <a:xfrm>
          <a:off x="8420100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</a:t>
          </a:r>
          <a:r>
            <a:rPr lang="pt-BR" sz="1000" kern="1200" baseline="0">
              <a:solidFill>
                <a:schemeClr val="tx1">
                  <a:lumMod val="75000"/>
                  <a:lumOff val="25000"/>
                </a:schemeClr>
              </a:solidFill>
            </a:rPr>
            <a:t> Isento</a:t>
          </a:r>
          <a:endParaRPr lang="pt-BR" sz="1000" kern="12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13</xdr:col>
      <xdr:colOff>561975</xdr:colOff>
      <xdr:row>2</xdr:row>
      <xdr:rowOff>323850</xdr:rowOff>
    </xdr:from>
    <xdr:to>
      <xdr:col>15</xdr:col>
      <xdr:colOff>825375</xdr:colOff>
      <xdr:row>2</xdr:row>
      <xdr:rowOff>575850</xdr:rowOff>
    </xdr:to>
    <xdr:sp macro="" textlink="">
      <xdr:nvSpPr>
        <xdr:cNvPr id="22" name="Retângulo 2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8FEB118C-A7C8-4F56-BED4-0483ACF83BE6}"/>
            </a:ext>
          </a:extLst>
        </xdr:cNvPr>
        <xdr:cNvSpPr/>
      </xdr:nvSpPr>
      <xdr:spPr>
        <a:xfrm>
          <a:off x="10467975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Consolidado</a:t>
          </a:r>
        </a:p>
      </xdr:txBody>
    </xdr:sp>
    <xdr:clientData/>
  </xdr:twoCellAnchor>
  <xdr:twoCellAnchor editAs="absolute">
    <xdr:from>
      <xdr:col>15</xdr:col>
      <xdr:colOff>828675</xdr:colOff>
      <xdr:row>2</xdr:row>
      <xdr:rowOff>323850</xdr:rowOff>
    </xdr:from>
    <xdr:to>
      <xdr:col>15</xdr:col>
      <xdr:colOff>828675</xdr:colOff>
      <xdr:row>2</xdr:row>
      <xdr:rowOff>575850</xdr:rowOff>
    </xdr:to>
    <xdr:cxnSp macro="">
      <xdr:nvCxnSpPr>
        <xdr:cNvPr id="23" name="Conector reto 22">
          <a:extLst>
            <a:ext uri="{FF2B5EF4-FFF2-40B4-BE49-F238E27FC236}">
              <a16:creationId xmlns:a16="http://schemas.microsoft.com/office/drawing/2014/main" id="{2CBD8E17-E94E-4F9F-A3FB-614C5662D450}"/>
            </a:ext>
          </a:extLst>
        </xdr:cNvPr>
        <xdr:cNvCxnSpPr/>
      </xdr:nvCxnSpPr>
      <xdr:spPr>
        <a:xfrm>
          <a:off x="12487275" y="1143000"/>
          <a:ext cx="0" cy="25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742950</xdr:colOff>
      <xdr:row>1</xdr:row>
      <xdr:rowOff>142875</xdr:rowOff>
    </xdr:from>
    <xdr:to>
      <xdr:col>4</xdr:col>
      <xdr:colOff>32250</xdr:colOff>
      <xdr:row>2</xdr:row>
      <xdr:rowOff>13875</xdr:rowOff>
    </xdr:to>
    <xdr:sp macro="" textlink="">
      <xdr:nvSpPr>
        <xdr:cNvPr id="24" name="Retângul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7C08437-74C4-4335-BD82-43EBBC3381A0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Compras</a:t>
          </a:r>
        </a:p>
      </xdr:txBody>
    </xdr:sp>
    <xdr:clientData/>
  </xdr:twoCellAnchor>
  <xdr:twoCellAnchor editAs="absolute">
    <xdr:from>
      <xdr:col>4</xdr:col>
      <xdr:colOff>47625</xdr:colOff>
      <xdr:row>1</xdr:row>
      <xdr:rowOff>142875</xdr:rowOff>
    </xdr:from>
    <xdr:to>
      <xdr:col>5</xdr:col>
      <xdr:colOff>251325</xdr:colOff>
      <xdr:row>2</xdr:row>
      <xdr:rowOff>13875</xdr:rowOff>
    </xdr:to>
    <xdr:sp macro="" textlink="">
      <xdr:nvSpPr>
        <xdr:cNvPr id="25" name="Retângulo 2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82E6F5FE-3B43-444C-AF17-3CE330E12619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Faturamento</a:t>
          </a:r>
        </a:p>
      </xdr:txBody>
    </xdr:sp>
    <xdr:clientData/>
  </xdr:twoCellAnchor>
  <xdr:twoCellAnchor editAs="absolute">
    <xdr:from>
      <xdr:col>5</xdr:col>
      <xdr:colOff>266700</xdr:colOff>
      <xdr:row>1</xdr:row>
      <xdr:rowOff>142875</xdr:rowOff>
    </xdr:from>
    <xdr:to>
      <xdr:col>6</xdr:col>
      <xdr:colOff>470400</xdr:colOff>
      <xdr:row>2</xdr:row>
      <xdr:rowOff>13875</xdr:rowOff>
    </xdr:to>
    <xdr:sp macro="" textlink="">
      <xdr:nvSpPr>
        <xdr:cNvPr id="26" name="Retângulo 2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3BFEF74-E177-44E0-8355-7BC514CFD435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Simples</a:t>
          </a:r>
        </a:p>
      </xdr:txBody>
    </xdr:sp>
    <xdr:clientData/>
  </xdr:twoCellAnchor>
  <xdr:twoCellAnchor editAs="absolute">
    <xdr:from>
      <xdr:col>6</xdr:col>
      <xdr:colOff>485775</xdr:colOff>
      <xdr:row>1</xdr:row>
      <xdr:rowOff>142875</xdr:rowOff>
    </xdr:from>
    <xdr:to>
      <xdr:col>7</xdr:col>
      <xdr:colOff>689475</xdr:colOff>
      <xdr:row>2</xdr:row>
      <xdr:rowOff>13875</xdr:rowOff>
    </xdr:to>
    <xdr:sp macro="" textlink="">
      <xdr:nvSpPr>
        <xdr:cNvPr id="27" name="Retângulo 2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E527AE60-ABC0-47AC-A4B7-B25A66F31117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Custos</a:t>
          </a:r>
        </a:p>
      </xdr:txBody>
    </xdr:sp>
    <xdr:clientData/>
  </xdr:twoCellAnchor>
  <xdr:twoCellAnchor editAs="absolute">
    <xdr:from>
      <xdr:col>7</xdr:col>
      <xdr:colOff>704850</xdr:colOff>
      <xdr:row>1</xdr:row>
      <xdr:rowOff>142875</xdr:rowOff>
    </xdr:from>
    <xdr:to>
      <xdr:col>9</xdr:col>
      <xdr:colOff>32250</xdr:colOff>
      <xdr:row>2</xdr:row>
      <xdr:rowOff>13875</xdr:rowOff>
    </xdr:to>
    <xdr:sp macro="" textlink="">
      <xdr:nvSpPr>
        <xdr:cNvPr id="28" name="Retângulo 2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E0C284A9-C555-4F8A-A3FD-EE39C9B588FF}"/>
            </a:ext>
          </a:extLst>
        </xdr:cNvPr>
        <xdr:cNvSpPr/>
      </xdr:nvSpPr>
      <xdr:spPr>
        <a:xfrm>
          <a:off x="53530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Despesas</a:t>
          </a:r>
        </a:p>
      </xdr:txBody>
    </xdr:sp>
    <xdr:clientData/>
  </xdr:twoCellAnchor>
  <xdr:twoCellAnchor editAs="absolute">
    <xdr:from>
      <xdr:col>9</xdr:col>
      <xdr:colOff>47625</xdr:colOff>
      <xdr:row>1</xdr:row>
      <xdr:rowOff>142875</xdr:rowOff>
    </xdr:from>
    <xdr:to>
      <xdr:col>10</xdr:col>
      <xdr:colOff>251325</xdr:colOff>
      <xdr:row>2</xdr:row>
      <xdr:rowOff>13875</xdr:rowOff>
    </xdr:to>
    <xdr:sp macro="" textlink="">
      <xdr:nvSpPr>
        <xdr:cNvPr id="10" name="Retângulo 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3C743F63-0576-4DF4-B183-6AA502536079}"/>
            </a:ext>
          </a:extLst>
        </xdr:cNvPr>
        <xdr:cNvSpPr/>
      </xdr:nvSpPr>
      <xdr:spPr>
        <a:xfrm>
          <a:off x="64484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Reforma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342900</xdr:colOff>
      <xdr:row>0</xdr:row>
      <xdr:rowOff>85725</xdr:rowOff>
    </xdr:from>
    <xdr:to>
      <xdr:col>4</xdr:col>
      <xdr:colOff>546600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F7650E-9D65-4B14-8CFC-2BCB8357747E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4</xdr:col>
      <xdr:colOff>571500</xdr:colOff>
      <xdr:row>0</xdr:row>
      <xdr:rowOff>85725</xdr:rowOff>
    </xdr:from>
    <xdr:to>
      <xdr:col>5</xdr:col>
      <xdr:colOff>775200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5485144-C272-418C-89FF-A86D036397FE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5</xdr:col>
      <xdr:colOff>800100</xdr:colOff>
      <xdr:row>0</xdr:row>
      <xdr:rowOff>85725</xdr:rowOff>
    </xdr:from>
    <xdr:to>
      <xdr:col>7</xdr:col>
      <xdr:colOff>127500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612E1E5-7E4C-4501-ACCE-0C87736A8DD9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8</xdr:col>
      <xdr:colOff>381000</xdr:colOff>
      <xdr:row>0</xdr:row>
      <xdr:rowOff>85725</xdr:rowOff>
    </xdr:from>
    <xdr:to>
      <xdr:col>9</xdr:col>
      <xdr:colOff>584700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7E8C4D2-FFD3-423C-ACE5-BE332E9C4772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9</xdr:col>
      <xdr:colOff>609600</xdr:colOff>
      <xdr:row>0</xdr:row>
      <xdr:rowOff>85725</xdr:rowOff>
    </xdr:from>
    <xdr:to>
      <xdr:col>10</xdr:col>
      <xdr:colOff>813300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FF9BBAA-3760-41D0-86F5-0116A7487180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10</xdr:col>
      <xdr:colOff>838200</xdr:colOff>
      <xdr:row>0</xdr:row>
      <xdr:rowOff>85725</xdr:rowOff>
    </xdr:from>
    <xdr:to>
      <xdr:col>12</xdr:col>
      <xdr:colOff>165600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88078DE-7C04-4E7C-9DE8-95BF16422E12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6</xdr:col>
      <xdr:colOff>114300</xdr:colOff>
      <xdr:row>0</xdr:row>
      <xdr:rowOff>371475</xdr:rowOff>
    </xdr:from>
    <xdr:to>
      <xdr:col>6</xdr:col>
      <xdr:colOff>834300</xdr:colOff>
      <xdr:row>0</xdr:row>
      <xdr:rowOff>388425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73F0390F-9843-4724-9CDF-9FED8BB94F49}"/>
            </a:ext>
          </a:extLst>
        </xdr:cNvPr>
        <xdr:cNvSpPr/>
      </xdr:nvSpPr>
      <xdr:spPr>
        <a:xfrm>
          <a:off x="38862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152400</xdr:colOff>
      <xdr:row>0</xdr:row>
      <xdr:rowOff>85725</xdr:rowOff>
    </xdr:from>
    <xdr:to>
      <xdr:col>8</xdr:col>
      <xdr:colOff>356100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82E85600-F9BA-497B-B1C4-032786A028E9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F4818142-EFF0-4A48-931D-3CA238ABB2CC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77A0EF3F-5D33-7E1C-21BB-D0DD2086FCE7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FB84BD57-C55E-E0E0-828E-D85A7A973C86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4" name="Meio-quadro 13">
            <a:extLst>
              <a:ext uri="{FF2B5EF4-FFF2-40B4-BE49-F238E27FC236}">
                <a16:creationId xmlns:a16="http://schemas.microsoft.com/office/drawing/2014/main" id="{C898E61C-1D46-A9B6-5605-73487160DA10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0</xdr:colOff>
      <xdr:row>2</xdr:row>
      <xdr:rowOff>323850</xdr:rowOff>
    </xdr:from>
    <xdr:to>
      <xdr:col>4</xdr:col>
      <xdr:colOff>225300</xdr:colOff>
      <xdr:row>2</xdr:row>
      <xdr:rowOff>575850</xdr:rowOff>
    </xdr:to>
    <xdr:sp macro="" textlink="">
      <xdr:nvSpPr>
        <xdr:cNvPr id="16" name="Retâ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9C3A736-8893-4E28-8AA4-6F8B0FAF8FFA}"/>
            </a:ext>
          </a:extLst>
        </xdr:cNvPr>
        <xdr:cNvSpPr/>
      </xdr:nvSpPr>
      <xdr:spPr>
        <a:xfrm>
          <a:off x="228600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100% Tributado</a:t>
          </a:r>
        </a:p>
      </xdr:txBody>
    </xdr:sp>
    <xdr:clientData/>
  </xdr:twoCellAnchor>
  <xdr:twoCellAnchor editAs="absolute">
    <xdr:from>
      <xdr:col>2</xdr:col>
      <xdr:colOff>9526</xdr:colOff>
      <xdr:row>2</xdr:row>
      <xdr:rowOff>571500</xdr:rowOff>
    </xdr:from>
    <xdr:to>
      <xdr:col>15</xdr:col>
      <xdr:colOff>819526</xdr:colOff>
      <xdr:row>2</xdr:row>
      <xdr:rowOff>571500</xdr:rowOff>
    </xdr:to>
    <xdr:cxnSp macro="">
      <xdr:nvCxnSpPr>
        <xdr:cNvPr id="17" name="Conector reto 16">
          <a:extLst>
            <a:ext uri="{FF2B5EF4-FFF2-40B4-BE49-F238E27FC236}">
              <a16:creationId xmlns:a16="http://schemas.microsoft.com/office/drawing/2014/main" id="{47E1B631-4014-42CC-8F61-4F099FB2A617}"/>
            </a:ext>
          </a:extLst>
        </xdr:cNvPr>
        <xdr:cNvCxnSpPr/>
      </xdr:nvCxnSpPr>
      <xdr:spPr>
        <a:xfrm>
          <a:off x="238126" y="1390650"/>
          <a:ext cx="12240000" cy="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257175</xdr:colOff>
      <xdr:row>2</xdr:row>
      <xdr:rowOff>323850</xdr:rowOff>
    </xdr:from>
    <xdr:to>
      <xdr:col>6</xdr:col>
      <xdr:colOff>520575</xdr:colOff>
      <xdr:row>2</xdr:row>
      <xdr:rowOff>575850</xdr:rowOff>
    </xdr:to>
    <xdr:sp macro="" textlink="">
      <xdr:nvSpPr>
        <xdr:cNvPr id="18" name="Retângulo 1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43DA01C9-2648-4331-8C41-509EBB3C8B74}"/>
            </a:ext>
          </a:extLst>
        </xdr:cNvPr>
        <xdr:cNvSpPr/>
      </xdr:nvSpPr>
      <xdr:spPr>
        <a:xfrm>
          <a:off x="2276475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Monofásico</a:t>
          </a:r>
        </a:p>
      </xdr:txBody>
    </xdr:sp>
    <xdr:clientData/>
  </xdr:twoCellAnchor>
  <xdr:twoCellAnchor editAs="absolute">
    <xdr:from>
      <xdr:col>6</xdr:col>
      <xdr:colOff>552450</xdr:colOff>
      <xdr:row>2</xdr:row>
      <xdr:rowOff>323850</xdr:rowOff>
    </xdr:from>
    <xdr:to>
      <xdr:col>8</xdr:col>
      <xdr:colOff>815850</xdr:colOff>
      <xdr:row>2</xdr:row>
      <xdr:rowOff>575850</xdr:rowOff>
    </xdr:to>
    <xdr:sp macro="" textlink="">
      <xdr:nvSpPr>
        <xdr:cNvPr id="19" name="Retângulo 1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64D2B90-002C-425B-A7C9-E4FDB46D51A4}"/>
            </a:ext>
          </a:extLst>
        </xdr:cNvPr>
        <xdr:cNvSpPr/>
      </xdr:nvSpPr>
      <xdr:spPr>
        <a:xfrm>
          <a:off x="4324350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ST</a:t>
          </a:r>
        </a:p>
      </xdr:txBody>
    </xdr:sp>
    <xdr:clientData/>
  </xdr:twoCellAnchor>
  <xdr:twoCellAnchor editAs="absolute">
    <xdr:from>
      <xdr:col>8</xdr:col>
      <xdr:colOff>847725</xdr:colOff>
      <xdr:row>2</xdr:row>
      <xdr:rowOff>323850</xdr:rowOff>
    </xdr:from>
    <xdr:to>
      <xdr:col>11</xdr:col>
      <xdr:colOff>234825</xdr:colOff>
      <xdr:row>2</xdr:row>
      <xdr:rowOff>575850</xdr:rowOff>
    </xdr:to>
    <xdr:sp macro="" textlink="">
      <xdr:nvSpPr>
        <xdr:cNvPr id="20" name="Retângulo 1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B3991CF-4E2C-4BD0-98DA-4D34B63F00C4}"/>
            </a:ext>
          </a:extLst>
        </xdr:cNvPr>
        <xdr:cNvSpPr/>
      </xdr:nvSpPr>
      <xdr:spPr>
        <a:xfrm>
          <a:off x="6372225" y="1143000"/>
          <a:ext cx="2016000" cy="252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bg1"/>
              </a:solidFill>
            </a:rPr>
            <a:t>Faturamento Monofásico e ST</a:t>
          </a:r>
        </a:p>
      </xdr:txBody>
    </xdr:sp>
    <xdr:clientData/>
  </xdr:twoCellAnchor>
  <xdr:twoCellAnchor editAs="absolute">
    <xdr:from>
      <xdr:col>11</xdr:col>
      <xdr:colOff>266700</xdr:colOff>
      <xdr:row>2</xdr:row>
      <xdr:rowOff>323850</xdr:rowOff>
    </xdr:from>
    <xdr:to>
      <xdr:col>13</xdr:col>
      <xdr:colOff>530100</xdr:colOff>
      <xdr:row>2</xdr:row>
      <xdr:rowOff>575850</xdr:rowOff>
    </xdr:to>
    <xdr:sp macro="" textlink="">
      <xdr:nvSpPr>
        <xdr:cNvPr id="21" name="Retângulo 2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819D1831-99E7-4C77-AB97-782334064C0E}"/>
            </a:ext>
          </a:extLst>
        </xdr:cNvPr>
        <xdr:cNvSpPr/>
      </xdr:nvSpPr>
      <xdr:spPr>
        <a:xfrm>
          <a:off x="8420100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</a:t>
          </a:r>
          <a:r>
            <a:rPr lang="pt-BR" sz="1000" kern="1200" baseline="0">
              <a:solidFill>
                <a:schemeClr val="tx1">
                  <a:lumMod val="75000"/>
                  <a:lumOff val="25000"/>
                </a:schemeClr>
              </a:solidFill>
            </a:rPr>
            <a:t> Isento</a:t>
          </a:r>
          <a:endParaRPr lang="pt-BR" sz="1000" kern="12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13</xdr:col>
      <xdr:colOff>561975</xdr:colOff>
      <xdr:row>2</xdr:row>
      <xdr:rowOff>323850</xdr:rowOff>
    </xdr:from>
    <xdr:to>
      <xdr:col>15</xdr:col>
      <xdr:colOff>825375</xdr:colOff>
      <xdr:row>2</xdr:row>
      <xdr:rowOff>575850</xdr:rowOff>
    </xdr:to>
    <xdr:sp macro="" textlink="">
      <xdr:nvSpPr>
        <xdr:cNvPr id="22" name="Retângulo 2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812E252-DAB3-4D69-8883-401EBB7D1E61}"/>
            </a:ext>
          </a:extLst>
        </xdr:cNvPr>
        <xdr:cNvSpPr/>
      </xdr:nvSpPr>
      <xdr:spPr>
        <a:xfrm>
          <a:off x="10467975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Consolidado</a:t>
          </a:r>
        </a:p>
      </xdr:txBody>
    </xdr:sp>
    <xdr:clientData/>
  </xdr:twoCellAnchor>
  <xdr:twoCellAnchor editAs="absolute">
    <xdr:from>
      <xdr:col>15</xdr:col>
      <xdr:colOff>828675</xdr:colOff>
      <xdr:row>2</xdr:row>
      <xdr:rowOff>323850</xdr:rowOff>
    </xdr:from>
    <xdr:to>
      <xdr:col>15</xdr:col>
      <xdr:colOff>828675</xdr:colOff>
      <xdr:row>2</xdr:row>
      <xdr:rowOff>575850</xdr:rowOff>
    </xdr:to>
    <xdr:cxnSp macro="">
      <xdr:nvCxnSpPr>
        <xdr:cNvPr id="23" name="Conector reto 22">
          <a:extLst>
            <a:ext uri="{FF2B5EF4-FFF2-40B4-BE49-F238E27FC236}">
              <a16:creationId xmlns:a16="http://schemas.microsoft.com/office/drawing/2014/main" id="{7539D097-02A3-4891-B6AE-78A435AE68D9}"/>
            </a:ext>
          </a:extLst>
        </xdr:cNvPr>
        <xdr:cNvCxnSpPr/>
      </xdr:nvCxnSpPr>
      <xdr:spPr>
        <a:xfrm>
          <a:off x="12487275" y="1143000"/>
          <a:ext cx="0" cy="25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742950</xdr:colOff>
      <xdr:row>1</xdr:row>
      <xdr:rowOff>142875</xdr:rowOff>
    </xdr:from>
    <xdr:to>
      <xdr:col>4</xdr:col>
      <xdr:colOff>32250</xdr:colOff>
      <xdr:row>2</xdr:row>
      <xdr:rowOff>13875</xdr:rowOff>
    </xdr:to>
    <xdr:sp macro="" textlink="">
      <xdr:nvSpPr>
        <xdr:cNvPr id="24" name="Retângul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B2A774-C1CD-4765-BAFE-D99C3B24B40D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Compras</a:t>
          </a:r>
        </a:p>
      </xdr:txBody>
    </xdr:sp>
    <xdr:clientData/>
  </xdr:twoCellAnchor>
  <xdr:twoCellAnchor editAs="absolute">
    <xdr:from>
      <xdr:col>4</xdr:col>
      <xdr:colOff>47625</xdr:colOff>
      <xdr:row>1</xdr:row>
      <xdr:rowOff>142875</xdr:rowOff>
    </xdr:from>
    <xdr:to>
      <xdr:col>5</xdr:col>
      <xdr:colOff>251325</xdr:colOff>
      <xdr:row>2</xdr:row>
      <xdr:rowOff>13875</xdr:rowOff>
    </xdr:to>
    <xdr:sp macro="" textlink="">
      <xdr:nvSpPr>
        <xdr:cNvPr id="25" name="Retângulo 2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4BE1359-C54C-4697-A6A0-D65BE564A7E9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Faturamento</a:t>
          </a:r>
        </a:p>
      </xdr:txBody>
    </xdr:sp>
    <xdr:clientData/>
  </xdr:twoCellAnchor>
  <xdr:twoCellAnchor editAs="absolute">
    <xdr:from>
      <xdr:col>5</xdr:col>
      <xdr:colOff>266700</xdr:colOff>
      <xdr:row>1</xdr:row>
      <xdr:rowOff>142875</xdr:rowOff>
    </xdr:from>
    <xdr:to>
      <xdr:col>6</xdr:col>
      <xdr:colOff>470400</xdr:colOff>
      <xdr:row>2</xdr:row>
      <xdr:rowOff>13875</xdr:rowOff>
    </xdr:to>
    <xdr:sp macro="" textlink="">
      <xdr:nvSpPr>
        <xdr:cNvPr id="26" name="Retângulo 2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1145EE1-B27D-4586-84C0-6881925F2C31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Simples</a:t>
          </a:r>
        </a:p>
      </xdr:txBody>
    </xdr:sp>
    <xdr:clientData/>
  </xdr:twoCellAnchor>
  <xdr:twoCellAnchor editAs="absolute">
    <xdr:from>
      <xdr:col>6</xdr:col>
      <xdr:colOff>485775</xdr:colOff>
      <xdr:row>1</xdr:row>
      <xdr:rowOff>142875</xdr:rowOff>
    </xdr:from>
    <xdr:to>
      <xdr:col>7</xdr:col>
      <xdr:colOff>689475</xdr:colOff>
      <xdr:row>2</xdr:row>
      <xdr:rowOff>13875</xdr:rowOff>
    </xdr:to>
    <xdr:sp macro="" textlink="">
      <xdr:nvSpPr>
        <xdr:cNvPr id="27" name="Retângulo 2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FC5857B4-A347-4BA4-AA2B-553D2296D640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Custos</a:t>
          </a:r>
        </a:p>
      </xdr:txBody>
    </xdr:sp>
    <xdr:clientData/>
  </xdr:twoCellAnchor>
  <xdr:twoCellAnchor editAs="absolute">
    <xdr:from>
      <xdr:col>7</xdr:col>
      <xdr:colOff>704850</xdr:colOff>
      <xdr:row>1</xdr:row>
      <xdr:rowOff>142875</xdr:rowOff>
    </xdr:from>
    <xdr:to>
      <xdr:col>9</xdr:col>
      <xdr:colOff>32250</xdr:colOff>
      <xdr:row>2</xdr:row>
      <xdr:rowOff>13875</xdr:rowOff>
    </xdr:to>
    <xdr:sp macro="" textlink="">
      <xdr:nvSpPr>
        <xdr:cNvPr id="28" name="Retângulo 2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43620C31-4D32-41E6-8958-80AB04072897}"/>
            </a:ext>
          </a:extLst>
        </xdr:cNvPr>
        <xdr:cNvSpPr/>
      </xdr:nvSpPr>
      <xdr:spPr>
        <a:xfrm>
          <a:off x="53530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Despesas</a:t>
          </a:r>
        </a:p>
      </xdr:txBody>
    </xdr:sp>
    <xdr:clientData/>
  </xdr:twoCellAnchor>
  <xdr:twoCellAnchor editAs="absolute">
    <xdr:from>
      <xdr:col>9</xdr:col>
      <xdr:colOff>47625</xdr:colOff>
      <xdr:row>1</xdr:row>
      <xdr:rowOff>142875</xdr:rowOff>
    </xdr:from>
    <xdr:to>
      <xdr:col>10</xdr:col>
      <xdr:colOff>251325</xdr:colOff>
      <xdr:row>2</xdr:row>
      <xdr:rowOff>13875</xdr:rowOff>
    </xdr:to>
    <xdr:sp macro="" textlink="">
      <xdr:nvSpPr>
        <xdr:cNvPr id="10" name="Retângulo 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D45460C6-952E-4F47-9E43-167600C21384}"/>
            </a:ext>
          </a:extLst>
        </xdr:cNvPr>
        <xdr:cNvSpPr/>
      </xdr:nvSpPr>
      <xdr:spPr>
        <a:xfrm>
          <a:off x="64484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Reforma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342900</xdr:colOff>
      <xdr:row>0</xdr:row>
      <xdr:rowOff>85725</xdr:rowOff>
    </xdr:from>
    <xdr:to>
      <xdr:col>4</xdr:col>
      <xdr:colOff>546600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1E3AF6-8546-450D-9571-1E2F7A756658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4</xdr:col>
      <xdr:colOff>571500</xdr:colOff>
      <xdr:row>0</xdr:row>
      <xdr:rowOff>85725</xdr:rowOff>
    </xdr:from>
    <xdr:to>
      <xdr:col>5</xdr:col>
      <xdr:colOff>775200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373C996-AE87-4DC8-B46B-9B28730AA766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5</xdr:col>
      <xdr:colOff>800100</xdr:colOff>
      <xdr:row>0</xdr:row>
      <xdr:rowOff>85725</xdr:rowOff>
    </xdr:from>
    <xdr:to>
      <xdr:col>7</xdr:col>
      <xdr:colOff>127500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B960D09-3AAC-4D91-ACCC-C0570DA118C0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8</xdr:col>
      <xdr:colOff>381000</xdr:colOff>
      <xdr:row>0</xdr:row>
      <xdr:rowOff>85725</xdr:rowOff>
    </xdr:from>
    <xdr:to>
      <xdr:col>9</xdr:col>
      <xdr:colOff>584700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829566B-6490-4AAE-A55D-C06C9DF28892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9</xdr:col>
      <xdr:colOff>609600</xdr:colOff>
      <xdr:row>0</xdr:row>
      <xdr:rowOff>85725</xdr:rowOff>
    </xdr:from>
    <xdr:to>
      <xdr:col>10</xdr:col>
      <xdr:colOff>813300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360D2F9-6020-4006-9C13-C720F2C3283C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10</xdr:col>
      <xdr:colOff>838200</xdr:colOff>
      <xdr:row>0</xdr:row>
      <xdr:rowOff>85725</xdr:rowOff>
    </xdr:from>
    <xdr:to>
      <xdr:col>12</xdr:col>
      <xdr:colOff>165600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8DA5CAD-62D2-4E78-AD08-E11E0BD25D5D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6</xdr:col>
      <xdr:colOff>114300</xdr:colOff>
      <xdr:row>0</xdr:row>
      <xdr:rowOff>371475</xdr:rowOff>
    </xdr:from>
    <xdr:to>
      <xdr:col>6</xdr:col>
      <xdr:colOff>834300</xdr:colOff>
      <xdr:row>0</xdr:row>
      <xdr:rowOff>388425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C314ED2F-17E2-4ED4-8B6C-AA56DD1FF69F}"/>
            </a:ext>
          </a:extLst>
        </xdr:cNvPr>
        <xdr:cNvSpPr/>
      </xdr:nvSpPr>
      <xdr:spPr>
        <a:xfrm>
          <a:off x="38862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152400</xdr:colOff>
      <xdr:row>0</xdr:row>
      <xdr:rowOff>85725</xdr:rowOff>
    </xdr:from>
    <xdr:to>
      <xdr:col>8</xdr:col>
      <xdr:colOff>356100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DFD7E45-FA6D-44B9-8430-CDC48A7B50EF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38915798-4B58-4198-B941-588DD51C1628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DB8DB40B-31B6-D326-0533-513FCFBF2113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19289BE0-6AC6-56BD-33D4-9616A671D724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4" name="Meio-quadro 13">
            <a:extLst>
              <a:ext uri="{FF2B5EF4-FFF2-40B4-BE49-F238E27FC236}">
                <a16:creationId xmlns:a16="http://schemas.microsoft.com/office/drawing/2014/main" id="{5092CC61-E6C5-965D-A244-BFE2178BA6B1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0</xdr:colOff>
      <xdr:row>2</xdr:row>
      <xdr:rowOff>323850</xdr:rowOff>
    </xdr:from>
    <xdr:to>
      <xdr:col>4</xdr:col>
      <xdr:colOff>225300</xdr:colOff>
      <xdr:row>2</xdr:row>
      <xdr:rowOff>575850</xdr:rowOff>
    </xdr:to>
    <xdr:sp macro="" textlink="">
      <xdr:nvSpPr>
        <xdr:cNvPr id="16" name="Retâ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447090F-BD75-4535-8E84-BEBF2EAD8D80}"/>
            </a:ext>
          </a:extLst>
        </xdr:cNvPr>
        <xdr:cNvSpPr/>
      </xdr:nvSpPr>
      <xdr:spPr>
        <a:xfrm>
          <a:off x="228600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100% Tributado</a:t>
          </a:r>
        </a:p>
      </xdr:txBody>
    </xdr:sp>
    <xdr:clientData/>
  </xdr:twoCellAnchor>
  <xdr:twoCellAnchor editAs="absolute">
    <xdr:from>
      <xdr:col>2</xdr:col>
      <xdr:colOff>9526</xdr:colOff>
      <xdr:row>2</xdr:row>
      <xdr:rowOff>571500</xdr:rowOff>
    </xdr:from>
    <xdr:to>
      <xdr:col>15</xdr:col>
      <xdr:colOff>819526</xdr:colOff>
      <xdr:row>2</xdr:row>
      <xdr:rowOff>571500</xdr:rowOff>
    </xdr:to>
    <xdr:cxnSp macro="">
      <xdr:nvCxnSpPr>
        <xdr:cNvPr id="17" name="Conector reto 16">
          <a:extLst>
            <a:ext uri="{FF2B5EF4-FFF2-40B4-BE49-F238E27FC236}">
              <a16:creationId xmlns:a16="http://schemas.microsoft.com/office/drawing/2014/main" id="{A5AC75F1-1E00-4580-8EBF-4074B773E26D}"/>
            </a:ext>
          </a:extLst>
        </xdr:cNvPr>
        <xdr:cNvCxnSpPr/>
      </xdr:nvCxnSpPr>
      <xdr:spPr>
        <a:xfrm>
          <a:off x="238126" y="1390650"/>
          <a:ext cx="12240000" cy="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257175</xdr:colOff>
      <xdr:row>2</xdr:row>
      <xdr:rowOff>323850</xdr:rowOff>
    </xdr:from>
    <xdr:to>
      <xdr:col>6</xdr:col>
      <xdr:colOff>520575</xdr:colOff>
      <xdr:row>2</xdr:row>
      <xdr:rowOff>575850</xdr:rowOff>
    </xdr:to>
    <xdr:sp macro="" textlink="">
      <xdr:nvSpPr>
        <xdr:cNvPr id="18" name="Retângulo 1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DB382FD4-CA32-4AEC-A9E7-E2D3922BD35F}"/>
            </a:ext>
          </a:extLst>
        </xdr:cNvPr>
        <xdr:cNvSpPr/>
      </xdr:nvSpPr>
      <xdr:spPr>
        <a:xfrm>
          <a:off x="2276475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Monofásico</a:t>
          </a:r>
        </a:p>
      </xdr:txBody>
    </xdr:sp>
    <xdr:clientData/>
  </xdr:twoCellAnchor>
  <xdr:twoCellAnchor editAs="absolute">
    <xdr:from>
      <xdr:col>6</xdr:col>
      <xdr:colOff>552450</xdr:colOff>
      <xdr:row>2</xdr:row>
      <xdr:rowOff>323850</xdr:rowOff>
    </xdr:from>
    <xdr:to>
      <xdr:col>8</xdr:col>
      <xdr:colOff>815850</xdr:colOff>
      <xdr:row>2</xdr:row>
      <xdr:rowOff>575850</xdr:rowOff>
    </xdr:to>
    <xdr:sp macro="" textlink="">
      <xdr:nvSpPr>
        <xdr:cNvPr id="19" name="Retângulo 1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6698A9B-6AED-4E19-825D-5D9C384C8A71}"/>
            </a:ext>
          </a:extLst>
        </xdr:cNvPr>
        <xdr:cNvSpPr/>
      </xdr:nvSpPr>
      <xdr:spPr>
        <a:xfrm>
          <a:off x="4324350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ST</a:t>
          </a:r>
        </a:p>
      </xdr:txBody>
    </xdr:sp>
    <xdr:clientData/>
  </xdr:twoCellAnchor>
  <xdr:twoCellAnchor editAs="absolute">
    <xdr:from>
      <xdr:col>8</xdr:col>
      <xdr:colOff>847725</xdr:colOff>
      <xdr:row>2</xdr:row>
      <xdr:rowOff>323850</xdr:rowOff>
    </xdr:from>
    <xdr:to>
      <xdr:col>11</xdr:col>
      <xdr:colOff>234825</xdr:colOff>
      <xdr:row>2</xdr:row>
      <xdr:rowOff>575850</xdr:rowOff>
    </xdr:to>
    <xdr:sp macro="" textlink="">
      <xdr:nvSpPr>
        <xdr:cNvPr id="20" name="Retângulo 1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40B934E-95F2-407B-8DE1-8C96DC4D4443}"/>
            </a:ext>
          </a:extLst>
        </xdr:cNvPr>
        <xdr:cNvSpPr/>
      </xdr:nvSpPr>
      <xdr:spPr>
        <a:xfrm>
          <a:off x="6372225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Monofásico e ST</a:t>
          </a:r>
        </a:p>
      </xdr:txBody>
    </xdr:sp>
    <xdr:clientData/>
  </xdr:twoCellAnchor>
  <xdr:twoCellAnchor editAs="absolute">
    <xdr:from>
      <xdr:col>11</xdr:col>
      <xdr:colOff>266700</xdr:colOff>
      <xdr:row>2</xdr:row>
      <xdr:rowOff>323850</xdr:rowOff>
    </xdr:from>
    <xdr:to>
      <xdr:col>13</xdr:col>
      <xdr:colOff>530100</xdr:colOff>
      <xdr:row>2</xdr:row>
      <xdr:rowOff>575850</xdr:rowOff>
    </xdr:to>
    <xdr:sp macro="" textlink="">
      <xdr:nvSpPr>
        <xdr:cNvPr id="21" name="Retângulo 2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C2C523B-E41E-4C7A-8FAF-9F496C97EF7D}"/>
            </a:ext>
          </a:extLst>
        </xdr:cNvPr>
        <xdr:cNvSpPr/>
      </xdr:nvSpPr>
      <xdr:spPr>
        <a:xfrm>
          <a:off x="8420100" y="1143000"/>
          <a:ext cx="2016000" cy="252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bg1"/>
              </a:solidFill>
            </a:rPr>
            <a:t>Faturamento</a:t>
          </a:r>
          <a:r>
            <a:rPr lang="pt-BR" sz="1000" kern="1200" baseline="0">
              <a:solidFill>
                <a:schemeClr val="bg1"/>
              </a:solidFill>
            </a:rPr>
            <a:t> Isento</a:t>
          </a:r>
          <a:endParaRPr lang="pt-BR" sz="1000" kern="12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13</xdr:col>
      <xdr:colOff>561975</xdr:colOff>
      <xdr:row>2</xdr:row>
      <xdr:rowOff>323850</xdr:rowOff>
    </xdr:from>
    <xdr:to>
      <xdr:col>15</xdr:col>
      <xdr:colOff>825375</xdr:colOff>
      <xdr:row>2</xdr:row>
      <xdr:rowOff>575850</xdr:rowOff>
    </xdr:to>
    <xdr:sp macro="" textlink="">
      <xdr:nvSpPr>
        <xdr:cNvPr id="22" name="Retângulo 2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41D711B-835A-4405-8690-B5746C646EC6}"/>
            </a:ext>
          </a:extLst>
        </xdr:cNvPr>
        <xdr:cNvSpPr/>
      </xdr:nvSpPr>
      <xdr:spPr>
        <a:xfrm>
          <a:off x="10467975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Consolidado</a:t>
          </a:r>
        </a:p>
      </xdr:txBody>
    </xdr:sp>
    <xdr:clientData/>
  </xdr:twoCellAnchor>
  <xdr:twoCellAnchor editAs="absolute">
    <xdr:from>
      <xdr:col>15</xdr:col>
      <xdr:colOff>828675</xdr:colOff>
      <xdr:row>2</xdr:row>
      <xdr:rowOff>323850</xdr:rowOff>
    </xdr:from>
    <xdr:to>
      <xdr:col>15</xdr:col>
      <xdr:colOff>828675</xdr:colOff>
      <xdr:row>2</xdr:row>
      <xdr:rowOff>575850</xdr:rowOff>
    </xdr:to>
    <xdr:cxnSp macro="">
      <xdr:nvCxnSpPr>
        <xdr:cNvPr id="23" name="Conector reto 22">
          <a:extLst>
            <a:ext uri="{FF2B5EF4-FFF2-40B4-BE49-F238E27FC236}">
              <a16:creationId xmlns:a16="http://schemas.microsoft.com/office/drawing/2014/main" id="{7A4506FC-9F33-4F32-A7BD-EA275F32BC69}"/>
            </a:ext>
          </a:extLst>
        </xdr:cNvPr>
        <xdr:cNvCxnSpPr/>
      </xdr:nvCxnSpPr>
      <xdr:spPr>
        <a:xfrm>
          <a:off x="12487275" y="1143000"/>
          <a:ext cx="0" cy="25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742950</xdr:colOff>
      <xdr:row>1</xdr:row>
      <xdr:rowOff>142875</xdr:rowOff>
    </xdr:from>
    <xdr:to>
      <xdr:col>4</xdr:col>
      <xdr:colOff>32250</xdr:colOff>
      <xdr:row>2</xdr:row>
      <xdr:rowOff>13875</xdr:rowOff>
    </xdr:to>
    <xdr:sp macro="" textlink="">
      <xdr:nvSpPr>
        <xdr:cNvPr id="24" name="Retângul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67AEE88-5A1F-44F6-BE25-8A7F27AA3E57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Compras</a:t>
          </a:r>
        </a:p>
      </xdr:txBody>
    </xdr:sp>
    <xdr:clientData/>
  </xdr:twoCellAnchor>
  <xdr:twoCellAnchor editAs="absolute">
    <xdr:from>
      <xdr:col>4</xdr:col>
      <xdr:colOff>47625</xdr:colOff>
      <xdr:row>1</xdr:row>
      <xdr:rowOff>142875</xdr:rowOff>
    </xdr:from>
    <xdr:to>
      <xdr:col>5</xdr:col>
      <xdr:colOff>251325</xdr:colOff>
      <xdr:row>2</xdr:row>
      <xdr:rowOff>13875</xdr:rowOff>
    </xdr:to>
    <xdr:sp macro="" textlink="">
      <xdr:nvSpPr>
        <xdr:cNvPr id="25" name="Retângulo 2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2BFF965-B7BA-43BF-AA11-7BFFC1607281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Faturamento</a:t>
          </a:r>
        </a:p>
      </xdr:txBody>
    </xdr:sp>
    <xdr:clientData/>
  </xdr:twoCellAnchor>
  <xdr:twoCellAnchor editAs="absolute">
    <xdr:from>
      <xdr:col>5</xdr:col>
      <xdr:colOff>266700</xdr:colOff>
      <xdr:row>1</xdr:row>
      <xdr:rowOff>142875</xdr:rowOff>
    </xdr:from>
    <xdr:to>
      <xdr:col>6</xdr:col>
      <xdr:colOff>470400</xdr:colOff>
      <xdr:row>2</xdr:row>
      <xdr:rowOff>13875</xdr:rowOff>
    </xdr:to>
    <xdr:sp macro="" textlink="">
      <xdr:nvSpPr>
        <xdr:cNvPr id="26" name="Retângulo 2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C0BF80D-6394-42DD-8DFF-056DE87D9BAC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Simples</a:t>
          </a:r>
        </a:p>
      </xdr:txBody>
    </xdr:sp>
    <xdr:clientData/>
  </xdr:twoCellAnchor>
  <xdr:twoCellAnchor editAs="absolute">
    <xdr:from>
      <xdr:col>6</xdr:col>
      <xdr:colOff>485775</xdr:colOff>
      <xdr:row>1</xdr:row>
      <xdr:rowOff>142875</xdr:rowOff>
    </xdr:from>
    <xdr:to>
      <xdr:col>7</xdr:col>
      <xdr:colOff>689475</xdr:colOff>
      <xdr:row>2</xdr:row>
      <xdr:rowOff>13875</xdr:rowOff>
    </xdr:to>
    <xdr:sp macro="" textlink="">
      <xdr:nvSpPr>
        <xdr:cNvPr id="27" name="Retângulo 2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F946DD81-B2D9-4603-86DF-0D7DC6EB20F2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Custos</a:t>
          </a:r>
        </a:p>
      </xdr:txBody>
    </xdr:sp>
    <xdr:clientData/>
  </xdr:twoCellAnchor>
  <xdr:twoCellAnchor editAs="absolute">
    <xdr:from>
      <xdr:col>7</xdr:col>
      <xdr:colOff>704850</xdr:colOff>
      <xdr:row>1</xdr:row>
      <xdr:rowOff>142875</xdr:rowOff>
    </xdr:from>
    <xdr:to>
      <xdr:col>9</xdr:col>
      <xdr:colOff>32250</xdr:colOff>
      <xdr:row>2</xdr:row>
      <xdr:rowOff>13875</xdr:rowOff>
    </xdr:to>
    <xdr:sp macro="" textlink="">
      <xdr:nvSpPr>
        <xdr:cNvPr id="28" name="Retângulo 2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13E7960D-8512-4C5E-AE86-DAB455E80FDC}"/>
            </a:ext>
          </a:extLst>
        </xdr:cNvPr>
        <xdr:cNvSpPr/>
      </xdr:nvSpPr>
      <xdr:spPr>
        <a:xfrm>
          <a:off x="53530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Despesas</a:t>
          </a:r>
        </a:p>
      </xdr:txBody>
    </xdr:sp>
    <xdr:clientData/>
  </xdr:twoCellAnchor>
  <xdr:twoCellAnchor editAs="absolute">
    <xdr:from>
      <xdr:col>9</xdr:col>
      <xdr:colOff>47625</xdr:colOff>
      <xdr:row>1</xdr:row>
      <xdr:rowOff>142875</xdr:rowOff>
    </xdr:from>
    <xdr:to>
      <xdr:col>10</xdr:col>
      <xdr:colOff>251325</xdr:colOff>
      <xdr:row>2</xdr:row>
      <xdr:rowOff>13875</xdr:rowOff>
    </xdr:to>
    <xdr:sp macro="" textlink="">
      <xdr:nvSpPr>
        <xdr:cNvPr id="10" name="Retângulo 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FCE4B39-6114-458D-979F-747931376798}"/>
            </a:ext>
          </a:extLst>
        </xdr:cNvPr>
        <xdr:cNvSpPr/>
      </xdr:nvSpPr>
      <xdr:spPr>
        <a:xfrm>
          <a:off x="64484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Reforma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342900</xdr:colOff>
      <xdr:row>0</xdr:row>
      <xdr:rowOff>85725</xdr:rowOff>
    </xdr:from>
    <xdr:to>
      <xdr:col>4</xdr:col>
      <xdr:colOff>546600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5121B2-4A7F-4DFB-B333-B94B525AEAF5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4</xdr:col>
      <xdr:colOff>571500</xdr:colOff>
      <xdr:row>0</xdr:row>
      <xdr:rowOff>85725</xdr:rowOff>
    </xdr:from>
    <xdr:to>
      <xdr:col>5</xdr:col>
      <xdr:colOff>775200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DD504DC-D78A-4A50-8BB8-99CA3F3121AE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5</xdr:col>
      <xdr:colOff>800100</xdr:colOff>
      <xdr:row>0</xdr:row>
      <xdr:rowOff>85725</xdr:rowOff>
    </xdr:from>
    <xdr:to>
      <xdr:col>7</xdr:col>
      <xdr:colOff>127500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951EC4E-A75B-4A27-B27F-ED720F27798C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8</xdr:col>
      <xdr:colOff>381000</xdr:colOff>
      <xdr:row>0</xdr:row>
      <xdr:rowOff>85725</xdr:rowOff>
    </xdr:from>
    <xdr:to>
      <xdr:col>9</xdr:col>
      <xdr:colOff>584700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06C5709-8B13-463F-BBE3-652E1FF749ED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9</xdr:col>
      <xdr:colOff>609600</xdr:colOff>
      <xdr:row>0</xdr:row>
      <xdr:rowOff>85725</xdr:rowOff>
    </xdr:from>
    <xdr:to>
      <xdr:col>10</xdr:col>
      <xdr:colOff>813300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DFCCD65-E8D1-4C5B-8914-654915633BED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10</xdr:col>
      <xdr:colOff>838200</xdr:colOff>
      <xdr:row>0</xdr:row>
      <xdr:rowOff>85725</xdr:rowOff>
    </xdr:from>
    <xdr:to>
      <xdr:col>12</xdr:col>
      <xdr:colOff>165600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2FC773E-02B9-40F1-8815-EE5335F72808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6</xdr:col>
      <xdr:colOff>114300</xdr:colOff>
      <xdr:row>0</xdr:row>
      <xdr:rowOff>371475</xdr:rowOff>
    </xdr:from>
    <xdr:to>
      <xdr:col>6</xdr:col>
      <xdr:colOff>834300</xdr:colOff>
      <xdr:row>0</xdr:row>
      <xdr:rowOff>388425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D5C08219-F516-446F-8B8F-8129FD7E68C4}"/>
            </a:ext>
          </a:extLst>
        </xdr:cNvPr>
        <xdr:cNvSpPr/>
      </xdr:nvSpPr>
      <xdr:spPr>
        <a:xfrm>
          <a:off x="38862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152400</xdr:colOff>
      <xdr:row>0</xdr:row>
      <xdr:rowOff>85725</xdr:rowOff>
    </xdr:from>
    <xdr:to>
      <xdr:col>8</xdr:col>
      <xdr:colOff>356100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170690E-8250-40DC-B179-3FC271798A5D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A457A6C8-5A82-447F-A406-D43AD13D4C26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DF265DC9-01C0-891B-E811-CDE25B6FE56B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9A8EC135-F534-2DFE-7FA8-B6EF22894001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4" name="Meio-quadro 13">
            <a:extLst>
              <a:ext uri="{FF2B5EF4-FFF2-40B4-BE49-F238E27FC236}">
                <a16:creationId xmlns:a16="http://schemas.microsoft.com/office/drawing/2014/main" id="{9DCF619B-0484-BADF-BA95-C27CF2EBF1FD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0</xdr:colOff>
      <xdr:row>2</xdr:row>
      <xdr:rowOff>323850</xdr:rowOff>
    </xdr:from>
    <xdr:to>
      <xdr:col>4</xdr:col>
      <xdr:colOff>225300</xdr:colOff>
      <xdr:row>2</xdr:row>
      <xdr:rowOff>575850</xdr:rowOff>
    </xdr:to>
    <xdr:sp macro="" textlink="">
      <xdr:nvSpPr>
        <xdr:cNvPr id="16" name="Retâ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CE7EDA2-DCE6-46FC-BFFD-C5FD2BE1DF6D}"/>
            </a:ext>
          </a:extLst>
        </xdr:cNvPr>
        <xdr:cNvSpPr/>
      </xdr:nvSpPr>
      <xdr:spPr>
        <a:xfrm>
          <a:off x="228600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100% Tributado</a:t>
          </a:r>
        </a:p>
      </xdr:txBody>
    </xdr:sp>
    <xdr:clientData/>
  </xdr:twoCellAnchor>
  <xdr:twoCellAnchor editAs="absolute">
    <xdr:from>
      <xdr:col>2</xdr:col>
      <xdr:colOff>9526</xdr:colOff>
      <xdr:row>2</xdr:row>
      <xdr:rowOff>571500</xdr:rowOff>
    </xdr:from>
    <xdr:to>
      <xdr:col>15</xdr:col>
      <xdr:colOff>819526</xdr:colOff>
      <xdr:row>2</xdr:row>
      <xdr:rowOff>571500</xdr:rowOff>
    </xdr:to>
    <xdr:cxnSp macro="">
      <xdr:nvCxnSpPr>
        <xdr:cNvPr id="17" name="Conector reto 16">
          <a:extLst>
            <a:ext uri="{FF2B5EF4-FFF2-40B4-BE49-F238E27FC236}">
              <a16:creationId xmlns:a16="http://schemas.microsoft.com/office/drawing/2014/main" id="{D26958D7-8B71-47D0-8DA9-D6E4DF97FD36}"/>
            </a:ext>
          </a:extLst>
        </xdr:cNvPr>
        <xdr:cNvCxnSpPr/>
      </xdr:nvCxnSpPr>
      <xdr:spPr>
        <a:xfrm>
          <a:off x="238126" y="1390650"/>
          <a:ext cx="12240000" cy="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257175</xdr:colOff>
      <xdr:row>2</xdr:row>
      <xdr:rowOff>323850</xdr:rowOff>
    </xdr:from>
    <xdr:to>
      <xdr:col>6</xdr:col>
      <xdr:colOff>520575</xdr:colOff>
      <xdr:row>2</xdr:row>
      <xdr:rowOff>575850</xdr:rowOff>
    </xdr:to>
    <xdr:sp macro="" textlink="">
      <xdr:nvSpPr>
        <xdr:cNvPr id="18" name="Retângulo 1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5589367-EAFE-4A1C-B662-C449938FD436}"/>
            </a:ext>
          </a:extLst>
        </xdr:cNvPr>
        <xdr:cNvSpPr/>
      </xdr:nvSpPr>
      <xdr:spPr>
        <a:xfrm>
          <a:off x="2276475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Monofásico</a:t>
          </a:r>
        </a:p>
      </xdr:txBody>
    </xdr:sp>
    <xdr:clientData/>
  </xdr:twoCellAnchor>
  <xdr:twoCellAnchor editAs="absolute">
    <xdr:from>
      <xdr:col>6</xdr:col>
      <xdr:colOff>552450</xdr:colOff>
      <xdr:row>2</xdr:row>
      <xdr:rowOff>323850</xdr:rowOff>
    </xdr:from>
    <xdr:to>
      <xdr:col>8</xdr:col>
      <xdr:colOff>815850</xdr:colOff>
      <xdr:row>2</xdr:row>
      <xdr:rowOff>575850</xdr:rowOff>
    </xdr:to>
    <xdr:sp macro="" textlink="">
      <xdr:nvSpPr>
        <xdr:cNvPr id="19" name="Retângulo 1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EA95F80-A6D2-41F7-9F7F-417E32D2FA4F}"/>
            </a:ext>
          </a:extLst>
        </xdr:cNvPr>
        <xdr:cNvSpPr/>
      </xdr:nvSpPr>
      <xdr:spPr>
        <a:xfrm>
          <a:off x="4324350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ST</a:t>
          </a:r>
        </a:p>
      </xdr:txBody>
    </xdr:sp>
    <xdr:clientData/>
  </xdr:twoCellAnchor>
  <xdr:twoCellAnchor editAs="absolute">
    <xdr:from>
      <xdr:col>8</xdr:col>
      <xdr:colOff>847725</xdr:colOff>
      <xdr:row>2</xdr:row>
      <xdr:rowOff>323850</xdr:rowOff>
    </xdr:from>
    <xdr:to>
      <xdr:col>11</xdr:col>
      <xdr:colOff>234825</xdr:colOff>
      <xdr:row>2</xdr:row>
      <xdr:rowOff>575850</xdr:rowOff>
    </xdr:to>
    <xdr:sp macro="" textlink="">
      <xdr:nvSpPr>
        <xdr:cNvPr id="20" name="Retângulo 1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5F6B763-E6C5-40AF-9F1E-B15885093BAE}"/>
            </a:ext>
          </a:extLst>
        </xdr:cNvPr>
        <xdr:cNvSpPr/>
      </xdr:nvSpPr>
      <xdr:spPr>
        <a:xfrm>
          <a:off x="6372225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Monofásico e ST</a:t>
          </a:r>
        </a:p>
      </xdr:txBody>
    </xdr:sp>
    <xdr:clientData/>
  </xdr:twoCellAnchor>
  <xdr:twoCellAnchor editAs="absolute">
    <xdr:from>
      <xdr:col>11</xdr:col>
      <xdr:colOff>266700</xdr:colOff>
      <xdr:row>2</xdr:row>
      <xdr:rowOff>323850</xdr:rowOff>
    </xdr:from>
    <xdr:to>
      <xdr:col>13</xdr:col>
      <xdr:colOff>530100</xdr:colOff>
      <xdr:row>2</xdr:row>
      <xdr:rowOff>575850</xdr:rowOff>
    </xdr:to>
    <xdr:sp macro="" textlink="">
      <xdr:nvSpPr>
        <xdr:cNvPr id="21" name="Retângulo 2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A0B3E52B-C19F-425A-BCB2-0347772DCA0F}"/>
            </a:ext>
          </a:extLst>
        </xdr:cNvPr>
        <xdr:cNvSpPr/>
      </xdr:nvSpPr>
      <xdr:spPr>
        <a:xfrm>
          <a:off x="8420100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</a:t>
          </a:r>
          <a:r>
            <a:rPr lang="pt-BR" sz="1000" kern="1200" baseline="0">
              <a:solidFill>
                <a:schemeClr val="tx1">
                  <a:lumMod val="75000"/>
                  <a:lumOff val="25000"/>
                </a:schemeClr>
              </a:solidFill>
            </a:rPr>
            <a:t> Isento</a:t>
          </a:r>
          <a:endParaRPr lang="pt-BR" sz="1000" kern="12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13</xdr:col>
      <xdr:colOff>561975</xdr:colOff>
      <xdr:row>2</xdr:row>
      <xdr:rowOff>323850</xdr:rowOff>
    </xdr:from>
    <xdr:to>
      <xdr:col>15</xdr:col>
      <xdr:colOff>825375</xdr:colOff>
      <xdr:row>2</xdr:row>
      <xdr:rowOff>575850</xdr:rowOff>
    </xdr:to>
    <xdr:sp macro="" textlink="">
      <xdr:nvSpPr>
        <xdr:cNvPr id="22" name="Retângulo 2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38B99B46-6932-4F8F-9806-B48967F3C70C}"/>
            </a:ext>
          </a:extLst>
        </xdr:cNvPr>
        <xdr:cNvSpPr/>
      </xdr:nvSpPr>
      <xdr:spPr>
        <a:xfrm>
          <a:off x="10467975" y="1143000"/>
          <a:ext cx="2016000" cy="252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bg1"/>
              </a:solidFill>
            </a:rPr>
            <a:t>Faturamento Consolidado</a:t>
          </a:r>
        </a:p>
      </xdr:txBody>
    </xdr:sp>
    <xdr:clientData/>
  </xdr:twoCellAnchor>
  <xdr:twoCellAnchor editAs="absolute">
    <xdr:from>
      <xdr:col>15</xdr:col>
      <xdr:colOff>828675</xdr:colOff>
      <xdr:row>2</xdr:row>
      <xdr:rowOff>323850</xdr:rowOff>
    </xdr:from>
    <xdr:to>
      <xdr:col>15</xdr:col>
      <xdr:colOff>828675</xdr:colOff>
      <xdr:row>2</xdr:row>
      <xdr:rowOff>575850</xdr:rowOff>
    </xdr:to>
    <xdr:cxnSp macro="">
      <xdr:nvCxnSpPr>
        <xdr:cNvPr id="23" name="Conector reto 22">
          <a:extLst>
            <a:ext uri="{FF2B5EF4-FFF2-40B4-BE49-F238E27FC236}">
              <a16:creationId xmlns:a16="http://schemas.microsoft.com/office/drawing/2014/main" id="{60A0EECD-604D-42FD-B058-B421AB4A7B39}"/>
            </a:ext>
          </a:extLst>
        </xdr:cNvPr>
        <xdr:cNvCxnSpPr/>
      </xdr:nvCxnSpPr>
      <xdr:spPr>
        <a:xfrm>
          <a:off x="12487275" y="1143000"/>
          <a:ext cx="0" cy="25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742950</xdr:colOff>
      <xdr:row>1</xdr:row>
      <xdr:rowOff>142875</xdr:rowOff>
    </xdr:from>
    <xdr:to>
      <xdr:col>4</xdr:col>
      <xdr:colOff>32250</xdr:colOff>
      <xdr:row>2</xdr:row>
      <xdr:rowOff>13875</xdr:rowOff>
    </xdr:to>
    <xdr:sp macro="" textlink="">
      <xdr:nvSpPr>
        <xdr:cNvPr id="24" name="Retângul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5E8463A-E527-4D11-BA67-7280960C3433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Compras</a:t>
          </a:r>
        </a:p>
      </xdr:txBody>
    </xdr:sp>
    <xdr:clientData/>
  </xdr:twoCellAnchor>
  <xdr:twoCellAnchor editAs="absolute">
    <xdr:from>
      <xdr:col>4</xdr:col>
      <xdr:colOff>47625</xdr:colOff>
      <xdr:row>1</xdr:row>
      <xdr:rowOff>142875</xdr:rowOff>
    </xdr:from>
    <xdr:to>
      <xdr:col>5</xdr:col>
      <xdr:colOff>251325</xdr:colOff>
      <xdr:row>2</xdr:row>
      <xdr:rowOff>13875</xdr:rowOff>
    </xdr:to>
    <xdr:sp macro="" textlink="">
      <xdr:nvSpPr>
        <xdr:cNvPr id="25" name="Retângulo 2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F7AA702A-6882-477C-A2FA-A7532166029F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Faturamento</a:t>
          </a:r>
        </a:p>
      </xdr:txBody>
    </xdr:sp>
    <xdr:clientData/>
  </xdr:twoCellAnchor>
  <xdr:twoCellAnchor editAs="absolute">
    <xdr:from>
      <xdr:col>5</xdr:col>
      <xdr:colOff>266700</xdr:colOff>
      <xdr:row>1</xdr:row>
      <xdr:rowOff>142875</xdr:rowOff>
    </xdr:from>
    <xdr:to>
      <xdr:col>6</xdr:col>
      <xdr:colOff>470400</xdr:colOff>
      <xdr:row>2</xdr:row>
      <xdr:rowOff>13875</xdr:rowOff>
    </xdr:to>
    <xdr:sp macro="" textlink="">
      <xdr:nvSpPr>
        <xdr:cNvPr id="26" name="Retângulo 2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1BE8087-EABD-4039-8FD6-891FBE4C7ECF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Simples</a:t>
          </a:r>
        </a:p>
      </xdr:txBody>
    </xdr:sp>
    <xdr:clientData/>
  </xdr:twoCellAnchor>
  <xdr:twoCellAnchor editAs="absolute">
    <xdr:from>
      <xdr:col>6</xdr:col>
      <xdr:colOff>485775</xdr:colOff>
      <xdr:row>1</xdr:row>
      <xdr:rowOff>142875</xdr:rowOff>
    </xdr:from>
    <xdr:to>
      <xdr:col>7</xdr:col>
      <xdr:colOff>689475</xdr:colOff>
      <xdr:row>2</xdr:row>
      <xdr:rowOff>13875</xdr:rowOff>
    </xdr:to>
    <xdr:sp macro="" textlink="">
      <xdr:nvSpPr>
        <xdr:cNvPr id="27" name="Retângulo 2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FCC7F9C1-4242-4517-821D-ECAD4D6D9962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Custos</a:t>
          </a:r>
        </a:p>
      </xdr:txBody>
    </xdr:sp>
    <xdr:clientData/>
  </xdr:twoCellAnchor>
  <xdr:twoCellAnchor editAs="absolute">
    <xdr:from>
      <xdr:col>7</xdr:col>
      <xdr:colOff>704850</xdr:colOff>
      <xdr:row>1</xdr:row>
      <xdr:rowOff>142875</xdr:rowOff>
    </xdr:from>
    <xdr:to>
      <xdr:col>9</xdr:col>
      <xdr:colOff>32250</xdr:colOff>
      <xdr:row>2</xdr:row>
      <xdr:rowOff>13875</xdr:rowOff>
    </xdr:to>
    <xdr:sp macro="" textlink="">
      <xdr:nvSpPr>
        <xdr:cNvPr id="28" name="Retângulo 2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20EB2EDC-F404-426A-981A-02EAE9ED2BAD}"/>
            </a:ext>
          </a:extLst>
        </xdr:cNvPr>
        <xdr:cNvSpPr/>
      </xdr:nvSpPr>
      <xdr:spPr>
        <a:xfrm>
          <a:off x="53530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Despesas</a:t>
          </a:r>
        </a:p>
      </xdr:txBody>
    </xdr:sp>
    <xdr:clientData/>
  </xdr:twoCellAnchor>
  <xdr:twoCellAnchor editAs="absolute">
    <xdr:from>
      <xdr:col>9</xdr:col>
      <xdr:colOff>47625</xdr:colOff>
      <xdr:row>1</xdr:row>
      <xdr:rowOff>142875</xdr:rowOff>
    </xdr:from>
    <xdr:to>
      <xdr:col>10</xdr:col>
      <xdr:colOff>251325</xdr:colOff>
      <xdr:row>2</xdr:row>
      <xdr:rowOff>13875</xdr:rowOff>
    </xdr:to>
    <xdr:sp macro="" textlink="">
      <xdr:nvSpPr>
        <xdr:cNvPr id="10" name="Retângulo 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D782243-D938-4F16-B748-6B212CA51F7E}"/>
            </a:ext>
          </a:extLst>
        </xdr:cNvPr>
        <xdr:cNvSpPr/>
      </xdr:nvSpPr>
      <xdr:spPr>
        <a:xfrm>
          <a:off x="64484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Reforma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342900</xdr:colOff>
      <xdr:row>0</xdr:row>
      <xdr:rowOff>85725</xdr:rowOff>
    </xdr:from>
    <xdr:to>
      <xdr:col>4</xdr:col>
      <xdr:colOff>546600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ACB401-0352-45DD-AD3A-E5A498CD71D3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4</xdr:col>
      <xdr:colOff>571500</xdr:colOff>
      <xdr:row>0</xdr:row>
      <xdr:rowOff>85725</xdr:rowOff>
    </xdr:from>
    <xdr:to>
      <xdr:col>5</xdr:col>
      <xdr:colOff>775200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9DE2248-5EB5-4020-A9BB-AC5E0651860D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5</xdr:col>
      <xdr:colOff>800100</xdr:colOff>
      <xdr:row>0</xdr:row>
      <xdr:rowOff>85725</xdr:rowOff>
    </xdr:from>
    <xdr:to>
      <xdr:col>7</xdr:col>
      <xdr:colOff>127500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1827AF7-2146-4304-8099-63EAA0D9423E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8</xdr:col>
      <xdr:colOff>381000</xdr:colOff>
      <xdr:row>0</xdr:row>
      <xdr:rowOff>85725</xdr:rowOff>
    </xdr:from>
    <xdr:to>
      <xdr:col>9</xdr:col>
      <xdr:colOff>584700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CD34C1F-65B0-4B86-ADA0-C57521957504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9</xdr:col>
      <xdr:colOff>609600</xdr:colOff>
      <xdr:row>0</xdr:row>
      <xdr:rowOff>85725</xdr:rowOff>
    </xdr:from>
    <xdr:to>
      <xdr:col>10</xdr:col>
      <xdr:colOff>813300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35240C1-F184-4948-948E-B63829F6C834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10</xdr:col>
      <xdr:colOff>838200</xdr:colOff>
      <xdr:row>0</xdr:row>
      <xdr:rowOff>85725</xdr:rowOff>
    </xdr:from>
    <xdr:to>
      <xdr:col>12</xdr:col>
      <xdr:colOff>165600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FF7CD50-2F71-4691-9F48-7ECBAF20D351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6</xdr:col>
      <xdr:colOff>114300</xdr:colOff>
      <xdr:row>0</xdr:row>
      <xdr:rowOff>371475</xdr:rowOff>
    </xdr:from>
    <xdr:to>
      <xdr:col>6</xdr:col>
      <xdr:colOff>834300</xdr:colOff>
      <xdr:row>0</xdr:row>
      <xdr:rowOff>388425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175A5E0E-BABF-4CFB-A473-A15167D5A0F6}"/>
            </a:ext>
          </a:extLst>
        </xdr:cNvPr>
        <xdr:cNvSpPr/>
      </xdr:nvSpPr>
      <xdr:spPr>
        <a:xfrm>
          <a:off x="38862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152400</xdr:colOff>
      <xdr:row>0</xdr:row>
      <xdr:rowOff>85725</xdr:rowOff>
    </xdr:from>
    <xdr:to>
      <xdr:col>8</xdr:col>
      <xdr:colOff>356100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33B7C78-7D2C-4E24-9B49-62660B5F5E60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E1F8F2BF-5533-454B-AE0C-DE8AAC6F5ACC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6534CF43-B5D8-A508-188A-0DAA1599EED7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2" name="Meio-quadro 11">
            <a:extLst>
              <a:ext uri="{FF2B5EF4-FFF2-40B4-BE49-F238E27FC236}">
                <a16:creationId xmlns:a16="http://schemas.microsoft.com/office/drawing/2014/main" id="{B2D26440-280F-3EBF-E870-2E753EC8B4DF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7700D2CD-0367-335E-A04E-0782CEFE1818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0</xdr:colOff>
      <xdr:row>2</xdr:row>
      <xdr:rowOff>885823</xdr:rowOff>
    </xdr:from>
    <xdr:to>
      <xdr:col>16</xdr:col>
      <xdr:colOff>0</xdr:colOff>
      <xdr:row>2</xdr:row>
      <xdr:rowOff>1266822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AE37958A-82D1-4C73-82AC-0E1FB113B3F5}"/>
            </a:ext>
          </a:extLst>
        </xdr:cNvPr>
        <xdr:cNvSpPr/>
      </xdr:nvSpPr>
      <xdr:spPr>
        <a:xfrm flipV="1">
          <a:off x="228600" y="1704973"/>
          <a:ext cx="12306300" cy="380999"/>
        </a:xfrm>
        <a:prstGeom prst="rect">
          <a:avLst/>
        </a:prstGeom>
        <a:noFill/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 editAs="absolute">
    <xdr:from>
      <xdr:col>2</xdr:col>
      <xdr:colOff>742950</xdr:colOff>
      <xdr:row>1</xdr:row>
      <xdr:rowOff>142875</xdr:rowOff>
    </xdr:from>
    <xdr:to>
      <xdr:col>4</xdr:col>
      <xdr:colOff>32250</xdr:colOff>
      <xdr:row>2</xdr:row>
      <xdr:rowOff>13875</xdr:rowOff>
    </xdr:to>
    <xdr:sp macro="" textlink="">
      <xdr:nvSpPr>
        <xdr:cNvPr id="19" name="Retângulo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9C10580-BAC7-4438-B1E2-F1641CF7E5A8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Compras</a:t>
          </a:r>
        </a:p>
      </xdr:txBody>
    </xdr:sp>
    <xdr:clientData/>
  </xdr:twoCellAnchor>
  <xdr:twoCellAnchor editAs="absolute">
    <xdr:from>
      <xdr:col>4</xdr:col>
      <xdr:colOff>47625</xdr:colOff>
      <xdr:row>1</xdr:row>
      <xdr:rowOff>142875</xdr:rowOff>
    </xdr:from>
    <xdr:to>
      <xdr:col>5</xdr:col>
      <xdr:colOff>251325</xdr:colOff>
      <xdr:row>2</xdr:row>
      <xdr:rowOff>13875</xdr:rowOff>
    </xdr:to>
    <xdr:sp macro="" textlink="">
      <xdr:nvSpPr>
        <xdr:cNvPr id="20" name="Retângulo 1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809FA9C-BE9D-46E2-A0A7-6F7B0FE20A4A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Faturamento</a:t>
          </a:r>
        </a:p>
      </xdr:txBody>
    </xdr:sp>
    <xdr:clientData/>
  </xdr:twoCellAnchor>
  <xdr:twoCellAnchor editAs="absolute">
    <xdr:from>
      <xdr:col>5</xdr:col>
      <xdr:colOff>266700</xdr:colOff>
      <xdr:row>1</xdr:row>
      <xdr:rowOff>142875</xdr:rowOff>
    </xdr:from>
    <xdr:to>
      <xdr:col>6</xdr:col>
      <xdr:colOff>470400</xdr:colOff>
      <xdr:row>2</xdr:row>
      <xdr:rowOff>13875</xdr:rowOff>
    </xdr:to>
    <xdr:sp macro="" textlink="">
      <xdr:nvSpPr>
        <xdr:cNvPr id="21" name="Retângulo 2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5649646-337A-4BB8-85DB-4FBEE3625A08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Simples</a:t>
          </a:r>
        </a:p>
      </xdr:txBody>
    </xdr:sp>
    <xdr:clientData/>
  </xdr:twoCellAnchor>
  <xdr:twoCellAnchor editAs="absolute">
    <xdr:from>
      <xdr:col>6</xdr:col>
      <xdr:colOff>485775</xdr:colOff>
      <xdr:row>1</xdr:row>
      <xdr:rowOff>142875</xdr:rowOff>
    </xdr:from>
    <xdr:to>
      <xdr:col>7</xdr:col>
      <xdr:colOff>689475</xdr:colOff>
      <xdr:row>2</xdr:row>
      <xdr:rowOff>13875</xdr:rowOff>
    </xdr:to>
    <xdr:sp macro="" textlink="">
      <xdr:nvSpPr>
        <xdr:cNvPr id="22" name="Retângulo 2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1E12523-F794-47D5-9F41-74E597F220CE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Custos</a:t>
          </a:r>
        </a:p>
      </xdr:txBody>
    </xdr:sp>
    <xdr:clientData/>
  </xdr:twoCellAnchor>
  <xdr:twoCellAnchor editAs="absolute">
    <xdr:from>
      <xdr:col>7</xdr:col>
      <xdr:colOff>704850</xdr:colOff>
      <xdr:row>1</xdr:row>
      <xdr:rowOff>142875</xdr:rowOff>
    </xdr:from>
    <xdr:to>
      <xdr:col>9</xdr:col>
      <xdr:colOff>32250</xdr:colOff>
      <xdr:row>2</xdr:row>
      <xdr:rowOff>13875</xdr:rowOff>
    </xdr:to>
    <xdr:sp macro="" textlink="">
      <xdr:nvSpPr>
        <xdr:cNvPr id="23" name="Retângulo 2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1E4347C-7E0A-487C-850E-84B193FA52E0}"/>
            </a:ext>
          </a:extLst>
        </xdr:cNvPr>
        <xdr:cNvSpPr/>
      </xdr:nvSpPr>
      <xdr:spPr>
        <a:xfrm>
          <a:off x="53530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Despesas</a:t>
          </a:r>
        </a:p>
      </xdr:txBody>
    </xdr:sp>
    <xdr:clientData/>
  </xdr:twoCellAnchor>
  <xdr:twoCellAnchor editAs="absolute">
    <xdr:from>
      <xdr:col>2</xdr:col>
      <xdr:colOff>0</xdr:colOff>
      <xdr:row>2</xdr:row>
      <xdr:rowOff>323850</xdr:rowOff>
    </xdr:from>
    <xdr:to>
      <xdr:col>4</xdr:col>
      <xdr:colOff>225300</xdr:colOff>
      <xdr:row>2</xdr:row>
      <xdr:rowOff>575850</xdr:rowOff>
    </xdr:to>
    <xdr:sp macro="" textlink="">
      <xdr:nvSpPr>
        <xdr:cNvPr id="24" name="Retângulo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F07BE9F-E839-49C5-9F67-9DC03479C628}"/>
            </a:ext>
          </a:extLst>
        </xdr:cNvPr>
        <xdr:cNvSpPr/>
      </xdr:nvSpPr>
      <xdr:spPr>
        <a:xfrm>
          <a:off x="228600" y="1143000"/>
          <a:ext cx="2016000" cy="252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bg1"/>
              </a:solidFill>
            </a:rPr>
            <a:t>Faturamento sem</a:t>
          </a:r>
          <a:r>
            <a:rPr lang="pt-BR" sz="1000" kern="1200" baseline="0">
              <a:solidFill>
                <a:schemeClr val="bg1"/>
              </a:solidFill>
            </a:rPr>
            <a:t> Redução</a:t>
          </a:r>
          <a:endParaRPr lang="pt-BR" sz="1000" kern="12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9526</xdr:colOff>
      <xdr:row>2</xdr:row>
      <xdr:rowOff>571500</xdr:rowOff>
    </xdr:from>
    <xdr:to>
      <xdr:col>11</xdr:col>
      <xdr:colOff>256726</xdr:colOff>
      <xdr:row>2</xdr:row>
      <xdr:rowOff>571500</xdr:rowOff>
    </xdr:to>
    <xdr:cxnSp macro="">
      <xdr:nvCxnSpPr>
        <xdr:cNvPr id="25" name="Conector reto 24">
          <a:extLst>
            <a:ext uri="{FF2B5EF4-FFF2-40B4-BE49-F238E27FC236}">
              <a16:creationId xmlns:a16="http://schemas.microsoft.com/office/drawing/2014/main" id="{7BA72036-C750-485C-9A1E-819F76863699}"/>
            </a:ext>
          </a:extLst>
        </xdr:cNvPr>
        <xdr:cNvCxnSpPr/>
      </xdr:nvCxnSpPr>
      <xdr:spPr>
        <a:xfrm>
          <a:off x="238126" y="1390650"/>
          <a:ext cx="8172000" cy="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257175</xdr:colOff>
      <xdr:row>2</xdr:row>
      <xdr:rowOff>323850</xdr:rowOff>
    </xdr:from>
    <xdr:to>
      <xdr:col>6</xdr:col>
      <xdr:colOff>520575</xdr:colOff>
      <xdr:row>2</xdr:row>
      <xdr:rowOff>575850</xdr:rowOff>
    </xdr:to>
    <xdr:sp macro="" textlink="">
      <xdr:nvSpPr>
        <xdr:cNvPr id="26" name="Retângulo 2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B3D5191-E6B9-4200-BC9D-7D11789136F5}"/>
            </a:ext>
          </a:extLst>
        </xdr:cNvPr>
        <xdr:cNvSpPr/>
      </xdr:nvSpPr>
      <xdr:spPr>
        <a:xfrm>
          <a:off x="2276475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com Redução</a:t>
          </a:r>
        </a:p>
      </xdr:txBody>
    </xdr:sp>
    <xdr:clientData/>
  </xdr:twoCellAnchor>
  <xdr:twoCellAnchor editAs="absolute">
    <xdr:from>
      <xdr:col>6</xdr:col>
      <xdr:colOff>552450</xdr:colOff>
      <xdr:row>2</xdr:row>
      <xdr:rowOff>323850</xdr:rowOff>
    </xdr:from>
    <xdr:to>
      <xdr:col>8</xdr:col>
      <xdr:colOff>815850</xdr:colOff>
      <xdr:row>2</xdr:row>
      <xdr:rowOff>575850</xdr:rowOff>
    </xdr:to>
    <xdr:sp macro="" textlink="">
      <xdr:nvSpPr>
        <xdr:cNvPr id="27" name="Retângulo 2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159A802A-EEC4-42A8-9BA3-8C8C127D3FDA}"/>
            </a:ext>
          </a:extLst>
        </xdr:cNvPr>
        <xdr:cNvSpPr/>
      </xdr:nvSpPr>
      <xdr:spPr>
        <a:xfrm>
          <a:off x="4324350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Isento</a:t>
          </a:r>
        </a:p>
      </xdr:txBody>
    </xdr:sp>
    <xdr:clientData/>
  </xdr:twoCellAnchor>
  <xdr:twoCellAnchor editAs="absolute">
    <xdr:from>
      <xdr:col>8</xdr:col>
      <xdr:colOff>847725</xdr:colOff>
      <xdr:row>2</xdr:row>
      <xdr:rowOff>323850</xdr:rowOff>
    </xdr:from>
    <xdr:to>
      <xdr:col>11</xdr:col>
      <xdr:colOff>234825</xdr:colOff>
      <xdr:row>2</xdr:row>
      <xdr:rowOff>575850</xdr:rowOff>
    </xdr:to>
    <xdr:sp macro="" textlink="">
      <xdr:nvSpPr>
        <xdr:cNvPr id="28" name="Retângulo 2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66EA8994-4B22-4C8D-883D-38CAFFF8D025}"/>
            </a:ext>
          </a:extLst>
        </xdr:cNvPr>
        <xdr:cNvSpPr/>
      </xdr:nvSpPr>
      <xdr:spPr>
        <a:xfrm>
          <a:off x="6372225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Consolidado</a:t>
          </a:r>
        </a:p>
      </xdr:txBody>
    </xdr:sp>
    <xdr:clientData/>
  </xdr:twoCellAnchor>
  <xdr:twoCellAnchor editAs="absolute">
    <xdr:from>
      <xdr:col>11</xdr:col>
      <xdr:colOff>247650</xdr:colOff>
      <xdr:row>2</xdr:row>
      <xdr:rowOff>323850</xdr:rowOff>
    </xdr:from>
    <xdr:to>
      <xdr:col>11</xdr:col>
      <xdr:colOff>247650</xdr:colOff>
      <xdr:row>2</xdr:row>
      <xdr:rowOff>575850</xdr:rowOff>
    </xdr:to>
    <xdr:cxnSp macro="">
      <xdr:nvCxnSpPr>
        <xdr:cNvPr id="31" name="Conector reto 30">
          <a:extLst>
            <a:ext uri="{FF2B5EF4-FFF2-40B4-BE49-F238E27FC236}">
              <a16:creationId xmlns:a16="http://schemas.microsoft.com/office/drawing/2014/main" id="{69DDF0A3-2351-49B0-8B54-C22304173111}"/>
            </a:ext>
          </a:extLst>
        </xdr:cNvPr>
        <xdr:cNvCxnSpPr/>
      </xdr:nvCxnSpPr>
      <xdr:spPr>
        <a:xfrm>
          <a:off x="8401050" y="1143000"/>
          <a:ext cx="0" cy="25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47625</xdr:colOff>
      <xdr:row>1</xdr:row>
      <xdr:rowOff>142875</xdr:rowOff>
    </xdr:from>
    <xdr:to>
      <xdr:col>10</xdr:col>
      <xdr:colOff>251325</xdr:colOff>
      <xdr:row>2</xdr:row>
      <xdr:rowOff>13875</xdr:rowOff>
    </xdr:to>
    <xdr:sp macro="" textlink="">
      <xdr:nvSpPr>
        <xdr:cNvPr id="32" name="Retângulo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2E6F994-073C-4960-BF54-5F0B844E89D9}"/>
            </a:ext>
          </a:extLst>
        </xdr:cNvPr>
        <xdr:cNvSpPr/>
      </xdr:nvSpPr>
      <xdr:spPr>
        <a:xfrm>
          <a:off x="6448425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Reforma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342900</xdr:colOff>
      <xdr:row>0</xdr:row>
      <xdr:rowOff>85725</xdr:rowOff>
    </xdr:from>
    <xdr:to>
      <xdr:col>4</xdr:col>
      <xdr:colOff>546600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AA8238-99C5-4A41-9E6B-CABD648915ED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4</xdr:col>
      <xdr:colOff>571500</xdr:colOff>
      <xdr:row>0</xdr:row>
      <xdr:rowOff>85725</xdr:rowOff>
    </xdr:from>
    <xdr:to>
      <xdr:col>5</xdr:col>
      <xdr:colOff>775200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9CDBA3D-559B-4BC6-929B-911526E7CF2D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5</xdr:col>
      <xdr:colOff>800100</xdr:colOff>
      <xdr:row>0</xdr:row>
      <xdr:rowOff>85725</xdr:rowOff>
    </xdr:from>
    <xdr:to>
      <xdr:col>7</xdr:col>
      <xdr:colOff>127500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73AEEE2-FE3C-4271-9F47-F25095677C9F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8</xdr:col>
      <xdr:colOff>381000</xdr:colOff>
      <xdr:row>0</xdr:row>
      <xdr:rowOff>85725</xdr:rowOff>
    </xdr:from>
    <xdr:to>
      <xdr:col>9</xdr:col>
      <xdr:colOff>584700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56CB145-F407-4D08-BD22-DC63922CD6E8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9</xdr:col>
      <xdr:colOff>609600</xdr:colOff>
      <xdr:row>0</xdr:row>
      <xdr:rowOff>85725</xdr:rowOff>
    </xdr:from>
    <xdr:to>
      <xdr:col>10</xdr:col>
      <xdr:colOff>813300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7A03B3B-1C95-42C5-95F7-2B8C26AA8C71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10</xdr:col>
      <xdr:colOff>838200</xdr:colOff>
      <xdr:row>0</xdr:row>
      <xdr:rowOff>85725</xdr:rowOff>
    </xdr:from>
    <xdr:to>
      <xdr:col>12</xdr:col>
      <xdr:colOff>165600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700C29E-4532-4216-B7C6-D3920FF11E04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6</xdr:col>
      <xdr:colOff>114300</xdr:colOff>
      <xdr:row>0</xdr:row>
      <xdr:rowOff>371475</xdr:rowOff>
    </xdr:from>
    <xdr:to>
      <xdr:col>6</xdr:col>
      <xdr:colOff>834300</xdr:colOff>
      <xdr:row>0</xdr:row>
      <xdr:rowOff>388425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2651BE83-00DB-4798-A4E9-5A261221FC7B}"/>
            </a:ext>
          </a:extLst>
        </xdr:cNvPr>
        <xdr:cNvSpPr/>
      </xdr:nvSpPr>
      <xdr:spPr>
        <a:xfrm>
          <a:off x="38862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152400</xdr:colOff>
      <xdr:row>0</xdr:row>
      <xdr:rowOff>85725</xdr:rowOff>
    </xdr:from>
    <xdr:to>
      <xdr:col>8</xdr:col>
      <xdr:colOff>356100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E769D55-33DD-4421-B29A-96186B485DFE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D3E9D054-601C-4C8B-9BD7-7FF3B6CF5705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96E32458-7961-CB66-7B04-D3AF2E71779D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2" name="Meio-quadro 11">
            <a:extLst>
              <a:ext uri="{FF2B5EF4-FFF2-40B4-BE49-F238E27FC236}">
                <a16:creationId xmlns:a16="http://schemas.microsoft.com/office/drawing/2014/main" id="{44A4B587-E4E3-C91C-7186-4DD13E9CB2E9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14072258-E8A1-C901-FAE2-F85580BC96FA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0</xdr:colOff>
      <xdr:row>2</xdr:row>
      <xdr:rowOff>885823</xdr:rowOff>
    </xdr:from>
    <xdr:to>
      <xdr:col>16</xdr:col>
      <xdr:colOff>0</xdr:colOff>
      <xdr:row>2</xdr:row>
      <xdr:rowOff>1266822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A9171B02-FE12-48A6-A3E3-20239F39A8D9}"/>
            </a:ext>
          </a:extLst>
        </xdr:cNvPr>
        <xdr:cNvSpPr/>
      </xdr:nvSpPr>
      <xdr:spPr>
        <a:xfrm flipV="1">
          <a:off x="228600" y="1704973"/>
          <a:ext cx="12306300" cy="380999"/>
        </a:xfrm>
        <a:prstGeom prst="rect">
          <a:avLst/>
        </a:prstGeom>
        <a:noFill/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 editAs="absolute">
    <xdr:from>
      <xdr:col>2</xdr:col>
      <xdr:colOff>742950</xdr:colOff>
      <xdr:row>1</xdr:row>
      <xdr:rowOff>142875</xdr:rowOff>
    </xdr:from>
    <xdr:to>
      <xdr:col>4</xdr:col>
      <xdr:colOff>32250</xdr:colOff>
      <xdr:row>2</xdr:row>
      <xdr:rowOff>13875</xdr:rowOff>
    </xdr:to>
    <xdr:sp macro="" textlink="">
      <xdr:nvSpPr>
        <xdr:cNvPr id="15" name="Retângul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1128AF3-EC9D-40AE-8C07-8024F4CB0A8E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Compras</a:t>
          </a:r>
        </a:p>
      </xdr:txBody>
    </xdr:sp>
    <xdr:clientData/>
  </xdr:twoCellAnchor>
  <xdr:twoCellAnchor editAs="absolute">
    <xdr:from>
      <xdr:col>4</xdr:col>
      <xdr:colOff>47625</xdr:colOff>
      <xdr:row>1</xdr:row>
      <xdr:rowOff>142875</xdr:rowOff>
    </xdr:from>
    <xdr:to>
      <xdr:col>5</xdr:col>
      <xdr:colOff>251325</xdr:colOff>
      <xdr:row>2</xdr:row>
      <xdr:rowOff>13875</xdr:rowOff>
    </xdr:to>
    <xdr:sp macro="" textlink="">
      <xdr:nvSpPr>
        <xdr:cNvPr id="16" name="Retâ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AE621C2-0971-4D52-B08E-9972EC0B4E39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Faturamento</a:t>
          </a:r>
        </a:p>
      </xdr:txBody>
    </xdr:sp>
    <xdr:clientData/>
  </xdr:twoCellAnchor>
  <xdr:twoCellAnchor editAs="absolute">
    <xdr:from>
      <xdr:col>5</xdr:col>
      <xdr:colOff>266700</xdr:colOff>
      <xdr:row>1</xdr:row>
      <xdr:rowOff>142875</xdr:rowOff>
    </xdr:from>
    <xdr:to>
      <xdr:col>6</xdr:col>
      <xdr:colOff>470400</xdr:colOff>
      <xdr:row>2</xdr:row>
      <xdr:rowOff>13875</xdr:rowOff>
    </xdr:to>
    <xdr:sp macro="" textlink="">
      <xdr:nvSpPr>
        <xdr:cNvPr id="17" name="Retângulo 1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FB5BB3C-9A84-416E-8975-71516C1C9E2D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Simples</a:t>
          </a:r>
        </a:p>
      </xdr:txBody>
    </xdr:sp>
    <xdr:clientData/>
  </xdr:twoCellAnchor>
  <xdr:twoCellAnchor editAs="absolute">
    <xdr:from>
      <xdr:col>6</xdr:col>
      <xdr:colOff>485775</xdr:colOff>
      <xdr:row>1</xdr:row>
      <xdr:rowOff>142875</xdr:rowOff>
    </xdr:from>
    <xdr:to>
      <xdr:col>7</xdr:col>
      <xdr:colOff>689475</xdr:colOff>
      <xdr:row>2</xdr:row>
      <xdr:rowOff>13875</xdr:rowOff>
    </xdr:to>
    <xdr:sp macro="" textlink="">
      <xdr:nvSpPr>
        <xdr:cNvPr id="18" name="Retângul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D6092FE-EC54-498D-AE93-DAA3D3F14E98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Custos</a:t>
          </a:r>
        </a:p>
      </xdr:txBody>
    </xdr:sp>
    <xdr:clientData/>
  </xdr:twoCellAnchor>
  <xdr:twoCellAnchor editAs="absolute">
    <xdr:from>
      <xdr:col>7</xdr:col>
      <xdr:colOff>704850</xdr:colOff>
      <xdr:row>1</xdr:row>
      <xdr:rowOff>142875</xdr:rowOff>
    </xdr:from>
    <xdr:to>
      <xdr:col>9</xdr:col>
      <xdr:colOff>32250</xdr:colOff>
      <xdr:row>2</xdr:row>
      <xdr:rowOff>13875</xdr:rowOff>
    </xdr:to>
    <xdr:sp macro="" textlink="">
      <xdr:nvSpPr>
        <xdr:cNvPr id="19" name="Retângul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87136AB-7588-465E-964B-F79C8DC8BCEF}"/>
            </a:ext>
          </a:extLst>
        </xdr:cNvPr>
        <xdr:cNvSpPr/>
      </xdr:nvSpPr>
      <xdr:spPr>
        <a:xfrm>
          <a:off x="53530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Despesas</a:t>
          </a:r>
        </a:p>
      </xdr:txBody>
    </xdr:sp>
    <xdr:clientData/>
  </xdr:twoCellAnchor>
  <xdr:twoCellAnchor editAs="absolute">
    <xdr:from>
      <xdr:col>2</xdr:col>
      <xdr:colOff>0</xdr:colOff>
      <xdr:row>2</xdr:row>
      <xdr:rowOff>323850</xdr:rowOff>
    </xdr:from>
    <xdr:to>
      <xdr:col>4</xdr:col>
      <xdr:colOff>225300</xdr:colOff>
      <xdr:row>2</xdr:row>
      <xdr:rowOff>575850</xdr:rowOff>
    </xdr:to>
    <xdr:sp macro="" textlink="">
      <xdr:nvSpPr>
        <xdr:cNvPr id="20" name="Retângul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C6FC0385-0E59-4494-B826-FDF44C9833C7}"/>
            </a:ext>
          </a:extLst>
        </xdr:cNvPr>
        <xdr:cNvSpPr/>
      </xdr:nvSpPr>
      <xdr:spPr>
        <a:xfrm>
          <a:off x="228600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sem</a:t>
          </a:r>
          <a:r>
            <a:rPr lang="pt-BR" sz="1000" kern="1200" baseline="0">
              <a:solidFill>
                <a:schemeClr val="tx1">
                  <a:lumMod val="75000"/>
                  <a:lumOff val="25000"/>
                </a:schemeClr>
              </a:solidFill>
            </a:rPr>
            <a:t> Redução</a:t>
          </a:r>
          <a:endParaRPr lang="pt-BR" sz="1000" kern="12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2</xdr:col>
      <xdr:colOff>9526</xdr:colOff>
      <xdr:row>2</xdr:row>
      <xdr:rowOff>571500</xdr:rowOff>
    </xdr:from>
    <xdr:to>
      <xdr:col>11</xdr:col>
      <xdr:colOff>256726</xdr:colOff>
      <xdr:row>2</xdr:row>
      <xdr:rowOff>571500</xdr:rowOff>
    </xdr:to>
    <xdr:cxnSp macro="">
      <xdr:nvCxnSpPr>
        <xdr:cNvPr id="21" name="Conector reto 20">
          <a:extLst>
            <a:ext uri="{FF2B5EF4-FFF2-40B4-BE49-F238E27FC236}">
              <a16:creationId xmlns:a16="http://schemas.microsoft.com/office/drawing/2014/main" id="{F682E903-CAF5-4068-80FE-24995FD2EF19}"/>
            </a:ext>
          </a:extLst>
        </xdr:cNvPr>
        <xdr:cNvCxnSpPr/>
      </xdr:nvCxnSpPr>
      <xdr:spPr>
        <a:xfrm>
          <a:off x="238126" y="1390650"/>
          <a:ext cx="8172000" cy="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257175</xdr:colOff>
      <xdr:row>2</xdr:row>
      <xdr:rowOff>323850</xdr:rowOff>
    </xdr:from>
    <xdr:to>
      <xdr:col>6</xdr:col>
      <xdr:colOff>520575</xdr:colOff>
      <xdr:row>2</xdr:row>
      <xdr:rowOff>575850</xdr:rowOff>
    </xdr:to>
    <xdr:sp macro="" textlink="">
      <xdr:nvSpPr>
        <xdr:cNvPr id="22" name="Retângulo 2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FC603A3D-E55E-465F-8426-75FF1D94B435}"/>
            </a:ext>
          </a:extLst>
        </xdr:cNvPr>
        <xdr:cNvSpPr/>
      </xdr:nvSpPr>
      <xdr:spPr>
        <a:xfrm>
          <a:off x="2276475" y="1143000"/>
          <a:ext cx="2016000" cy="252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bg1"/>
              </a:solidFill>
            </a:rPr>
            <a:t>Faturamento com Redução</a:t>
          </a:r>
        </a:p>
      </xdr:txBody>
    </xdr:sp>
    <xdr:clientData/>
  </xdr:twoCellAnchor>
  <xdr:twoCellAnchor editAs="absolute">
    <xdr:from>
      <xdr:col>6</xdr:col>
      <xdr:colOff>552450</xdr:colOff>
      <xdr:row>2</xdr:row>
      <xdr:rowOff>323850</xdr:rowOff>
    </xdr:from>
    <xdr:to>
      <xdr:col>8</xdr:col>
      <xdr:colOff>815850</xdr:colOff>
      <xdr:row>2</xdr:row>
      <xdr:rowOff>575850</xdr:rowOff>
    </xdr:to>
    <xdr:sp macro="" textlink="">
      <xdr:nvSpPr>
        <xdr:cNvPr id="23" name="Retângulo 2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ECAB92F0-EB38-44B7-8BE9-B3BAC84983DD}"/>
            </a:ext>
          </a:extLst>
        </xdr:cNvPr>
        <xdr:cNvSpPr/>
      </xdr:nvSpPr>
      <xdr:spPr>
        <a:xfrm>
          <a:off x="4324350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Isento</a:t>
          </a:r>
        </a:p>
      </xdr:txBody>
    </xdr:sp>
    <xdr:clientData/>
  </xdr:twoCellAnchor>
  <xdr:twoCellAnchor editAs="absolute">
    <xdr:from>
      <xdr:col>8</xdr:col>
      <xdr:colOff>847725</xdr:colOff>
      <xdr:row>2</xdr:row>
      <xdr:rowOff>323850</xdr:rowOff>
    </xdr:from>
    <xdr:to>
      <xdr:col>11</xdr:col>
      <xdr:colOff>234825</xdr:colOff>
      <xdr:row>2</xdr:row>
      <xdr:rowOff>575850</xdr:rowOff>
    </xdr:to>
    <xdr:sp macro="" textlink="">
      <xdr:nvSpPr>
        <xdr:cNvPr id="24" name="Retângulo 23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90FABBC3-AC20-49B9-B61B-6771A819AE1C}"/>
            </a:ext>
          </a:extLst>
        </xdr:cNvPr>
        <xdr:cNvSpPr/>
      </xdr:nvSpPr>
      <xdr:spPr>
        <a:xfrm>
          <a:off x="6372225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Consolidado</a:t>
          </a:r>
        </a:p>
      </xdr:txBody>
    </xdr:sp>
    <xdr:clientData/>
  </xdr:twoCellAnchor>
  <xdr:twoCellAnchor editAs="absolute">
    <xdr:from>
      <xdr:col>11</xdr:col>
      <xdr:colOff>247650</xdr:colOff>
      <xdr:row>2</xdr:row>
      <xdr:rowOff>323850</xdr:rowOff>
    </xdr:from>
    <xdr:to>
      <xdr:col>11</xdr:col>
      <xdr:colOff>247650</xdr:colOff>
      <xdr:row>2</xdr:row>
      <xdr:rowOff>575850</xdr:rowOff>
    </xdr:to>
    <xdr:cxnSp macro="">
      <xdr:nvCxnSpPr>
        <xdr:cNvPr id="25" name="Conector reto 24">
          <a:extLst>
            <a:ext uri="{FF2B5EF4-FFF2-40B4-BE49-F238E27FC236}">
              <a16:creationId xmlns:a16="http://schemas.microsoft.com/office/drawing/2014/main" id="{3F5851D0-DBFD-4363-9899-A99E5DECE011}"/>
            </a:ext>
          </a:extLst>
        </xdr:cNvPr>
        <xdr:cNvCxnSpPr/>
      </xdr:nvCxnSpPr>
      <xdr:spPr>
        <a:xfrm>
          <a:off x="8401050" y="1143000"/>
          <a:ext cx="0" cy="25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47625</xdr:colOff>
      <xdr:row>1</xdr:row>
      <xdr:rowOff>142875</xdr:rowOff>
    </xdr:from>
    <xdr:to>
      <xdr:col>10</xdr:col>
      <xdr:colOff>251325</xdr:colOff>
      <xdr:row>2</xdr:row>
      <xdr:rowOff>13875</xdr:rowOff>
    </xdr:to>
    <xdr:sp macro="" textlink="">
      <xdr:nvSpPr>
        <xdr:cNvPr id="26" name="Retângulo 2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9B2A37D-2A14-4469-B6EA-96B7CDAC37A0}"/>
            </a:ext>
          </a:extLst>
        </xdr:cNvPr>
        <xdr:cNvSpPr/>
      </xdr:nvSpPr>
      <xdr:spPr>
        <a:xfrm>
          <a:off x="6448425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Reforma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342900</xdr:colOff>
      <xdr:row>0</xdr:row>
      <xdr:rowOff>85725</xdr:rowOff>
    </xdr:from>
    <xdr:to>
      <xdr:col>4</xdr:col>
      <xdr:colOff>546600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6A3F16-30D4-4126-A872-B6A777E35CF4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4</xdr:col>
      <xdr:colOff>571500</xdr:colOff>
      <xdr:row>0</xdr:row>
      <xdr:rowOff>85725</xdr:rowOff>
    </xdr:from>
    <xdr:to>
      <xdr:col>5</xdr:col>
      <xdr:colOff>775200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EE4EE51-104A-4D72-9460-411821CC8653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5</xdr:col>
      <xdr:colOff>800100</xdr:colOff>
      <xdr:row>0</xdr:row>
      <xdr:rowOff>85725</xdr:rowOff>
    </xdr:from>
    <xdr:to>
      <xdr:col>7</xdr:col>
      <xdr:colOff>127500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054FB82-EC40-408F-A0FA-595C01182439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8</xdr:col>
      <xdr:colOff>381000</xdr:colOff>
      <xdr:row>0</xdr:row>
      <xdr:rowOff>85725</xdr:rowOff>
    </xdr:from>
    <xdr:to>
      <xdr:col>9</xdr:col>
      <xdr:colOff>584700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2CDCE08-EFED-453A-A7EF-CE40E9D4C809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9</xdr:col>
      <xdr:colOff>609600</xdr:colOff>
      <xdr:row>0</xdr:row>
      <xdr:rowOff>85725</xdr:rowOff>
    </xdr:from>
    <xdr:to>
      <xdr:col>10</xdr:col>
      <xdr:colOff>813300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B29CD1F-72A2-42C3-85B9-3FAFBB5560E5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10</xdr:col>
      <xdr:colOff>838200</xdr:colOff>
      <xdr:row>0</xdr:row>
      <xdr:rowOff>85725</xdr:rowOff>
    </xdr:from>
    <xdr:to>
      <xdr:col>12</xdr:col>
      <xdr:colOff>165600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6054B74-0C61-4B57-BDCE-6D7341E13639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6</xdr:col>
      <xdr:colOff>114300</xdr:colOff>
      <xdr:row>0</xdr:row>
      <xdr:rowOff>371475</xdr:rowOff>
    </xdr:from>
    <xdr:to>
      <xdr:col>6</xdr:col>
      <xdr:colOff>834300</xdr:colOff>
      <xdr:row>0</xdr:row>
      <xdr:rowOff>388425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69E9B3D3-BD4D-4C48-A4FF-D8AEE8FCD739}"/>
            </a:ext>
          </a:extLst>
        </xdr:cNvPr>
        <xdr:cNvSpPr/>
      </xdr:nvSpPr>
      <xdr:spPr>
        <a:xfrm>
          <a:off x="38862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152400</xdr:colOff>
      <xdr:row>0</xdr:row>
      <xdr:rowOff>85725</xdr:rowOff>
    </xdr:from>
    <xdr:to>
      <xdr:col>8</xdr:col>
      <xdr:colOff>356100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C5891B7-820F-433A-AE51-D2B7C3394BFC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D00E09DF-B332-4D3B-B0D5-58920B521BBE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F670611C-C94B-6AE1-1DD3-DF342DF3CD37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2" name="Meio-quadro 11">
            <a:extLst>
              <a:ext uri="{FF2B5EF4-FFF2-40B4-BE49-F238E27FC236}">
                <a16:creationId xmlns:a16="http://schemas.microsoft.com/office/drawing/2014/main" id="{881E8929-7BFD-1E74-C6B1-748218FC955D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994E08B6-B07E-2BB4-CA0F-82692F99B24C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0</xdr:colOff>
      <xdr:row>2</xdr:row>
      <xdr:rowOff>885823</xdr:rowOff>
    </xdr:from>
    <xdr:to>
      <xdr:col>16</xdr:col>
      <xdr:colOff>0</xdr:colOff>
      <xdr:row>2</xdr:row>
      <xdr:rowOff>1266822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E5377569-0DB3-4F96-A90E-90E4C16BD4BB}"/>
            </a:ext>
          </a:extLst>
        </xdr:cNvPr>
        <xdr:cNvSpPr/>
      </xdr:nvSpPr>
      <xdr:spPr>
        <a:xfrm flipV="1">
          <a:off x="228600" y="1704973"/>
          <a:ext cx="12306300" cy="380999"/>
        </a:xfrm>
        <a:prstGeom prst="rect">
          <a:avLst/>
        </a:prstGeom>
        <a:noFill/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 editAs="absolute">
    <xdr:from>
      <xdr:col>2</xdr:col>
      <xdr:colOff>742950</xdr:colOff>
      <xdr:row>1</xdr:row>
      <xdr:rowOff>142875</xdr:rowOff>
    </xdr:from>
    <xdr:to>
      <xdr:col>4</xdr:col>
      <xdr:colOff>32250</xdr:colOff>
      <xdr:row>2</xdr:row>
      <xdr:rowOff>13875</xdr:rowOff>
    </xdr:to>
    <xdr:sp macro="" textlink="">
      <xdr:nvSpPr>
        <xdr:cNvPr id="15" name="Retângul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A5DAC73-7226-43E5-8478-5EB03A022C7F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Compras</a:t>
          </a:r>
        </a:p>
      </xdr:txBody>
    </xdr:sp>
    <xdr:clientData/>
  </xdr:twoCellAnchor>
  <xdr:twoCellAnchor editAs="absolute">
    <xdr:from>
      <xdr:col>4</xdr:col>
      <xdr:colOff>47625</xdr:colOff>
      <xdr:row>1</xdr:row>
      <xdr:rowOff>142875</xdr:rowOff>
    </xdr:from>
    <xdr:to>
      <xdr:col>5</xdr:col>
      <xdr:colOff>251325</xdr:colOff>
      <xdr:row>2</xdr:row>
      <xdr:rowOff>13875</xdr:rowOff>
    </xdr:to>
    <xdr:sp macro="" textlink="">
      <xdr:nvSpPr>
        <xdr:cNvPr id="16" name="Retâ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B11CFC8-C279-4D2B-8BD0-2447264FD610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Faturamento</a:t>
          </a:r>
        </a:p>
      </xdr:txBody>
    </xdr:sp>
    <xdr:clientData/>
  </xdr:twoCellAnchor>
  <xdr:twoCellAnchor editAs="absolute">
    <xdr:from>
      <xdr:col>5</xdr:col>
      <xdr:colOff>266700</xdr:colOff>
      <xdr:row>1</xdr:row>
      <xdr:rowOff>142875</xdr:rowOff>
    </xdr:from>
    <xdr:to>
      <xdr:col>6</xdr:col>
      <xdr:colOff>470400</xdr:colOff>
      <xdr:row>2</xdr:row>
      <xdr:rowOff>13875</xdr:rowOff>
    </xdr:to>
    <xdr:sp macro="" textlink="">
      <xdr:nvSpPr>
        <xdr:cNvPr id="17" name="Retângulo 1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2FB251F-89A8-4F77-8D03-441AD90E4B61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Simples</a:t>
          </a:r>
        </a:p>
      </xdr:txBody>
    </xdr:sp>
    <xdr:clientData/>
  </xdr:twoCellAnchor>
  <xdr:twoCellAnchor editAs="absolute">
    <xdr:from>
      <xdr:col>6</xdr:col>
      <xdr:colOff>485775</xdr:colOff>
      <xdr:row>1</xdr:row>
      <xdr:rowOff>142875</xdr:rowOff>
    </xdr:from>
    <xdr:to>
      <xdr:col>7</xdr:col>
      <xdr:colOff>689475</xdr:colOff>
      <xdr:row>2</xdr:row>
      <xdr:rowOff>13875</xdr:rowOff>
    </xdr:to>
    <xdr:sp macro="" textlink="">
      <xdr:nvSpPr>
        <xdr:cNvPr id="18" name="Retângul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ACD36C7A-3F0C-4120-BEBA-5ED3FD3A133C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Custos</a:t>
          </a:r>
        </a:p>
      </xdr:txBody>
    </xdr:sp>
    <xdr:clientData/>
  </xdr:twoCellAnchor>
  <xdr:twoCellAnchor editAs="absolute">
    <xdr:from>
      <xdr:col>7</xdr:col>
      <xdr:colOff>704850</xdr:colOff>
      <xdr:row>1</xdr:row>
      <xdr:rowOff>142875</xdr:rowOff>
    </xdr:from>
    <xdr:to>
      <xdr:col>9</xdr:col>
      <xdr:colOff>32250</xdr:colOff>
      <xdr:row>2</xdr:row>
      <xdr:rowOff>13875</xdr:rowOff>
    </xdr:to>
    <xdr:sp macro="" textlink="">
      <xdr:nvSpPr>
        <xdr:cNvPr id="19" name="Retângul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9B803D5-02BA-492E-98E3-414D462F628C}"/>
            </a:ext>
          </a:extLst>
        </xdr:cNvPr>
        <xdr:cNvSpPr/>
      </xdr:nvSpPr>
      <xdr:spPr>
        <a:xfrm>
          <a:off x="53530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Despesas</a:t>
          </a:r>
        </a:p>
      </xdr:txBody>
    </xdr:sp>
    <xdr:clientData/>
  </xdr:twoCellAnchor>
  <xdr:twoCellAnchor editAs="absolute">
    <xdr:from>
      <xdr:col>2</xdr:col>
      <xdr:colOff>0</xdr:colOff>
      <xdr:row>2</xdr:row>
      <xdr:rowOff>323850</xdr:rowOff>
    </xdr:from>
    <xdr:to>
      <xdr:col>4</xdr:col>
      <xdr:colOff>225300</xdr:colOff>
      <xdr:row>2</xdr:row>
      <xdr:rowOff>575850</xdr:rowOff>
    </xdr:to>
    <xdr:sp macro="" textlink="">
      <xdr:nvSpPr>
        <xdr:cNvPr id="20" name="Retângul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4066D9FB-A1E5-46A4-A623-59E664D69259}"/>
            </a:ext>
          </a:extLst>
        </xdr:cNvPr>
        <xdr:cNvSpPr/>
      </xdr:nvSpPr>
      <xdr:spPr>
        <a:xfrm>
          <a:off x="228600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sem</a:t>
          </a:r>
          <a:r>
            <a:rPr lang="pt-BR" sz="1000" kern="1200" baseline="0">
              <a:solidFill>
                <a:schemeClr val="tx1">
                  <a:lumMod val="75000"/>
                  <a:lumOff val="25000"/>
                </a:schemeClr>
              </a:solidFill>
            </a:rPr>
            <a:t> Redução</a:t>
          </a:r>
          <a:endParaRPr lang="pt-BR" sz="1000" kern="12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2</xdr:col>
      <xdr:colOff>9526</xdr:colOff>
      <xdr:row>2</xdr:row>
      <xdr:rowOff>571500</xdr:rowOff>
    </xdr:from>
    <xdr:to>
      <xdr:col>11</xdr:col>
      <xdr:colOff>256726</xdr:colOff>
      <xdr:row>2</xdr:row>
      <xdr:rowOff>571500</xdr:rowOff>
    </xdr:to>
    <xdr:cxnSp macro="">
      <xdr:nvCxnSpPr>
        <xdr:cNvPr id="21" name="Conector reto 20">
          <a:extLst>
            <a:ext uri="{FF2B5EF4-FFF2-40B4-BE49-F238E27FC236}">
              <a16:creationId xmlns:a16="http://schemas.microsoft.com/office/drawing/2014/main" id="{D6035240-9D79-4E09-BE84-15E3CE5EF13A}"/>
            </a:ext>
          </a:extLst>
        </xdr:cNvPr>
        <xdr:cNvCxnSpPr/>
      </xdr:nvCxnSpPr>
      <xdr:spPr>
        <a:xfrm>
          <a:off x="238126" y="1390650"/>
          <a:ext cx="8172000" cy="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257175</xdr:colOff>
      <xdr:row>2</xdr:row>
      <xdr:rowOff>323850</xdr:rowOff>
    </xdr:from>
    <xdr:to>
      <xdr:col>6</xdr:col>
      <xdr:colOff>520575</xdr:colOff>
      <xdr:row>2</xdr:row>
      <xdr:rowOff>575850</xdr:rowOff>
    </xdr:to>
    <xdr:sp macro="" textlink="">
      <xdr:nvSpPr>
        <xdr:cNvPr id="22" name="Retângulo 2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F3932B6-ACB8-41A6-A23A-332361359954}"/>
            </a:ext>
          </a:extLst>
        </xdr:cNvPr>
        <xdr:cNvSpPr/>
      </xdr:nvSpPr>
      <xdr:spPr>
        <a:xfrm>
          <a:off x="2276475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com Redução</a:t>
          </a:r>
        </a:p>
      </xdr:txBody>
    </xdr:sp>
    <xdr:clientData/>
  </xdr:twoCellAnchor>
  <xdr:twoCellAnchor editAs="absolute">
    <xdr:from>
      <xdr:col>6</xdr:col>
      <xdr:colOff>552450</xdr:colOff>
      <xdr:row>2</xdr:row>
      <xdr:rowOff>323850</xdr:rowOff>
    </xdr:from>
    <xdr:to>
      <xdr:col>8</xdr:col>
      <xdr:colOff>815850</xdr:colOff>
      <xdr:row>2</xdr:row>
      <xdr:rowOff>575850</xdr:rowOff>
    </xdr:to>
    <xdr:sp macro="" textlink="">
      <xdr:nvSpPr>
        <xdr:cNvPr id="23" name="Retângulo 2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73096207-27F8-43C7-BC69-90BE6822E40B}"/>
            </a:ext>
          </a:extLst>
        </xdr:cNvPr>
        <xdr:cNvSpPr/>
      </xdr:nvSpPr>
      <xdr:spPr>
        <a:xfrm>
          <a:off x="4324350" y="1143000"/>
          <a:ext cx="2016000" cy="252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bg1"/>
              </a:solidFill>
            </a:rPr>
            <a:t>Faturamento Isento</a:t>
          </a:r>
        </a:p>
      </xdr:txBody>
    </xdr:sp>
    <xdr:clientData/>
  </xdr:twoCellAnchor>
  <xdr:twoCellAnchor editAs="absolute">
    <xdr:from>
      <xdr:col>8</xdr:col>
      <xdr:colOff>847725</xdr:colOff>
      <xdr:row>2</xdr:row>
      <xdr:rowOff>323850</xdr:rowOff>
    </xdr:from>
    <xdr:to>
      <xdr:col>11</xdr:col>
      <xdr:colOff>234825</xdr:colOff>
      <xdr:row>2</xdr:row>
      <xdr:rowOff>575850</xdr:rowOff>
    </xdr:to>
    <xdr:sp macro="" textlink="">
      <xdr:nvSpPr>
        <xdr:cNvPr id="24" name="Retângulo 23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9FF43489-4DDB-4A95-8E11-77F088C9F184}"/>
            </a:ext>
          </a:extLst>
        </xdr:cNvPr>
        <xdr:cNvSpPr/>
      </xdr:nvSpPr>
      <xdr:spPr>
        <a:xfrm>
          <a:off x="6372225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Consolidado</a:t>
          </a:r>
        </a:p>
      </xdr:txBody>
    </xdr:sp>
    <xdr:clientData/>
  </xdr:twoCellAnchor>
  <xdr:twoCellAnchor editAs="absolute">
    <xdr:from>
      <xdr:col>11</xdr:col>
      <xdr:colOff>247650</xdr:colOff>
      <xdr:row>2</xdr:row>
      <xdr:rowOff>323850</xdr:rowOff>
    </xdr:from>
    <xdr:to>
      <xdr:col>11</xdr:col>
      <xdr:colOff>247650</xdr:colOff>
      <xdr:row>2</xdr:row>
      <xdr:rowOff>575850</xdr:rowOff>
    </xdr:to>
    <xdr:cxnSp macro="">
      <xdr:nvCxnSpPr>
        <xdr:cNvPr id="25" name="Conector reto 24">
          <a:extLst>
            <a:ext uri="{FF2B5EF4-FFF2-40B4-BE49-F238E27FC236}">
              <a16:creationId xmlns:a16="http://schemas.microsoft.com/office/drawing/2014/main" id="{19E2DC57-2811-46A8-A090-CAD4A5D77C9E}"/>
            </a:ext>
          </a:extLst>
        </xdr:cNvPr>
        <xdr:cNvCxnSpPr/>
      </xdr:nvCxnSpPr>
      <xdr:spPr>
        <a:xfrm>
          <a:off x="8401050" y="1143000"/>
          <a:ext cx="0" cy="25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47625</xdr:colOff>
      <xdr:row>1</xdr:row>
      <xdr:rowOff>142875</xdr:rowOff>
    </xdr:from>
    <xdr:to>
      <xdr:col>10</xdr:col>
      <xdr:colOff>251325</xdr:colOff>
      <xdr:row>2</xdr:row>
      <xdr:rowOff>13875</xdr:rowOff>
    </xdr:to>
    <xdr:sp macro="" textlink="">
      <xdr:nvSpPr>
        <xdr:cNvPr id="26" name="Retângulo 2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19165621-A51E-4A56-B21D-C54D102BFEC2}"/>
            </a:ext>
          </a:extLst>
        </xdr:cNvPr>
        <xdr:cNvSpPr/>
      </xdr:nvSpPr>
      <xdr:spPr>
        <a:xfrm>
          <a:off x="6448425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Reforma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342900</xdr:colOff>
      <xdr:row>0</xdr:row>
      <xdr:rowOff>85725</xdr:rowOff>
    </xdr:from>
    <xdr:to>
      <xdr:col>4</xdr:col>
      <xdr:colOff>546600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5782BE-2603-43C5-A927-A517EBA790D0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4</xdr:col>
      <xdr:colOff>571500</xdr:colOff>
      <xdr:row>0</xdr:row>
      <xdr:rowOff>85725</xdr:rowOff>
    </xdr:from>
    <xdr:to>
      <xdr:col>5</xdr:col>
      <xdr:colOff>775200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4E575CE-406C-431A-A481-DCF381FAA7B2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5</xdr:col>
      <xdr:colOff>800100</xdr:colOff>
      <xdr:row>0</xdr:row>
      <xdr:rowOff>85725</xdr:rowOff>
    </xdr:from>
    <xdr:to>
      <xdr:col>7</xdr:col>
      <xdr:colOff>127500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BE28C57-0EC7-4AEB-8603-B3A55CB27F9C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8</xdr:col>
      <xdr:colOff>381000</xdr:colOff>
      <xdr:row>0</xdr:row>
      <xdr:rowOff>85725</xdr:rowOff>
    </xdr:from>
    <xdr:to>
      <xdr:col>9</xdr:col>
      <xdr:colOff>584700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F81A5BD-2624-4792-9972-8386DC625E11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9</xdr:col>
      <xdr:colOff>609600</xdr:colOff>
      <xdr:row>0</xdr:row>
      <xdr:rowOff>85725</xdr:rowOff>
    </xdr:from>
    <xdr:to>
      <xdr:col>10</xdr:col>
      <xdr:colOff>813300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7CDF9AB-4BD2-424E-B2FB-8321ECFBB3C8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10</xdr:col>
      <xdr:colOff>838200</xdr:colOff>
      <xdr:row>0</xdr:row>
      <xdr:rowOff>85725</xdr:rowOff>
    </xdr:from>
    <xdr:to>
      <xdr:col>12</xdr:col>
      <xdr:colOff>165600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5827BC8-9BF5-42CA-B9F0-2EF1DCE9CD7D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6</xdr:col>
      <xdr:colOff>114300</xdr:colOff>
      <xdr:row>0</xdr:row>
      <xdr:rowOff>371475</xdr:rowOff>
    </xdr:from>
    <xdr:to>
      <xdr:col>6</xdr:col>
      <xdr:colOff>834300</xdr:colOff>
      <xdr:row>0</xdr:row>
      <xdr:rowOff>388425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80F6BC9E-B956-4668-9008-843D90248E1C}"/>
            </a:ext>
          </a:extLst>
        </xdr:cNvPr>
        <xdr:cNvSpPr/>
      </xdr:nvSpPr>
      <xdr:spPr>
        <a:xfrm>
          <a:off x="38862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152400</xdr:colOff>
      <xdr:row>0</xdr:row>
      <xdr:rowOff>85725</xdr:rowOff>
    </xdr:from>
    <xdr:to>
      <xdr:col>8</xdr:col>
      <xdr:colOff>356100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B2DBDF2-948E-4D8F-A8D5-2D1E77E42775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488BE9C8-5690-479D-9A79-16803859A00B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9CF17C6-7D26-723B-EA99-E64F30438661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2" name="Meio-quadro 11">
            <a:extLst>
              <a:ext uri="{FF2B5EF4-FFF2-40B4-BE49-F238E27FC236}">
                <a16:creationId xmlns:a16="http://schemas.microsoft.com/office/drawing/2014/main" id="{CE95FA93-2BB7-DAEE-FE28-6DCC4FC157C1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37F1E883-B313-89CA-3D28-095B4F3BEDDA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0</xdr:colOff>
      <xdr:row>2</xdr:row>
      <xdr:rowOff>885823</xdr:rowOff>
    </xdr:from>
    <xdr:to>
      <xdr:col>16</xdr:col>
      <xdr:colOff>0</xdr:colOff>
      <xdr:row>2</xdr:row>
      <xdr:rowOff>1266822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BB5FEE8-B17F-4AD2-AB3A-7DC3FDC2C589}"/>
            </a:ext>
          </a:extLst>
        </xdr:cNvPr>
        <xdr:cNvSpPr/>
      </xdr:nvSpPr>
      <xdr:spPr>
        <a:xfrm flipV="1">
          <a:off x="228600" y="1704973"/>
          <a:ext cx="12306300" cy="380999"/>
        </a:xfrm>
        <a:prstGeom prst="rect">
          <a:avLst/>
        </a:prstGeom>
        <a:noFill/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 editAs="absolute">
    <xdr:from>
      <xdr:col>2</xdr:col>
      <xdr:colOff>742950</xdr:colOff>
      <xdr:row>1</xdr:row>
      <xdr:rowOff>142875</xdr:rowOff>
    </xdr:from>
    <xdr:to>
      <xdr:col>4</xdr:col>
      <xdr:colOff>32250</xdr:colOff>
      <xdr:row>2</xdr:row>
      <xdr:rowOff>13875</xdr:rowOff>
    </xdr:to>
    <xdr:sp macro="" textlink="">
      <xdr:nvSpPr>
        <xdr:cNvPr id="15" name="Retângul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17C630E-D112-4387-95AF-E690975E1FEA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Compras</a:t>
          </a:r>
        </a:p>
      </xdr:txBody>
    </xdr:sp>
    <xdr:clientData/>
  </xdr:twoCellAnchor>
  <xdr:twoCellAnchor editAs="absolute">
    <xdr:from>
      <xdr:col>4</xdr:col>
      <xdr:colOff>47625</xdr:colOff>
      <xdr:row>1</xdr:row>
      <xdr:rowOff>142875</xdr:rowOff>
    </xdr:from>
    <xdr:to>
      <xdr:col>5</xdr:col>
      <xdr:colOff>251325</xdr:colOff>
      <xdr:row>2</xdr:row>
      <xdr:rowOff>13875</xdr:rowOff>
    </xdr:to>
    <xdr:sp macro="" textlink="">
      <xdr:nvSpPr>
        <xdr:cNvPr id="16" name="Retâ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757A0BA-5583-4B2B-8925-9372D0FABAC1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Faturamento</a:t>
          </a:r>
        </a:p>
      </xdr:txBody>
    </xdr:sp>
    <xdr:clientData/>
  </xdr:twoCellAnchor>
  <xdr:twoCellAnchor editAs="absolute">
    <xdr:from>
      <xdr:col>5</xdr:col>
      <xdr:colOff>266700</xdr:colOff>
      <xdr:row>1</xdr:row>
      <xdr:rowOff>142875</xdr:rowOff>
    </xdr:from>
    <xdr:to>
      <xdr:col>6</xdr:col>
      <xdr:colOff>470400</xdr:colOff>
      <xdr:row>2</xdr:row>
      <xdr:rowOff>13875</xdr:rowOff>
    </xdr:to>
    <xdr:sp macro="" textlink="">
      <xdr:nvSpPr>
        <xdr:cNvPr id="17" name="Retângulo 1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37AF4C3-7278-470B-97D2-7849CFE353AE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Simples</a:t>
          </a:r>
        </a:p>
      </xdr:txBody>
    </xdr:sp>
    <xdr:clientData/>
  </xdr:twoCellAnchor>
  <xdr:twoCellAnchor editAs="absolute">
    <xdr:from>
      <xdr:col>6</xdr:col>
      <xdr:colOff>485775</xdr:colOff>
      <xdr:row>1</xdr:row>
      <xdr:rowOff>142875</xdr:rowOff>
    </xdr:from>
    <xdr:to>
      <xdr:col>7</xdr:col>
      <xdr:colOff>689475</xdr:colOff>
      <xdr:row>2</xdr:row>
      <xdr:rowOff>13875</xdr:rowOff>
    </xdr:to>
    <xdr:sp macro="" textlink="">
      <xdr:nvSpPr>
        <xdr:cNvPr id="18" name="Retângul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50D1002-0211-4161-81B5-FA5EE99AEE1E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Custos</a:t>
          </a:r>
        </a:p>
      </xdr:txBody>
    </xdr:sp>
    <xdr:clientData/>
  </xdr:twoCellAnchor>
  <xdr:twoCellAnchor editAs="absolute">
    <xdr:from>
      <xdr:col>7</xdr:col>
      <xdr:colOff>704850</xdr:colOff>
      <xdr:row>1</xdr:row>
      <xdr:rowOff>142875</xdr:rowOff>
    </xdr:from>
    <xdr:to>
      <xdr:col>9</xdr:col>
      <xdr:colOff>32250</xdr:colOff>
      <xdr:row>2</xdr:row>
      <xdr:rowOff>13875</xdr:rowOff>
    </xdr:to>
    <xdr:sp macro="" textlink="">
      <xdr:nvSpPr>
        <xdr:cNvPr id="19" name="Retângul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B2B05AA-20CF-4217-8987-B32B6B972C84}"/>
            </a:ext>
          </a:extLst>
        </xdr:cNvPr>
        <xdr:cNvSpPr/>
      </xdr:nvSpPr>
      <xdr:spPr>
        <a:xfrm>
          <a:off x="53530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Despesas</a:t>
          </a:r>
        </a:p>
      </xdr:txBody>
    </xdr:sp>
    <xdr:clientData/>
  </xdr:twoCellAnchor>
  <xdr:twoCellAnchor editAs="absolute">
    <xdr:from>
      <xdr:col>2</xdr:col>
      <xdr:colOff>0</xdr:colOff>
      <xdr:row>2</xdr:row>
      <xdr:rowOff>323850</xdr:rowOff>
    </xdr:from>
    <xdr:to>
      <xdr:col>4</xdr:col>
      <xdr:colOff>225300</xdr:colOff>
      <xdr:row>2</xdr:row>
      <xdr:rowOff>575850</xdr:rowOff>
    </xdr:to>
    <xdr:sp macro="" textlink="">
      <xdr:nvSpPr>
        <xdr:cNvPr id="20" name="Retângul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9FF68BCD-D58E-493B-B02D-B28A3768EEB5}"/>
            </a:ext>
          </a:extLst>
        </xdr:cNvPr>
        <xdr:cNvSpPr/>
      </xdr:nvSpPr>
      <xdr:spPr>
        <a:xfrm>
          <a:off x="228600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sem</a:t>
          </a:r>
          <a:r>
            <a:rPr lang="pt-BR" sz="1000" kern="1200" baseline="0">
              <a:solidFill>
                <a:schemeClr val="tx1">
                  <a:lumMod val="75000"/>
                  <a:lumOff val="25000"/>
                </a:schemeClr>
              </a:solidFill>
            </a:rPr>
            <a:t> Redução</a:t>
          </a:r>
          <a:endParaRPr lang="pt-BR" sz="1000" kern="12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2</xdr:col>
      <xdr:colOff>9526</xdr:colOff>
      <xdr:row>2</xdr:row>
      <xdr:rowOff>571500</xdr:rowOff>
    </xdr:from>
    <xdr:to>
      <xdr:col>11</xdr:col>
      <xdr:colOff>256726</xdr:colOff>
      <xdr:row>2</xdr:row>
      <xdr:rowOff>571500</xdr:rowOff>
    </xdr:to>
    <xdr:cxnSp macro="">
      <xdr:nvCxnSpPr>
        <xdr:cNvPr id="21" name="Conector reto 20">
          <a:extLst>
            <a:ext uri="{FF2B5EF4-FFF2-40B4-BE49-F238E27FC236}">
              <a16:creationId xmlns:a16="http://schemas.microsoft.com/office/drawing/2014/main" id="{FD061B2B-2C8A-452D-8D78-E002483B5614}"/>
            </a:ext>
          </a:extLst>
        </xdr:cNvPr>
        <xdr:cNvCxnSpPr/>
      </xdr:nvCxnSpPr>
      <xdr:spPr>
        <a:xfrm>
          <a:off x="238126" y="1390650"/>
          <a:ext cx="8172000" cy="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257175</xdr:colOff>
      <xdr:row>2</xdr:row>
      <xdr:rowOff>323850</xdr:rowOff>
    </xdr:from>
    <xdr:to>
      <xdr:col>6</xdr:col>
      <xdr:colOff>520575</xdr:colOff>
      <xdr:row>2</xdr:row>
      <xdr:rowOff>575850</xdr:rowOff>
    </xdr:to>
    <xdr:sp macro="" textlink="">
      <xdr:nvSpPr>
        <xdr:cNvPr id="22" name="Retângulo 2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AFC4D33-D459-420E-8ADB-D0200E0CC39A}"/>
            </a:ext>
          </a:extLst>
        </xdr:cNvPr>
        <xdr:cNvSpPr/>
      </xdr:nvSpPr>
      <xdr:spPr>
        <a:xfrm>
          <a:off x="2276475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com Redução</a:t>
          </a:r>
        </a:p>
      </xdr:txBody>
    </xdr:sp>
    <xdr:clientData/>
  </xdr:twoCellAnchor>
  <xdr:twoCellAnchor editAs="absolute">
    <xdr:from>
      <xdr:col>6</xdr:col>
      <xdr:colOff>552450</xdr:colOff>
      <xdr:row>2</xdr:row>
      <xdr:rowOff>323850</xdr:rowOff>
    </xdr:from>
    <xdr:to>
      <xdr:col>8</xdr:col>
      <xdr:colOff>815850</xdr:colOff>
      <xdr:row>2</xdr:row>
      <xdr:rowOff>575850</xdr:rowOff>
    </xdr:to>
    <xdr:sp macro="" textlink="">
      <xdr:nvSpPr>
        <xdr:cNvPr id="23" name="Retângulo 2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E0B28140-61C9-4DF8-97F9-1F91B89C1F64}"/>
            </a:ext>
          </a:extLst>
        </xdr:cNvPr>
        <xdr:cNvSpPr/>
      </xdr:nvSpPr>
      <xdr:spPr>
        <a:xfrm>
          <a:off x="4324350" y="1143000"/>
          <a:ext cx="2016000" cy="2520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Faturamento Isento</a:t>
          </a:r>
        </a:p>
      </xdr:txBody>
    </xdr:sp>
    <xdr:clientData/>
  </xdr:twoCellAnchor>
  <xdr:twoCellAnchor editAs="absolute">
    <xdr:from>
      <xdr:col>8</xdr:col>
      <xdr:colOff>847725</xdr:colOff>
      <xdr:row>2</xdr:row>
      <xdr:rowOff>323850</xdr:rowOff>
    </xdr:from>
    <xdr:to>
      <xdr:col>11</xdr:col>
      <xdr:colOff>234825</xdr:colOff>
      <xdr:row>2</xdr:row>
      <xdr:rowOff>575850</xdr:rowOff>
    </xdr:to>
    <xdr:sp macro="" textlink="">
      <xdr:nvSpPr>
        <xdr:cNvPr id="24" name="Retângulo 23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4192E0B8-32B9-4657-B299-97282B85A3AD}"/>
            </a:ext>
          </a:extLst>
        </xdr:cNvPr>
        <xdr:cNvSpPr/>
      </xdr:nvSpPr>
      <xdr:spPr>
        <a:xfrm>
          <a:off x="6372225" y="1143000"/>
          <a:ext cx="2016000" cy="252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solidFill>
                <a:schemeClr val="bg1"/>
              </a:solidFill>
            </a:rPr>
            <a:t>Faturamento Consolidado</a:t>
          </a:r>
        </a:p>
      </xdr:txBody>
    </xdr:sp>
    <xdr:clientData/>
  </xdr:twoCellAnchor>
  <xdr:twoCellAnchor editAs="absolute">
    <xdr:from>
      <xdr:col>11</xdr:col>
      <xdr:colOff>247650</xdr:colOff>
      <xdr:row>2</xdr:row>
      <xdr:rowOff>323850</xdr:rowOff>
    </xdr:from>
    <xdr:to>
      <xdr:col>11</xdr:col>
      <xdr:colOff>247650</xdr:colOff>
      <xdr:row>2</xdr:row>
      <xdr:rowOff>575850</xdr:rowOff>
    </xdr:to>
    <xdr:cxnSp macro="">
      <xdr:nvCxnSpPr>
        <xdr:cNvPr id="25" name="Conector reto 24">
          <a:extLst>
            <a:ext uri="{FF2B5EF4-FFF2-40B4-BE49-F238E27FC236}">
              <a16:creationId xmlns:a16="http://schemas.microsoft.com/office/drawing/2014/main" id="{8D88A69D-13EC-46FF-8912-DC74A3481271}"/>
            </a:ext>
          </a:extLst>
        </xdr:cNvPr>
        <xdr:cNvCxnSpPr/>
      </xdr:nvCxnSpPr>
      <xdr:spPr>
        <a:xfrm>
          <a:off x="8401050" y="1143000"/>
          <a:ext cx="0" cy="25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47625</xdr:colOff>
      <xdr:row>1</xdr:row>
      <xdr:rowOff>142875</xdr:rowOff>
    </xdr:from>
    <xdr:to>
      <xdr:col>10</xdr:col>
      <xdr:colOff>251325</xdr:colOff>
      <xdr:row>2</xdr:row>
      <xdr:rowOff>13875</xdr:rowOff>
    </xdr:to>
    <xdr:sp macro="" textlink="">
      <xdr:nvSpPr>
        <xdr:cNvPr id="26" name="Retângulo 2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8859DDC-6FA9-46CE-9991-B5AA7CA0CCA5}"/>
            </a:ext>
          </a:extLst>
        </xdr:cNvPr>
        <xdr:cNvSpPr/>
      </xdr:nvSpPr>
      <xdr:spPr>
        <a:xfrm>
          <a:off x="6448425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Reforma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342900</xdr:colOff>
      <xdr:row>0</xdr:row>
      <xdr:rowOff>85725</xdr:rowOff>
    </xdr:from>
    <xdr:to>
      <xdr:col>4</xdr:col>
      <xdr:colOff>546600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B40B8DF-2D9A-4E2B-AE44-EA5A3F94B087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4</xdr:col>
      <xdr:colOff>571500</xdr:colOff>
      <xdr:row>0</xdr:row>
      <xdr:rowOff>85725</xdr:rowOff>
    </xdr:from>
    <xdr:to>
      <xdr:col>5</xdr:col>
      <xdr:colOff>775200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6E17328-13B7-40B6-9A9A-40D8707703AD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5</xdr:col>
      <xdr:colOff>800100</xdr:colOff>
      <xdr:row>0</xdr:row>
      <xdr:rowOff>85725</xdr:rowOff>
    </xdr:from>
    <xdr:to>
      <xdr:col>7</xdr:col>
      <xdr:colOff>127500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D70378F-1EB3-4EE1-9767-AD3A748EDAD4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8</xdr:col>
      <xdr:colOff>381000</xdr:colOff>
      <xdr:row>0</xdr:row>
      <xdr:rowOff>85725</xdr:rowOff>
    </xdr:from>
    <xdr:to>
      <xdr:col>9</xdr:col>
      <xdr:colOff>584700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7BEC211-5327-408D-B004-D42A32BAD4B1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9</xdr:col>
      <xdr:colOff>609600</xdr:colOff>
      <xdr:row>0</xdr:row>
      <xdr:rowOff>85725</xdr:rowOff>
    </xdr:from>
    <xdr:to>
      <xdr:col>10</xdr:col>
      <xdr:colOff>813300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0167143-73C5-4FB7-AD37-A54DC5D5AD5D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10</xdr:col>
      <xdr:colOff>838200</xdr:colOff>
      <xdr:row>0</xdr:row>
      <xdr:rowOff>85725</xdr:rowOff>
    </xdr:from>
    <xdr:to>
      <xdr:col>12</xdr:col>
      <xdr:colOff>165600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CAAD83-363C-47D0-A071-C9254AD22C27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6</xdr:col>
      <xdr:colOff>114300</xdr:colOff>
      <xdr:row>0</xdr:row>
      <xdr:rowOff>371475</xdr:rowOff>
    </xdr:from>
    <xdr:to>
      <xdr:col>6</xdr:col>
      <xdr:colOff>834300</xdr:colOff>
      <xdr:row>0</xdr:row>
      <xdr:rowOff>388425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34BF25C4-FB48-44AC-B31E-9350D730FC22}"/>
            </a:ext>
          </a:extLst>
        </xdr:cNvPr>
        <xdr:cNvSpPr/>
      </xdr:nvSpPr>
      <xdr:spPr>
        <a:xfrm>
          <a:off x="38862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152400</xdr:colOff>
      <xdr:row>0</xdr:row>
      <xdr:rowOff>85725</xdr:rowOff>
    </xdr:from>
    <xdr:to>
      <xdr:col>8</xdr:col>
      <xdr:colOff>356100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9B40830-E736-4C55-B0B1-9FB4135BF8CE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FAD3E028-CE73-4470-9BF1-54836525650B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BAAC1C72-9084-50BF-1334-F2CCC7F95BC7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A49F7CEF-46FB-D1DE-B9C8-2BB4493F282F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4" name="Meio-quadro 13">
            <a:extLst>
              <a:ext uri="{FF2B5EF4-FFF2-40B4-BE49-F238E27FC236}">
                <a16:creationId xmlns:a16="http://schemas.microsoft.com/office/drawing/2014/main" id="{B939A9F8-3C3A-87E8-AD20-29DD48D305E8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742950</xdr:colOff>
      <xdr:row>1</xdr:row>
      <xdr:rowOff>142875</xdr:rowOff>
    </xdr:from>
    <xdr:to>
      <xdr:col>4</xdr:col>
      <xdr:colOff>32250</xdr:colOff>
      <xdr:row>2</xdr:row>
      <xdr:rowOff>13875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74B770B-EBDA-4146-84AD-2D3AB8A38F90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Compras</a:t>
          </a:r>
        </a:p>
      </xdr:txBody>
    </xdr:sp>
    <xdr:clientData/>
  </xdr:twoCellAnchor>
  <xdr:twoCellAnchor editAs="absolute">
    <xdr:from>
      <xdr:col>4</xdr:col>
      <xdr:colOff>47625</xdr:colOff>
      <xdr:row>1</xdr:row>
      <xdr:rowOff>142875</xdr:rowOff>
    </xdr:from>
    <xdr:to>
      <xdr:col>5</xdr:col>
      <xdr:colOff>251325</xdr:colOff>
      <xdr:row>2</xdr:row>
      <xdr:rowOff>13875</xdr:rowOff>
    </xdr:to>
    <xdr:sp macro="" textlink="">
      <xdr:nvSpPr>
        <xdr:cNvPr id="16" name="Retâ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D5B2BDB-8CB7-4655-B161-48E195FCD8D4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Faturamento</a:t>
          </a:r>
        </a:p>
      </xdr:txBody>
    </xdr:sp>
    <xdr:clientData/>
  </xdr:twoCellAnchor>
  <xdr:twoCellAnchor editAs="absolute">
    <xdr:from>
      <xdr:col>5</xdr:col>
      <xdr:colOff>266700</xdr:colOff>
      <xdr:row>1</xdr:row>
      <xdr:rowOff>142875</xdr:rowOff>
    </xdr:from>
    <xdr:to>
      <xdr:col>6</xdr:col>
      <xdr:colOff>470400</xdr:colOff>
      <xdr:row>2</xdr:row>
      <xdr:rowOff>13875</xdr:rowOff>
    </xdr:to>
    <xdr:sp macro="" textlink="">
      <xdr:nvSpPr>
        <xdr:cNvPr id="17" name="Retângulo 1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3FB7A6AF-66EF-41DB-B842-9911E59977FF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Simples</a:t>
          </a:r>
        </a:p>
      </xdr:txBody>
    </xdr:sp>
    <xdr:clientData/>
  </xdr:twoCellAnchor>
  <xdr:twoCellAnchor editAs="absolute">
    <xdr:from>
      <xdr:col>6</xdr:col>
      <xdr:colOff>485775</xdr:colOff>
      <xdr:row>1</xdr:row>
      <xdr:rowOff>142875</xdr:rowOff>
    </xdr:from>
    <xdr:to>
      <xdr:col>7</xdr:col>
      <xdr:colOff>689475</xdr:colOff>
      <xdr:row>2</xdr:row>
      <xdr:rowOff>13875</xdr:rowOff>
    </xdr:to>
    <xdr:sp macro="" textlink="">
      <xdr:nvSpPr>
        <xdr:cNvPr id="18" name="Retângul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6022BF9-CE7B-4E36-AFA5-5ADBB4F441E1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Custos</a:t>
          </a:r>
        </a:p>
      </xdr:txBody>
    </xdr:sp>
    <xdr:clientData/>
  </xdr:twoCellAnchor>
  <xdr:twoCellAnchor editAs="absolute">
    <xdr:from>
      <xdr:col>7</xdr:col>
      <xdr:colOff>704850</xdr:colOff>
      <xdr:row>1</xdr:row>
      <xdr:rowOff>142875</xdr:rowOff>
    </xdr:from>
    <xdr:to>
      <xdr:col>9</xdr:col>
      <xdr:colOff>32250</xdr:colOff>
      <xdr:row>2</xdr:row>
      <xdr:rowOff>13875</xdr:rowOff>
    </xdr:to>
    <xdr:sp macro="" textlink="">
      <xdr:nvSpPr>
        <xdr:cNvPr id="19" name="Retângul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9B211A8-DCA6-4146-9291-8F4E87E640EB}"/>
            </a:ext>
          </a:extLst>
        </xdr:cNvPr>
        <xdr:cNvSpPr/>
      </xdr:nvSpPr>
      <xdr:spPr>
        <a:xfrm>
          <a:off x="53530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Despesas</a:t>
          </a:r>
        </a:p>
      </xdr:txBody>
    </xdr:sp>
    <xdr:clientData/>
  </xdr:twoCellAnchor>
  <xdr:twoCellAnchor editAs="absolute">
    <xdr:from>
      <xdr:col>9</xdr:col>
      <xdr:colOff>47625</xdr:colOff>
      <xdr:row>1</xdr:row>
      <xdr:rowOff>142875</xdr:rowOff>
    </xdr:from>
    <xdr:to>
      <xdr:col>10</xdr:col>
      <xdr:colOff>251325</xdr:colOff>
      <xdr:row>2</xdr:row>
      <xdr:rowOff>13875</xdr:rowOff>
    </xdr:to>
    <xdr:sp macro="" textlink="">
      <xdr:nvSpPr>
        <xdr:cNvPr id="15" name="Retângulo 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2F5ED70A-5938-4D46-B219-1AE818A6C910}"/>
            </a:ext>
          </a:extLst>
        </xdr:cNvPr>
        <xdr:cNvSpPr/>
      </xdr:nvSpPr>
      <xdr:spPr>
        <a:xfrm>
          <a:off x="64484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Reforma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342900</xdr:colOff>
      <xdr:row>0</xdr:row>
      <xdr:rowOff>85725</xdr:rowOff>
    </xdr:from>
    <xdr:to>
      <xdr:col>4</xdr:col>
      <xdr:colOff>546600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35650C-411C-415A-87CE-7C70832365E3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4</xdr:col>
      <xdr:colOff>571500</xdr:colOff>
      <xdr:row>0</xdr:row>
      <xdr:rowOff>85725</xdr:rowOff>
    </xdr:from>
    <xdr:to>
      <xdr:col>5</xdr:col>
      <xdr:colOff>775200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E6F2102-6D8E-4593-897E-2D97D97CC19A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5</xdr:col>
      <xdr:colOff>800100</xdr:colOff>
      <xdr:row>0</xdr:row>
      <xdr:rowOff>85725</xdr:rowOff>
    </xdr:from>
    <xdr:to>
      <xdr:col>7</xdr:col>
      <xdr:colOff>127500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EADA067-43C4-4D51-8A4E-A473EE40EB97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8</xdr:col>
      <xdr:colOff>381000</xdr:colOff>
      <xdr:row>0</xdr:row>
      <xdr:rowOff>85725</xdr:rowOff>
    </xdr:from>
    <xdr:to>
      <xdr:col>9</xdr:col>
      <xdr:colOff>584700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0B7701B-D309-4B66-BF05-81BCEAD91549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9</xdr:col>
      <xdr:colOff>609600</xdr:colOff>
      <xdr:row>0</xdr:row>
      <xdr:rowOff>85725</xdr:rowOff>
    </xdr:from>
    <xdr:to>
      <xdr:col>10</xdr:col>
      <xdr:colOff>813300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5760C7-FD18-43AC-A59E-73E6408F46C6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10</xdr:col>
      <xdr:colOff>838200</xdr:colOff>
      <xdr:row>0</xdr:row>
      <xdr:rowOff>85725</xdr:rowOff>
    </xdr:from>
    <xdr:to>
      <xdr:col>12</xdr:col>
      <xdr:colOff>165600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E1D6C74-69DD-4A3B-9462-27B0A34DE855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6</xdr:col>
      <xdr:colOff>114300</xdr:colOff>
      <xdr:row>0</xdr:row>
      <xdr:rowOff>371475</xdr:rowOff>
    </xdr:from>
    <xdr:to>
      <xdr:col>6</xdr:col>
      <xdr:colOff>834300</xdr:colOff>
      <xdr:row>0</xdr:row>
      <xdr:rowOff>388425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12E5FABF-ED4C-4509-A910-1F117B6E5166}"/>
            </a:ext>
          </a:extLst>
        </xdr:cNvPr>
        <xdr:cNvSpPr/>
      </xdr:nvSpPr>
      <xdr:spPr>
        <a:xfrm>
          <a:off x="38862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152400</xdr:colOff>
      <xdr:row>0</xdr:row>
      <xdr:rowOff>85725</xdr:rowOff>
    </xdr:from>
    <xdr:to>
      <xdr:col>8</xdr:col>
      <xdr:colOff>356100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5E7FAB8-EF18-4B84-A65E-10AEC180A4AC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F9C52BB2-6330-41A1-AF1D-CBA3A6B8444B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9CF5CB29-8C6A-004B-6A9B-41C6AAAD6D64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3BAA7399-B0AE-C7A7-B2A5-6FC60584FA1C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4" name="Meio-quadro 13">
            <a:extLst>
              <a:ext uri="{FF2B5EF4-FFF2-40B4-BE49-F238E27FC236}">
                <a16:creationId xmlns:a16="http://schemas.microsoft.com/office/drawing/2014/main" id="{F1C6495B-84AB-BD14-E674-C96D71C40B2C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742950</xdr:colOff>
      <xdr:row>1</xdr:row>
      <xdr:rowOff>142875</xdr:rowOff>
    </xdr:from>
    <xdr:to>
      <xdr:col>4</xdr:col>
      <xdr:colOff>32250</xdr:colOff>
      <xdr:row>2</xdr:row>
      <xdr:rowOff>13875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EC1C798-43A8-45F0-A9EE-0019C9140996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Compras</a:t>
          </a:r>
        </a:p>
      </xdr:txBody>
    </xdr:sp>
    <xdr:clientData/>
  </xdr:twoCellAnchor>
  <xdr:twoCellAnchor editAs="absolute">
    <xdr:from>
      <xdr:col>4</xdr:col>
      <xdr:colOff>47625</xdr:colOff>
      <xdr:row>1</xdr:row>
      <xdr:rowOff>142875</xdr:rowOff>
    </xdr:from>
    <xdr:to>
      <xdr:col>5</xdr:col>
      <xdr:colOff>251325</xdr:colOff>
      <xdr:row>2</xdr:row>
      <xdr:rowOff>13875</xdr:rowOff>
    </xdr:to>
    <xdr:sp macro="" textlink="">
      <xdr:nvSpPr>
        <xdr:cNvPr id="16" name="Retâ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461D3A0-3F2A-4100-A80D-889DDF4C9174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Faturamento</a:t>
          </a:r>
        </a:p>
      </xdr:txBody>
    </xdr:sp>
    <xdr:clientData/>
  </xdr:twoCellAnchor>
  <xdr:twoCellAnchor editAs="absolute">
    <xdr:from>
      <xdr:col>5</xdr:col>
      <xdr:colOff>266700</xdr:colOff>
      <xdr:row>1</xdr:row>
      <xdr:rowOff>142875</xdr:rowOff>
    </xdr:from>
    <xdr:to>
      <xdr:col>6</xdr:col>
      <xdr:colOff>470400</xdr:colOff>
      <xdr:row>2</xdr:row>
      <xdr:rowOff>13875</xdr:rowOff>
    </xdr:to>
    <xdr:sp macro="" textlink="">
      <xdr:nvSpPr>
        <xdr:cNvPr id="17" name="Retângulo 1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159F483-69EE-4E33-9543-7336F869745D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Simples</a:t>
          </a:r>
        </a:p>
      </xdr:txBody>
    </xdr:sp>
    <xdr:clientData/>
  </xdr:twoCellAnchor>
  <xdr:twoCellAnchor editAs="absolute">
    <xdr:from>
      <xdr:col>6</xdr:col>
      <xdr:colOff>485775</xdr:colOff>
      <xdr:row>1</xdr:row>
      <xdr:rowOff>142875</xdr:rowOff>
    </xdr:from>
    <xdr:to>
      <xdr:col>7</xdr:col>
      <xdr:colOff>689475</xdr:colOff>
      <xdr:row>2</xdr:row>
      <xdr:rowOff>13875</xdr:rowOff>
    </xdr:to>
    <xdr:sp macro="" textlink="">
      <xdr:nvSpPr>
        <xdr:cNvPr id="18" name="Retângul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2794A3C-4EA3-4A07-85E7-A6B18502EFE6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Custos</a:t>
          </a:r>
        </a:p>
      </xdr:txBody>
    </xdr:sp>
    <xdr:clientData/>
  </xdr:twoCellAnchor>
  <xdr:twoCellAnchor editAs="absolute">
    <xdr:from>
      <xdr:col>7</xdr:col>
      <xdr:colOff>704850</xdr:colOff>
      <xdr:row>1</xdr:row>
      <xdr:rowOff>142875</xdr:rowOff>
    </xdr:from>
    <xdr:to>
      <xdr:col>9</xdr:col>
      <xdr:colOff>32250</xdr:colOff>
      <xdr:row>2</xdr:row>
      <xdr:rowOff>13875</xdr:rowOff>
    </xdr:to>
    <xdr:sp macro="" textlink="">
      <xdr:nvSpPr>
        <xdr:cNvPr id="19" name="Retângul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337A1BE-C116-43BF-8AE1-5ACCC6889B81}"/>
            </a:ext>
          </a:extLst>
        </xdr:cNvPr>
        <xdr:cNvSpPr/>
      </xdr:nvSpPr>
      <xdr:spPr>
        <a:xfrm>
          <a:off x="5353050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Despesas</a:t>
          </a:r>
        </a:p>
      </xdr:txBody>
    </xdr:sp>
    <xdr:clientData/>
  </xdr:twoCellAnchor>
  <xdr:twoCellAnchor editAs="absolute">
    <xdr:from>
      <xdr:col>9</xdr:col>
      <xdr:colOff>47625</xdr:colOff>
      <xdr:row>1</xdr:row>
      <xdr:rowOff>142875</xdr:rowOff>
    </xdr:from>
    <xdr:to>
      <xdr:col>10</xdr:col>
      <xdr:colOff>251325</xdr:colOff>
      <xdr:row>2</xdr:row>
      <xdr:rowOff>13875</xdr:rowOff>
    </xdr:to>
    <xdr:sp macro="" textlink="">
      <xdr:nvSpPr>
        <xdr:cNvPr id="20" name="Retângul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17276C5-ED20-44B8-BE5C-85E3C2770D3C}"/>
            </a:ext>
          </a:extLst>
        </xdr:cNvPr>
        <xdr:cNvSpPr/>
      </xdr:nvSpPr>
      <xdr:spPr>
        <a:xfrm>
          <a:off x="64484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Reforma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485775</xdr:colOff>
      <xdr:row>1</xdr:row>
      <xdr:rowOff>142875</xdr:rowOff>
    </xdr:from>
    <xdr:to>
      <xdr:col>7</xdr:col>
      <xdr:colOff>689475</xdr:colOff>
      <xdr:row>2</xdr:row>
      <xdr:rowOff>13875</xdr:rowOff>
    </xdr:to>
    <xdr:sp macro="" textlink="">
      <xdr:nvSpPr>
        <xdr:cNvPr id="18" name="Retângulo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A55511B-4E45-424F-B8BE-FC6DB8A41FC1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2028</a:t>
          </a:r>
        </a:p>
      </xdr:txBody>
    </xdr:sp>
    <xdr:clientData fPrintsWithSheet="0"/>
  </xdr:twoCellAnchor>
  <xdr:twoCellAnchor editAs="absolute">
    <xdr:from>
      <xdr:col>3</xdr:col>
      <xdr:colOff>342900</xdr:colOff>
      <xdr:row>0</xdr:row>
      <xdr:rowOff>85725</xdr:rowOff>
    </xdr:from>
    <xdr:to>
      <xdr:col>4</xdr:col>
      <xdr:colOff>546600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4</xdr:col>
      <xdr:colOff>571500</xdr:colOff>
      <xdr:row>0</xdr:row>
      <xdr:rowOff>85725</xdr:rowOff>
    </xdr:from>
    <xdr:to>
      <xdr:col>5</xdr:col>
      <xdr:colOff>775200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5</xdr:col>
      <xdr:colOff>800100</xdr:colOff>
      <xdr:row>0</xdr:row>
      <xdr:rowOff>85725</xdr:rowOff>
    </xdr:from>
    <xdr:to>
      <xdr:col>7</xdr:col>
      <xdr:colOff>127500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8</xdr:col>
      <xdr:colOff>381000</xdr:colOff>
      <xdr:row>0</xdr:row>
      <xdr:rowOff>85725</xdr:rowOff>
    </xdr:from>
    <xdr:to>
      <xdr:col>9</xdr:col>
      <xdr:colOff>584700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9</xdr:col>
      <xdr:colOff>609600</xdr:colOff>
      <xdr:row>0</xdr:row>
      <xdr:rowOff>85725</xdr:rowOff>
    </xdr:from>
    <xdr:to>
      <xdr:col>10</xdr:col>
      <xdr:colOff>813300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10</xdr:col>
      <xdr:colOff>838200</xdr:colOff>
      <xdr:row>0</xdr:row>
      <xdr:rowOff>85725</xdr:rowOff>
    </xdr:from>
    <xdr:to>
      <xdr:col>12</xdr:col>
      <xdr:colOff>165600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7</xdr:col>
      <xdr:colOff>152400</xdr:colOff>
      <xdr:row>0</xdr:row>
      <xdr:rowOff>85725</xdr:rowOff>
    </xdr:from>
    <xdr:to>
      <xdr:col>8</xdr:col>
      <xdr:colOff>356100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2</xdr:col>
      <xdr:colOff>742950</xdr:colOff>
      <xdr:row>1</xdr:row>
      <xdr:rowOff>142875</xdr:rowOff>
    </xdr:from>
    <xdr:to>
      <xdr:col>4</xdr:col>
      <xdr:colOff>32250</xdr:colOff>
      <xdr:row>2</xdr:row>
      <xdr:rowOff>13875</xdr:rowOff>
    </xdr:to>
    <xdr:sp macro="" textlink="">
      <xdr:nvSpPr>
        <xdr:cNvPr id="10" name="Retângulo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2025</a:t>
          </a:r>
        </a:p>
      </xdr:txBody>
    </xdr:sp>
    <xdr:clientData fPrintsWithSheet="0"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00000000-0008-0000-0D00-00000C000000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00000000-0008-0000-0D00-00000D000000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4" name="Meio-quadro 13">
            <a:extLst>
              <a:ext uri="{FF2B5EF4-FFF2-40B4-BE49-F238E27FC236}">
                <a16:creationId xmlns:a16="http://schemas.microsoft.com/office/drawing/2014/main" id="{00000000-0008-0000-0D00-00000E000000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4</xdr:col>
      <xdr:colOff>47625</xdr:colOff>
      <xdr:row>1</xdr:row>
      <xdr:rowOff>142875</xdr:rowOff>
    </xdr:from>
    <xdr:to>
      <xdr:col>5</xdr:col>
      <xdr:colOff>251325</xdr:colOff>
      <xdr:row>2</xdr:row>
      <xdr:rowOff>13875</xdr:rowOff>
    </xdr:to>
    <xdr:sp macro="" textlink="">
      <xdr:nvSpPr>
        <xdr:cNvPr id="16" name="Retâ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5254013-C971-4195-85D7-A11FA28065BA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2026</a:t>
          </a:r>
        </a:p>
      </xdr:txBody>
    </xdr:sp>
    <xdr:clientData fPrintsWithSheet="0"/>
  </xdr:twoCellAnchor>
  <xdr:twoCellAnchor editAs="absolute">
    <xdr:from>
      <xdr:col>5</xdr:col>
      <xdr:colOff>266700</xdr:colOff>
      <xdr:row>1</xdr:row>
      <xdr:rowOff>142875</xdr:rowOff>
    </xdr:from>
    <xdr:to>
      <xdr:col>6</xdr:col>
      <xdr:colOff>470400</xdr:colOff>
      <xdr:row>2</xdr:row>
      <xdr:rowOff>13875</xdr:rowOff>
    </xdr:to>
    <xdr:sp macro="" textlink="">
      <xdr:nvSpPr>
        <xdr:cNvPr id="17" name="Retângulo 1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8807FE8-5110-4CB7-9BCE-3210C2A03DA8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2027</a:t>
          </a:r>
        </a:p>
      </xdr:txBody>
    </xdr:sp>
    <xdr:clientData fPrintsWithSheet="0"/>
  </xdr:twoCellAnchor>
  <xdr:twoCellAnchor editAs="absolute">
    <xdr:from>
      <xdr:col>7</xdr:col>
      <xdr:colOff>704850</xdr:colOff>
      <xdr:row>1</xdr:row>
      <xdr:rowOff>142875</xdr:rowOff>
    </xdr:from>
    <xdr:to>
      <xdr:col>9</xdr:col>
      <xdr:colOff>32250</xdr:colOff>
      <xdr:row>2</xdr:row>
      <xdr:rowOff>13875</xdr:rowOff>
    </xdr:to>
    <xdr:sp macro="" textlink="">
      <xdr:nvSpPr>
        <xdr:cNvPr id="19" name="Retângul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A023C04-B846-472A-9D92-098749AA1248}"/>
            </a:ext>
          </a:extLst>
        </xdr:cNvPr>
        <xdr:cNvSpPr/>
      </xdr:nvSpPr>
      <xdr:spPr>
        <a:xfrm>
          <a:off x="53530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2029</a:t>
          </a:r>
        </a:p>
      </xdr:txBody>
    </xdr:sp>
    <xdr:clientData fPrintsWithSheet="0"/>
  </xdr:twoCellAnchor>
  <xdr:twoCellAnchor editAs="absolute">
    <xdr:from>
      <xdr:col>9</xdr:col>
      <xdr:colOff>47625</xdr:colOff>
      <xdr:row>1</xdr:row>
      <xdr:rowOff>142875</xdr:rowOff>
    </xdr:from>
    <xdr:to>
      <xdr:col>10</xdr:col>
      <xdr:colOff>251325</xdr:colOff>
      <xdr:row>2</xdr:row>
      <xdr:rowOff>13875</xdr:rowOff>
    </xdr:to>
    <xdr:sp macro="" textlink="">
      <xdr:nvSpPr>
        <xdr:cNvPr id="20" name="Retângul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CCF7A0F7-CD20-486F-9BC3-499B4144ED18}"/>
            </a:ext>
          </a:extLst>
        </xdr:cNvPr>
        <xdr:cNvSpPr/>
      </xdr:nvSpPr>
      <xdr:spPr>
        <a:xfrm>
          <a:off x="64484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2030</a:t>
          </a:r>
        </a:p>
      </xdr:txBody>
    </xdr:sp>
    <xdr:clientData fPrintsWithSheet="0"/>
  </xdr:twoCellAnchor>
  <xdr:twoCellAnchor editAs="absolute">
    <xdr:from>
      <xdr:col>10</xdr:col>
      <xdr:colOff>266700</xdr:colOff>
      <xdr:row>1</xdr:row>
      <xdr:rowOff>142875</xdr:rowOff>
    </xdr:from>
    <xdr:to>
      <xdr:col>11</xdr:col>
      <xdr:colOff>470400</xdr:colOff>
      <xdr:row>2</xdr:row>
      <xdr:rowOff>13875</xdr:rowOff>
    </xdr:to>
    <xdr:sp macro="" textlink="">
      <xdr:nvSpPr>
        <xdr:cNvPr id="21" name="Retângul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65D4351F-69CD-49C3-82E4-B53A82987B28}"/>
            </a:ext>
          </a:extLst>
        </xdr:cNvPr>
        <xdr:cNvSpPr/>
      </xdr:nvSpPr>
      <xdr:spPr>
        <a:xfrm>
          <a:off x="75438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2031</a:t>
          </a:r>
        </a:p>
      </xdr:txBody>
    </xdr:sp>
    <xdr:clientData fPrintsWithSheet="0"/>
  </xdr:twoCellAnchor>
  <xdr:twoCellAnchor editAs="absolute">
    <xdr:from>
      <xdr:col>11</xdr:col>
      <xdr:colOff>485775</xdr:colOff>
      <xdr:row>1</xdr:row>
      <xdr:rowOff>142875</xdr:rowOff>
    </xdr:from>
    <xdr:to>
      <xdr:col>12</xdr:col>
      <xdr:colOff>689475</xdr:colOff>
      <xdr:row>2</xdr:row>
      <xdr:rowOff>13875</xdr:rowOff>
    </xdr:to>
    <xdr:sp macro="" textlink="">
      <xdr:nvSpPr>
        <xdr:cNvPr id="22" name="Retângul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6D61E9A0-1F35-42D1-8D6F-D36B6CF6F553}"/>
            </a:ext>
          </a:extLst>
        </xdr:cNvPr>
        <xdr:cNvSpPr/>
      </xdr:nvSpPr>
      <xdr:spPr>
        <a:xfrm>
          <a:off x="86391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2032</a:t>
          </a:r>
        </a:p>
      </xdr:txBody>
    </xdr:sp>
    <xdr:clientData fPrintsWithSheet="0"/>
  </xdr:twoCellAnchor>
  <xdr:twoCellAnchor editAs="absolute">
    <xdr:from>
      <xdr:col>12</xdr:col>
      <xdr:colOff>704850</xdr:colOff>
      <xdr:row>1</xdr:row>
      <xdr:rowOff>142875</xdr:rowOff>
    </xdr:from>
    <xdr:to>
      <xdr:col>14</xdr:col>
      <xdr:colOff>32250</xdr:colOff>
      <xdr:row>2</xdr:row>
      <xdr:rowOff>13875</xdr:rowOff>
    </xdr:to>
    <xdr:sp macro="" textlink="">
      <xdr:nvSpPr>
        <xdr:cNvPr id="23" name="Retângul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E5613FAB-715B-44F2-908F-80B71D7084CD}"/>
            </a:ext>
          </a:extLst>
        </xdr:cNvPr>
        <xdr:cNvSpPr/>
      </xdr:nvSpPr>
      <xdr:spPr>
        <a:xfrm>
          <a:off x="9734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2033</a:t>
          </a:r>
        </a:p>
      </xdr:txBody>
    </xdr:sp>
    <xdr:clientData fPrintsWithSheet="0"/>
  </xdr:twoCellAnchor>
  <xdr:twoCellAnchor editAs="absolute">
    <xdr:from>
      <xdr:col>7</xdr:col>
      <xdr:colOff>342900</xdr:colOff>
      <xdr:row>0</xdr:row>
      <xdr:rowOff>371475</xdr:rowOff>
    </xdr:from>
    <xdr:to>
      <xdr:col>8</xdr:col>
      <xdr:colOff>186600</xdr:colOff>
      <xdr:row>0</xdr:row>
      <xdr:rowOff>388425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46386552-7491-4E30-80BF-0A021C92F6B3}"/>
            </a:ext>
          </a:extLst>
        </xdr:cNvPr>
        <xdr:cNvSpPr/>
      </xdr:nvSpPr>
      <xdr:spPr>
        <a:xfrm>
          <a:off x="49911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342900</xdr:colOff>
      <xdr:row>0</xdr:row>
      <xdr:rowOff>85725</xdr:rowOff>
    </xdr:from>
    <xdr:to>
      <xdr:col>4</xdr:col>
      <xdr:colOff>546600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8B510C8-DDF8-4081-B457-B938E3E83BE8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4</xdr:col>
      <xdr:colOff>571500</xdr:colOff>
      <xdr:row>0</xdr:row>
      <xdr:rowOff>85725</xdr:rowOff>
    </xdr:from>
    <xdr:to>
      <xdr:col>5</xdr:col>
      <xdr:colOff>775200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F7EDA75-0B1E-44C9-8B9E-833BEB142D15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5</xdr:col>
      <xdr:colOff>800100</xdr:colOff>
      <xdr:row>0</xdr:row>
      <xdr:rowOff>85725</xdr:rowOff>
    </xdr:from>
    <xdr:to>
      <xdr:col>7</xdr:col>
      <xdr:colOff>127500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F306163-6757-48E1-AB81-AD724ADA05DB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8</xdr:col>
      <xdr:colOff>381000</xdr:colOff>
      <xdr:row>0</xdr:row>
      <xdr:rowOff>85725</xdr:rowOff>
    </xdr:from>
    <xdr:to>
      <xdr:col>9</xdr:col>
      <xdr:colOff>584700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9D490DB-E899-44AE-A4F9-CCDFD2CD0F75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9</xdr:col>
      <xdr:colOff>609600</xdr:colOff>
      <xdr:row>0</xdr:row>
      <xdr:rowOff>85725</xdr:rowOff>
    </xdr:from>
    <xdr:to>
      <xdr:col>10</xdr:col>
      <xdr:colOff>813300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C47B80E-3ACE-4FFA-A126-730E6AF3E0AD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10</xdr:col>
      <xdr:colOff>838200</xdr:colOff>
      <xdr:row>0</xdr:row>
      <xdr:rowOff>85725</xdr:rowOff>
    </xdr:from>
    <xdr:to>
      <xdr:col>12</xdr:col>
      <xdr:colOff>165600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4957C44-4AA5-4626-907A-BB4C3656D1B0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7</xdr:col>
      <xdr:colOff>152400</xdr:colOff>
      <xdr:row>0</xdr:row>
      <xdr:rowOff>85725</xdr:rowOff>
    </xdr:from>
    <xdr:to>
      <xdr:col>8</xdr:col>
      <xdr:colOff>356100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E378397-0192-45DF-9471-9E95DD7DEAAD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A3FF24F4-B650-476A-ADC5-34A7D1FC94FE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BAA7568D-EA66-7529-0DCF-B2538C635082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8755A081-2326-1F66-DFFA-947C2AE0DC00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4" name="Meio-quadro 13">
            <a:extLst>
              <a:ext uri="{FF2B5EF4-FFF2-40B4-BE49-F238E27FC236}">
                <a16:creationId xmlns:a16="http://schemas.microsoft.com/office/drawing/2014/main" id="{B00DCA37-067C-E82A-DC26-2A4ADFF0733E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7</xdr:col>
      <xdr:colOff>342900</xdr:colOff>
      <xdr:row>0</xdr:row>
      <xdr:rowOff>371475</xdr:rowOff>
    </xdr:from>
    <xdr:to>
      <xdr:col>8</xdr:col>
      <xdr:colOff>186600</xdr:colOff>
      <xdr:row>0</xdr:row>
      <xdr:rowOff>388425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922C05E-9FFA-4B16-B9F1-F0C158C3C7CB}"/>
            </a:ext>
          </a:extLst>
        </xdr:cNvPr>
        <xdr:cNvSpPr/>
      </xdr:nvSpPr>
      <xdr:spPr>
        <a:xfrm>
          <a:off x="49911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485775</xdr:colOff>
      <xdr:row>1</xdr:row>
      <xdr:rowOff>142875</xdr:rowOff>
    </xdr:from>
    <xdr:to>
      <xdr:col>7</xdr:col>
      <xdr:colOff>689475</xdr:colOff>
      <xdr:row>2</xdr:row>
      <xdr:rowOff>13875</xdr:rowOff>
    </xdr:to>
    <xdr:sp macro="" textlink="">
      <xdr:nvSpPr>
        <xdr:cNvPr id="8" name="Retângulo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C5908BB-63AF-431E-A2A5-3FD2FE1083C4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2028</a:t>
          </a:r>
        </a:p>
      </xdr:txBody>
    </xdr:sp>
    <xdr:clientData fPrintsWithSheet="0"/>
  </xdr:twoCellAnchor>
  <xdr:twoCellAnchor editAs="absolute">
    <xdr:from>
      <xdr:col>2</xdr:col>
      <xdr:colOff>742950</xdr:colOff>
      <xdr:row>1</xdr:row>
      <xdr:rowOff>142875</xdr:rowOff>
    </xdr:from>
    <xdr:to>
      <xdr:col>4</xdr:col>
      <xdr:colOff>32250</xdr:colOff>
      <xdr:row>2</xdr:row>
      <xdr:rowOff>13875</xdr:rowOff>
    </xdr:to>
    <xdr:sp macro="" textlink="">
      <xdr:nvSpPr>
        <xdr:cNvPr id="16" name="Retângulo 1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3A3A090-B527-4380-95EA-5BAF110B8CF0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2025</a:t>
          </a:r>
        </a:p>
      </xdr:txBody>
    </xdr:sp>
    <xdr:clientData fPrintsWithSheet="0"/>
  </xdr:twoCellAnchor>
  <xdr:twoCellAnchor editAs="absolute">
    <xdr:from>
      <xdr:col>4</xdr:col>
      <xdr:colOff>47625</xdr:colOff>
      <xdr:row>1</xdr:row>
      <xdr:rowOff>142875</xdr:rowOff>
    </xdr:from>
    <xdr:to>
      <xdr:col>5</xdr:col>
      <xdr:colOff>251325</xdr:colOff>
      <xdr:row>2</xdr:row>
      <xdr:rowOff>13875</xdr:rowOff>
    </xdr:to>
    <xdr:sp macro="" textlink="">
      <xdr:nvSpPr>
        <xdr:cNvPr id="17" name="Retângulo 1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46649992-60B5-4E3B-BB86-76307572FBDC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2026</a:t>
          </a:r>
        </a:p>
      </xdr:txBody>
    </xdr:sp>
    <xdr:clientData fPrintsWithSheet="0"/>
  </xdr:twoCellAnchor>
  <xdr:twoCellAnchor editAs="absolute">
    <xdr:from>
      <xdr:col>5</xdr:col>
      <xdr:colOff>266700</xdr:colOff>
      <xdr:row>1</xdr:row>
      <xdr:rowOff>142875</xdr:rowOff>
    </xdr:from>
    <xdr:to>
      <xdr:col>6</xdr:col>
      <xdr:colOff>470400</xdr:colOff>
      <xdr:row>2</xdr:row>
      <xdr:rowOff>13875</xdr:rowOff>
    </xdr:to>
    <xdr:sp macro="" textlink="">
      <xdr:nvSpPr>
        <xdr:cNvPr id="18" name="Retângul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A571E20B-A356-4736-8041-45AE8F993E30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2027</a:t>
          </a:r>
        </a:p>
      </xdr:txBody>
    </xdr:sp>
    <xdr:clientData fPrintsWithSheet="0"/>
  </xdr:twoCellAnchor>
  <xdr:twoCellAnchor editAs="absolute">
    <xdr:from>
      <xdr:col>7</xdr:col>
      <xdr:colOff>704850</xdr:colOff>
      <xdr:row>1</xdr:row>
      <xdr:rowOff>142875</xdr:rowOff>
    </xdr:from>
    <xdr:to>
      <xdr:col>9</xdr:col>
      <xdr:colOff>32250</xdr:colOff>
      <xdr:row>2</xdr:row>
      <xdr:rowOff>13875</xdr:rowOff>
    </xdr:to>
    <xdr:sp macro="" textlink="">
      <xdr:nvSpPr>
        <xdr:cNvPr id="19" name="Retângul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8F907D5-2B63-421A-A354-626FFC327CB1}"/>
            </a:ext>
          </a:extLst>
        </xdr:cNvPr>
        <xdr:cNvSpPr/>
      </xdr:nvSpPr>
      <xdr:spPr>
        <a:xfrm>
          <a:off x="53530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2029</a:t>
          </a:r>
        </a:p>
      </xdr:txBody>
    </xdr:sp>
    <xdr:clientData fPrintsWithSheet="0"/>
  </xdr:twoCellAnchor>
  <xdr:twoCellAnchor editAs="absolute">
    <xdr:from>
      <xdr:col>9</xdr:col>
      <xdr:colOff>47625</xdr:colOff>
      <xdr:row>1</xdr:row>
      <xdr:rowOff>142875</xdr:rowOff>
    </xdr:from>
    <xdr:to>
      <xdr:col>10</xdr:col>
      <xdr:colOff>251325</xdr:colOff>
      <xdr:row>2</xdr:row>
      <xdr:rowOff>13875</xdr:rowOff>
    </xdr:to>
    <xdr:sp macro="" textlink="">
      <xdr:nvSpPr>
        <xdr:cNvPr id="20" name="Retângul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87E0A498-D644-4431-9BA3-2522A4CB4C11}"/>
            </a:ext>
          </a:extLst>
        </xdr:cNvPr>
        <xdr:cNvSpPr/>
      </xdr:nvSpPr>
      <xdr:spPr>
        <a:xfrm>
          <a:off x="64484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2030</a:t>
          </a:r>
        </a:p>
      </xdr:txBody>
    </xdr:sp>
    <xdr:clientData fPrintsWithSheet="0"/>
  </xdr:twoCellAnchor>
  <xdr:twoCellAnchor editAs="absolute">
    <xdr:from>
      <xdr:col>10</xdr:col>
      <xdr:colOff>266700</xdr:colOff>
      <xdr:row>1</xdr:row>
      <xdr:rowOff>142875</xdr:rowOff>
    </xdr:from>
    <xdr:to>
      <xdr:col>11</xdr:col>
      <xdr:colOff>470400</xdr:colOff>
      <xdr:row>2</xdr:row>
      <xdr:rowOff>13875</xdr:rowOff>
    </xdr:to>
    <xdr:sp macro="" textlink="">
      <xdr:nvSpPr>
        <xdr:cNvPr id="21" name="Retângul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F73D03F-0BA7-4575-BAA2-309714D25F09}"/>
            </a:ext>
          </a:extLst>
        </xdr:cNvPr>
        <xdr:cNvSpPr/>
      </xdr:nvSpPr>
      <xdr:spPr>
        <a:xfrm>
          <a:off x="75438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2031</a:t>
          </a:r>
        </a:p>
      </xdr:txBody>
    </xdr:sp>
    <xdr:clientData fPrintsWithSheet="0"/>
  </xdr:twoCellAnchor>
  <xdr:twoCellAnchor editAs="absolute">
    <xdr:from>
      <xdr:col>11</xdr:col>
      <xdr:colOff>485775</xdr:colOff>
      <xdr:row>1</xdr:row>
      <xdr:rowOff>142875</xdr:rowOff>
    </xdr:from>
    <xdr:to>
      <xdr:col>12</xdr:col>
      <xdr:colOff>689475</xdr:colOff>
      <xdr:row>2</xdr:row>
      <xdr:rowOff>13875</xdr:rowOff>
    </xdr:to>
    <xdr:sp macro="" textlink="">
      <xdr:nvSpPr>
        <xdr:cNvPr id="22" name="Retângul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7322171A-EAA2-4282-A14F-5D472C4B6AFF}"/>
            </a:ext>
          </a:extLst>
        </xdr:cNvPr>
        <xdr:cNvSpPr/>
      </xdr:nvSpPr>
      <xdr:spPr>
        <a:xfrm>
          <a:off x="86391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2032</a:t>
          </a:r>
        </a:p>
      </xdr:txBody>
    </xdr:sp>
    <xdr:clientData fPrintsWithSheet="0"/>
  </xdr:twoCellAnchor>
  <xdr:twoCellAnchor editAs="absolute">
    <xdr:from>
      <xdr:col>12</xdr:col>
      <xdr:colOff>704850</xdr:colOff>
      <xdr:row>1</xdr:row>
      <xdr:rowOff>142875</xdr:rowOff>
    </xdr:from>
    <xdr:to>
      <xdr:col>14</xdr:col>
      <xdr:colOff>32250</xdr:colOff>
      <xdr:row>2</xdr:row>
      <xdr:rowOff>13875</xdr:rowOff>
    </xdr:to>
    <xdr:sp macro="" textlink="">
      <xdr:nvSpPr>
        <xdr:cNvPr id="23" name="Retângul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22392124-894D-46FB-B033-377716BD2946}"/>
            </a:ext>
          </a:extLst>
        </xdr:cNvPr>
        <xdr:cNvSpPr/>
      </xdr:nvSpPr>
      <xdr:spPr>
        <a:xfrm>
          <a:off x="9734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2033</a:t>
          </a:r>
        </a:p>
      </xdr:txBody>
    </xdr:sp>
    <xdr:clientData fPrintsWithSheet="0"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342900</xdr:colOff>
      <xdr:row>0</xdr:row>
      <xdr:rowOff>85725</xdr:rowOff>
    </xdr:from>
    <xdr:to>
      <xdr:col>4</xdr:col>
      <xdr:colOff>546600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B206F47-3415-4C16-AC63-C857109417E3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4</xdr:col>
      <xdr:colOff>571500</xdr:colOff>
      <xdr:row>0</xdr:row>
      <xdr:rowOff>85725</xdr:rowOff>
    </xdr:from>
    <xdr:to>
      <xdr:col>5</xdr:col>
      <xdr:colOff>775200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4BBBFCF-553B-4685-B011-DB44967A231D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5</xdr:col>
      <xdr:colOff>800100</xdr:colOff>
      <xdr:row>0</xdr:row>
      <xdr:rowOff>85725</xdr:rowOff>
    </xdr:from>
    <xdr:to>
      <xdr:col>7</xdr:col>
      <xdr:colOff>127500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4D1F63F-A0B2-4594-A6A9-87270B5775FF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8</xdr:col>
      <xdr:colOff>381000</xdr:colOff>
      <xdr:row>0</xdr:row>
      <xdr:rowOff>85725</xdr:rowOff>
    </xdr:from>
    <xdr:to>
      <xdr:col>9</xdr:col>
      <xdr:colOff>584700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C7814EC-F740-4655-BE67-F476DA50CEFD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9</xdr:col>
      <xdr:colOff>609600</xdr:colOff>
      <xdr:row>0</xdr:row>
      <xdr:rowOff>85725</xdr:rowOff>
    </xdr:from>
    <xdr:to>
      <xdr:col>10</xdr:col>
      <xdr:colOff>813300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A81F08-A72B-42F7-A718-6B4E5562E6CA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10</xdr:col>
      <xdr:colOff>838200</xdr:colOff>
      <xdr:row>0</xdr:row>
      <xdr:rowOff>85725</xdr:rowOff>
    </xdr:from>
    <xdr:to>
      <xdr:col>12</xdr:col>
      <xdr:colOff>165600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DB3F6BA-4C86-4506-A01B-5CD3D369B4D1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7</xdr:col>
      <xdr:colOff>152400</xdr:colOff>
      <xdr:row>0</xdr:row>
      <xdr:rowOff>85725</xdr:rowOff>
    </xdr:from>
    <xdr:to>
      <xdr:col>8</xdr:col>
      <xdr:colOff>356100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CE60244-1CBF-4611-9690-67C1ECEBCE3D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889BA49D-A53A-48BB-833F-ADB0A49A2F5C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E54653B3-C68A-8267-0E36-5964F86373FA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2" name="Meio-quadro 11">
            <a:extLst>
              <a:ext uri="{FF2B5EF4-FFF2-40B4-BE49-F238E27FC236}">
                <a16:creationId xmlns:a16="http://schemas.microsoft.com/office/drawing/2014/main" id="{E2E0A4D8-E6EA-3392-F978-28969AFDA70F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74A0BC91-F4E5-6B16-9623-1C5EDF6445E5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133350</xdr:colOff>
          <xdr:row>2</xdr:row>
          <xdr:rowOff>257175</xdr:rowOff>
        </xdr:from>
        <xdr:to>
          <xdr:col>18</xdr:col>
          <xdr:colOff>9525</xdr:colOff>
          <xdr:row>2</xdr:row>
          <xdr:rowOff>638175</xdr:rowOff>
        </xdr:to>
        <xdr:sp macro="" textlink="">
          <xdr:nvSpPr>
            <xdr:cNvPr id="46081" name="Drop Dow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2A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oneCellAnchor>
    <xdr:from>
      <xdr:col>10</xdr:col>
      <xdr:colOff>28575</xdr:colOff>
      <xdr:row>2</xdr:row>
      <xdr:rowOff>323850</xdr:rowOff>
    </xdr:from>
    <xdr:ext cx="1832168" cy="248851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719EBB2C-55DD-2B16-D2EF-285BEE261353}"/>
            </a:ext>
          </a:extLst>
        </xdr:cNvPr>
        <xdr:cNvSpPr txBox="1"/>
      </xdr:nvSpPr>
      <xdr:spPr>
        <a:xfrm>
          <a:off x="7305675" y="1143000"/>
          <a:ext cx="1832168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000" kern="1200">
              <a:latin typeface="+mn-lt"/>
              <a:ea typeface="Tahoma" panose="020B0604030504040204" pitchFamily="34" charset="0"/>
              <a:cs typeface="Tahoma" panose="020B0604030504040204" pitchFamily="34" charset="0"/>
            </a:rPr>
            <a:t>Se Simples</a:t>
          </a:r>
          <a:r>
            <a:rPr lang="pt-BR" sz="1000" kern="1200" baseline="0">
              <a:latin typeface="+mn-lt"/>
              <a:ea typeface="Tahoma" panose="020B0604030504040204" pitchFamily="34" charset="0"/>
              <a:cs typeface="Tahoma" panose="020B0604030504040204" pitchFamily="34" charset="0"/>
            </a:rPr>
            <a:t> Nacional, analisar →</a:t>
          </a:r>
          <a:endParaRPr lang="pt-BR" sz="1000" kern="1200">
            <a:latin typeface="+mn-lt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 fPrintsWithSheet="0"/>
  </xdr:oneCellAnchor>
  <xdr:twoCellAnchor editAs="absolute">
    <xdr:from>
      <xdr:col>7</xdr:col>
      <xdr:colOff>342900</xdr:colOff>
      <xdr:row>0</xdr:row>
      <xdr:rowOff>371475</xdr:rowOff>
    </xdr:from>
    <xdr:to>
      <xdr:col>8</xdr:col>
      <xdr:colOff>186600</xdr:colOff>
      <xdr:row>0</xdr:row>
      <xdr:rowOff>388425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FD097E2F-046C-4AF0-8B54-7AC859B6B11C}"/>
            </a:ext>
          </a:extLst>
        </xdr:cNvPr>
        <xdr:cNvSpPr/>
      </xdr:nvSpPr>
      <xdr:spPr>
        <a:xfrm>
          <a:off x="49911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485775</xdr:colOff>
      <xdr:row>1</xdr:row>
      <xdr:rowOff>142875</xdr:rowOff>
    </xdr:from>
    <xdr:to>
      <xdr:col>7</xdr:col>
      <xdr:colOff>689475</xdr:colOff>
      <xdr:row>2</xdr:row>
      <xdr:rowOff>13875</xdr:rowOff>
    </xdr:to>
    <xdr:sp macro="" textlink="">
      <xdr:nvSpPr>
        <xdr:cNvPr id="8" name="Retângulo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5BCFD4-00E5-431C-8629-41044911298C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2028</a:t>
          </a:r>
        </a:p>
      </xdr:txBody>
    </xdr:sp>
    <xdr:clientData fPrintsWithSheet="0"/>
  </xdr:twoCellAnchor>
  <xdr:twoCellAnchor editAs="absolute">
    <xdr:from>
      <xdr:col>2</xdr:col>
      <xdr:colOff>742950</xdr:colOff>
      <xdr:row>1</xdr:row>
      <xdr:rowOff>142875</xdr:rowOff>
    </xdr:from>
    <xdr:to>
      <xdr:col>4</xdr:col>
      <xdr:colOff>32250</xdr:colOff>
      <xdr:row>2</xdr:row>
      <xdr:rowOff>13875</xdr:rowOff>
    </xdr:to>
    <xdr:sp macro="" textlink="">
      <xdr:nvSpPr>
        <xdr:cNvPr id="15" name="Retângulo 1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708C69B-A5BB-4563-832A-17BB54CEDC45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2025</a:t>
          </a:r>
        </a:p>
      </xdr:txBody>
    </xdr:sp>
    <xdr:clientData fPrintsWithSheet="0"/>
  </xdr:twoCellAnchor>
  <xdr:twoCellAnchor editAs="absolute">
    <xdr:from>
      <xdr:col>4</xdr:col>
      <xdr:colOff>47625</xdr:colOff>
      <xdr:row>1</xdr:row>
      <xdr:rowOff>142875</xdr:rowOff>
    </xdr:from>
    <xdr:to>
      <xdr:col>5</xdr:col>
      <xdr:colOff>251325</xdr:colOff>
      <xdr:row>2</xdr:row>
      <xdr:rowOff>13875</xdr:rowOff>
    </xdr:to>
    <xdr:sp macro="" textlink="">
      <xdr:nvSpPr>
        <xdr:cNvPr id="17" name="Retângulo 1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8445C35-CCDA-46BF-95B8-184E979E32E7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2026</a:t>
          </a:r>
        </a:p>
      </xdr:txBody>
    </xdr:sp>
    <xdr:clientData fPrintsWithSheet="0"/>
  </xdr:twoCellAnchor>
  <xdr:twoCellAnchor editAs="absolute">
    <xdr:from>
      <xdr:col>5</xdr:col>
      <xdr:colOff>266700</xdr:colOff>
      <xdr:row>1</xdr:row>
      <xdr:rowOff>142875</xdr:rowOff>
    </xdr:from>
    <xdr:to>
      <xdr:col>6</xdr:col>
      <xdr:colOff>470400</xdr:colOff>
      <xdr:row>2</xdr:row>
      <xdr:rowOff>13875</xdr:rowOff>
    </xdr:to>
    <xdr:sp macro="" textlink="">
      <xdr:nvSpPr>
        <xdr:cNvPr id="18" name="Retângul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CCFC8B8-0513-4C3C-98D2-CCDFBBABDDF6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2027</a:t>
          </a:r>
        </a:p>
      </xdr:txBody>
    </xdr:sp>
    <xdr:clientData fPrintsWithSheet="0"/>
  </xdr:twoCellAnchor>
  <xdr:twoCellAnchor editAs="absolute">
    <xdr:from>
      <xdr:col>7</xdr:col>
      <xdr:colOff>704850</xdr:colOff>
      <xdr:row>1</xdr:row>
      <xdr:rowOff>142875</xdr:rowOff>
    </xdr:from>
    <xdr:to>
      <xdr:col>9</xdr:col>
      <xdr:colOff>32250</xdr:colOff>
      <xdr:row>2</xdr:row>
      <xdr:rowOff>13875</xdr:rowOff>
    </xdr:to>
    <xdr:sp macro="" textlink="">
      <xdr:nvSpPr>
        <xdr:cNvPr id="19" name="Retângul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1FE3A80-95C4-4640-B5E3-064B17EB8989}"/>
            </a:ext>
          </a:extLst>
        </xdr:cNvPr>
        <xdr:cNvSpPr/>
      </xdr:nvSpPr>
      <xdr:spPr>
        <a:xfrm>
          <a:off x="53530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2029</a:t>
          </a:r>
        </a:p>
      </xdr:txBody>
    </xdr:sp>
    <xdr:clientData fPrintsWithSheet="0"/>
  </xdr:twoCellAnchor>
  <xdr:twoCellAnchor editAs="absolute">
    <xdr:from>
      <xdr:col>9</xdr:col>
      <xdr:colOff>47625</xdr:colOff>
      <xdr:row>1</xdr:row>
      <xdr:rowOff>142875</xdr:rowOff>
    </xdr:from>
    <xdr:to>
      <xdr:col>10</xdr:col>
      <xdr:colOff>251325</xdr:colOff>
      <xdr:row>2</xdr:row>
      <xdr:rowOff>13875</xdr:rowOff>
    </xdr:to>
    <xdr:sp macro="" textlink="">
      <xdr:nvSpPr>
        <xdr:cNvPr id="20" name="Retângul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9FE6BA95-6777-4E2F-8F8D-13394899D8F7}"/>
            </a:ext>
          </a:extLst>
        </xdr:cNvPr>
        <xdr:cNvSpPr/>
      </xdr:nvSpPr>
      <xdr:spPr>
        <a:xfrm>
          <a:off x="64484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2030</a:t>
          </a:r>
        </a:p>
      </xdr:txBody>
    </xdr:sp>
    <xdr:clientData fPrintsWithSheet="0"/>
  </xdr:twoCellAnchor>
  <xdr:twoCellAnchor editAs="absolute">
    <xdr:from>
      <xdr:col>10</xdr:col>
      <xdr:colOff>266700</xdr:colOff>
      <xdr:row>1</xdr:row>
      <xdr:rowOff>142875</xdr:rowOff>
    </xdr:from>
    <xdr:to>
      <xdr:col>11</xdr:col>
      <xdr:colOff>470400</xdr:colOff>
      <xdr:row>2</xdr:row>
      <xdr:rowOff>13875</xdr:rowOff>
    </xdr:to>
    <xdr:sp macro="" textlink="">
      <xdr:nvSpPr>
        <xdr:cNvPr id="21" name="Retângul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B7E82663-266C-4D74-9C1B-87C94917F232}"/>
            </a:ext>
          </a:extLst>
        </xdr:cNvPr>
        <xdr:cNvSpPr/>
      </xdr:nvSpPr>
      <xdr:spPr>
        <a:xfrm>
          <a:off x="75438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2031</a:t>
          </a:r>
        </a:p>
      </xdr:txBody>
    </xdr:sp>
    <xdr:clientData fPrintsWithSheet="0"/>
  </xdr:twoCellAnchor>
  <xdr:twoCellAnchor editAs="absolute">
    <xdr:from>
      <xdr:col>11</xdr:col>
      <xdr:colOff>485775</xdr:colOff>
      <xdr:row>1</xdr:row>
      <xdr:rowOff>142875</xdr:rowOff>
    </xdr:from>
    <xdr:to>
      <xdr:col>12</xdr:col>
      <xdr:colOff>689475</xdr:colOff>
      <xdr:row>2</xdr:row>
      <xdr:rowOff>13875</xdr:rowOff>
    </xdr:to>
    <xdr:sp macro="" textlink="">
      <xdr:nvSpPr>
        <xdr:cNvPr id="22" name="Retângul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CACA9DF-358D-4B6A-82EF-784CD0C3F41D}"/>
            </a:ext>
          </a:extLst>
        </xdr:cNvPr>
        <xdr:cNvSpPr/>
      </xdr:nvSpPr>
      <xdr:spPr>
        <a:xfrm>
          <a:off x="86391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2032</a:t>
          </a:r>
        </a:p>
      </xdr:txBody>
    </xdr:sp>
    <xdr:clientData fPrintsWithSheet="0"/>
  </xdr:twoCellAnchor>
  <xdr:twoCellAnchor editAs="absolute">
    <xdr:from>
      <xdr:col>12</xdr:col>
      <xdr:colOff>704850</xdr:colOff>
      <xdr:row>1</xdr:row>
      <xdr:rowOff>142875</xdr:rowOff>
    </xdr:from>
    <xdr:to>
      <xdr:col>14</xdr:col>
      <xdr:colOff>32250</xdr:colOff>
      <xdr:row>2</xdr:row>
      <xdr:rowOff>13875</xdr:rowOff>
    </xdr:to>
    <xdr:sp macro="" textlink="">
      <xdr:nvSpPr>
        <xdr:cNvPr id="23" name="Retângul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BC8C8C9C-96F9-465C-914D-B338AC938F21}"/>
            </a:ext>
          </a:extLst>
        </xdr:cNvPr>
        <xdr:cNvSpPr/>
      </xdr:nvSpPr>
      <xdr:spPr>
        <a:xfrm>
          <a:off x="9734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2033</a:t>
          </a:r>
        </a:p>
      </xdr:txBody>
    </xdr:sp>
    <xdr:clientData fPrintsWithSheet="0"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342900</xdr:colOff>
      <xdr:row>0</xdr:row>
      <xdr:rowOff>85725</xdr:rowOff>
    </xdr:from>
    <xdr:to>
      <xdr:col>4</xdr:col>
      <xdr:colOff>546600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B77E05-898B-40BF-AC76-DCB6FBDB1088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4</xdr:col>
      <xdr:colOff>571500</xdr:colOff>
      <xdr:row>0</xdr:row>
      <xdr:rowOff>85725</xdr:rowOff>
    </xdr:from>
    <xdr:to>
      <xdr:col>5</xdr:col>
      <xdr:colOff>775200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D9FFCDF-336D-4C4F-B64F-7FFB28540894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5</xdr:col>
      <xdr:colOff>800100</xdr:colOff>
      <xdr:row>0</xdr:row>
      <xdr:rowOff>85725</xdr:rowOff>
    </xdr:from>
    <xdr:to>
      <xdr:col>7</xdr:col>
      <xdr:colOff>127500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F9F1A01-0683-47FE-9D7E-C47316240633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8</xdr:col>
      <xdr:colOff>381000</xdr:colOff>
      <xdr:row>0</xdr:row>
      <xdr:rowOff>85725</xdr:rowOff>
    </xdr:from>
    <xdr:to>
      <xdr:col>9</xdr:col>
      <xdr:colOff>584700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845DF11-00AB-402E-BD07-C3B3A4BC3016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9</xdr:col>
      <xdr:colOff>609600</xdr:colOff>
      <xdr:row>0</xdr:row>
      <xdr:rowOff>85725</xdr:rowOff>
    </xdr:from>
    <xdr:to>
      <xdr:col>10</xdr:col>
      <xdr:colOff>813300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9676FC3-AA01-4E25-B9E1-53F613C8970E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10</xdr:col>
      <xdr:colOff>838200</xdr:colOff>
      <xdr:row>0</xdr:row>
      <xdr:rowOff>85725</xdr:rowOff>
    </xdr:from>
    <xdr:to>
      <xdr:col>12</xdr:col>
      <xdr:colOff>165600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1C1A74F-E901-4BC4-B11F-B5E1B84795F4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7</xdr:col>
      <xdr:colOff>152400</xdr:colOff>
      <xdr:row>0</xdr:row>
      <xdr:rowOff>85725</xdr:rowOff>
    </xdr:from>
    <xdr:to>
      <xdr:col>8</xdr:col>
      <xdr:colOff>356100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5C94D13-EF65-49D8-A6E3-9D2EB620B8B9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F3E19481-0E29-4ABD-8534-AAF19705BEF3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9158AA9B-F6CE-66E7-A966-9BC6D6A2DAF5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2" name="Meio-quadro 11">
            <a:extLst>
              <a:ext uri="{FF2B5EF4-FFF2-40B4-BE49-F238E27FC236}">
                <a16:creationId xmlns:a16="http://schemas.microsoft.com/office/drawing/2014/main" id="{52C154CF-7B46-BD0C-262A-EF67C303A09D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04159AA5-13B9-C66A-D12B-86A6CB402E6B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133350</xdr:colOff>
          <xdr:row>2</xdr:row>
          <xdr:rowOff>257175</xdr:rowOff>
        </xdr:from>
        <xdr:to>
          <xdr:col>18</xdr:col>
          <xdr:colOff>9525</xdr:colOff>
          <xdr:row>2</xdr:row>
          <xdr:rowOff>638175</xdr:rowOff>
        </xdr:to>
        <xdr:sp macro="" textlink="">
          <xdr:nvSpPr>
            <xdr:cNvPr id="49153" name="Drop Dow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2B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oneCellAnchor>
    <xdr:from>
      <xdr:col>10</xdr:col>
      <xdr:colOff>28575</xdr:colOff>
      <xdr:row>2</xdr:row>
      <xdr:rowOff>323850</xdr:rowOff>
    </xdr:from>
    <xdr:ext cx="1832168" cy="248851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A163E131-1281-40BA-8154-E809D9E0F829}"/>
            </a:ext>
          </a:extLst>
        </xdr:cNvPr>
        <xdr:cNvSpPr txBox="1"/>
      </xdr:nvSpPr>
      <xdr:spPr>
        <a:xfrm>
          <a:off x="7305675" y="1143000"/>
          <a:ext cx="1832168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000" kern="1200">
              <a:latin typeface="+mn-lt"/>
              <a:ea typeface="Tahoma" panose="020B0604030504040204" pitchFamily="34" charset="0"/>
              <a:cs typeface="Tahoma" panose="020B0604030504040204" pitchFamily="34" charset="0"/>
            </a:rPr>
            <a:t>Se Simples</a:t>
          </a:r>
          <a:r>
            <a:rPr lang="pt-BR" sz="1000" kern="1200" baseline="0">
              <a:latin typeface="+mn-lt"/>
              <a:ea typeface="Tahoma" panose="020B0604030504040204" pitchFamily="34" charset="0"/>
              <a:cs typeface="Tahoma" panose="020B0604030504040204" pitchFamily="34" charset="0"/>
            </a:rPr>
            <a:t> Nacional, analisar →</a:t>
          </a:r>
          <a:endParaRPr lang="pt-BR" sz="1000" kern="1200">
            <a:latin typeface="+mn-lt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 fPrintsWithSheet="0"/>
  </xdr:oneCellAnchor>
  <xdr:twoCellAnchor editAs="absolute">
    <xdr:from>
      <xdr:col>7</xdr:col>
      <xdr:colOff>342900</xdr:colOff>
      <xdr:row>0</xdr:row>
      <xdr:rowOff>371475</xdr:rowOff>
    </xdr:from>
    <xdr:to>
      <xdr:col>8</xdr:col>
      <xdr:colOff>186600</xdr:colOff>
      <xdr:row>0</xdr:row>
      <xdr:rowOff>388425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A4A1730-341D-4ECF-AABB-082E06163C73}"/>
            </a:ext>
          </a:extLst>
        </xdr:cNvPr>
        <xdr:cNvSpPr/>
      </xdr:nvSpPr>
      <xdr:spPr>
        <a:xfrm>
          <a:off x="49911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485775</xdr:colOff>
      <xdr:row>1</xdr:row>
      <xdr:rowOff>142875</xdr:rowOff>
    </xdr:from>
    <xdr:to>
      <xdr:col>7</xdr:col>
      <xdr:colOff>689475</xdr:colOff>
      <xdr:row>2</xdr:row>
      <xdr:rowOff>13875</xdr:rowOff>
    </xdr:to>
    <xdr:sp macro="" textlink="">
      <xdr:nvSpPr>
        <xdr:cNvPr id="8" name="Retângulo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427D62B-2E8B-42CB-B6FD-23B4A23345E6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2028</a:t>
          </a:r>
        </a:p>
      </xdr:txBody>
    </xdr:sp>
    <xdr:clientData fPrintsWithSheet="0"/>
  </xdr:twoCellAnchor>
  <xdr:twoCellAnchor editAs="absolute">
    <xdr:from>
      <xdr:col>2</xdr:col>
      <xdr:colOff>742950</xdr:colOff>
      <xdr:row>1</xdr:row>
      <xdr:rowOff>142875</xdr:rowOff>
    </xdr:from>
    <xdr:to>
      <xdr:col>4</xdr:col>
      <xdr:colOff>32250</xdr:colOff>
      <xdr:row>2</xdr:row>
      <xdr:rowOff>13875</xdr:rowOff>
    </xdr:to>
    <xdr:sp macro="" textlink="">
      <xdr:nvSpPr>
        <xdr:cNvPr id="16" name="Retângulo 1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D4A0125-7671-487C-84AA-A3267FE037C5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2025</a:t>
          </a:r>
        </a:p>
      </xdr:txBody>
    </xdr:sp>
    <xdr:clientData fPrintsWithSheet="0"/>
  </xdr:twoCellAnchor>
  <xdr:twoCellAnchor editAs="absolute">
    <xdr:from>
      <xdr:col>4</xdr:col>
      <xdr:colOff>47625</xdr:colOff>
      <xdr:row>1</xdr:row>
      <xdr:rowOff>142875</xdr:rowOff>
    </xdr:from>
    <xdr:to>
      <xdr:col>5</xdr:col>
      <xdr:colOff>251325</xdr:colOff>
      <xdr:row>2</xdr:row>
      <xdr:rowOff>13875</xdr:rowOff>
    </xdr:to>
    <xdr:sp macro="" textlink="">
      <xdr:nvSpPr>
        <xdr:cNvPr id="17" name="Retângulo 1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C9F7697-3437-471B-A835-364D8CD03FE9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2026</a:t>
          </a:r>
        </a:p>
      </xdr:txBody>
    </xdr:sp>
    <xdr:clientData fPrintsWithSheet="0"/>
  </xdr:twoCellAnchor>
  <xdr:twoCellAnchor editAs="absolute">
    <xdr:from>
      <xdr:col>5</xdr:col>
      <xdr:colOff>266700</xdr:colOff>
      <xdr:row>1</xdr:row>
      <xdr:rowOff>142875</xdr:rowOff>
    </xdr:from>
    <xdr:to>
      <xdr:col>6</xdr:col>
      <xdr:colOff>470400</xdr:colOff>
      <xdr:row>2</xdr:row>
      <xdr:rowOff>13875</xdr:rowOff>
    </xdr:to>
    <xdr:sp macro="" textlink="">
      <xdr:nvSpPr>
        <xdr:cNvPr id="18" name="Retângul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D71795C1-CAAF-426B-BAC1-9F4B27331BE3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2027</a:t>
          </a:r>
        </a:p>
      </xdr:txBody>
    </xdr:sp>
    <xdr:clientData fPrintsWithSheet="0"/>
  </xdr:twoCellAnchor>
  <xdr:twoCellAnchor editAs="absolute">
    <xdr:from>
      <xdr:col>7</xdr:col>
      <xdr:colOff>704850</xdr:colOff>
      <xdr:row>1</xdr:row>
      <xdr:rowOff>142875</xdr:rowOff>
    </xdr:from>
    <xdr:to>
      <xdr:col>9</xdr:col>
      <xdr:colOff>32250</xdr:colOff>
      <xdr:row>2</xdr:row>
      <xdr:rowOff>13875</xdr:rowOff>
    </xdr:to>
    <xdr:sp macro="" textlink="">
      <xdr:nvSpPr>
        <xdr:cNvPr id="19" name="Retângul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6830C88-E0EE-4E0D-87FD-98EB6DEC9727}"/>
            </a:ext>
          </a:extLst>
        </xdr:cNvPr>
        <xdr:cNvSpPr/>
      </xdr:nvSpPr>
      <xdr:spPr>
        <a:xfrm>
          <a:off x="53530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2029</a:t>
          </a:r>
        </a:p>
      </xdr:txBody>
    </xdr:sp>
    <xdr:clientData fPrintsWithSheet="0"/>
  </xdr:twoCellAnchor>
  <xdr:twoCellAnchor editAs="absolute">
    <xdr:from>
      <xdr:col>9</xdr:col>
      <xdr:colOff>47625</xdr:colOff>
      <xdr:row>1</xdr:row>
      <xdr:rowOff>142875</xdr:rowOff>
    </xdr:from>
    <xdr:to>
      <xdr:col>10</xdr:col>
      <xdr:colOff>251325</xdr:colOff>
      <xdr:row>2</xdr:row>
      <xdr:rowOff>13875</xdr:rowOff>
    </xdr:to>
    <xdr:sp macro="" textlink="">
      <xdr:nvSpPr>
        <xdr:cNvPr id="20" name="Retângul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BC185B3E-4576-4136-AB3C-3A1D26FD70D6}"/>
            </a:ext>
          </a:extLst>
        </xdr:cNvPr>
        <xdr:cNvSpPr/>
      </xdr:nvSpPr>
      <xdr:spPr>
        <a:xfrm>
          <a:off x="64484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2030</a:t>
          </a:r>
        </a:p>
      </xdr:txBody>
    </xdr:sp>
    <xdr:clientData fPrintsWithSheet="0"/>
  </xdr:twoCellAnchor>
  <xdr:twoCellAnchor editAs="absolute">
    <xdr:from>
      <xdr:col>10</xdr:col>
      <xdr:colOff>266700</xdr:colOff>
      <xdr:row>1</xdr:row>
      <xdr:rowOff>142875</xdr:rowOff>
    </xdr:from>
    <xdr:to>
      <xdr:col>11</xdr:col>
      <xdr:colOff>470400</xdr:colOff>
      <xdr:row>2</xdr:row>
      <xdr:rowOff>13875</xdr:rowOff>
    </xdr:to>
    <xdr:sp macro="" textlink="">
      <xdr:nvSpPr>
        <xdr:cNvPr id="21" name="Retângul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6844320-AD97-4834-84EE-8D8DEED5531E}"/>
            </a:ext>
          </a:extLst>
        </xdr:cNvPr>
        <xdr:cNvSpPr/>
      </xdr:nvSpPr>
      <xdr:spPr>
        <a:xfrm>
          <a:off x="75438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2031</a:t>
          </a:r>
        </a:p>
      </xdr:txBody>
    </xdr:sp>
    <xdr:clientData fPrintsWithSheet="0"/>
  </xdr:twoCellAnchor>
  <xdr:twoCellAnchor editAs="absolute">
    <xdr:from>
      <xdr:col>11</xdr:col>
      <xdr:colOff>485775</xdr:colOff>
      <xdr:row>1</xdr:row>
      <xdr:rowOff>142875</xdr:rowOff>
    </xdr:from>
    <xdr:to>
      <xdr:col>12</xdr:col>
      <xdr:colOff>689475</xdr:colOff>
      <xdr:row>2</xdr:row>
      <xdr:rowOff>13875</xdr:rowOff>
    </xdr:to>
    <xdr:sp macro="" textlink="">
      <xdr:nvSpPr>
        <xdr:cNvPr id="22" name="Retângul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9212C44-3D2D-4B6F-9196-95A94591A125}"/>
            </a:ext>
          </a:extLst>
        </xdr:cNvPr>
        <xdr:cNvSpPr/>
      </xdr:nvSpPr>
      <xdr:spPr>
        <a:xfrm>
          <a:off x="86391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2032</a:t>
          </a:r>
        </a:p>
      </xdr:txBody>
    </xdr:sp>
    <xdr:clientData fPrintsWithSheet="0"/>
  </xdr:twoCellAnchor>
  <xdr:twoCellAnchor editAs="absolute">
    <xdr:from>
      <xdr:col>12</xdr:col>
      <xdr:colOff>704850</xdr:colOff>
      <xdr:row>1</xdr:row>
      <xdr:rowOff>142875</xdr:rowOff>
    </xdr:from>
    <xdr:to>
      <xdr:col>14</xdr:col>
      <xdr:colOff>32250</xdr:colOff>
      <xdr:row>2</xdr:row>
      <xdr:rowOff>13875</xdr:rowOff>
    </xdr:to>
    <xdr:sp macro="" textlink="">
      <xdr:nvSpPr>
        <xdr:cNvPr id="23" name="Retângul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4DB67A03-7D5E-42E4-82B0-D95541933F7B}"/>
            </a:ext>
          </a:extLst>
        </xdr:cNvPr>
        <xdr:cNvSpPr/>
      </xdr:nvSpPr>
      <xdr:spPr>
        <a:xfrm>
          <a:off x="9734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2033</a:t>
          </a:r>
        </a:p>
      </xdr:txBody>
    </xdr:sp>
    <xdr:clientData fPrintsWithSheet="0"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342900</xdr:colOff>
      <xdr:row>0</xdr:row>
      <xdr:rowOff>85725</xdr:rowOff>
    </xdr:from>
    <xdr:to>
      <xdr:col>4</xdr:col>
      <xdr:colOff>546600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78355E-3531-4288-90B7-992AD1CCCDB5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4</xdr:col>
      <xdr:colOff>571500</xdr:colOff>
      <xdr:row>0</xdr:row>
      <xdr:rowOff>85725</xdr:rowOff>
    </xdr:from>
    <xdr:to>
      <xdr:col>5</xdr:col>
      <xdr:colOff>775200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A6919F8-4117-4703-AD9D-B8643E08D9B4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5</xdr:col>
      <xdr:colOff>800100</xdr:colOff>
      <xdr:row>0</xdr:row>
      <xdr:rowOff>85725</xdr:rowOff>
    </xdr:from>
    <xdr:to>
      <xdr:col>7</xdr:col>
      <xdr:colOff>127500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34B3F01-2AF9-4B96-9C10-E852FFEF9FB1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8</xdr:col>
      <xdr:colOff>381000</xdr:colOff>
      <xdr:row>0</xdr:row>
      <xdr:rowOff>85725</xdr:rowOff>
    </xdr:from>
    <xdr:to>
      <xdr:col>9</xdr:col>
      <xdr:colOff>584700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2C27C56-DBF8-49EF-8058-A19025C1C57C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9</xdr:col>
      <xdr:colOff>609600</xdr:colOff>
      <xdr:row>0</xdr:row>
      <xdr:rowOff>85725</xdr:rowOff>
    </xdr:from>
    <xdr:to>
      <xdr:col>10</xdr:col>
      <xdr:colOff>813300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E8AEA30-8568-4E39-A1C3-7EAF746399A7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10</xdr:col>
      <xdr:colOff>838200</xdr:colOff>
      <xdr:row>0</xdr:row>
      <xdr:rowOff>85725</xdr:rowOff>
    </xdr:from>
    <xdr:to>
      <xdr:col>12</xdr:col>
      <xdr:colOff>165600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8D4C281-232A-46AC-82D9-CBA0C18AB7B7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7</xdr:col>
      <xdr:colOff>152400</xdr:colOff>
      <xdr:row>0</xdr:row>
      <xdr:rowOff>85725</xdr:rowOff>
    </xdr:from>
    <xdr:to>
      <xdr:col>8</xdr:col>
      <xdr:colOff>356100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8C5D6D4C-99E9-4E87-861F-97866EBCDE45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22C9C2F1-D725-4B70-B123-C8520FA4F315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26EF0D4A-506D-B5C7-703B-9B6FAB1741E2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2" name="Meio-quadro 11">
            <a:extLst>
              <a:ext uri="{FF2B5EF4-FFF2-40B4-BE49-F238E27FC236}">
                <a16:creationId xmlns:a16="http://schemas.microsoft.com/office/drawing/2014/main" id="{C0092BD8-32F2-8170-019C-576D74C3BFC8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EC393736-79CC-979C-BFBF-271ACB2D4155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133350</xdr:colOff>
          <xdr:row>2</xdr:row>
          <xdr:rowOff>257175</xdr:rowOff>
        </xdr:from>
        <xdr:to>
          <xdr:col>19</xdr:col>
          <xdr:colOff>9525</xdr:colOff>
          <xdr:row>2</xdr:row>
          <xdr:rowOff>638175</xdr:rowOff>
        </xdr:to>
        <xdr:sp macro="" textlink="">
          <xdr:nvSpPr>
            <xdr:cNvPr id="50177" name="Drop Dow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2C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oneCellAnchor>
    <xdr:from>
      <xdr:col>10</xdr:col>
      <xdr:colOff>28575</xdr:colOff>
      <xdr:row>2</xdr:row>
      <xdr:rowOff>323850</xdr:rowOff>
    </xdr:from>
    <xdr:ext cx="1832168" cy="248851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6C2DA470-A909-4DAD-B203-0ECC2DD76264}"/>
            </a:ext>
          </a:extLst>
        </xdr:cNvPr>
        <xdr:cNvSpPr txBox="1"/>
      </xdr:nvSpPr>
      <xdr:spPr>
        <a:xfrm>
          <a:off x="7305675" y="1143000"/>
          <a:ext cx="1832168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000" kern="1200">
              <a:latin typeface="+mn-lt"/>
              <a:ea typeface="Tahoma" panose="020B0604030504040204" pitchFamily="34" charset="0"/>
              <a:cs typeface="Tahoma" panose="020B0604030504040204" pitchFamily="34" charset="0"/>
            </a:rPr>
            <a:t>Se Simples</a:t>
          </a:r>
          <a:r>
            <a:rPr lang="pt-BR" sz="1000" kern="1200" baseline="0">
              <a:latin typeface="+mn-lt"/>
              <a:ea typeface="Tahoma" panose="020B0604030504040204" pitchFamily="34" charset="0"/>
              <a:cs typeface="Tahoma" panose="020B0604030504040204" pitchFamily="34" charset="0"/>
            </a:rPr>
            <a:t> Nacional, analisar →</a:t>
          </a:r>
          <a:endParaRPr lang="pt-BR" sz="1000" kern="1200">
            <a:latin typeface="+mn-lt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 fPrintsWithSheet="0"/>
  </xdr:oneCellAnchor>
  <xdr:twoCellAnchor editAs="absolute">
    <xdr:from>
      <xdr:col>7</xdr:col>
      <xdr:colOff>342900</xdr:colOff>
      <xdr:row>0</xdr:row>
      <xdr:rowOff>371475</xdr:rowOff>
    </xdr:from>
    <xdr:to>
      <xdr:col>8</xdr:col>
      <xdr:colOff>186600</xdr:colOff>
      <xdr:row>0</xdr:row>
      <xdr:rowOff>388425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EB9462D6-1873-41F1-82A2-4C1B3B700AAB}"/>
            </a:ext>
          </a:extLst>
        </xdr:cNvPr>
        <xdr:cNvSpPr/>
      </xdr:nvSpPr>
      <xdr:spPr>
        <a:xfrm>
          <a:off x="49911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485775</xdr:colOff>
      <xdr:row>1</xdr:row>
      <xdr:rowOff>142875</xdr:rowOff>
    </xdr:from>
    <xdr:to>
      <xdr:col>7</xdr:col>
      <xdr:colOff>689475</xdr:colOff>
      <xdr:row>2</xdr:row>
      <xdr:rowOff>13875</xdr:rowOff>
    </xdr:to>
    <xdr:sp macro="" textlink="">
      <xdr:nvSpPr>
        <xdr:cNvPr id="8" name="Retângulo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91804C8-C271-4AC2-8C9F-E9CB5B5C06D2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2028</a:t>
          </a:r>
        </a:p>
      </xdr:txBody>
    </xdr:sp>
    <xdr:clientData fPrintsWithSheet="0"/>
  </xdr:twoCellAnchor>
  <xdr:twoCellAnchor editAs="absolute">
    <xdr:from>
      <xdr:col>2</xdr:col>
      <xdr:colOff>742950</xdr:colOff>
      <xdr:row>1</xdr:row>
      <xdr:rowOff>142875</xdr:rowOff>
    </xdr:from>
    <xdr:to>
      <xdr:col>4</xdr:col>
      <xdr:colOff>32250</xdr:colOff>
      <xdr:row>2</xdr:row>
      <xdr:rowOff>13875</xdr:rowOff>
    </xdr:to>
    <xdr:sp macro="" textlink="">
      <xdr:nvSpPr>
        <xdr:cNvPr id="16" name="Retângulo 1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F2C5745-43E2-4F2C-A8F3-92767F85ED2F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2025</a:t>
          </a:r>
        </a:p>
      </xdr:txBody>
    </xdr:sp>
    <xdr:clientData fPrintsWithSheet="0"/>
  </xdr:twoCellAnchor>
  <xdr:twoCellAnchor editAs="absolute">
    <xdr:from>
      <xdr:col>4</xdr:col>
      <xdr:colOff>47625</xdr:colOff>
      <xdr:row>1</xdr:row>
      <xdr:rowOff>142875</xdr:rowOff>
    </xdr:from>
    <xdr:to>
      <xdr:col>5</xdr:col>
      <xdr:colOff>251325</xdr:colOff>
      <xdr:row>2</xdr:row>
      <xdr:rowOff>13875</xdr:rowOff>
    </xdr:to>
    <xdr:sp macro="" textlink="">
      <xdr:nvSpPr>
        <xdr:cNvPr id="17" name="Retângulo 1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4E87C5DC-5B24-49F5-BB0F-DDEF4A24AA3B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2026</a:t>
          </a:r>
        </a:p>
      </xdr:txBody>
    </xdr:sp>
    <xdr:clientData fPrintsWithSheet="0"/>
  </xdr:twoCellAnchor>
  <xdr:twoCellAnchor editAs="absolute">
    <xdr:from>
      <xdr:col>5</xdr:col>
      <xdr:colOff>266700</xdr:colOff>
      <xdr:row>1</xdr:row>
      <xdr:rowOff>142875</xdr:rowOff>
    </xdr:from>
    <xdr:to>
      <xdr:col>6</xdr:col>
      <xdr:colOff>470400</xdr:colOff>
      <xdr:row>2</xdr:row>
      <xdr:rowOff>13875</xdr:rowOff>
    </xdr:to>
    <xdr:sp macro="" textlink="">
      <xdr:nvSpPr>
        <xdr:cNvPr id="18" name="Retângul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D285B80A-97AF-48BF-9A16-B03BFA615F05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2027</a:t>
          </a:r>
        </a:p>
      </xdr:txBody>
    </xdr:sp>
    <xdr:clientData fPrintsWithSheet="0"/>
  </xdr:twoCellAnchor>
  <xdr:twoCellAnchor editAs="absolute">
    <xdr:from>
      <xdr:col>7</xdr:col>
      <xdr:colOff>704850</xdr:colOff>
      <xdr:row>1</xdr:row>
      <xdr:rowOff>142875</xdr:rowOff>
    </xdr:from>
    <xdr:to>
      <xdr:col>9</xdr:col>
      <xdr:colOff>32250</xdr:colOff>
      <xdr:row>2</xdr:row>
      <xdr:rowOff>13875</xdr:rowOff>
    </xdr:to>
    <xdr:sp macro="" textlink="">
      <xdr:nvSpPr>
        <xdr:cNvPr id="19" name="Retângul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5131510-B3AF-438E-AA85-A3E2AFE25AEB}"/>
            </a:ext>
          </a:extLst>
        </xdr:cNvPr>
        <xdr:cNvSpPr/>
      </xdr:nvSpPr>
      <xdr:spPr>
        <a:xfrm>
          <a:off x="5353050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2029</a:t>
          </a:r>
        </a:p>
      </xdr:txBody>
    </xdr:sp>
    <xdr:clientData fPrintsWithSheet="0"/>
  </xdr:twoCellAnchor>
  <xdr:twoCellAnchor editAs="absolute">
    <xdr:from>
      <xdr:col>9</xdr:col>
      <xdr:colOff>47625</xdr:colOff>
      <xdr:row>1</xdr:row>
      <xdr:rowOff>142875</xdr:rowOff>
    </xdr:from>
    <xdr:to>
      <xdr:col>10</xdr:col>
      <xdr:colOff>251325</xdr:colOff>
      <xdr:row>2</xdr:row>
      <xdr:rowOff>13875</xdr:rowOff>
    </xdr:to>
    <xdr:sp macro="" textlink="">
      <xdr:nvSpPr>
        <xdr:cNvPr id="20" name="Retângul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2A2313D-5068-495F-ACCB-ED0B17755A36}"/>
            </a:ext>
          </a:extLst>
        </xdr:cNvPr>
        <xdr:cNvSpPr/>
      </xdr:nvSpPr>
      <xdr:spPr>
        <a:xfrm>
          <a:off x="64484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2030</a:t>
          </a:r>
        </a:p>
      </xdr:txBody>
    </xdr:sp>
    <xdr:clientData fPrintsWithSheet="0"/>
  </xdr:twoCellAnchor>
  <xdr:twoCellAnchor editAs="absolute">
    <xdr:from>
      <xdr:col>10</xdr:col>
      <xdr:colOff>266700</xdr:colOff>
      <xdr:row>1</xdr:row>
      <xdr:rowOff>142875</xdr:rowOff>
    </xdr:from>
    <xdr:to>
      <xdr:col>11</xdr:col>
      <xdr:colOff>470400</xdr:colOff>
      <xdr:row>2</xdr:row>
      <xdr:rowOff>13875</xdr:rowOff>
    </xdr:to>
    <xdr:sp macro="" textlink="">
      <xdr:nvSpPr>
        <xdr:cNvPr id="21" name="Retângul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DED88F9F-1877-4E9C-B0CB-983B8B4A480D}"/>
            </a:ext>
          </a:extLst>
        </xdr:cNvPr>
        <xdr:cNvSpPr/>
      </xdr:nvSpPr>
      <xdr:spPr>
        <a:xfrm>
          <a:off x="75438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2031</a:t>
          </a:r>
        </a:p>
      </xdr:txBody>
    </xdr:sp>
    <xdr:clientData fPrintsWithSheet="0"/>
  </xdr:twoCellAnchor>
  <xdr:twoCellAnchor editAs="absolute">
    <xdr:from>
      <xdr:col>11</xdr:col>
      <xdr:colOff>485775</xdr:colOff>
      <xdr:row>1</xdr:row>
      <xdr:rowOff>142875</xdr:rowOff>
    </xdr:from>
    <xdr:to>
      <xdr:col>12</xdr:col>
      <xdr:colOff>689475</xdr:colOff>
      <xdr:row>2</xdr:row>
      <xdr:rowOff>13875</xdr:rowOff>
    </xdr:to>
    <xdr:sp macro="" textlink="">
      <xdr:nvSpPr>
        <xdr:cNvPr id="22" name="Retângul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A64C8A0F-9099-4607-9C66-449DB2C310FE}"/>
            </a:ext>
          </a:extLst>
        </xdr:cNvPr>
        <xdr:cNvSpPr/>
      </xdr:nvSpPr>
      <xdr:spPr>
        <a:xfrm>
          <a:off x="86391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2032</a:t>
          </a:r>
        </a:p>
      </xdr:txBody>
    </xdr:sp>
    <xdr:clientData fPrintsWithSheet="0"/>
  </xdr:twoCellAnchor>
  <xdr:twoCellAnchor editAs="absolute">
    <xdr:from>
      <xdr:col>12</xdr:col>
      <xdr:colOff>704850</xdr:colOff>
      <xdr:row>1</xdr:row>
      <xdr:rowOff>142875</xdr:rowOff>
    </xdr:from>
    <xdr:to>
      <xdr:col>14</xdr:col>
      <xdr:colOff>32250</xdr:colOff>
      <xdr:row>2</xdr:row>
      <xdr:rowOff>13875</xdr:rowOff>
    </xdr:to>
    <xdr:sp macro="" textlink="">
      <xdr:nvSpPr>
        <xdr:cNvPr id="23" name="Retângul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AF3209E1-392B-4B93-B516-3571E9B49C3A}"/>
            </a:ext>
          </a:extLst>
        </xdr:cNvPr>
        <xdr:cNvSpPr/>
      </xdr:nvSpPr>
      <xdr:spPr>
        <a:xfrm>
          <a:off x="9734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2033</a:t>
          </a:r>
        </a:p>
      </xdr:txBody>
    </xdr:sp>
    <xdr:clientData fPrintsWithSheet="0"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342900</xdr:colOff>
      <xdr:row>0</xdr:row>
      <xdr:rowOff>85725</xdr:rowOff>
    </xdr:from>
    <xdr:to>
      <xdr:col>4</xdr:col>
      <xdr:colOff>546600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F3588C-98A8-4835-98CC-EF3786FA66C5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4</xdr:col>
      <xdr:colOff>571500</xdr:colOff>
      <xdr:row>0</xdr:row>
      <xdr:rowOff>85725</xdr:rowOff>
    </xdr:from>
    <xdr:to>
      <xdr:col>5</xdr:col>
      <xdr:colOff>775200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B4AAC01-EBE8-4DD3-9E3D-354EAC744144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5</xdr:col>
      <xdr:colOff>800100</xdr:colOff>
      <xdr:row>0</xdr:row>
      <xdr:rowOff>85725</xdr:rowOff>
    </xdr:from>
    <xdr:to>
      <xdr:col>7</xdr:col>
      <xdr:colOff>127500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D97CA6-EE1D-47ED-9698-F472754C2AEB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8</xdr:col>
      <xdr:colOff>381000</xdr:colOff>
      <xdr:row>0</xdr:row>
      <xdr:rowOff>85725</xdr:rowOff>
    </xdr:from>
    <xdr:to>
      <xdr:col>9</xdr:col>
      <xdr:colOff>584700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466CD5B-3F9F-4F39-8232-34AEF9482BD6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9</xdr:col>
      <xdr:colOff>609600</xdr:colOff>
      <xdr:row>0</xdr:row>
      <xdr:rowOff>85725</xdr:rowOff>
    </xdr:from>
    <xdr:to>
      <xdr:col>10</xdr:col>
      <xdr:colOff>813300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43E361F-F21C-4C2A-AF0F-66D6A74066F7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10</xdr:col>
      <xdr:colOff>838200</xdr:colOff>
      <xdr:row>0</xdr:row>
      <xdr:rowOff>85725</xdr:rowOff>
    </xdr:from>
    <xdr:to>
      <xdr:col>12</xdr:col>
      <xdr:colOff>165600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191DB1E-0685-4214-957A-D87DB255C801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7</xdr:col>
      <xdr:colOff>152400</xdr:colOff>
      <xdr:row>0</xdr:row>
      <xdr:rowOff>85725</xdr:rowOff>
    </xdr:from>
    <xdr:to>
      <xdr:col>8</xdr:col>
      <xdr:colOff>356100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A463185-2F05-4324-86F4-CD0A90473C6E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709D331-97FC-413F-8BA3-BFC4FE5CCA8D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5CD20B61-0761-FA38-C49E-FCB690301BFE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2" name="Meio-quadro 11">
            <a:extLst>
              <a:ext uri="{FF2B5EF4-FFF2-40B4-BE49-F238E27FC236}">
                <a16:creationId xmlns:a16="http://schemas.microsoft.com/office/drawing/2014/main" id="{7E2EFD02-817D-FA1E-C7A0-80BE82EAD834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724BDCEA-ED2B-8222-1157-65B0E7F6E22D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133350</xdr:colOff>
          <xdr:row>2</xdr:row>
          <xdr:rowOff>257175</xdr:rowOff>
        </xdr:from>
        <xdr:to>
          <xdr:col>20</xdr:col>
          <xdr:colOff>9525</xdr:colOff>
          <xdr:row>2</xdr:row>
          <xdr:rowOff>638175</xdr:rowOff>
        </xdr:to>
        <xdr:sp macro="" textlink="">
          <xdr:nvSpPr>
            <xdr:cNvPr id="53249" name="Drop Dow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2D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oneCellAnchor>
    <xdr:from>
      <xdr:col>10</xdr:col>
      <xdr:colOff>28575</xdr:colOff>
      <xdr:row>2</xdr:row>
      <xdr:rowOff>323850</xdr:rowOff>
    </xdr:from>
    <xdr:ext cx="1832168" cy="248851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9F2B351F-C323-4847-A5CD-F6BEF30DF69A}"/>
            </a:ext>
          </a:extLst>
        </xdr:cNvPr>
        <xdr:cNvSpPr txBox="1"/>
      </xdr:nvSpPr>
      <xdr:spPr>
        <a:xfrm>
          <a:off x="7305675" y="1143000"/>
          <a:ext cx="1832168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000" kern="1200">
              <a:latin typeface="+mn-lt"/>
              <a:ea typeface="Tahoma" panose="020B0604030504040204" pitchFamily="34" charset="0"/>
              <a:cs typeface="Tahoma" panose="020B0604030504040204" pitchFamily="34" charset="0"/>
            </a:rPr>
            <a:t>Se Simples</a:t>
          </a:r>
          <a:r>
            <a:rPr lang="pt-BR" sz="1000" kern="1200" baseline="0">
              <a:latin typeface="+mn-lt"/>
              <a:ea typeface="Tahoma" panose="020B0604030504040204" pitchFamily="34" charset="0"/>
              <a:cs typeface="Tahoma" panose="020B0604030504040204" pitchFamily="34" charset="0"/>
            </a:rPr>
            <a:t> Nacional, analisar →</a:t>
          </a:r>
          <a:endParaRPr lang="pt-BR" sz="1000" kern="1200">
            <a:latin typeface="+mn-lt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 fPrintsWithSheet="0"/>
  </xdr:oneCellAnchor>
  <xdr:twoCellAnchor editAs="absolute">
    <xdr:from>
      <xdr:col>7</xdr:col>
      <xdr:colOff>342900</xdr:colOff>
      <xdr:row>0</xdr:row>
      <xdr:rowOff>371475</xdr:rowOff>
    </xdr:from>
    <xdr:to>
      <xdr:col>8</xdr:col>
      <xdr:colOff>186600</xdr:colOff>
      <xdr:row>0</xdr:row>
      <xdr:rowOff>388425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1AE668E1-DB0D-4E68-9511-38F4B57E9ECB}"/>
            </a:ext>
          </a:extLst>
        </xdr:cNvPr>
        <xdr:cNvSpPr/>
      </xdr:nvSpPr>
      <xdr:spPr>
        <a:xfrm>
          <a:off x="49911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485775</xdr:colOff>
      <xdr:row>1</xdr:row>
      <xdr:rowOff>142875</xdr:rowOff>
    </xdr:from>
    <xdr:to>
      <xdr:col>7</xdr:col>
      <xdr:colOff>689475</xdr:colOff>
      <xdr:row>2</xdr:row>
      <xdr:rowOff>13875</xdr:rowOff>
    </xdr:to>
    <xdr:sp macro="" textlink="">
      <xdr:nvSpPr>
        <xdr:cNvPr id="8" name="Retângulo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9EB3453-10DE-4CBA-9F70-FD4E721AEFAC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2028</a:t>
          </a:r>
        </a:p>
      </xdr:txBody>
    </xdr:sp>
    <xdr:clientData fPrintsWithSheet="0"/>
  </xdr:twoCellAnchor>
  <xdr:twoCellAnchor editAs="absolute">
    <xdr:from>
      <xdr:col>2</xdr:col>
      <xdr:colOff>742950</xdr:colOff>
      <xdr:row>1</xdr:row>
      <xdr:rowOff>142875</xdr:rowOff>
    </xdr:from>
    <xdr:to>
      <xdr:col>4</xdr:col>
      <xdr:colOff>32250</xdr:colOff>
      <xdr:row>2</xdr:row>
      <xdr:rowOff>13875</xdr:rowOff>
    </xdr:to>
    <xdr:sp macro="" textlink="">
      <xdr:nvSpPr>
        <xdr:cNvPr id="16" name="Retângulo 1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F83DFB8-B366-44AE-A0A4-08A87F108652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2025</a:t>
          </a:r>
        </a:p>
      </xdr:txBody>
    </xdr:sp>
    <xdr:clientData fPrintsWithSheet="0"/>
  </xdr:twoCellAnchor>
  <xdr:twoCellAnchor editAs="absolute">
    <xdr:from>
      <xdr:col>4</xdr:col>
      <xdr:colOff>47625</xdr:colOff>
      <xdr:row>1</xdr:row>
      <xdr:rowOff>142875</xdr:rowOff>
    </xdr:from>
    <xdr:to>
      <xdr:col>5</xdr:col>
      <xdr:colOff>251325</xdr:colOff>
      <xdr:row>2</xdr:row>
      <xdr:rowOff>13875</xdr:rowOff>
    </xdr:to>
    <xdr:sp macro="" textlink="">
      <xdr:nvSpPr>
        <xdr:cNvPr id="17" name="Retângulo 1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0707DA0-5959-4DB2-9D44-764795A62CC9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2026</a:t>
          </a:r>
        </a:p>
      </xdr:txBody>
    </xdr:sp>
    <xdr:clientData fPrintsWithSheet="0"/>
  </xdr:twoCellAnchor>
  <xdr:twoCellAnchor editAs="absolute">
    <xdr:from>
      <xdr:col>5</xdr:col>
      <xdr:colOff>266700</xdr:colOff>
      <xdr:row>1</xdr:row>
      <xdr:rowOff>142875</xdr:rowOff>
    </xdr:from>
    <xdr:to>
      <xdr:col>6</xdr:col>
      <xdr:colOff>470400</xdr:colOff>
      <xdr:row>2</xdr:row>
      <xdr:rowOff>13875</xdr:rowOff>
    </xdr:to>
    <xdr:sp macro="" textlink="">
      <xdr:nvSpPr>
        <xdr:cNvPr id="18" name="Retângul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7A76CCF-925E-4D0A-A55D-4F94522FB3D2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2027</a:t>
          </a:r>
        </a:p>
      </xdr:txBody>
    </xdr:sp>
    <xdr:clientData fPrintsWithSheet="0"/>
  </xdr:twoCellAnchor>
  <xdr:twoCellAnchor editAs="absolute">
    <xdr:from>
      <xdr:col>7</xdr:col>
      <xdr:colOff>704850</xdr:colOff>
      <xdr:row>1</xdr:row>
      <xdr:rowOff>142875</xdr:rowOff>
    </xdr:from>
    <xdr:to>
      <xdr:col>9</xdr:col>
      <xdr:colOff>32250</xdr:colOff>
      <xdr:row>2</xdr:row>
      <xdr:rowOff>13875</xdr:rowOff>
    </xdr:to>
    <xdr:sp macro="" textlink="">
      <xdr:nvSpPr>
        <xdr:cNvPr id="19" name="Retângul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7D6EA0F-88D3-4586-AB5F-4AC25AB9AFBE}"/>
            </a:ext>
          </a:extLst>
        </xdr:cNvPr>
        <xdr:cNvSpPr/>
      </xdr:nvSpPr>
      <xdr:spPr>
        <a:xfrm>
          <a:off x="53530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2029</a:t>
          </a:r>
        </a:p>
      </xdr:txBody>
    </xdr:sp>
    <xdr:clientData fPrintsWithSheet="0"/>
  </xdr:twoCellAnchor>
  <xdr:twoCellAnchor editAs="absolute">
    <xdr:from>
      <xdr:col>9</xdr:col>
      <xdr:colOff>47625</xdr:colOff>
      <xdr:row>1</xdr:row>
      <xdr:rowOff>142875</xdr:rowOff>
    </xdr:from>
    <xdr:to>
      <xdr:col>10</xdr:col>
      <xdr:colOff>251325</xdr:colOff>
      <xdr:row>2</xdr:row>
      <xdr:rowOff>13875</xdr:rowOff>
    </xdr:to>
    <xdr:sp macro="" textlink="">
      <xdr:nvSpPr>
        <xdr:cNvPr id="20" name="Retângul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CC1F217-7E3F-40E2-8D3A-8B0C082D7E47}"/>
            </a:ext>
          </a:extLst>
        </xdr:cNvPr>
        <xdr:cNvSpPr/>
      </xdr:nvSpPr>
      <xdr:spPr>
        <a:xfrm>
          <a:off x="6448425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2030</a:t>
          </a:r>
        </a:p>
      </xdr:txBody>
    </xdr:sp>
    <xdr:clientData fPrintsWithSheet="0"/>
  </xdr:twoCellAnchor>
  <xdr:twoCellAnchor editAs="absolute">
    <xdr:from>
      <xdr:col>10</xdr:col>
      <xdr:colOff>266700</xdr:colOff>
      <xdr:row>1</xdr:row>
      <xdr:rowOff>142875</xdr:rowOff>
    </xdr:from>
    <xdr:to>
      <xdr:col>11</xdr:col>
      <xdr:colOff>470400</xdr:colOff>
      <xdr:row>2</xdr:row>
      <xdr:rowOff>13875</xdr:rowOff>
    </xdr:to>
    <xdr:sp macro="" textlink="">
      <xdr:nvSpPr>
        <xdr:cNvPr id="21" name="Retângul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52244D1-9A1E-400F-A970-6AA5F066E0FE}"/>
            </a:ext>
          </a:extLst>
        </xdr:cNvPr>
        <xdr:cNvSpPr/>
      </xdr:nvSpPr>
      <xdr:spPr>
        <a:xfrm>
          <a:off x="75438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2031</a:t>
          </a:r>
        </a:p>
      </xdr:txBody>
    </xdr:sp>
    <xdr:clientData fPrintsWithSheet="0"/>
  </xdr:twoCellAnchor>
  <xdr:twoCellAnchor editAs="absolute">
    <xdr:from>
      <xdr:col>11</xdr:col>
      <xdr:colOff>485775</xdr:colOff>
      <xdr:row>1</xdr:row>
      <xdr:rowOff>142875</xdr:rowOff>
    </xdr:from>
    <xdr:to>
      <xdr:col>12</xdr:col>
      <xdr:colOff>689475</xdr:colOff>
      <xdr:row>2</xdr:row>
      <xdr:rowOff>13875</xdr:rowOff>
    </xdr:to>
    <xdr:sp macro="" textlink="">
      <xdr:nvSpPr>
        <xdr:cNvPr id="22" name="Retângul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F5AE0A34-3FE9-46B9-9CFA-578976F70E6D}"/>
            </a:ext>
          </a:extLst>
        </xdr:cNvPr>
        <xdr:cNvSpPr/>
      </xdr:nvSpPr>
      <xdr:spPr>
        <a:xfrm>
          <a:off x="86391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2032</a:t>
          </a:r>
        </a:p>
      </xdr:txBody>
    </xdr:sp>
    <xdr:clientData fPrintsWithSheet="0"/>
  </xdr:twoCellAnchor>
  <xdr:twoCellAnchor editAs="absolute">
    <xdr:from>
      <xdr:col>12</xdr:col>
      <xdr:colOff>704850</xdr:colOff>
      <xdr:row>1</xdr:row>
      <xdr:rowOff>142875</xdr:rowOff>
    </xdr:from>
    <xdr:to>
      <xdr:col>14</xdr:col>
      <xdr:colOff>32250</xdr:colOff>
      <xdr:row>2</xdr:row>
      <xdr:rowOff>13875</xdr:rowOff>
    </xdr:to>
    <xdr:sp macro="" textlink="">
      <xdr:nvSpPr>
        <xdr:cNvPr id="23" name="Retângul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69C90BA0-3A47-4539-8BDF-6C4D2D575E7A}"/>
            </a:ext>
          </a:extLst>
        </xdr:cNvPr>
        <xdr:cNvSpPr/>
      </xdr:nvSpPr>
      <xdr:spPr>
        <a:xfrm>
          <a:off x="9734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2033</a:t>
          </a:r>
        </a:p>
      </xdr:txBody>
    </xdr:sp>
    <xdr:clientData fPrintsWithSheet="0"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342900</xdr:colOff>
      <xdr:row>0</xdr:row>
      <xdr:rowOff>85725</xdr:rowOff>
    </xdr:from>
    <xdr:to>
      <xdr:col>4</xdr:col>
      <xdr:colOff>546600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49EB8A-53F9-4676-BE4C-54F91C8A18DD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4</xdr:col>
      <xdr:colOff>571500</xdr:colOff>
      <xdr:row>0</xdr:row>
      <xdr:rowOff>85725</xdr:rowOff>
    </xdr:from>
    <xdr:to>
      <xdr:col>5</xdr:col>
      <xdr:colOff>775200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5C21900-AC0B-4C45-8236-2A3B5C8F18C9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5</xdr:col>
      <xdr:colOff>800100</xdr:colOff>
      <xdr:row>0</xdr:row>
      <xdr:rowOff>85725</xdr:rowOff>
    </xdr:from>
    <xdr:to>
      <xdr:col>7</xdr:col>
      <xdr:colOff>127500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651975-3F86-4337-A65E-F67627182729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8</xdr:col>
      <xdr:colOff>381000</xdr:colOff>
      <xdr:row>0</xdr:row>
      <xdr:rowOff>85725</xdr:rowOff>
    </xdr:from>
    <xdr:to>
      <xdr:col>9</xdr:col>
      <xdr:colOff>584700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8B98046-DF51-4E06-9BBA-C311F17553A8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9</xdr:col>
      <xdr:colOff>609600</xdr:colOff>
      <xdr:row>0</xdr:row>
      <xdr:rowOff>85725</xdr:rowOff>
    </xdr:from>
    <xdr:to>
      <xdr:col>10</xdr:col>
      <xdr:colOff>813300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8AE5F17-7501-417C-AA2C-8D8B383D2354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10</xdr:col>
      <xdr:colOff>838200</xdr:colOff>
      <xdr:row>0</xdr:row>
      <xdr:rowOff>85725</xdr:rowOff>
    </xdr:from>
    <xdr:to>
      <xdr:col>12</xdr:col>
      <xdr:colOff>165600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ED9D22C-A662-4B4B-9417-372B6A001546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7</xdr:col>
      <xdr:colOff>152400</xdr:colOff>
      <xdr:row>0</xdr:row>
      <xdr:rowOff>85725</xdr:rowOff>
    </xdr:from>
    <xdr:to>
      <xdr:col>8</xdr:col>
      <xdr:colOff>356100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5410BA5-FC43-49BF-B473-BCD460381517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B416C17F-626C-4345-98C5-073BEE642F44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A5AE2805-299A-1D62-B560-A8BCA428A62D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2" name="Meio-quadro 11">
            <a:extLst>
              <a:ext uri="{FF2B5EF4-FFF2-40B4-BE49-F238E27FC236}">
                <a16:creationId xmlns:a16="http://schemas.microsoft.com/office/drawing/2014/main" id="{DFA227A8-3F99-BA5A-5110-139F43A3A4EE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1259FF19-E53B-104C-F48B-2A58A2823E4A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133350</xdr:colOff>
          <xdr:row>2</xdr:row>
          <xdr:rowOff>257175</xdr:rowOff>
        </xdr:from>
        <xdr:to>
          <xdr:col>20</xdr:col>
          <xdr:colOff>9525</xdr:colOff>
          <xdr:row>2</xdr:row>
          <xdr:rowOff>638175</xdr:rowOff>
        </xdr:to>
        <xdr:sp macro="" textlink="">
          <xdr:nvSpPr>
            <xdr:cNvPr id="54273" name="Drop Dow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2E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oneCellAnchor>
    <xdr:from>
      <xdr:col>10</xdr:col>
      <xdr:colOff>28575</xdr:colOff>
      <xdr:row>2</xdr:row>
      <xdr:rowOff>323850</xdr:rowOff>
    </xdr:from>
    <xdr:ext cx="1832168" cy="248851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DE5B8C64-2C35-47B1-9F47-C1DF8975E37E}"/>
            </a:ext>
          </a:extLst>
        </xdr:cNvPr>
        <xdr:cNvSpPr txBox="1"/>
      </xdr:nvSpPr>
      <xdr:spPr>
        <a:xfrm>
          <a:off x="7305675" y="1143000"/>
          <a:ext cx="1832168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000" kern="1200">
              <a:latin typeface="+mn-lt"/>
              <a:ea typeface="Tahoma" panose="020B0604030504040204" pitchFamily="34" charset="0"/>
              <a:cs typeface="Tahoma" panose="020B0604030504040204" pitchFamily="34" charset="0"/>
            </a:rPr>
            <a:t>Se Simples</a:t>
          </a:r>
          <a:r>
            <a:rPr lang="pt-BR" sz="1000" kern="1200" baseline="0">
              <a:latin typeface="+mn-lt"/>
              <a:ea typeface="Tahoma" panose="020B0604030504040204" pitchFamily="34" charset="0"/>
              <a:cs typeface="Tahoma" panose="020B0604030504040204" pitchFamily="34" charset="0"/>
            </a:rPr>
            <a:t> Nacional, analisar →</a:t>
          </a:r>
          <a:endParaRPr lang="pt-BR" sz="1000" kern="1200">
            <a:latin typeface="+mn-lt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 fPrintsWithSheet="0"/>
  </xdr:oneCellAnchor>
  <xdr:twoCellAnchor editAs="absolute">
    <xdr:from>
      <xdr:col>7</xdr:col>
      <xdr:colOff>342900</xdr:colOff>
      <xdr:row>0</xdr:row>
      <xdr:rowOff>371475</xdr:rowOff>
    </xdr:from>
    <xdr:to>
      <xdr:col>8</xdr:col>
      <xdr:colOff>186600</xdr:colOff>
      <xdr:row>0</xdr:row>
      <xdr:rowOff>388425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7EABB976-B397-4A97-B6D7-65017EEFFF17}"/>
            </a:ext>
          </a:extLst>
        </xdr:cNvPr>
        <xdr:cNvSpPr/>
      </xdr:nvSpPr>
      <xdr:spPr>
        <a:xfrm>
          <a:off x="49911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485775</xdr:colOff>
      <xdr:row>1</xdr:row>
      <xdr:rowOff>142875</xdr:rowOff>
    </xdr:from>
    <xdr:to>
      <xdr:col>7</xdr:col>
      <xdr:colOff>689475</xdr:colOff>
      <xdr:row>2</xdr:row>
      <xdr:rowOff>13875</xdr:rowOff>
    </xdr:to>
    <xdr:sp macro="" textlink="">
      <xdr:nvSpPr>
        <xdr:cNvPr id="8" name="Retângulo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37E05E6-B2F2-4D2C-9AEC-6C796411C53F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2028</a:t>
          </a:r>
        </a:p>
      </xdr:txBody>
    </xdr:sp>
    <xdr:clientData fPrintsWithSheet="0"/>
  </xdr:twoCellAnchor>
  <xdr:twoCellAnchor editAs="absolute">
    <xdr:from>
      <xdr:col>2</xdr:col>
      <xdr:colOff>742950</xdr:colOff>
      <xdr:row>1</xdr:row>
      <xdr:rowOff>142875</xdr:rowOff>
    </xdr:from>
    <xdr:to>
      <xdr:col>4</xdr:col>
      <xdr:colOff>32250</xdr:colOff>
      <xdr:row>2</xdr:row>
      <xdr:rowOff>13875</xdr:rowOff>
    </xdr:to>
    <xdr:sp macro="" textlink="">
      <xdr:nvSpPr>
        <xdr:cNvPr id="15" name="Retângulo 1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C49549C-A19F-499C-B89F-BC9483CEA5EC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2025</a:t>
          </a:r>
        </a:p>
      </xdr:txBody>
    </xdr:sp>
    <xdr:clientData fPrintsWithSheet="0"/>
  </xdr:twoCellAnchor>
  <xdr:twoCellAnchor editAs="absolute">
    <xdr:from>
      <xdr:col>4</xdr:col>
      <xdr:colOff>47625</xdr:colOff>
      <xdr:row>1</xdr:row>
      <xdr:rowOff>142875</xdr:rowOff>
    </xdr:from>
    <xdr:to>
      <xdr:col>5</xdr:col>
      <xdr:colOff>251325</xdr:colOff>
      <xdr:row>2</xdr:row>
      <xdr:rowOff>13875</xdr:rowOff>
    </xdr:to>
    <xdr:sp macro="" textlink="">
      <xdr:nvSpPr>
        <xdr:cNvPr id="16" name="Retâ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635C1509-14EE-4028-B5BE-D7A6F17F378A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2026</a:t>
          </a:r>
        </a:p>
      </xdr:txBody>
    </xdr:sp>
    <xdr:clientData fPrintsWithSheet="0"/>
  </xdr:twoCellAnchor>
  <xdr:twoCellAnchor editAs="absolute">
    <xdr:from>
      <xdr:col>5</xdr:col>
      <xdr:colOff>266700</xdr:colOff>
      <xdr:row>1</xdr:row>
      <xdr:rowOff>142875</xdr:rowOff>
    </xdr:from>
    <xdr:to>
      <xdr:col>6</xdr:col>
      <xdr:colOff>470400</xdr:colOff>
      <xdr:row>2</xdr:row>
      <xdr:rowOff>13875</xdr:rowOff>
    </xdr:to>
    <xdr:sp macro="" textlink="">
      <xdr:nvSpPr>
        <xdr:cNvPr id="18" name="Retângul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D092E5-92D8-49D1-8E8F-BED2336CB526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2027</a:t>
          </a:r>
        </a:p>
      </xdr:txBody>
    </xdr:sp>
    <xdr:clientData fPrintsWithSheet="0"/>
  </xdr:twoCellAnchor>
  <xdr:twoCellAnchor editAs="absolute">
    <xdr:from>
      <xdr:col>7</xdr:col>
      <xdr:colOff>704850</xdr:colOff>
      <xdr:row>1</xdr:row>
      <xdr:rowOff>142875</xdr:rowOff>
    </xdr:from>
    <xdr:to>
      <xdr:col>9</xdr:col>
      <xdr:colOff>32250</xdr:colOff>
      <xdr:row>2</xdr:row>
      <xdr:rowOff>13875</xdr:rowOff>
    </xdr:to>
    <xdr:sp macro="" textlink="">
      <xdr:nvSpPr>
        <xdr:cNvPr id="19" name="Retângul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66EB0E7-38CF-4BA9-A6FD-056D01931E5D}"/>
            </a:ext>
          </a:extLst>
        </xdr:cNvPr>
        <xdr:cNvSpPr/>
      </xdr:nvSpPr>
      <xdr:spPr>
        <a:xfrm>
          <a:off x="53530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2029</a:t>
          </a:r>
        </a:p>
      </xdr:txBody>
    </xdr:sp>
    <xdr:clientData fPrintsWithSheet="0"/>
  </xdr:twoCellAnchor>
  <xdr:twoCellAnchor editAs="absolute">
    <xdr:from>
      <xdr:col>9</xdr:col>
      <xdr:colOff>47625</xdr:colOff>
      <xdr:row>1</xdr:row>
      <xdr:rowOff>142875</xdr:rowOff>
    </xdr:from>
    <xdr:to>
      <xdr:col>10</xdr:col>
      <xdr:colOff>251325</xdr:colOff>
      <xdr:row>2</xdr:row>
      <xdr:rowOff>13875</xdr:rowOff>
    </xdr:to>
    <xdr:sp macro="" textlink="">
      <xdr:nvSpPr>
        <xdr:cNvPr id="20" name="Retângul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5948163-87F9-4BB9-AEA4-267D835B46DE}"/>
            </a:ext>
          </a:extLst>
        </xdr:cNvPr>
        <xdr:cNvSpPr/>
      </xdr:nvSpPr>
      <xdr:spPr>
        <a:xfrm>
          <a:off x="64484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2030</a:t>
          </a:r>
        </a:p>
      </xdr:txBody>
    </xdr:sp>
    <xdr:clientData fPrintsWithSheet="0"/>
  </xdr:twoCellAnchor>
  <xdr:twoCellAnchor editAs="absolute">
    <xdr:from>
      <xdr:col>10</xdr:col>
      <xdr:colOff>266700</xdr:colOff>
      <xdr:row>1</xdr:row>
      <xdr:rowOff>142875</xdr:rowOff>
    </xdr:from>
    <xdr:to>
      <xdr:col>11</xdr:col>
      <xdr:colOff>470400</xdr:colOff>
      <xdr:row>2</xdr:row>
      <xdr:rowOff>13875</xdr:rowOff>
    </xdr:to>
    <xdr:sp macro="" textlink="">
      <xdr:nvSpPr>
        <xdr:cNvPr id="21" name="Retângul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D230FEC7-6FCA-48FD-9FCD-D97946DBC031}"/>
            </a:ext>
          </a:extLst>
        </xdr:cNvPr>
        <xdr:cNvSpPr/>
      </xdr:nvSpPr>
      <xdr:spPr>
        <a:xfrm>
          <a:off x="7543800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2031</a:t>
          </a:r>
        </a:p>
      </xdr:txBody>
    </xdr:sp>
    <xdr:clientData fPrintsWithSheet="0"/>
  </xdr:twoCellAnchor>
  <xdr:twoCellAnchor editAs="absolute">
    <xdr:from>
      <xdr:col>11</xdr:col>
      <xdr:colOff>485775</xdr:colOff>
      <xdr:row>1</xdr:row>
      <xdr:rowOff>142875</xdr:rowOff>
    </xdr:from>
    <xdr:to>
      <xdr:col>12</xdr:col>
      <xdr:colOff>689475</xdr:colOff>
      <xdr:row>2</xdr:row>
      <xdr:rowOff>13875</xdr:rowOff>
    </xdr:to>
    <xdr:sp macro="" textlink="">
      <xdr:nvSpPr>
        <xdr:cNvPr id="22" name="Retângul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F12E2E7-D013-4C18-B39C-B8CDA2A3B09B}"/>
            </a:ext>
          </a:extLst>
        </xdr:cNvPr>
        <xdr:cNvSpPr/>
      </xdr:nvSpPr>
      <xdr:spPr>
        <a:xfrm>
          <a:off x="86391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2032</a:t>
          </a:r>
        </a:p>
      </xdr:txBody>
    </xdr:sp>
    <xdr:clientData fPrintsWithSheet="0"/>
  </xdr:twoCellAnchor>
  <xdr:twoCellAnchor editAs="absolute">
    <xdr:from>
      <xdr:col>12</xdr:col>
      <xdr:colOff>704850</xdr:colOff>
      <xdr:row>1</xdr:row>
      <xdr:rowOff>142875</xdr:rowOff>
    </xdr:from>
    <xdr:to>
      <xdr:col>14</xdr:col>
      <xdr:colOff>32250</xdr:colOff>
      <xdr:row>2</xdr:row>
      <xdr:rowOff>13875</xdr:rowOff>
    </xdr:to>
    <xdr:sp macro="" textlink="">
      <xdr:nvSpPr>
        <xdr:cNvPr id="23" name="Retângul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47D4D5FF-DF41-4216-9503-515EF331A5EA}"/>
            </a:ext>
          </a:extLst>
        </xdr:cNvPr>
        <xdr:cNvSpPr/>
      </xdr:nvSpPr>
      <xdr:spPr>
        <a:xfrm>
          <a:off x="9734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2033</a:t>
          </a:r>
        </a:p>
      </xdr:txBody>
    </xdr:sp>
    <xdr:clientData fPrintsWithSheet="0"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342900</xdr:colOff>
      <xdr:row>0</xdr:row>
      <xdr:rowOff>85725</xdr:rowOff>
    </xdr:from>
    <xdr:to>
      <xdr:col>4</xdr:col>
      <xdr:colOff>546600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730A4B-F95B-4C12-A3A7-318BDA861235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4</xdr:col>
      <xdr:colOff>571500</xdr:colOff>
      <xdr:row>0</xdr:row>
      <xdr:rowOff>85725</xdr:rowOff>
    </xdr:from>
    <xdr:to>
      <xdr:col>5</xdr:col>
      <xdr:colOff>775200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65BBC66-53E2-45D0-97AA-E877B775E3BD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5</xdr:col>
      <xdr:colOff>800100</xdr:colOff>
      <xdr:row>0</xdr:row>
      <xdr:rowOff>85725</xdr:rowOff>
    </xdr:from>
    <xdr:to>
      <xdr:col>7</xdr:col>
      <xdr:colOff>127500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39210C-F609-4743-973C-4B5D26B226D4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8</xdr:col>
      <xdr:colOff>381000</xdr:colOff>
      <xdr:row>0</xdr:row>
      <xdr:rowOff>85725</xdr:rowOff>
    </xdr:from>
    <xdr:to>
      <xdr:col>9</xdr:col>
      <xdr:colOff>584700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BC4A3CA-FD47-4E0F-A15B-46DB118A6A35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9</xdr:col>
      <xdr:colOff>609600</xdr:colOff>
      <xdr:row>0</xdr:row>
      <xdr:rowOff>85725</xdr:rowOff>
    </xdr:from>
    <xdr:to>
      <xdr:col>10</xdr:col>
      <xdr:colOff>813300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9D07022-43C1-41FE-A2CD-07BA1D893ADD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10</xdr:col>
      <xdr:colOff>838200</xdr:colOff>
      <xdr:row>0</xdr:row>
      <xdr:rowOff>85725</xdr:rowOff>
    </xdr:from>
    <xdr:to>
      <xdr:col>12</xdr:col>
      <xdr:colOff>165600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DE81E99-21B4-4480-B145-8ACA86193501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7</xdr:col>
      <xdr:colOff>152400</xdr:colOff>
      <xdr:row>0</xdr:row>
      <xdr:rowOff>85725</xdr:rowOff>
    </xdr:from>
    <xdr:to>
      <xdr:col>8</xdr:col>
      <xdr:colOff>356100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8ED07CE5-BA57-4245-82C7-53DD6D59D3EE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1A8612DE-7DE1-4C41-B68C-29BFC6A5400F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EC9D8DF7-98CC-288A-6415-5F8A422409B0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2" name="Meio-quadro 11">
            <a:extLst>
              <a:ext uri="{FF2B5EF4-FFF2-40B4-BE49-F238E27FC236}">
                <a16:creationId xmlns:a16="http://schemas.microsoft.com/office/drawing/2014/main" id="{9EB838C1-D729-322D-1529-DD79E5FB0A80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7D9A5A9F-1910-4F4B-8AAF-A3121144626C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133350</xdr:colOff>
          <xdr:row>2</xdr:row>
          <xdr:rowOff>257175</xdr:rowOff>
        </xdr:from>
        <xdr:to>
          <xdr:col>20</xdr:col>
          <xdr:colOff>9525</xdr:colOff>
          <xdr:row>2</xdr:row>
          <xdr:rowOff>638175</xdr:rowOff>
        </xdr:to>
        <xdr:sp macro="" textlink="">
          <xdr:nvSpPr>
            <xdr:cNvPr id="55297" name="Drop Dow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2F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oneCellAnchor>
    <xdr:from>
      <xdr:col>10</xdr:col>
      <xdr:colOff>28575</xdr:colOff>
      <xdr:row>2</xdr:row>
      <xdr:rowOff>323850</xdr:rowOff>
    </xdr:from>
    <xdr:ext cx="1832168" cy="248851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C138EA15-3500-4FE3-99EE-E8F1BC6576A6}"/>
            </a:ext>
          </a:extLst>
        </xdr:cNvPr>
        <xdr:cNvSpPr txBox="1"/>
      </xdr:nvSpPr>
      <xdr:spPr>
        <a:xfrm>
          <a:off x="7305675" y="1143000"/>
          <a:ext cx="1832168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000" kern="1200">
              <a:latin typeface="+mn-lt"/>
              <a:ea typeface="Tahoma" panose="020B0604030504040204" pitchFamily="34" charset="0"/>
              <a:cs typeface="Tahoma" panose="020B0604030504040204" pitchFamily="34" charset="0"/>
            </a:rPr>
            <a:t>Se Simples</a:t>
          </a:r>
          <a:r>
            <a:rPr lang="pt-BR" sz="1000" kern="1200" baseline="0">
              <a:latin typeface="+mn-lt"/>
              <a:ea typeface="Tahoma" panose="020B0604030504040204" pitchFamily="34" charset="0"/>
              <a:cs typeface="Tahoma" panose="020B0604030504040204" pitchFamily="34" charset="0"/>
            </a:rPr>
            <a:t> Nacional, analisar →</a:t>
          </a:r>
          <a:endParaRPr lang="pt-BR" sz="1000" kern="1200">
            <a:latin typeface="+mn-lt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 fPrintsWithSheet="0"/>
  </xdr:oneCellAnchor>
  <xdr:twoCellAnchor editAs="absolute">
    <xdr:from>
      <xdr:col>7</xdr:col>
      <xdr:colOff>342900</xdr:colOff>
      <xdr:row>0</xdr:row>
      <xdr:rowOff>371475</xdr:rowOff>
    </xdr:from>
    <xdr:to>
      <xdr:col>8</xdr:col>
      <xdr:colOff>186600</xdr:colOff>
      <xdr:row>0</xdr:row>
      <xdr:rowOff>388425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BB82E6EE-0D7F-44F5-9C7D-F6163E010F6A}"/>
            </a:ext>
          </a:extLst>
        </xdr:cNvPr>
        <xdr:cNvSpPr/>
      </xdr:nvSpPr>
      <xdr:spPr>
        <a:xfrm>
          <a:off x="49911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485775</xdr:colOff>
      <xdr:row>1</xdr:row>
      <xdr:rowOff>142875</xdr:rowOff>
    </xdr:from>
    <xdr:to>
      <xdr:col>7</xdr:col>
      <xdr:colOff>689475</xdr:colOff>
      <xdr:row>2</xdr:row>
      <xdr:rowOff>13875</xdr:rowOff>
    </xdr:to>
    <xdr:sp macro="" textlink="">
      <xdr:nvSpPr>
        <xdr:cNvPr id="8" name="Retângulo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6C2C75F-7CC8-419E-AD7A-E84D1212498F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2028</a:t>
          </a:r>
        </a:p>
      </xdr:txBody>
    </xdr:sp>
    <xdr:clientData fPrintsWithSheet="0"/>
  </xdr:twoCellAnchor>
  <xdr:twoCellAnchor editAs="absolute">
    <xdr:from>
      <xdr:col>2</xdr:col>
      <xdr:colOff>742950</xdr:colOff>
      <xdr:row>1</xdr:row>
      <xdr:rowOff>142875</xdr:rowOff>
    </xdr:from>
    <xdr:to>
      <xdr:col>4</xdr:col>
      <xdr:colOff>32250</xdr:colOff>
      <xdr:row>2</xdr:row>
      <xdr:rowOff>13875</xdr:rowOff>
    </xdr:to>
    <xdr:sp macro="" textlink="">
      <xdr:nvSpPr>
        <xdr:cNvPr id="16" name="Retângulo 1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0241EE7-D0AD-4422-8893-7D79681F03C4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2025</a:t>
          </a:r>
        </a:p>
      </xdr:txBody>
    </xdr:sp>
    <xdr:clientData fPrintsWithSheet="0"/>
  </xdr:twoCellAnchor>
  <xdr:twoCellAnchor editAs="absolute">
    <xdr:from>
      <xdr:col>4</xdr:col>
      <xdr:colOff>47625</xdr:colOff>
      <xdr:row>1</xdr:row>
      <xdr:rowOff>142875</xdr:rowOff>
    </xdr:from>
    <xdr:to>
      <xdr:col>5</xdr:col>
      <xdr:colOff>251325</xdr:colOff>
      <xdr:row>2</xdr:row>
      <xdr:rowOff>13875</xdr:rowOff>
    </xdr:to>
    <xdr:sp macro="" textlink="">
      <xdr:nvSpPr>
        <xdr:cNvPr id="17" name="Retângulo 1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78B04FF-A0D6-41CC-9295-2C41F3A84974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2026</a:t>
          </a:r>
        </a:p>
      </xdr:txBody>
    </xdr:sp>
    <xdr:clientData fPrintsWithSheet="0"/>
  </xdr:twoCellAnchor>
  <xdr:twoCellAnchor editAs="absolute">
    <xdr:from>
      <xdr:col>5</xdr:col>
      <xdr:colOff>266700</xdr:colOff>
      <xdr:row>1</xdr:row>
      <xdr:rowOff>142875</xdr:rowOff>
    </xdr:from>
    <xdr:to>
      <xdr:col>6</xdr:col>
      <xdr:colOff>470400</xdr:colOff>
      <xdr:row>2</xdr:row>
      <xdr:rowOff>13875</xdr:rowOff>
    </xdr:to>
    <xdr:sp macro="" textlink="">
      <xdr:nvSpPr>
        <xdr:cNvPr id="18" name="Retângul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1FB17C9-000A-43D4-B1DB-69C067FB18B0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2027</a:t>
          </a:r>
        </a:p>
      </xdr:txBody>
    </xdr:sp>
    <xdr:clientData fPrintsWithSheet="0"/>
  </xdr:twoCellAnchor>
  <xdr:twoCellAnchor editAs="absolute">
    <xdr:from>
      <xdr:col>7</xdr:col>
      <xdr:colOff>704850</xdr:colOff>
      <xdr:row>1</xdr:row>
      <xdr:rowOff>142875</xdr:rowOff>
    </xdr:from>
    <xdr:to>
      <xdr:col>9</xdr:col>
      <xdr:colOff>32250</xdr:colOff>
      <xdr:row>2</xdr:row>
      <xdr:rowOff>13875</xdr:rowOff>
    </xdr:to>
    <xdr:sp macro="" textlink="">
      <xdr:nvSpPr>
        <xdr:cNvPr id="19" name="Retângul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D1F0494-E58E-4F34-8CE4-E26522D8DD95}"/>
            </a:ext>
          </a:extLst>
        </xdr:cNvPr>
        <xdr:cNvSpPr/>
      </xdr:nvSpPr>
      <xdr:spPr>
        <a:xfrm>
          <a:off x="53530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2029</a:t>
          </a:r>
        </a:p>
      </xdr:txBody>
    </xdr:sp>
    <xdr:clientData fPrintsWithSheet="0"/>
  </xdr:twoCellAnchor>
  <xdr:twoCellAnchor editAs="absolute">
    <xdr:from>
      <xdr:col>9</xdr:col>
      <xdr:colOff>47625</xdr:colOff>
      <xdr:row>1</xdr:row>
      <xdr:rowOff>142875</xdr:rowOff>
    </xdr:from>
    <xdr:to>
      <xdr:col>10</xdr:col>
      <xdr:colOff>251325</xdr:colOff>
      <xdr:row>2</xdr:row>
      <xdr:rowOff>13875</xdr:rowOff>
    </xdr:to>
    <xdr:sp macro="" textlink="">
      <xdr:nvSpPr>
        <xdr:cNvPr id="20" name="Retângul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81731539-2103-41F7-BC94-F56A5CF497F3}"/>
            </a:ext>
          </a:extLst>
        </xdr:cNvPr>
        <xdr:cNvSpPr/>
      </xdr:nvSpPr>
      <xdr:spPr>
        <a:xfrm>
          <a:off x="64484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2030</a:t>
          </a:r>
        </a:p>
      </xdr:txBody>
    </xdr:sp>
    <xdr:clientData fPrintsWithSheet="0"/>
  </xdr:twoCellAnchor>
  <xdr:twoCellAnchor editAs="absolute">
    <xdr:from>
      <xdr:col>10</xdr:col>
      <xdr:colOff>266700</xdr:colOff>
      <xdr:row>1</xdr:row>
      <xdr:rowOff>142875</xdr:rowOff>
    </xdr:from>
    <xdr:to>
      <xdr:col>11</xdr:col>
      <xdr:colOff>470400</xdr:colOff>
      <xdr:row>2</xdr:row>
      <xdr:rowOff>13875</xdr:rowOff>
    </xdr:to>
    <xdr:sp macro="" textlink="">
      <xdr:nvSpPr>
        <xdr:cNvPr id="21" name="Retângul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1E4D1A05-BA3E-45AE-A386-0F34545168A2}"/>
            </a:ext>
          </a:extLst>
        </xdr:cNvPr>
        <xdr:cNvSpPr/>
      </xdr:nvSpPr>
      <xdr:spPr>
        <a:xfrm>
          <a:off x="75438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2031</a:t>
          </a:r>
        </a:p>
      </xdr:txBody>
    </xdr:sp>
    <xdr:clientData fPrintsWithSheet="0"/>
  </xdr:twoCellAnchor>
  <xdr:twoCellAnchor editAs="absolute">
    <xdr:from>
      <xdr:col>11</xdr:col>
      <xdr:colOff>485775</xdr:colOff>
      <xdr:row>1</xdr:row>
      <xdr:rowOff>142875</xdr:rowOff>
    </xdr:from>
    <xdr:to>
      <xdr:col>12</xdr:col>
      <xdr:colOff>689475</xdr:colOff>
      <xdr:row>2</xdr:row>
      <xdr:rowOff>13875</xdr:rowOff>
    </xdr:to>
    <xdr:sp macro="" textlink="">
      <xdr:nvSpPr>
        <xdr:cNvPr id="22" name="Retângul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5345E492-0E1A-404D-969D-2A2162FD9BB9}"/>
            </a:ext>
          </a:extLst>
        </xdr:cNvPr>
        <xdr:cNvSpPr/>
      </xdr:nvSpPr>
      <xdr:spPr>
        <a:xfrm>
          <a:off x="8639175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2032</a:t>
          </a:r>
        </a:p>
      </xdr:txBody>
    </xdr:sp>
    <xdr:clientData fPrintsWithSheet="0"/>
  </xdr:twoCellAnchor>
  <xdr:twoCellAnchor editAs="absolute">
    <xdr:from>
      <xdr:col>12</xdr:col>
      <xdr:colOff>704850</xdr:colOff>
      <xdr:row>1</xdr:row>
      <xdr:rowOff>142875</xdr:rowOff>
    </xdr:from>
    <xdr:to>
      <xdr:col>14</xdr:col>
      <xdr:colOff>32250</xdr:colOff>
      <xdr:row>2</xdr:row>
      <xdr:rowOff>13875</xdr:rowOff>
    </xdr:to>
    <xdr:sp macro="" textlink="">
      <xdr:nvSpPr>
        <xdr:cNvPr id="23" name="Retângul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B42A5C31-99A8-4104-A78D-A571DE178F25}"/>
            </a:ext>
          </a:extLst>
        </xdr:cNvPr>
        <xdr:cNvSpPr/>
      </xdr:nvSpPr>
      <xdr:spPr>
        <a:xfrm>
          <a:off x="9734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2033</a:t>
          </a:r>
        </a:p>
      </xdr:txBody>
    </xdr:sp>
    <xdr:clientData fPrintsWithSheet="0"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342900</xdr:colOff>
      <xdr:row>0</xdr:row>
      <xdr:rowOff>85725</xdr:rowOff>
    </xdr:from>
    <xdr:to>
      <xdr:col>4</xdr:col>
      <xdr:colOff>546600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7CEEBD-0634-4321-A8E1-61FC5487BC09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4</xdr:col>
      <xdr:colOff>571500</xdr:colOff>
      <xdr:row>0</xdr:row>
      <xdr:rowOff>85725</xdr:rowOff>
    </xdr:from>
    <xdr:to>
      <xdr:col>5</xdr:col>
      <xdr:colOff>775200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9B48C42-677F-472C-B118-E14BD43E2824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5</xdr:col>
      <xdr:colOff>800100</xdr:colOff>
      <xdr:row>0</xdr:row>
      <xdr:rowOff>85725</xdr:rowOff>
    </xdr:from>
    <xdr:to>
      <xdr:col>7</xdr:col>
      <xdr:colOff>127500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49E493C-7624-4EC4-9E2A-2AF9C0277797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8</xdr:col>
      <xdr:colOff>381000</xdr:colOff>
      <xdr:row>0</xdr:row>
      <xdr:rowOff>85725</xdr:rowOff>
    </xdr:from>
    <xdr:to>
      <xdr:col>9</xdr:col>
      <xdr:colOff>584700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3CA5D66-5A06-4D41-A48C-0AF03601AD5C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9</xdr:col>
      <xdr:colOff>609600</xdr:colOff>
      <xdr:row>0</xdr:row>
      <xdr:rowOff>85725</xdr:rowOff>
    </xdr:from>
    <xdr:to>
      <xdr:col>10</xdr:col>
      <xdr:colOff>813300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BF5E884-BBA3-4718-B688-D0E007D4F6CF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10</xdr:col>
      <xdr:colOff>838200</xdr:colOff>
      <xdr:row>0</xdr:row>
      <xdr:rowOff>85725</xdr:rowOff>
    </xdr:from>
    <xdr:to>
      <xdr:col>12</xdr:col>
      <xdr:colOff>165600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B3E6C02-2BAB-4B90-B818-661C2A91EED7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7</xdr:col>
      <xdr:colOff>152400</xdr:colOff>
      <xdr:row>0</xdr:row>
      <xdr:rowOff>85725</xdr:rowOff>
    </xdr:from>
    <xdr:to>
      <xdr:col>8</xdr:col>
      <xdr:colOff>356100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EB4364D-8F94-45F8-93DA-144A94BCACE5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B5701A4E-5B44-454E-8C76-B416F0E922A8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55E9E108-C6E9-E703-1F7C-BF741FE251DE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2" name="Meio-quadro 11">
            <a:extLst>
              <a:ext uri="{FF2B5EF4-FFF2-40B4-BE49-F238E27FC236}">
                <a16:creationId xmlns:a16="http://schemas.microsoft.com/office/drawing/2014/main" id="{68D92D17-4B27-0E0B-DC05-8648366F6216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92D69625-4A42-C52A-F2BE-7958997A575D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133350</xdr:colOff>
          <xdr:row>2</xdr:row>
          <xdr:rowOff>257175</xdr:rowOff>
        </xdr:from>
        <xdr:to>
          <xdr:col>20</xdr:col>
          <xdr:colOff>9525</xdr:colOff>
          <xdr:row>2</xdr:row>
          <xdr:rowOff>638175</xdr:rowOff>
        </xdr:to>
        <xdr:sp macro="" textlink="">
          <xdr:nvSpPr>
            <xdr:cNvPr id="56321" name="Drop Dow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30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oneCellAnchor>
    <xdr:from>
      <xdr:col>10</xdr:col>
      <xdr:colOff>28575</xdr:colOff>
      <xdr:row>2</xdr:row>
      <xdr:rowOff>323850</xdr:rowOff>
    </xdr:from>
    <xdr:ext cx="1832168" cy="248851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A86519B7-7309-446F-AF7E-4CE49A75A118}"/>
            </a:ext>
          </a:extLst>
        </xdr:cNvPr>
        <xdr:cNvSpPr txBox="1"/>
      </xdr:nvSpPr>
      <xdr:spPr>
        <a:xfrm>
          <a:off x="7305675" y="1143000"/>
          <a:ext cx="1832168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000" kern="1200">
              <a:latin typeface="+mn-lt"/>
              <a:ea typeface="Tahoma" panose="020B0604030504040204" pitchFamily="34" charset="0"/>
              <a:cs typeface="Tahoma" panose="020B0604030504040204" pitchFamily="34" charset="0"/>
            </a:rPr>
            <a:t>Se Simples</a:t>
          </a:r>
          <a:r>
            <a:rPr lang="pt-BR" sz="1000" kern="1200" baseline="0">
              <a:latin typeface="+mn-lt"/>
              <a:ea typeface="Tahoma" panose="020B0604030504040204" pitchFamily="34" charset="0"/>
              <a:cs typeface="Tahoma" panose="020B0604030504040204" pitchFamily="34" charset="0"/>
            </a:rPr>
            <a:t> Nacional, analisar →</a:t>
          </a:r>
          <a:endParaRPr lang="pt-BR" sz="1000" kern="1200">
            <a:latin typeface="+mn-lt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 fPrintsWithSheet="0"/>
  </xdr:oneCellAnchor>
  <xdr:twoCellAnchor editAs="absolute">
    <xdr:from>
      <xdr:col>7</xdr:col>
      <xdr:colOff>342900</xdr:colOff>
      <xdr:row>0</xdr:row>
      <xdr:rowOff>371475</xdr:rowOff>
    </xdr:from>
    <xdr:to>
      <xdr:col>8</xdr:col>
      <xdr:colOff>186600</xdr:colOff>
      <xdr:row>0</xdr:row>
      <xdr:rowOff>388425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1754EC4-B6ED-4815-9198-D3EB5D62B04A}"/>
            </a:ext>
          </a:extLst>
        </xdr:cNvPr>
        <xdr:cNvSpPr/>
      </xdr:nvSpPr>
      <xdr:spPr>
        <a:xfrm>
          <a:off x="49911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485775</xdr:colOff>
      <xdr:row>1</xdr:row>
      <xdr:rowOff>142875</xdr:rowOff>
    </xdr:from>
    <xdr:to>
      <xdr:col>7</xdr:col>
      <xdr:colOff>689475</xdr:colOff>
      <xdr:row>2</xdr:row>
      <xdr:rowOff>13875</xdr:rowOff>
    </xdr:to>
    <xdr:sp macro="" textlink="">
      <xdr:nvSpPr>
        <xdr:cNvPr id="8" name="Retângulo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9BCC7BD-68F0-41A5-9AD8-B679939CF4EC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2028</a:t>
          </a:r>
        </a:p>
      </xdr:txBody>
    </xdr:sp>
    <xdr:clientData fPrintsWithSheet="0"/>
  </xdr:twoCellAnchor>
  <xdr:twoCellAnchor editAs="absolute">
    <xdr:from>
      <xdr:col>2</xdr:col>
      <xdr:colOff>742950</xdr:colOff>
      <xdr:row>1</xdr:row>
      <xdr:rowOff>142875</xdr:rowOff>
    </xdr:from>
    <xdr:to>
      <xdr:col>4</xdr:col>
      <xdr:colOff>32250</xdr:colOff>
      <xdr:row>2</xdr:row>
      <xdr:rowOff>13875</xdr:rowOff>
    </xdr:to>
    <xdr:sp macro="" textlink="">
      <xdr:nvSpPr>
        <xdr:cNvPr id="16" name="Retângulo 1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3710527-080E-4557-B221-E4E3628464B2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2025</a:t>
          </a:r>
        </a:p>
      </xdr:txBody>
    </xdr:sp>
    <xdr:clientData fPrintsWithSheet="0"/>
  </xdr:twoCellAnchor>
  <xdr:twoCellAnchor editAs="absolute">
    <xdr:from>
      <xdr:col>4</xdr:col>
      <xdr:colOff>47625</xdr:colOff>
      <xdr:row>1</xdr:row>
      <xdr:rowOff>142875</xdr:rowOff>
    </xdr:from>
    <xdr:to>
      <xdr:col>5</xdr:col>
      <xdr:colOff>251325</xdr:colOff>
      <xdr:row>2</xdr:row>
      <xdr:rowOff>13875</xdr:rowOff>
    </xdr:to>
    <xdr:sp macro="" textlink="">
      <xdr:nvSpPr>
        <xdr:cNvPr id="17" name="Retângulo 1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4EDE12FC-D996-47DC-A779-390A0BE99BE9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2026</a:t>
          </a:r>
        </a:p>
      </xdr:txBody>
    </xdr:sp>
    <xdr:clientData fPrintsWithSheet="0"/>
  </xdr:twoCellAnchor>
  <xdr:twoCellAnchor editAs="absolute">
    <xdr:from>
      <xdr:col>5</xdr:col>
      <xdr:colOff>266700</xdr:colOff>
      <xdr:row>1</xdr:row>
      <xdr:rowOff>142875</xdr:rowOff>
    </xdr:from>
    <xdr:to>
      <xdr:col>6</xdr:col>
      <xdr:colOff>470400</xdr:colOff>
      <xdr:row>2</xdr:row>
      <xdr:rowOff>13875</xdr:rowOff>
    </xdr:to>
    <xdr:sp macro="" textlink="">
      <xdr:nvSpPr>
        <xdr:cNvPr id="18" name="Retângul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8FF24A3-14D1-43DB-83DD-8398E0172635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2027</a:t>
          </a:r>
        </a:p>
      </xdr:txBody>
    </xdr:sp>
    <xdr:clientData fPrintsWithSheet="0"/>
  </xdr:twoCellAnchor>
  <xdr:twoCellAnchor editAs="absolute">
    <xdr:from>
      <xdr:col>7</xdr:col>
      <xdr:colOff>704850</xdr:colOff>
      <xdr:row>1</xdr:row>
      <xdr:rowOff>142875</xdr:rowOff>
    </xdr:from>
    <xdr:to>
      <xdr:col>9</xdr:col>
      <xdr:colOff>32250</xdr:colOff>
      <xdr:row>2</xdr:row>
      <xdr:rowOff>13875</xdr:rowOff>
    </xdr:to>
    <xdr:sp macro="" textlink="">
      <xdr:nvSpPr>
        <xdr:cNvPr id="19" name="Retângul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6F1E48B-8C31-47F8-BEE0-F2FF1F9C7178}"/>
            </a:ext>
          </a:extLst>
        </xdr:cNvPr>
        <xdr:cNvSpPr/>
      </xdr:nvSpPr>
      <xdr:spPr>
        <a:xfrm>
          <a:off x="53530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2029</a:t>
          </a:r>
        </a:p>
      </xdr:txBody>
    </xdr:sp>
    <xdr:clientData fPrintsWithSheet="0"/>
  </xdr:twoCellAnchor>
  <xdr:twoCellAnchor editAs="absolute">
    <xdr:from>
      <xdr:col>9</xdr:col>
      <xdr:colOff>47625</xdr:colOff>
      <xdr:row>1</xdr:row>
      <xdr:rowOff>142875</xdr:rowOff>
    </xdr:from>
    <xdr:to>
      <xdr:col>10</xdr:col>
      <xdr:colOff>251325</xdr:colOff>
      <xdr:row>2</xdr:row>
      <xdr:rowOff>13875</xdr:rowOff>
    </xdr:to>
    <xdr:sp macro="" textlink="">
      <xdr:nvSpPr>
        <xdr:cNvPr id="20" name="Retângul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9047C221-085C-417A-A507-6FE0872820CE}"/>
            </a:ext>
          </a:extLst>
        </xdr:cNvPr>
        <xdr:cNvSpPr/>
      </xdr:nvSpPr>
      <xdr:spPr>
        <a:xfrm>
          <a:off x="64484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2030</a:t>
          </a:r>
        </a:p>
      </xdr:txBody>
    </xdr:sp>
    <xdr:clientData fPrintsWithSheet="0"/>
  </xdr:twoCellAnchor>
  <xdr:twoCellAnchor editAs="absolute">
    <xdr:from>
      <xdr:col>10</xdr:col>
      <xdr:colOff>266700</xdr:colOff>
      <xdr:row>1</xdr:row>
      <xdr:rowOff>142875</xdr:rowOff>
    </xdr:from>
    <xdr:to>
      <xdr:col>11</xdr:col>
      <xdr:colOff>470400</xdr:colOff>
      <xdr:row>2</xdr:row>
      <xdr:rowOff>13875</xdr:rowOff>
    </xdr:to>
    <xdr:sp macro="" textlink="">
      <xdr:nvSpPr>
        <xdr:cNvPr id="21" name="Retângul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79D3A2E-BFB9-4CF0-837A-70F455E8EAB3}"/>
            </a:ext>
          </a:extLst>
        </xdr:cNvPr>
        <xdr:cNvSpPr/>
      </xdr:nvSpPr>
      <xdr:spPr>
        <a:xfrm>
          <a:off x="75438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2031</a:t>
          </a:r>
        </a:p>
      </xdr:txBody>
    </xdr:sp>
    <xdr:clientData fPrintsWithSheet="0"/>
  </xdr:twoCellAnchor>
  <xdr:twoCellAnchor editAs="absolute">
    <xdr:from>
      <xdr:col>11</xdr:col>
      <xdr:colOff>485775</xdr:colOff>
      <xdr:row>1</xdr:row>
      <xdr:rowOff>142875</xdr:rowOff>
    </xdr:from>
    <xdr:to>
      <xdr:col>12</xdr:col>
      <xdr:colOff>689475</xdr:colOff>
      <xdr:row>2</xdr:row>
      <xdr:rowOff>13875</xdr:rowOff>
    </xdr:to>
    <xdr:sp macro="" textlink="">
      <xdr:nvSpPr>
        <xdr:cNvPr id="22" name="Retângul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B7E33869-A33A-4D3F-9964-E9602B50F893}"/>
            </a:ext>
          </a:extLst>
        </xdr:cNvPr>
        <xdr:cNvSpPr/>
      </xdr:nvSpPr>
      <xdr:spPr>
        <a:xfrm>
          <a:off x="86391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2032</a:t>
          </a:r>
        </a:p>
      </xdr:txBody>
    </xdr:sp>
    <xdr:clientData fPrintsWithSheet="0"/>
  </xdr:twoCellAnchor>
  <xdr:twoCellAnchor editAs="absolute">
    <xdr:from>
      <xdr:col>12</xdr:col>
      <xdr:colOff>704850</xdr:colOff>
      <xdr:row>1</xdr:row>
      <xdr:rowOff>142875</xdr:rowOff>
    </xdr:from>
    <xdr:to>
      <xdr:col>14</xdr:col>
      <xdr:colOff>32250</xdr:colOff>
      <xdr:row>2</xdr:row>
      <xdr:rowOff>13875</xdr:rowOff>
    </xdr:to>
    <xdr:sp macro="" textlink="">
      <xdr:nvSpPr>
        <xdr:cNvPr id="23" name="Retângul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932D19F-7DFA-4EB0-BB17-7DF6F8A90CF2}"/>
            </a:ext>
          </a:extLst>
        </xdr:cNvPr>
        <xdr:cNvSpPr/>
      </xdr:nvSpPr>
      <xdr:spPr>
        <a:xfrm>
          <a:off x="9734550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2033</a:t>
          </a:r>
        </a:p>
      </xdr:txBody>
    </xdr:sp>
    <xdr:clientData fPrintsWithSheet="0"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342900</xdr:colOff>
      <xdr:row>0</xdr:row>
      <xdr:rowOff>85725</xdr:rowOff>
    </xdr:from>
    <xdr:to>
      <xdr:col>4</xdr:col>
      <xdr:colOff>546600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4</xdr:col>
      <xdr:colOff>571500</xdr:colOff>
      <xdr:row>0</xdr:row>
      <xdr:rowOff>85725</xdr:rowOff>
    </xdr:from>
    <xdr:to>
      <xdr:col>5</xdr:col>
      <xdr:colOff>775200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5</xdr:col>
      <xdr:colOff>800100</xdr:colOff>
      <xdr:row>0</xdr:row>
      <xdr:rowOff>85725</xdr:rowOff>
    </xdr:from>
    <xdr:to>
      <xdr:col>7</xdr:col>
      <xdr:colOff>127500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8</xdr:col>
      <xdr:colOff>381000</xdr:colOff>
      <xdr:row>0</xdr:row>
      <xdr:rowOff>85725</xdr:rowOff>
    </xdr:from>
    <xdr:to>
      <xdr:col>9</xdr:col>
      <xdr:colOff>584700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9</xdr:col>
      <xdr:colOff>609600</xdr:colOff>
      <xdr:row>0</xdr:row>
      <xdr:rowOff>85725</xdr:rowOff>
    </xdr:from>
    <xdr:to>
      <xdr:col>10</xdr:col>
      <xdr:colOff>813300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10</xdr:col>
      <xdr:colOff>838200</xdr:colOff>
      <xdr:row>0</xdr:row>
      <xdr:rowOff>85725</xdr:rowOff>
    </xdr:from>
    <xdr:to>
      <xdr:col>12</xdr:col>
      <xdr:colOff>165600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7</xdr:col>
      <xdr:colOff>152400</xdr:colOff>
      <xdr:row>0</xdr:row>
      <xdr:rowOff>85725</xdr:rowOff>
    </xdr:from>
    <xdr:to>
      <xdr:col>8</xdr:col>
      <xdr:colOff>356100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2</xdr:col>
      <xdr:colOff>742950</xdr:colOff>
      <xdr:row>1</xdr:row>
      <xdr:rowOff>142875</xdr:rowOff>
    </xdr:from>
    <xdr:to>
      <xdr:col>4</xdr:col>
      <xdr:colOff>32250</xdr:colOff>
      <xdr:row>2</xdr:row>
      <xdr:rowOff>13875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Resumo</a:t>
          </a:r>
        </a:p>
      </xdr:txBody>
    </xdr:sp>
    <xdr:clientData fPrintsWithSheet="0"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00000000-0008-0000-0C00-00000C000000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00000000-0008-0000-0C00-00000D000000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4" name="Meio-quadro 13">
            <a:extLst>
              <a:ext uri="{FF2B5EF4-FFF2-40B4-BE49-F238E27FC236}">
                <a16:creationId xmlns:a16="http://schemas.microsoft.com/office/drawing/2014/main" id="{00000000-0008-0000-0C00-00000E000000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8</xdr:col>
      <xdr:colOff>561975</xdr:colOff>
      <xdr:row>0</xdr:row>
      <xdr:rowOff>371475</xdr:rowOff>
    </xdr:from>
    <xdr:to>
      <xdr:col>9</xdr:col>
      <xdr:colOff>405675</xdr:colOff>
      <xdr:row>0</xdr:row>
      <xdr:rowOff>388425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32A5634-A56E-41C6-906C-5ADB9705C1C2}"/>
            </a:ext>
          </a:extLst>
        </xdr:cNvPr>
        <xdr:cNvSpPr/>
      </xdr:nvSpPr>
      <xdr:spPr>
        <a:xfrm>
          <a:off x="6086475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47625</xdr:colOff>
      <xdr:row>1</xdr:row>
      <xdr:rowOff>142875</xdr:rowOff>
    </xdr:from>
    <xdr:to>
      <xdr:col>5</xdr:col>
      <xdr:colOff>251325</xdr:colOff>
      <xdr:row>2</xdr:row>
      <xdr:rowOff>13875</xdr:rowOff>
    </xdr:to>
    <xdr:sp macro="" textlink="">
      <xdr:nvSpPr>
        <xdr:cNvPr id="8" name="Retângulo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5F35C0C-00F9-4D64-BB2A-7097381E9032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Cronograma</a:t>
          </a:r>
        </a:p>
      </xdr:txBody>
    </xdr:sp>
    <xdr:clientData fPrintsWithSheet="0"/>
  </xdr:twoCellAnchor>
  <xdr:twoCellAnchor editAs="absolute">
    <xdr:from>
      <xdr:col>5</xdr:col>
      <xdr:colOff>266700</xdr:colOff>
      <xdr:row>1</xdr:row>
      <xdr:rowOff>142875</xdr:rowOff>
    </xdr:from>
    <xdr:to>
      <xdr:col>6</xdr:col>
      <xdr:colOff>470400</xdr:colOff>
      <xdr:row>2</xdr:row>
      <xdr:rowOff>13875</xdr:rowOff>
    </xdr:to>
    <xdr:sp macro="" textlink="">
      <xdr:nvSpPr>
        <xdr:cNvPr id="16" name="Retâ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E52D2BFD-7694-4435-874F-1BCA11486210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Carga Tributária</a:t>
          </a:r>
        </a:p>
      </xdr:txBody>
    </xdr:sp>
    <xdr:clientData fPrintsWithSheet="0"/>
  </xdr:twoCellAnchor>
  <xdr:twoCellAnchor editAs="absolute">
    <xdr:from>
      <xdr:col>6</xdr:col>
      <xdr:colOff>485775</xdr:colOff>
      <xdr:row>1</xdr:row>
      <xdr:rowOff>142875</xdr:rowOff>
    </xdr:from>
    <xdr:to>
      <xdr:col>7</xdr:col>
      <xdr:colOff>689475</xdr:colOff>
      <xdr:row>2</xdr:row>
      <xdr:rowOff>13875</xdr:rowOff>
    </xdr:to>
    <xdr:sp macro="" textlink="">
      <xdr:nvSpPr>
        <xdr:cNvPr id="17" name="Retângulo 1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FA79846-7A6E-405D-A9A4-07078EACB163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Lucratividade</a:t>
          </a:r>
        </a:p>
      </xdr:txBody>
    </xdr:sp>
    <xdr:clientData fPrintsWithSheet="0"/>
  </xdr:twoCellAnchor>
  <xdr:twoCellAnchor editAs="absolute">
    <xdr:from>
      <xdr:col>7</xdr:col>
      <xdr:colOff>704850</xdr:colOff>
      <xdr:row>1</xdr:row>
      <xdr:rowOff>142875</xdr:rowOff>
    </xdr:from>
    <xdr:to>
      <xdr:col>9</xdr:col>
      <xdr:colOff>32250</xdr:colOff>
      <xdr:row>2</xdr:row>
      <xdr:rowOff>13875</xdr:rowOff>
    </xdr:to>
    <xdr:sp macro="" textlink="">
      <xdr:nvSpPr>
        <xdr:cNvPr id="18" name="Retângulo 1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347852A-1E26-4D20-83D8-746417E25BA2}"/>
            </a:ext>
          </a:extLst>
        </xdr:cNvPr>
        <xdr:cNvSpPr/>
      </xdr:nvSpPr>
      <xdr:spPr>
        <a:xfrm>
          <a:off x="53530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Evolução</a:t>
          </a:r>
        </a:p>
      </xdr:txBody>
    </xdr:sp>
    <xdr:clientData fPrintsWithSheet="0"/>
  </xdr:twoCellAnchor>
  <xdr:twoCellAnchor editAs="absolute">
    <xdr:from>
      <xdr:col>9</xdr:col>
      <xdr:colOff>47625</xdr:colOff>
      <xdr:row>1</xdr:row>
      <xdr:rowOff>142875</xdr:rowOff>
    </xdr:from>
    <xdr:to>
      <xdr:col>10</xdr:col>
      <xdr:colOff>251325</xdr:colOff>
      <xdr:row>2</xdr:row>
      <xdr:rowOff>13875</xdr:rowOff>
    </xdr:to>
    <xdr:sp macro="" textlink="">
      <xdr:nvSpPr>
        <xdr:cNvPr id="19" name="Retângulo 1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B5C49FEF-9130-4EB4-B822-19C4CBD696DC}"/>
            </a:ext>
          </a:extLst>
        </xdr:cNvPr>
        <xdr:cNvSpPr/>
      </xdr:nvSpPr>
      <xdr:spPr>
        <a:xfrm>
          <a:off x="64484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Impressão</a:t>
          </a:r>
        </a:p>
      </xdr:txBody>
    </xdr:sp>
    <xdr:clientData fPrintsWithSheet="0"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342900</xdr:colOff>
      <xdr:row>0</xdr:row>
      <xdr:rowOff>85725</xdr:rowOff>
    </xdr:from>
    <xdr:to>
      <xdr:col>4</xdr:col>
      <xdr:colOff>546600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0CD7ED-7193-4F75-81C7-65E69F9F7880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4</xdr:col>
      <xdr:colOff>571500</xdr:colOff>
      <xdr:row>0</xdr:row>
      <xdr:rowOff>85725</xdr:rowOff>
    </xdr:from>
    <xdr:to>
      <xdr:col>5</xdr:col>
      <xdr:colOff>775200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1AF0E2D-51B7-440D-974A-E7C01B4F31CE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5</xdr:col>
      <xdr:colOff>800100</xdr:colOff>
      <xdr:row>0</xdr:row>
      <xdr:rowOff>85725</xdr:rowOff>
    </xdr:from>
    <xdr:to>
      <xdr:col>7</xdr:col>
      <xdr:colOff>127500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BA31E8-24D2-4CCE-B72C-1496630A2267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8</xdr:col>
      <xdr:colOff>381000</xdr:colOff>
      <xdr:row>0</xdr:row>
      <xdr:rowOff>85725</xdr:rowOff>
    </xdr:from>
    <xdr:to>
      <xdr:col>9</xdr:col>
      <xdr:colOff>584700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6C502CD-760D-4C67-B82C-3089793C93EB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9</xdr:col>
      <xdr:colOff>609600</xdr:colOff>
      <xdr:row>0</xdr:row>
      <xdr:rowOff>85725</xdr:rowOff>
    </xdr:from>
    <xdr:to>
      <xdr:col>10</xdr:col>
      <xdr:colOff>813300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735BD5E-C783-4269-AFB1-C10E49BE5EE0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10</xdr:col>
      <xdr:colOff>838200</xdr:colOff>
      <xdr:row>0</xdr:row>
      <xdr:rowOff>85725</xdr:rowOff>
    </xdr:from>
    <xdr:to>
      <xdr:col>12</xdr:col>
      <xdr:colOff>165600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6D3F443-EE7C-4E15-8C0D-842D9958C121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7</xdr:col>
      <xdr:colOff>152400</xdr:colOff>
      <xdr:row>0</xdr:row>
      <xdr:rowOff>85725</xdr:rowOff>
    </xdr:from>
    <xdr:to>
      <xdr:col>8</xdr:col>
      <xdr:colOff>356100</xdr:colOff>
      <xdr:row>0</xdr:row>
      <xdr:rowOff>373725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6E3724F-265C-4A52-83EB-DD7E059C06C2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C113EF4-1A23-4326-9075-B5AF1E23FEA4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B324CEBB-E276-9B1D-1E8E-224C13C49B6D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2" name="Meio-quadro 11">
            <a:extLst>
              <a:ext uri="{FF2B5EF4-FFF2-40B4-BE49-F238E27FC236}">
                <a16:creationId xmlns:a16="http://schemas.microsoft.com/office/drawing/2014/main" id="{8C4AE9E2-E4AA-ED49-0EE5-9A0632D8E535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08578E3A-8397-F292-FFA2-C2ED65D2E478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8</xdr:col>
      <xdr:colOff>561975</xdr:colOff>
      <xdr:row>0</xdr:row>
      <xdr:rowOff>371475</xdr:rowOff>
    </xdr:from>
    <xdr:to>
      <xdr:col>9</xdr:col>
      <xdr:colOff>405675</xdr:colOff>
      <xdr:row>0</xdr:row>
      <xdr:rowOff>388425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707EF0FD-F15E-46ED-96B5-3CDBC42DBAD7}"/>
            </a:ext>
          </a:extLst>
        </xdr:cNvPr>
        <xdr:cNvSpPr/>
      </xdr:nvSpPr>
      <xdr:spPr>
        <a:xfrm>
          <a:off x="6086475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400050</xdr:colOff>
      <xdr:row>2</xdr:row>
      <xdr:rowOff>190500</xdr:rowOff>
    </xdr:from>
    <xdr:to>
      <xdr:col>15</xdr:col>
      <xdr:colOff>806967</xdr:colOff>
      <xdr:row>2</xdr:row>
      <xdr:rowOff>439351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827C34A9-70B7-16EC-DC49-B587B853C9C1}"/>
            </a:ext>
          </a:extLst>
        </xdr:cNvPr>
        <xdr:cNvGrpSpPr/>
      </xdr:nvGrpSpPr>
      <xdr:grpSpPr>
        <a:xfrm>
          <a:off x="7677150" y="1009650"/>
          <a:ext cx="4788417" cy="248851"/>
          <a:chOff x="7058025" y="876300"/>
          <a:chExt cx="4788417" cy="248851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37B3AA0B-2451-E5BD-E7C9-B3BA3D94BF51}"/>
              </a:ext>
            </a:extLst>
          </xdr:cNvPr>
          <xdr:cNvSpPr/>
        </xdr:nvSpPr>
        <xdr:spPr>
          <a:xfrm>
            <a:off x="7058025" y="942975"/>
            <a:ext cx="209550" cy="123825"/>
          </a:xfrm>
          <a:prstGeom prst="rect">
            <a:avLst/>
          </a:prstGeom>
          <a:solidFill>
            <a:srgbClr val="01B8AA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kern="1200"/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CDA2D329-095B-D08E-260A-546187AB641B}"/>
              </a:ext>
            </a:extLst>
          </xdr:cNvPr>
          <xdr:cNvSpPr txBox="1"/>
        </xdr:nvSpPr>
        <xdr:spPr>
          <a:xfrm>
            <a:off x="7248525" y="876300"/>
            <a:ext cx="1255921" cy="2488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000" kern="1200"/>
              <a:t>Redução de Imposto</a:t>
            </a:r>
          </a:p>
        </xdr:txBody>
      </xdr:sp>
      <xdr:sp macro="" textlink="">
        <xdr:nvSpPr>
          <xdr:cNvPr id="16" name="Retângulo 15">
            <a:extLst>
              <a:ext uri="{FF2B5EF4-FFF2-40B4-BE49-F238E27FC236}">
                <a16:creationId xmlns:a16="http://schemas.microsoft.com/office/drawing/2014/main" id="{2037F9BD-DDF6-46F8-BBE9-0B52DE8C0D23}"/>
              </a:ext>
            </a:extLst>
          </xdr:cNvPr>
          <xdr:cNvSpPr/>
        </xdr:nvSpPr>
        <xdr:spPr>
          <a:xfrm>
            <a:off x="8705850" y="942975"/>
            <a:ext cx="209550" cy="123825"/>
          </a:xfrm>
          <a:prstGeom prst="rect">
            <a:avLst/>
          </a:prstGeom>
          <a:solidFill>
            <a:srgbClr val="F2C80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kern="1200"/>
          </a:p>
        </xdr:txBody>
      </xdr:sp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2B572651-BB02-4D7B-9604-125245C377D3}"/>
              </a:ext>
            </a:extLst>
          </xdr:cNvPr>
          <xdr:cNvSpPr txBox="1"/>
        </xdr:nvSpPr>
        <xdr:spPr>
          <a:xfrm>
            <a:off x="8896350" y="876300"/>
            <a:ext cx="1207767" cy="2488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000" kern="1200"/>
              <a:t>Manteve o Imposto</a:t>
            </a:r>
          </a:p>
        </xdr:txBody>
      </xdr:sp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8367BC4-A13F-4FB9-A73E-ED923A1F24AA}"/>
              </a:ext>
            </a:extLst>
          </xdr:cNvPr>
          <xdr:cNvSpPr/>
        </xdr:nvSpPr>
        <xdr:spPr>
          <a:xfrm>
            <a:off x="10315575" y="942975"/>
            <a:ext cx="209550" cy="123825"/>
          </a:xfrm>
          <a:prstGeom prst="rect">
            <a:avLst/>
          </a:prstGeom>
          <a:solidFill>
            <a:srgbClr val="FB5A5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kern="12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BC07F532-2E78-4015-A2D2-F9F92F4DAE38}"/>
              </a:ext>
            </a:extLst>
          </xdr:cNvPr>
          <xdr:cNvSpPr txBox="1"/>
        </xdr:nvSpPr>
        <xdr:spPr>
          <a:xfrm>
            <a:off x="10506075" y="876300"/>
            <a:ext cx="1340367" cy="2488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000" kern="1200"/>
              <a:t>Aumento de Imposto</a:t>
            </a:r>
          </a:p>
        </xdr:txBody>
      </xdr:sp>
    </xdr:grpSp>
    <xdr:clientData/>
  </xdr:twoCellAnchor>
  <xdr:twoCellAnchor editAs="absolute">
    <xdr:from>
      <xdr:col>2</xdr:col>
      <xdr:colOff>742950</xdr:colOff>
      <xdr:row>1</xdr:row>
      <xdr:rowOff>142875</xdr:rowOff>
    </xdr:from>
    <xdr:to>
      <xdr:col>4</xdr:col>
      <xdr:colOff>32250</xdr:colOff>
      <xdr:row>2</xdr:row>
      <xdr:rowOff>13875</xdr:rowOff>
    </xdr:to>
    <xdr:sp macro="" textlink="">
      <xdr:nvSpPr>
        <xdr:cNvPr id="20" name="Retângulo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EE7AB46-2E1D-4088-AFF1-76863D3DF21B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Resumo</a:t>
          </a:r>
        </a:p>
      </xdr:txBody>
    </xdr:sp>
    <xdr:clientData fPrintsWithSheet="0"/>
  </xdr:twoCellAnchor>
  <xdr:twoCellAnchor editAs="absolute">
    <xdr:from>
      <xdr:col>4</xdr:col>
      <xdr:colOff>47625</xdr:colOff>
      <xdr:row>1</xdr:row>
      <xdr:rowOff>142875</xdr:rowOff>
    </xdr:from>
    <xdr:to>
      <xdr:col>5</xdr:col>
      <xdr:colOff>251325</xdr:colOff>
      <xdr:row>2</xdr:row>
      <xdr:rowOff>13875</xdr:rowOff>
    </xdr:to>
    <xdr:sp macro="" textlink="">
      <xdr:nvSpPr>
        <xdr:cNvPr id="21" name="Retângulo 2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BD301F4-CDAC-43BE-8EC0-64D1B92F0071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Cronograma</a:t>
          </a:r>
        </a:p>
      </xdr:txBody>
    </xdr:sp>
    <xdr:clientData fPrintsWithSheet="0"/>
  </xdr:twoCellAnchor>
  <xdr:twoCellAnchor editAs="absolute">
    <xdr:from>
      <xdr:col>5</xdr:col>
      <xdr:colOff>266700</xdr:colOff>
      <xdr:row>1</xdr:row>
      <xdr:rowOff>142875</xdr:rowOff>
    </xdr:from>
    <xdr:to>
      <xdr:col>6</xdr:col>
      <xdr:colOff>470400</xdr:colOff>
      <xdr:row>2</xdr:row>
      <xdr:rowOff>13875</xdr:rowOff>
    </xdr:to>
    <xdr:sp macro="" textlink="">
      <xdr:nvSpPr>
        <xdr:cNvPr id="23" name="Retângulo 2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49C7D9C1-9A45-4A09-ACEF-FD9D8E2ADD7A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Carga Tributária</a:t>
          </a:r>
        </a:p>
      </xdr:txBody>
    </xdr:sp>
    <xdr:clientData fPrintsWithSheet="0"/>
  </xdr:twoCellAnchor>
  <xdr:twoCellAnchor editAs="absolute">
    <xdr:from>
      <xdr:col>6</xdr:col>
      <xdr:colOff>485775</xdr:colOff>
      <xdr:row>1</xdr:row>
      <xdr:rowOff>142875</xdr:rowOff>
    </xdr:from>
    <xdr:to>
      <xdr:col>7</xdr:col>
      <xdr:colOff>689475</xdr:colOff>
      <xdr:row>2</xdr:row>
      <xdr:rowOff>13875</xdr:rowOff>
    </xdr:to>
    <xdr:sp macro="" textlink="">
      <xdr:nvSpPr>
        <xdr:cNvPr id="24" name="Retângulo 2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F68F2D1-B2E3-47DB-862C-CA0EDAFB04A7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Lucratividade</a:t>
          </a:r>
        </a:p>
      </xdr:txBody>
    </xdr:sp>
    <xdr:clientData fPrintsWithSheet="0"/>
  </xdr:twoCellAnchor>
  <xdr:twoCellAnchor editAs="absolute">
    <xdr:from>
      <xdr:col>7</xdr:col>
      <xdr:colOff>704850</xdr:colOff>
      <xdr:row>1</xdr:row>
      <xdr:rowOff>142875</xdr:rowOff>
    </xdr:from>
    <xdr:to>
      <xdr:col>9</xdr:col>
      <xdr:colOff>32250</xdr:colOff>
      <xdr:row>2</xdr:row>
      <xdr:rowOff>13875</xdr:rowOff>
    </xdr:to>
    <xdr:sp macro="" textlink="">
      <xdr:nvSpPr>
        <xdr:cNvPr id="25" name="Retângulo 2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1A52155-816A-4619-8B1B-9960538C5BCB}"/>
            </a:ext>
          </a:extLst>
        </xdr:cNvPr>
        <xdr:cNvSpPr/>
      </xdr:nvSpPr>
      <xdr:spPr>
        <a:xfrm>
          <a:off x="53530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Evolução</a:t>
          </a:r>
        </a:p>
      </xdr:txBody>
    </xdr:sp>
    <xdr:clientData fPrintsWithSheet="0"/>
  </xdr:twoCellAnchor>
  <xdr:twoCellAnchor editAs="absolute">
    <xdr:from>
      <xdr:col>9</xdr:col>
      <xdr:colOff>47625</xdr:colOff>
      <xdr:row>1</xdr:row>
      <xdr:rowOff>142875</xdr:rowOff>
    </xdr:from>
    <xdr:to>
      <xdr:col>10</xdr:col>
      <xdr:colOff>251325</xdr:colOff>
      <xdr:row>2</xdr:row>
      <xdr:rowOff>13875</xdr:rowOff>
    </xdr:to>
    <xdr:sp macro="" textlink="">
      <xdr:nvSpPr>
        <xdr:cNvPr id="26" name="Retângulo 2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B51D93A-5A8F-4CCC-B7B6-3AFF72D3ADD3}"/>
            </a:ext>
          </a:extLst>
        </xdr:cNvPr>
        <xdr:cNvSpPr/>
      </xdr:nvSpPr>
      <xdr:spPr>
        <a:xfrm>
          <a:off x="64484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Impressão</a:t>
          </a:r>
        </a:p>
      </xdr:txBody>
    </xdr:sp>
    <xdr:clientData fPrintsWithSheet="0"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342900</xdr:colOff>
      <xdr:row>0</xdr:row>
      <xdr:rowOff>85725</xdr:rowOff>
    </xdr:from>
    <xdr:to>
      <xdr:col>4</xdr:col>
      <xdr:colOff>546600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FE7D683-9A75-40C8-A5A0-0258B8E52A0A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4</xdr:col>
      <xdr:colOff>571500</xdr:colOff>
      <xdr:row>0</xdr:row>
      <xdr:rowOff>85725</xdr:rowOff>
    </xdr:from>
    <xdr:to>
      <xdr:col>5</xdr:col>
      <xdr:colOff>775200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24463C-A59A-41CE-82D1-7574DADF3156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5</xdr:col>
      <xdr:colOff>800100</xdr:colOff>
      <xdr:row>0</xdr:row>
      <xdr:rowOff>85725</xdr:rowOff>
    </xdr:from>
    <xdr:to>
      <xdr:col>7</xdr:col>
      <xdr:colOff>127500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C20D89F-BCE7-410B-A0C2-329B76C354AE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8</xdr:col>
      <xdr:colOff>381000</xdr:colOff>
      <xdr:row>0</xdr:row>
      <xdr:rowOff>85725</xdr:rowOff>
    </xdr:from>
    <xdr:to>
      <xdr:col>9</xdr:col>
      <xdr:colOff>584700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1A0CD68-AE14-4F4D-A003-7EDC9F4B538C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9</xdr:col>
      <xdr:colOff>609600</xdr:colOff>
      <xdr:row>0</xdr:row>
      <xdr:rowOff>85725</xdr:rowOff>
    </xdr:from>
    <xdr:to>
      <xdr:col>10</xdr:col>
      <xdr:colOff>813300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2D047BC-781F-4153-A216-BC1045618FA9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10</xdr:col>
      <xdr:colOff>838200</xdr:colOff>
      <xdr:row>0</xdr:row>
      <xdr:rowOff>85725</xdr:rowOff>
    </xdr:from>
    <xdr:to>
      <xdr:col>12</xdr:col>
      <xdr:colOff>165600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37A89B4-24E5-4E2C-A1A7-C7C0093CC312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7</xdr:col>
      <xdr:colOff>152400</xdr:colOff>
      <xdr:row>0</xdr:row>
      <xdr:rowOff>85725</xdr:rowOff>
    </xdr:from>
    <xdr:to>
      <xdr:col>8</xdr:col>
      <xdr:colOff>356100</xdr:colOff>
      <xdr:row>0</xdr:row>
      <xdr:rowOff>373725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9F3596D-2B9E-44C4-900C-5CCA2BBFD072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E421B462-0289-430F-A3CC-E0698289FF12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9AEF4BF1-0A82-4A70-C002-8095D682EE2F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2" name="Meio-quadro 11">
            <a:extLst>
              <a:ext uri="{FF2B5EF4-FFF2-40B4-BE49-F238E27FC236}">
                <a16:creationId xmlns:a16="http://schemas.microsoft.com/office/drawing/2014/main" id="{7F3759FB-5AE8-0830-1394-D3B880D76B73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72FD4BFA-D272-DC19-3658-E8A63D94C0B3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8</xdr:col>
      <xdr:colOff>561975</xdr:colOff>
      <xdr:row>0</xdr:row>
      <xdr:rowOff>371475</xdr:rowOff>
    </xdr:from>
    <xdr:to>
      <xdr:col>9</xdr:col>
      <xdr:colOff>405675</xdr:colOff>
      <xdr:row>0</xdr:row>
      <xdr:rowOff>388425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F27FC1A7-CFC0-436D-953F-4B6BF8054F83}"/>
            </a:ext>
          </a:extLst>
        </xdr:cNvPr>
        <xdr:cNvSpPr/>
      </xdr:nvSpPr>
      <xdr:spPr>
        <a:xfrm>
          <a:off x="6086475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742950</xdr:colOff>
      <xdr:row>1</xdr:row>
      <xdr:rowOff>142875</xdr:rowOff>
    </xdr:from>
    <xdr:to>
      <xdr:col>4</xdr:col>
      <xdr:colOff>32250</xdr:colOff>
      <xdr:row>2</xdr:row>
      <xdr:rowOff>13875</xdr:rowOff>
    </xdr:to>
    <xdr:sp macro="" textlink="">
      <xdr:nvSpPr>
        <xdr:cNvPr id="9" name="Retângul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D39A0DD-59B5-4C97-B365-F8A1D176B661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Resumo</a:t>
          </a:r>
        </a:p>
      </xdr:txBody>
    </xdr:sp>
    <xdr:clientData fPrintsWithSheet="0"/>
  </xdr:twoCellAnchor>
  <xdr:twoCellAnchor editAs="absolute">
    <xdr:from>
      <xdr:col>4</xdr:col>
      <xdr:colOff>47625</xdr:colOff>
      <xdr:row>1</xdr:row>
      <xdr:rowOff>142875</xdr:rowOff>
    </xdr:from>
    <xdr:to>
      <xdr:col>5</xdr:col>
      <xdr:colOff>251325</xdr:colOff>
      <xdr:row>2</xdr:row>
      <xdr:rowOff>13875</xdr:rowOff>
    </xdr:to>
    <xdr:sp macro="" textlink="">
      <xdr:nvSpPr>
        <xdr:cNvPr id="15" name="Retângul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2853AEA-C178-4485-9B8E-6706A40E5793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Cronograma</a:t>
          </a:r>
        </a:p>
      </xdr:txBody>
    </xdr:sp>
    <xdr:clientData fPrintsWithSheet="0"/>
  </xdr:twoCellAnchor>
  <xdr:twoCellAnchor editAs="absolute">
    <xdr:from>
      <xdr:col>5</xdr:col>
      <xdr:colOff>266700</xdr:colOff>
      <xdr:row>1</xdr:row>
      <xdr:rowOff>142875</xdr:rowOff>
    </xdr:from>
    <xdr:to>
      <xdr:col>6</xdr:col>
      <xdr:colOff>470400</xdr:colOff>
      <xdr:row>2</xdr:row>
      <xdr:rowOff>13875</xdr:rowOff>
    </xdr:to>
    <xdr:sp macro="" textlink="">
      <xdr:nvSpPr>
        <xdr:cNvPr id="16" name="Retâ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BFFDDF4-EA37-4E7E-8A0A-BBDE9A4EB64F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Carga Tributária</a:t>
          </a:r>
        </a:p>
      </xdr:txBody>
    </xdr:sp>
    <xdr:clientData fPrintsWithSheet="0"/>
  </xdr:twoCellAnchor>
  <xdr:twoCellAnchor editAs="absolute">
    <xdr:from>
      <xdr:col>6</xdr:col>
      <xdr:colOff>485775</xdr:colOff>
      <xdr:row>1</xdr:row>
      <xdr:rowOff>142875</xdr:rowOff>
    </xdr:from>
    <xdr:to>
      <xdr:col>7</xdr:col>
      <xdr:colOff>689475</xdr:colOff>
      <xdr:row>2</xdr:row>
      <xdr:rowOff>13875</xdr:rowOff>
    </xdr:to>
    <xdr:sp macro="" textlink="">
      <xdr:nvSpPr>
        <xdr:cNvPr id="17" name="Retângulo 1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D96BF8D-A777-43CB-831F-A17EA0B127B3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Lucratividade</a:t>
          </a:r>
        </a:p>
      </xdr:txBody>
    </xdr:sp>
    <xdr:clientData fPrintsWithSheet="0"/>
  </xdr:twoCellAnchor>
  <xdr:twoCellAnchor editAs="absolute">
    <xdr:from>
      <xdr:col>7</xdr:col>
      <xdr:colOff>704850</xdr:colOff>
      <xdr:row>1</xdr:row>
      <xdr:rowOff>142875</xdr:rowOff>
    </xdr:from>
    <xdr:to>
      <xdr:col>9</xdr:col>
      <xdr:colOff>32250</xdr:colOff>
      <xdr:row>2</xdr:row>
      <xdr:rowOff>13875</xdr:rowOff>
    </xdr:to>
    <xdr:sp macro="" textlink="">
      <xdr:nvSpPr>
        <xdr:cNvPr id="18" name="Retângulo 1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22ADA87-576E-468A-A3F4-99306BE4306A}"/>
            </a:ext>
          </a:extLst>
        </xdr:cNvPr>
        <xdr:cNvSpPr/>
      </xdr:nvSpPr>
      <xdr:spPr>
        <a:xfrm>
          <a:off x="53530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Evolução</a:t>
          </a:r>
        </a:p>
      </xdr:txBody>
    </xdr:sp>
    <xdr:clientData fPrintsWithSheet="0"/>
  </xdr:twoCellAnchor>
  <xdr:twoCellAnchor editAs="absolute">
    <xdr:from>
      <xdr:col>9</xdr:col>
      <xdr:colOff>47625</xdr:colOff>
      <xdr:row>1</xdr:row>
      <xdr:rowOff>142875</xdr:rowOff>
    </xdr:from>
    <xdr:to>
      <xdr:col>10</xdr:col>
      <xdr:colOff>251325</xdr:colOff>
      <xdr:row>2</xdr:row>
      <xdr:rowOff>13875</xdr:rowOff>
    </xdr:to>
    <xdr:sp macro="" textlink="">
      <xdr:nvSpPr>
        <xdr:cNvPr id="19" name="Retângulo 1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F864A826-7D8B-4BAD-9361-6DA469F2703E}"/>
            </a:ext>
          </a:extLst>
        </xdr:cNvPr>
        <xdr:cNvSpPr/>
      </xdr:nvSpPr>
      <xdr:spPr>
        <a:xfrm>
          <a:off x="64484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Impressão</a:t>
          </a:r>
        </a:p>
      </xdr:txBody>
    </xdr:sp>
    <xdr:clientData fPrintsWithSheet="0"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342900</xdr:colOff>
      <xdr:row>0</xdr:row>
      <xdr:rowOff>85725</xdr:rowOff>
    </xdr:from>
    <xdr:to>
      <xdr:col>4</xdr:col>
      <xdr:colOff>546600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A09199B-2904-48BD-8424-2BCDB97A7FB0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4</xdr:col>
      <xdr:colOff>571500</xdr:colOff>
      <xdr:row>0</xdr:row>
      <xdr:rowOff>85725</xdr:rowOff>
    </xdr:from>
    <xdr:to>
      <xdr:col>5</xdr:col>
      <xdr:colOff>775200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02BF270-E77F-4BC5-B1DA-CF876ECFE14A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5</xdr:col>
      <xdr:colOff>800100</xdr:colOff>
      <xdr:row>0</xdr:row>
      <xdr:rowOff>85725</xdr:rowOff>
    </xdr:from>
    <xdr:to>
      <xdr:col>7</xdr:col>
      <xdr:colOff>127500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B5FFED2-E7E0-4297-89C4-9DC1D15FC758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8</xdr:col>
      <xdr:colOff>381000</xdr:colOff>
      <xdr:row>0</xdr:row>
      <xdr:rowOff>85725</xdr:rowOff>
    </xdr:from>
    <xdr:to>
      <xdr:col>9</xdr:col>
      <xdr:colOff>584700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834DF49-1EE9-44BA-BE55-DE54E8D9A7D5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9</xdr:col>
      <xdr:colOff>609600</xdr:colOff>
      <xdr:row>0</xdr:row>
      <xdr:rowOff>85725</xdr:rowOff>
    </xdr:from>
    <xdr:to>
      <xdr:col>10</xdr:col>
      <xdr:colOff>813300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AAAB5D6-2638-4964-93F6-CD55C2FA42D4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10</xdr:col>
      <xdr:colOff>838200</xdr:colOff>
      <xdr:row>0</xdr:row>
      <xdr:rowOff>85725</xdr:rowOff>
    </xdr:from>
    <xdr:to>
      <xdr:col>12</xdr:col>
      <xdr:colOff>165600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429C344-A093-42C1-BCC5-D782F838823E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7</xdr:col>
      <xdr:colOff>152400</xdr:colOff>
      <xdr:row>0</xdr:row>
      <xdr:rowOff>85725</xdr:rowOff>
    </xdr:from>
    <xdr:to>
      <xdr:col>8</xdr:col>
      <xdr:colOff>356100</xdr:colOff>
      <xdr:row>0</xdr:row>
      <xdr:rowOff>373725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B628AD3-F8BE-49E2-A30B-C3D377EFFBF8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2B3A92AD-0BAF-48A6-97C7-C270E079F256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0" name="CaixaDeTexto 9">
            <a:extLst>
              <a:ext uri="{FF2B5EF4-FFF2-40B4-BE49-F238E27FC236}">
                <a16:creationId xmlns:a16="http://schemas.microsoft.com/office/drawing/2014/main" id="{3412F8AC-3C1B-FC93-2C1B-324DBA4CA9F5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1" name="Meio-quadro 10">
            <a:extLst>
              <a:ext uri="{FF2B5EF4-FFF2-40B4-BE49-F238E27FC236}">
                <a16:creationId xmlns:a16="http://schemas.microsoft.com/office/drawing/2014/main" id="{E7A41112-EE6E-ECDB-DC77-1F9747A421A1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2" name="Meio-quadro 11">
            <a:extLst>
              <a:ext uri="{FF2B5EF4-FFF2-40B4-BE49-F238E27FC236}">
                <a16:creationId xmlns:a16="http://schemas.microsoft.com/office/drawing/2014/main" id="{C032F8B7-0291-99EA-F156-A72D5F366B47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8</xdr:col>
      <xdr:colOff>561975</xdr:colOff>
      <xdr:row>0</xdr:row>
      <xdr:rowOff>371475</xdr:rowOff>
    </xdr:from>
    <xdr:to>
      <xdr:col>9</xdr:col>
      <xdr:colOff>405675</xdr:colOff>
      <xdr:row>0</xdr:row>
      <xdr:rowOff>388425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55C4898-402D-4D77-8BEE-28D9AA2B8DAA}"/>
            </a:ext>
          </a:extLst>
        </xdr:cNvPr>
        <xdr:cNvSpPr/>
      </xdr:nvSpPr>
      <xdr:spPr>
        <a:xfrm>
          <a:off x="6086475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0</xdr:colOff>
      <xdr:row>2</xdr:row>
      <xdr:rowOff>171450</xdr:rowOff>
    </xdr:from>
    <xdr:to>
      <xdr:col>15</xdr:col>
      <xdr:colOff>0</xdr:colOff>
      <xdr:row>14</xdr:row>
      <xdr:rowOff>114975</xdr:rowOff>
    </xdr:to>
    <xdr:cxnSp macro="">
      <xdr:nvCxnSpPr>
        <xdr:cNvPr id="15" name="Conector reto 14">
          <a:extLst>
            <a:ext uri="{FF2B5EF4-FFF2-40B4-BE49-F238E27FC236}">
              <a16:creationId xmlns:a16="http://schemas.microsoft.com/office/drawing/2014/main" id="{7470F336-A4D9-DD46-CACC-36977DE055F0}"/>
            </a:ext>
          </a:extLst>
        </xdr:cNvPr>
        <xdr:cNvCxnSpPr/>
      </xdr:nvCxnSpPr>
      <xdr:spPr>
        <a:xfrm>
          <a:off x="11658600" y="990600"/>
          <a:ext cx="0" cy="3991650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742950</xdr:colOff>
      <xdr:row>1</xdr:row>
      <xdr:rowOff>142875</xdr:rowOff>
    </xdr:from>
    <xdr:to>
      <xdr:col>4</xdr:col>
      <xdr:colOff>32250</xdr:colOff>
      <xdr:row>2</xdr:row>
      <xdr:rowOff>13875</xdr:rowOff>
    </xdr:to>
    <xdr:sp macro="" textlink="">
      <xdr:nvSpPr>
        <xdr:cNvPr id="14" name="Retângulo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2FCE805-E661-42C9-BB97-A28330E03DFC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Resumo</a:t>
          </a:r>
        </a:p>
      </xdr:txBody>
    </xdr:sp>
    <xdr:clientData fPrintsWithSheet="0"/>
  </xdr:twoCellAnchor>
  <xdr:twoCellAnchor editAs="absolute">
    <xdr:from>
      <xdr:col>4</xdr:col>
      <xdr:colOff>47625</xdr:colOff>
      <xdr:row>1</xdr:row>
      <xdr:rowOff>142875</xdr:rowOff>
    </xdr:from>
    <xdr:to>
      <xdr:col>5</xdr:col>
      <xdr:colOff>251325</xdr:colOff>
      <xdr:row>2</xdr:row>
      <xdr:rowOff>13875</xdr:rowOff>
    </xdr:to>
    <xdr:sp macro="" textlink="">
      <xdr:nvSpPr>
        <xdr:cNvPr id="16" name="Retâ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428281B-5B38-4E49-A598-DE5C0A07B7C7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Cronograma</a:t>
          </a:r>
        </a:p>
      </xdr:txBody>
    </xdr:sp>
    <xdr:clientData fPrintsWithSheet="0"/>
  </xdr:twoCellAnchor>
  <xdr:twoCellAnchor editAs="absolute">
    <xdr:from>
      <xdr:col>5</xdr:col>
      <xdr:colOff>266700</xdr:colOff>
      <xdr:row>1</xdr:row>
      <xdr:rowOff>142875</xdr:rowOff>
    </xdr:from>
    <xdr:to>
      <xdr:col>6</xdr:col>
      <xdr:colOff>470400</xdr:colOff>
      <xdr:row>2</xdr:row>
      <xdr:rowOff>13875</xdr:rowOff>
    </xdr:to>
    <xdr:sp macro="" textlink="">
      <xdr:nvSpPr>
        <xdr:cNvPr id="17" name="Retângulo 1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3AA4B15-C9D0-42D7-8D6A-DF8773756D0E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Carga Tributária</a:t>
          </a:r>
        </a:p>
      </xdr:txBody>
    </xdr:sp>
    <xdr:clientData fPrintsWithSheet="0"/>
  </xdr:twoCellAnchor>
  <xdr:twoCellAnchor editAs="absolute">
    <xdr:from>
      <xdr:col>6</xdr:col>
      <xdr:colOff>485775</xdr:colOff>
      <xdr:row>1</xdr:row>
      <xdr:rowOff>142875</xdr:rowOff>
    </xdr:from>
    <xdr:to>
      <xdr:col>7</xdr:col>
      <xdr:colOff>689475</xdr:colOff>
      <xdr:row>2</xdr:row>
      <xdr:rowOff>13875</xdr:rowOff>
    </xdr:to>
    <xdr:sp macro="" textlink="">
      <xdr:nvSpPr>
        <xdr:cNvPr id="18" name="Retângul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AACF923-C098-4CEB-9B36-BBFAC315C934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Lucratividade</a:t>
          </a:r>
        </a:p>
      </xdr:txBody>
    </xdr:sp>
    <xdr:clientData fPrintsWithSheet="0"/>
  </xdr:twoCellAnchor>
  <xdr:twoCellAnchor editAs="absolute">
    <xdr:from>
      <xdr:col>7</xdr:col>
      <xdr:colOff>704850</xdr:colOff>
      <xdr:row>1</xdr:row>
      <xdr:rowOff>142875</xdr:rowOff>
    </xdr:from>
    <xdr:to>
      <xdr:col>9</xdr:col>
      <xdr:colOff>32250</xdr:colOff>
      <xdr:row>2</xdr:row>
      <xdr:rowOff>13875</xdr:rowOff>
    </xdr:to>
    <xdr:sp macro="" textlink="">
      <xdr:nvSpPr>
        <xdr:cNvPr id="19" name="Retângul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82E87DA-7AD7-4114-8924-B42F6DFD3E40}"/>
            </a:ext>
          </a:extLst>
        </xdr:cNvPr>
        <xdr:cNvSpPr/>
      </xdr:nvSpPr>
      <xdr:spPr>
        <a:xfrm>
          <a:off x="53530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Evolução</a:t>
          </a:r>
        </a:p>
      </xdr:txBody>
    </xdr:sp>
    <xdr:clientData fPrintsWithSheet="0"/>
  </xdr:twoCellAnchor>
  <xdr:twoCellAnchor editAs="absolute">
    <xdr:from>
      <xdr:col>9</xdr:col>
      <xdr:colOff>47625</xdr:colOff>
      <xdr:row>1</xdr:row>
      <xdr:rowOff>142875</xdr:rowOff>
    </xdr:from>
    <xdr:to>
      <xdr:col>10</xdr:col>
      <xdr:colOff>251325</xdr:colOff>
      <xdr:row>2</xdr:row>
      <xdr:rowOff>13875</xdr:rowOff>
    </xdr:to>
    <xdr:sp macro="" textlink="">
      <xdr:nvSpPr>
        <xdr:cNvPr id="20" name="Retângul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89B7C88B-10B9-4ABC-A16B-9F679346B18A}"/>
            </a:ext>
          </a:extLst>
        </xdr:cNvPr>
        <xdr:cNvSpPr/>
      </xdr:nvSpPr>
      <xdr:spPr>
        <a:xfrm>
          <a:off x="64484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Impressão</a:t>
          </a:r>
        </a:p>
      </xdr:txBody>
    </xdr:sp>
    <xdr:clientData fPrintsWithSheet="0"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1257300</xdr:colOff>
      <xdr:row>0</xdr:row>
      <xdr:rowOff>85725</xdr:rowOff>
    </xdr:from>
    <xdr:to>
      <xdr:col>3</xdr:col>
      <xdr:colOff>622800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A50C6B7-E546-4011-B1CC-A43DA82ED63D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3</xdr:col>
      <xdr:colOff>647700</xdr:colOff>
      <xdr:row>0</xdr:row>
      <xdr:rowOff>85725</xdr:rowOff>
    </xdr:from>
    <xdr:to>
      <xdr:col>4</xdr:col>
      <xdr:colOff>575175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0E3F55F-678B-4F82-B639-7597DA561AA2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4</xdr:col>
      <xdr:colOff>600075</xdr:colOff>
      <xdr:row>0</xdr:row>
      <xdr:rowOff>85725</xdr:rowOff>
    </xdr:from>
    <xdr:to>
      <xdr:col>5</xdr:col>
      <xdr:colOff>527550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26E507B-11B7-4515-9983-57E7EE3D8985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6</xdr:col>
      <xdr:colOff>504825</xdr:colOff>
      <xdr:row>0</xdr:row>
      <xdr:rowOff>85725</xdr:rowOff>
    </xdr:from>
    <xdr:to>
      <xdr:col>7</xdr:col>
      <xdr:colOff>432300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DF0E89-E818-43DA-AC6B-A0865567A039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7</xdr:col>
      <xdr:colOff>457200</xdr:colOff>
      <xdr:row>0</xdr:row>
      <xdr:rowOff>85725</xdr:rowOff>
    </xdr:from>
    <xdr:to>
      <xdr:col>8</xdr:col>
      <xdr:colOff>384675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73E02C7-3E59-4277-B2BC-D73EE5D3E444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8</xdr:col>
      <xdr:colOff>409575</xdr:colOff>
      <xdr:row>0</xdr:row>
      <xdr:rowOff>85725</xdr:rowOff>
    </xdr:from>
    <xdr:to>
      <xdr:col>9</xdr:col>
      <xdr:colOff>337050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C3812A6-5E0D-4191-8687-AA314401336A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5</xdr:col>
      <xdr:colOff>552450</xdr:colOff>
      <xdr:row>0</xdr:row>
      <xdr:rowOff>85725</xdr:rowOff>
    </xdr:from>
    <xdr:to>
      <xdr:col>6</xdr:col>
      <xdr:colOff>479925</xdr:colOff>
      <xdr:row>0</xdr:row>
      <xdr:rowOff>373725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0E85059-8B20-4C1E-AB2F-E4FA42985273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68B7D9DD-3030-42DC-9E25-FE3F93FC3D5C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20CFBCB9-98CE-35F3-6CC7-1C2F6E6BFEE2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2" name="Meio-quadro 11">
            <a:extLst>
              <a:ext uri="{FF2B5EF4-FFF2-40B4-BE49-F238E27FC236}">
                <a16:creationId xmlns:a16="http://schemas.microsoft.com/office/drawing/2014/main" id="{D42AFC3D-9801-1B43-16ED-EC9BB8D01926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F72C3176-EE04-D0D6-E5A9-1163FC950A9C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6</xdr:col>
      <xdr:colOff>685800</xdr:colOff>
      <xdr:row>0</xdr:row>
      <xdr:rowOff>371475</xdr:rowOff>
    </xdr:from>
    <xdr:to>
      <xdr:col>7</xdr:col>
      <xdr:colOff>253275</xdr:colOff>
      <xdr:row>0</xdr:row>
      <xdr:rowOff>388425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B591D9C7-3A2F-4AE1-840F-FF040B939E4A}"/>
            </a:ext>
          </a:extLst>
        </xdr:cNvPr>
        <xdr:cNvSpPr/>
      </xdr:nvSpPr>
      <xdr:spPr>
        <a:xfrm>
          <a:off x="6086475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742950</xdr:colOff>
      <xdr:row>1</xdr:row>
      <xdr:rowOff>142875</xdr:rowOff>
    </xdr:from>
    <xdr:to>
      <xdr:col>3</xdr:col>
      <xdr:colOff>108450</xdr:colOff>
      <xdr:row>2</xdr:row>
      <xdr:rowOff>13875</xdr:rowOff>
    </xdr:to>
    <xdr:sp macro="" textlink="">
      <xdr:nvSpPr>
        <xdr:cNvPr id="9" name="Retângul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097757B-00AB-462A-9B36-A53B621A281C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Resumo</a:t>
          </a:r>
        </a:p>
      </xdr:txBody>
    </xdr:sp>
    <xdr:clientData fPrintsWithSheet="0"/>
  </xdr:twoCellAnchor>
  <xdr:twoCellAnchor editAs="absolute">
    <xdr:from>
      <xdr:col>3</xdr:col>
      <xdr:colOff>123825</xdr:colOff>
      <xdr:row>1</xdr:row>
      <xdr:rowOff>142875</xdr:rowOff>
    </xdr:from>
    <xdr:to>
      <xdr:col>4</xdr:col>
      <xdr:colOff>51300</xdr:colOff>
      <xdr:row>2</xdr:row>
      <xdr:rowOff>13875</xdr:rowOff>
    </xdr:to>
    <xdr:sp macro="" textlink="">
      <xdr:nvSpPr>
        <xdr:cNvPr id="15" name="Retângul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A786ACD-DE6C-445B-B97E-067CA3C14834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Cronograma</a:t>
          </a:r>
        </a:p>
      </xdr:txBody>
    </xdr:sp>
    <xdr:clientData fPrintsWithSheet="0"/>
  </xdr:twoCellAnchor>
  <xdr:twoCellAnchor editAs="absolute">
    <xdr:from>
      <xdr:col>4</xdr:col>
      <xdr:colOff>66675</xdr:colOff>
      <xdr:row>1</xdr:row>
      <xdr:rowOff>142875</xdr:rowOff>
    </xdr:from>
    <xdr:to>
      <xdr:col>4</xdr:col>
      <xdr:colOff>1146675</xdr:colOff>
      <xdr:row>2</xdr:row>
      <xdr:rowOff>13875</xdr:rowOff>
    </xdr:to>
    <xdr:sp macro="" textlink="">
      <xdr:nvSpPr>
        <xdr:cNvPr id="16" name="Retâ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8B781BE-C963-4A95-995D-A2EC19892AA8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Carga Tributária</a:t>
          </a:r>
        </a:p>
      </xdr:txBody>
    </xdr:sp>
    <xdr:clientData fPrintsWithSheet="0"/>
  </xdr:twoCellAnchor>
  <xdr:twoCellAnchor editAs="absolute">
    <xdr:from>
      <xdr:col>5</xdr:col>
      <xdr:colOff>9525</xdr:colOff>
      <xdr:row>1</xdr:row>
      <xdr:rowOff>142875</xdr:rowOff>
    </xdr:from>
    <xdr:to>
      <xdr:col>5</xdr:col>
      <xdr:colOff>1089525</xdr:colOff>
      <xdr:row>2</xdr:row>
      <xdr:rowOff>13875</xdr:rowOff>
    </xdr:to>
    <xdr:sp macro="" textlink="">
      <xdr:nvSpPr>
        <xdr:cNvPr id="18" name="Retângul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95CFDEE-4E0A-4641-A714-128896B54400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Lucratividade</a:t>
          </a:r>
        </a:p>
      </xdr:txBody>
    </xdr:sp>
    <xdr:clientData fPrintsWithSheet="0"/>
  </xdr:twoCellAnchor>
  <xdr:twoCellAnchor editAs="absolute">
    <xdr:from>
      <xdr:col>5</xdr:col>
      <xdr:colOff>1104900</xdr:colOff>
      <xdr:row>1</xdr:row>
      <xdr:rowOff>142875</xdr:rowOff>
    </xdr:from>
    <xdr:to>
      <xdr:col>6</xdr:col>
      <xdr:colOff>1032375</xdr:colOff>
      <xdr:row>2</xdr:row>
      <xdr:rowOff>13875</xdr:rowOff>
    </xdr:to>
    <xdr:sp macro="" textlink="">
      <xdr:nvSpPr>
        <xdr:cNvPr id="19" name="Retângul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5818CA7-0A77-4D3B-86D6-E1C48246087A}"/>
            </a:ext>
          </a:extLst>
        </xdr:cNvPr>
        <xdr:cNvSpPr/>
      </xdr:nvSpPr>
      <xdr:spPr>
        <a:xfrm>
          <a:off x="5353050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Evolução</a:t>
          </a:r>
        </a:p>
      </xdr:txBody>
    </xdr:sp>
    <xdr:clientData fPrintsWithSheet="0"/>
  </xdr:twoCellAnchor>
  <xdr:twoCellAnchor editAs="absolute">
    <xdr:from>
      <xdr:col>6</xdr:col>
      <xdr:colOff>1047750</xdr:colOff>
      <xdr:row>1</xdr:row>
      <xdr:rowOff>142875</xdr:rowOff>
    </xdr:from>
    <xdr:to>
      <xdr:col>7</xdr:col>
      <xdr:colOff>975225</xdr:colOff>
      <xdr:row>2</xdr:row>
      <xdr:rowOff>13875</xdr:rowOff>
    </xdr:to>
    <xdr:sp macro="" textlink="">
      <xdr:nvSpPr>
        <xdr:cNvPr id="20" name="Retângul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E641ACA4-D29D-41A4-85C2-4789052032EA}"/>
            </a:ext>
          </a:extLst>
        </xdr:cNvPr>
        <xdr:cNvSpPr/>
      </xdr:nvSpPr>
      <xdr:spPr>
        <a:xfrm>
          <a:off x="64484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Impressão</a:t>
          </a:r>
        </a:p>
      </xdr:txBody>
    </xdr:sp>
    <xdr:clientData fPrintsWithSheet="0"/>
  </xdr:twoCellAnchor>
  <xdr:twoCellAnchor>
    <xdr:from>
      <xdr:col>7</xdr:col>
      <xdr:colOff>1123950</xdr:colOff>
      <xdr:row>2</xdr:row>
      <xdr:rowOff>190500</xdr:rowOff>
    </xdr:from>
    <xdr:to>
      <xdr:col>12</xdr:col>
      <xdr:colOff>149742</xdr:colOff>
      <xdr:row>2</xdr:row>
      <xdr:rowOff>439351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94529AAF-D2E4-4E0A-96FA-6825F3ED59F2}"/>
            </a:ext>
          </a:extLst>
        </xdr:cNvPr>
        <xdr:cNvGrpSpPr/>
      </xdr:nvGrpSpPr>
      <xdr:grpSpPr>
        <a:xfrm>
          <a:off x="7677150" y="1009650"/>
          <a:ext cx="4788417" cy="248851"/>
          <a:chOff x="7058025" y="876300"/>
          <a:chExt cx="4788417" cy="248851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52ED7D8D-2C70-69A4-4E94-01E891080D90}"/>
              </a:ext>
            </a:extLst>
          </xdr:cNvPr>
          <xdr:cNvSpPr/>
        </xdr:nvSpPr>
        <xdr:spPr>
          <a:xfrm>
            <a:off x="7058025" y="942975"/>
            <a:ext cx="209550" cy="123825"/>
          </a:xfrm>
          <a:prstGeom prst="rect">
            <a:avLst/>
          </a:prstGeom>
          <a:solidFill>
            <a:srgbClr val="01B8AA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kern="12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0671E23B-4AFF-9C42-6873-57A2F3734D93}"/>
              </a:ext>
            </a:extLst>
          </xdr:cNvPr>
          <xdr:cNvSpPr txBox="1"/>
        </xdr:nvSpPr>
        <xdr:spPr>
          <a:xfrm>
            <a:off x="7248525" y="876300"/>
            <a:ext cx="1255921" cy="2488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000" kern="1200"/>
              <a:t>Redução de Imposto</a:t>
            </a:r>
          </a:p>
        </xdr:txBody>
      </xdr:sp>
      <xdr:sp macro="" textlink="">
        <xdr:nvSpPr>
          <xdr:cNvPr id="30" name="Retângulo 29">
            <a:extLst>
              <a:ext uri="{FF2B5EF4-FFF2-40B4-BE49-F238E27FC236}">
                <a16:creationId xmlns:a16="http://schemas.microsoft.com/office/drawing/2014/main" id="{12328DAE-B8C4-A925-2B20-C0AB79B704D9}"/>
              </a:ext>
            </a:extLst>
          </xdr:cNvPr>
          <xdr:cNvSpPr/>
        </xdr:nvSpPr>
        <xdr:spPr>
          <a:xfrm>
            <a:off x="8705850" y="942975"/>
            <a:ext cx="209550" cy="123825"/>
          </a:xfrm>
          <a:prstGeom prst="rect">
            <a:avLst/>
          </a:prstGeom>
          <a:solidFill>
            <a:srgbClr val="F2C80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kern="1200"/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860BE82F-74BE-B08F-E83C-77E731B804DE}"/>
              </a:ext>
            </a:extLst>
          </xdr:cNvPr>
          <xdr:cNvSpPr txBox="1"/>
        </xdr:nvSpPr>
        <xdr:spPr>
          <a:xfrm>
            <a:off x="8896350" y="876300"/>
            <a:ext cx="1207767" cy="2488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000" kern="1200"/>
              <a:t>Manteve o Imposto</a:t>
            </a:r>
          </a:p>
        </xdr:txBody>
      </xdr:sp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417D7776-510A-AA05-A4BF-A3EBD53946C4}"/>
              </a:ext>
            </a:extLst>
          </xdr:cNvPr>
          <xdr:cNvSpPr/>
        </xdr:nvSpPr>
        <xdr:spPr>
          <a:xfrm>
            <a:off x="10315575" y="942975"/>
            <a:ext cx="209550" cy="123825"/>
          </a:xfrm>
          <a:prstGeom prst="rect">
            <a:avLst/>
          </a:prstGeom>
          <a:solidFill>
            <a:srgbClr val="FB5A5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kern="12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56549567-4D24-7DCE-8111-31119407DC08}"/>
              </a:ext>
            </a:extLst>
          </xdr:cNvPr>
          <xdr:cNvSpPr txBox="1"/>
        </xdr:nvSpPr>
        <xdr:spPr>
          <a:xfrm>
            <a:off x="10506075" y="876300"/>
            <a:ext cx="1340367" cy="2488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000" kern="1200"/>
              <a:t>Aumento de Imposto</a:t>
            </a:r>
          </a:p>
        </xdr:txBody>
      </xdr:sp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3</xdr:row>
          <xdr:rowOff>104775</xdr:rowOff>
        </xdr:from>
        <xdr:to>
          <xdr:col>21</xdr:col>
          <xdr:colOff>0</xdr:colOff>
          <xdr:row>4</xdr:row>
          <xdr:rowOff>161925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3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0</xdr:colOff>
      <xdr:row>3</xdr:row>
      <xdr:rowOff>85725</xdr:rowOff>
    </xdr:from>
    <xdr:ext cx="3433248" cy="248851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/>
      </xdr:nvSpPr>
      <xdr:spPr>
        <a:xfrm>
          <a:off x="838200" y="1095375"/>
          <a:ext cx="3433248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000">
              <a:solidFill>
                <a:srgbClr val="FB5A56"/>
              </a:solidFill>
            </a:rPr>
            <a:t>Caso clique no botão e falhe, basta apertar CTRL+P e imprimir.</a:t>
          </a:r>
        </a:p>
      </xdr:txBody>
    </xdr:sp>
    <xdr:clientData/>
  </xdr:oneCellAnchor>
  <xdr:twoCellAnchor editAs="absolute">
    <xdr:from>
      <xdr:col>4</xdr:col>
      <xdr:colOff>466725</xdr:colOff>
      <xdr:row>0</xdr:row>
      <xdr:rowOff>85725</xdr:rowOff>
    </xdr:from>
    <xdr:to>
      <xdr:col>5</xdr:col>
      <xdr:colOff>508500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1879198-588C-4463-B0D9-5A5D5068E98C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5</xdr:col>
      <xdr:colOff>533400</xdr:colOff>
      <xdr:row>0</xdr:row>
      <xdr:rowOff>85725</xdr:rowOff>
    </xdr:from>
    <xdr:to>
      <xdr:col>6</xdr:col>
      <xdr:colOff>575175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94EDA35-9734-46BB-A06D-52E408427E5F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6</xdr:col>
      <xdr:colOff>600075</xdr:colOff>
      <xdr:row>0</xdr:row>
      <xdr:rowOff>85725</xdr:rowOff>
    </xdr:from>
    <xdr:to>
      <xdr:col>8</xdr:col>
      <xdr:colOff>460875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327B788-61CB-4486-8C7E-30EE47647D67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10</xdr:col>
      <xdr:colOff>371475</xdr:colOff>
      <xdr:row>0</xdr:row>
      <xdr:rowOff>85725</xdr:rowOff>
    </xdr:from>
    <xdr:to>
      <xdr:col>11</xdr:col>
      <xdr:colOff>413250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D1F5C5D-F155-4130-96E6-A762DAAC312F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11</xdr:col>
      <xdr:colOff>438150</xdr:colOff>
      <xdr:row>0</xdr:row>
      <xdr:rowOff>85725</xdr:rowOff>
    </xdr:from>
    <xdr:to>
      <xdr:col>13</xdr:col>
      <xdr:colOff>298950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21CD8D8-27C5-49F7-AA27-EAFA9CBC0820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13</xdr:col>
      <xdr:colOff>323850</xdr:colOff>
      <xdr:row>0</xdr:row>
      <xdr:rowOff>85725</xdr:rowOff>
    </xdr:from>
    <xdr:to>
      <xdr:col>15</xdr:col>
      <xdr:colOff>184650</xdr:colOff>
      <xdr:row>0</xdr:row>
      <xdr:rowOff>373725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1753C6F-D30E-4731-A179-7DB02D23A69D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8</xdr:col>
      <xdr:colOff>485775</xdr:colOff>
      <xdr:row>0</xdr:row>
      <xdr:rowOff>85725</xdr:rowOff>
    </xdr:from>
    <xdr:to>
      <xdr:col>10</xdr:col>
      <xdr:colOff>346575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1818FCC-2AA7-4BEA-AC2A-279B2E7820F6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3</xdr:col>
      <xdr:colOff>133350</xdr:colOff>
      <xdr:row>1</xdr:row>
      <xdr:rowOff>142875</xdr:rowOff>
    </xdr:from>
    <xdr:to>
      <xdr:col>4</xdr:col>
      <xdr:colOff>1032375</xdr:colOff>
      <xdr:row>2</xdr:row>
      <xdr:rowOff>13875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928C51-5EC7-4432-8202-F9AECF156541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Resumo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3</xdr:col>
      <xdr:colOff>178759</xdr:colOff>
      <xdr:row>0</xdr:row>
      <xdr:rowOff>428625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837D1DC2-905F-4D6D-B1FF-7EBB2F725C81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C0922E58-5784-1891-0086-DEC55ACCD365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F010FECB-AC5D-7B1D-9648-118449A32CB1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4" name="Meio-quadro 13">
            <a:extLst>
              <a:ext uri="{FF2B5EF4-FFF2-40B4-BE49-F238E27FC236}">
                <a16:creationId xmlns:a16="http://schemas.microsoft.com/office/drawing/2014/main" id="{4B7FF9F3-5EA0-D28F-3F12-D131D46F0370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10</xdr:col>
      <xdr:colOff>552450</xdr:colOff>
      <xdr:row>0</xdr:row>
      <xdr:rowOff>371475</xdr:rowOff>
    </xdr:from>
    <xdr:to>
      <xdr:col>11</xdr:col>
      <xdr:colOff>234225</xdr:colOff>
      <xdr:row>0</xdr:row>
      <xdr:rowOff>388425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E5F73564-A016-4789-BB09-565D237CB72A}"/>
            </a:ext>
          </a:extLst>
        </xdr:cNvPr>
        <xdr:cNvSpPr/>
      </xdr:nvSpPr>
      <xdr:spPr>
        <a:xfrm>
          <a:off x="6086475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9525</xdr:colOff>
      <xdr:row>1</xdr:row>
      <xdr:rowOff>142875</xdr:rowOff>
    </xdr:from>
    <xdr:to>
      <xdr:col>6</xdr:col>
      <xdr:colOff>51300</xdr:colOff>
      <xdr:row>2</xdr:row>
      <xdr:rowOff>13875</xdr:rowOff>
    </xdr:to>
    <xdr:sp macro="" textlink="">
      <xdr:nvSpPr>
        <xdr:cNvPr id="16" name="Retâ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DF7C846-B084-478A-B9EC-3BFB136E856F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Cronograma</a:t>
          </a:r>
        </a:p>
      </xdr:txBody>
    </xdr:sp>
    <xdr:clientData/>
  </xdr:twoCellAnchor>
  <xdr:twoCellAnchor editAs="absolute">
    <xdr:from>
      <xdr:col>6</xdr:col>
      <xdr:colOff>66675</xdr:colOff>
      <xdr:row>1</xdr:row>
      <xdr:rowOff>142875</xdr:rowOff>
    </xdr:from>
    <xdr:to>
      <xdr:col>7</xdr:col>
      <xdr:colOff>537075</xdr:colOff>
      <xdr:row>2</xdr:row>
      <xdr:rowOff>13875</xdr:rowOff>
    </xdr:to>
    <xdr:sp macro="" textlink="">
      <xdr:nvSpPr>
        <xdr:cNvPr id="17" name="Retângulo 1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286DCDB-3F19-4314-B35D-817B17E9F2DD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Carga Tributária</a:t>
          </a:r>
        </a:p>
      </xdr:txBody>
    </xdr:sp>
    <xdr:clientData/>
  </xdr:twoCellAnchor>
  <xdr:twoCellAnchor editAs="absolute">
    <xdr:from>
      <xdr:col>7</xdr:col>
      <xdr:colOff>552450</xdr:colOff>
      <xdr:row>1</xdr:row>
      <xdr:rowOff>142875</xdr:rowOff>
    </xdr:from>
    <xdr:to>
      <xdr:col>9</xdr:col>
      <xdr:colOff>413250</xdr:colOff>
      <xdr:row>2</xdr:row>
      <xdr:rowOff>13875</xdr:rowOff>
    </xdr:to>
    <xdr:sp macro="" textlink="">
      <xdr:nvSpPr>
        <xdr:cNvPr id="18" name="Retângul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61A568C-99FF-4C61-A398-8B8A8ED9AC81}"/>
            </a:ext>
          </a:extLst>
        </xdr:cNvPr>
        <xdr:cNvSpPr/>
      </xdr:nvSpPr>
      <xdr:spPr>
        <a:xfrm>
          <a:off x="425767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Lucratividade</a:t>
          </a:r>
        </a:p>
      </xdr:txBody>
    </xdr:sp>
    <xdr:clientData/>
  </xdr:twoCellAnchor>
  <xdr:twoCellAnchor editAs="absolute">
    <xdr:from>
      <xdr:col>9</xdr:col>
      <xdr:colOff>428625</xdr:colOff>
      <xdr:row>1</xdr:row>
      <xdr:rowOff>142875</xdr:rowOff>
    </xdr:from>
    <xdr:to>
      <xdr:col>10</xdr:col>
      <xdr:colOff>899025</xdr:colOff>
      <xdr:row>2</xdr:row>
      <xdr:rowOff>13875</xdr:rowOff>
    </xdr:to>
    <xdr:sp macro="" textlink="">
      <xdr:nvSpPr>
        <xdr:cNvPr id="19" name="Retângul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C606C8A-68DF-4030-AF28-773C8FE23279}"/>
            </a:ext>
          </a:extLst>
        </xdr:cNvPr>
        <xdr:cNvSpPr/>
      </xdr:nvSpPr>
      <xdr:spPr>
        <a:xfrm>
          <a:off x="53530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Evolução</a:t>
          </a:r>
        </a:p>
      </xdr:txBody>
    </xdr:sp>
    <xdr:clientData/>
  </xdr:twoCellAnchor>
  <xdr:twoCellAnchor editAs="absolute">
    <xdr:from>
      <xdr:col>10</xdr:col>
      <xdr:colOff>914400</xdr:colOff>
      <xdr:row>1</xdr:row>
      <xdr:rowOff>142875</xdr:rowOff>
    </xdr:from>
    <xdr:to>
      <xdr:col>12</xdr:col>
      <xdr:colOff>346575</xdr:colOff>
      <xdr:row>2</xdr:row>
      <xdr:rowOff>13875</xdr:rowOff>
    </xdr:to>
    <xdr:sp macro="" textlink="">
      <xdr:nvSpPr>
        <xdr:cNvPr id="20" name="Retângul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8AEB9CDE-2432-491F-9EF6-03F1809DB6BE}"/>
            </a:ext>
          </a:extLst>
        </xdr:cNvPr>
        <xdr:cNvSpPr/>
      </xdr:nvSpPr>
      <xdr:spPr>
        <a:xfrm>
          <a:off x="6448425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Impressão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6</xdr:col>
      <xdr:colOff>540750</xdr:colOff>
      <xdr:row>19</xdr:row>
      <xdr:rowOff>57150</xdr:rowOff>
    </xdr:to>
    <xdr:sp macro="" textlink="Dashboard!C5">
      <xdr:nvSpPr>
        <xdr:cNvPr id="21" name="Retângulo 20">
          <a:extLst>
            <a:ext uri="{FF2B5EF4-FFF2-40B4-BE49-F238E27FC236}">
              <a16:creationId xmlns:a16="http://schemas.microsoft.com/office/drawing/2014/main" id="{E97CC620-8EA2-4025-A909-72098CA86203}"/>
            </a:ext>
          </a:extLst>
        </xdr:cNvPr>
        <xdr:cNvSpPr/>
      </xdr:nvSpPr>
      <xdr:spPr>
        <a:xfrm>
          <a:off x="1019175" y="3867150"/>
          <a:ext cx="2617200" cy="62865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F68E9EC6-D306-446C-969D-ACD26DDC4234}" type="TxLink">
            <a:rPr lang="en-US" sz="2000" b="0" i="0" u="none" strike="noStrike" kern="1200">
              <a:solidFill>
                <a:srgbClr val="808080"/>
              </a:solidFill>
              <a:latin typeface="Calibri"/>
              <a:cs typeface="Calibri"/>
            </a:rPr>
            <a:pPr algn="ctr"/>
            <a:t>247.038,86</a:t>
          </a:fld>
          <a:endParaRPr lang="pt-BR" sz="1050" kern="1200"/>
        </a:p>
      </xdr:txBody>
    </xdr:sp>
    <xdr:clientData/>
  </xdr:twoCellAnchor>
  <xdr:twoCellAnchor>
    <xdr:from>
      <xdr:col>6</xdr:col>
      <xdr:colOff>590550</xdr:colOff>
      <xdr:row>16</xdr:row>
      <xdr:rowOff>0</xdr:rowOff>
    </xdr:from>
    <xdr:to>
      <xdr:col>10</xdr:col>
      <xdr:colOff>769350</xdr:colOff>
      <xdr:row>19</xdr:row>
      <xdr:rowOff>57150</xdr:rowOff>
    </xdr:to>
    <xdr:sp macro="" textlink="Dashboard!E5">
      <xdr:nvSpPr>
        <xdr:cNvPr id="22" name="Retângulo 21">
          <a:extLst>
            <a:ext uri="{FF2B5EF4-FFF2-40B4-BE49-F238E27FC236}">
              <a16:creationId xmlns:a16="http://schemas.microsoft.com/office/drawing/2014/main" id="{1649566B-662D-4BB1-A44B-091066ECDBE0}"/>
            </a:ext>
          </a:extLst>
        </xdr:cNvPr>
        <xdr:cNvSpPr/>
      </xdr:nvSpPr>
      <xdr:spPr>
        <a:xfrm>
          <a:off x="3686175" y="3867150"/>
          <a:ext cx="2617200" cy="62865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78750A3A-11E2-4D57-BFFA-F25CC7D36535}" type="TxLink">
            <a:rPr lang="en-US" sz="2000" b="0" i="0" u="none" strike="noStrike" kern="1200">
              <a:solidFill>
                <a:srgbClr val="808080"/>
              </a:solidFill>
              <a:latin typeface="Calibri"/>
              <a:cs typeface="Calibri"/>
            </a:rPr>
            <a:pPr algn="ctr"/>
            <a:t>247.038,86</a:t>
          </a:fld>
          <a:endParaRPr lang="pt-BR" sz="1050" kern="1200"/>
        </a:p>
      </xdr:txBody>
    </xdr:sp>
    <xdr:clientData/>
  </xdr:twoCellAnchor>
  <xdr:twoCellAnchor>
    <xdr:from>
      <xdr:col>10</xdr:col>
      <xdr:colOff>819150</xdr:colOff>
      <xdr:row>16</xdr:row>
      <xdr:rowOff>0</xdr:rowOff>
    </xdr:from>
    <xdr:to>
      <xdr:col>14</xdr:col>
      <xdr:colOff>569325</xdr:colOff>
      <xdr:row>19</xdr:row>
      <xdr:rowOff>57150</xdr:rowOff>
    </xdr:to>
    <xdr:sp macro="" textlink="Dashboard!G5">
      <xdr:nvSpPr>
        <xdr:cNvPr id="23" name="Retângulo 22">
          <a:extLst>
            <a:ext uri="{FF2B5EF4-FFF2-40B4-BE49-F238E27FC236}">
              <a16:creationId xmlns:a16="http://schemas.microsoft.com/office/drawing/2014/main" id="{6B7521B1-A54E-4F55-BCDC-B9992447E2CD}"/>
            </a:ext>
          </a:extLst>
        </xdr:cNvPr>
        <xdr:cNvSpPr/>
      </xdr:nvSpPr>
      <xdr:spPr>
        <a:xfrm>
          <a:off x="6353175" y="3867150"/>
          <a:ext cx="2617200" cy="62865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0F6C4F54-58A8-4596-965E-63800CE438A7}" type="TxLink">
            <a:rPr lang="en-US" sz="2000" b="0" i="0" u="none" strike="noStrike" kern="1200">
              <a:solidFill>
                <a:srgbClr val="808080"/>
              </a:solidFill>
              <a:latin typeface="Calibri"/>
              <a:cs typeface="Calibri"/>
            </a:rPr>
            <a:pPr algn="ctr"/>
            <a:t>301.527,60</a:t>
          </a:fld>
          <a:endParaRPr lang="pt-BR" sz="1050" kern="1200"/>
        </a:p>
      </xdr:txBody>
    </xdr:sp>
    <xdr:clientData/>
  </xdr:twoCellAnchor>
  <xdr:twoCellAnchor>
    <xdr:from>
      <xdr:col>15</xdr:col>
      <xdr:colOff>9525</xdr:colOff>
      <xdr:row>16</xdr:row>
      <xdr:rowOff>0</xdr:rowOff>
    </xdr:from>
    <xdr:to>
      <xdr:col>20</xdr:col>
      <xdr:colOff>7350</xdr:colOff>
      <xdr:row>19</xdr:row>
      <xdr:rowOff>57150</xdr:rowOff>
    </xdr:to>
    <xdr:sp macro="" textlink="Dashboard!I5">
      <xdr:nvSpPr>
        <xdr:cNvPr id="24" name="Retângulo 23">
          <a:extLst>
            <a:ext uri="{FF2B5EF4-FFF2-40B4-BE49-F238E27FC236}">
              <a16:creationId xmlns:a16="http://schemas.microsoft.com/office/drawing/2014/main" id="{E0E79AF5-A293-4885-B5FB-78344D94B28E}"/>
            </a:ext>
          </a:extLst>
        </xdr:cNvPr>
        <xdr:cNvSpPr/>
      </xdr:nvSpPr>
      <xdr:spPr>
        <a:xfrm>
          <a:off x="9020175" y="3867150"/>
          <a:ext cx="2617200" cy="62865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A53A09E1-5AEA-4AA2-B396-53EE109F7CC6}" type="TxLink">
            <a:rPr lang="en-US" sz="2000" b="0" i="0" u="none" strike="noStrike" kern="1200">
              <a:solidFill>
                <a:srgbClr val="808080"/>
              </a:solidFill>
              <a:latin typeface="Calibri"/>
              <a:cs typeface="Calibri"/>
            </a:rPr>
            <a:pPr algn="ctr"/>
            <a:t>301.527,60</a:t>
          </a:fld>
          <a:endParaRPr lang="pt-BR" sz="1050" kern="1200"/>
        </a:p>
      </xdr:txBody>
    </xdr:sp>
    <xdr:clientData/>
  </xdr:twoCellAnchor>
  <xdr:twoCellAnchor>
    <xdr:from>
      <xdr:col>4</xdr:col>
      <xdr:colOff>0</xdr:colOff>
      <xdr:row>19</xdr:row>
      <xdr:rowOff>114300</xdr:rowOff>
    </xdr:from>
    <xdr:to>
      <xdr:col>6</xdr:col>
      <xdr:colOff>540750</xdr:colOff>
      <xdr:row>22</xdr:row>
      <xdr:rowOff>171450</xdr:rowOff>
    </xdr:to>
    <xdr:sp macro="" textlink="Dashboard!C7">
      <xdr:nvSpPr>
        <xdr:cNvPr id="25" name="Retângulo 24">
          <a:extLst>
            <a:ext uri="{FF2B5EF4-FFF2-40B4-BE49-F238E27FC236}">
              <a16:creationId xmlns:a16="http://schemas.microsoft.com/office/drawing/2014/main" id="{E5AA0A51-B736-410A-B075-AF5447179BF7}"/>
            </a:ext>
          </a:extLst>
        </xdr:cNvPr>
        <xdr:cNvSpPr/>
      </xdr:nvSpPr>
      <xdr:spPr>
        <a:xfrm>
          <a:off x="1019175" y="4552950"/>
          <a:ext cx="2617200" cy="62865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0B3DB6DE-94D2-48B8-8CCF-12C9EC21C799}" type="TxLink">
            <a:rPr lang="en-US" sz="2000" b="0" i="0" u="none" strike="noStrike" kern="1200">
              <a:solidFill>
                <a:srgbClr val="808080"/>
              </a:solidFill>
              <a:latin typeface="Calibri"/>
              <a:cs typeface="Calibri"/>
            </a:rPr>
            <a:pPr algn="ctr"/>
            <a:t>308.093,03</a:t>
          </a:fld>
          <a:endParaRPr lang="pt-BR" sz="1050" kern="1200"/>
        </a:p>
      </xdr:txBody>
    </xdr:sp>
    <xdr:clientData/>
  </xdr:twoCellAnchor>
  <xdr:twoCellAnchor>
    <xdr:from>
      <xdr:col>6</xdr:col>
      <xdr:colOff>590550</xdr:colOff>
      <xdr:row>19</xdr:row>
      <xdr:rowOff>114300</xdr:rowOff>
    </xdr:from>
    <xdr:to>
      <xdr:col>10</xdr:col>
      <xdr:colOff>769350</xdr:colOff>
      <xdr:row>22</xdr:row>
      <xdr:rowOff>171450</xdr:rowOff>
    </xdr:to>
    <xdr:sp macro="" textlink="Dashboard!E7">
      <xdr:nvSpPr>
        <xdr:cNvPr id="26" name="Retângulo 25">
          <a:extLst>
            <a:ext uri="{FF2B5EF4-FFF2-40B4-BE49-F238E27FC236}">
              <a16:creationId xmlns:a16="http://schemas.microsoft.com/office/drawing/2014/main" id="{F48CA3DC-2A31-4766-B95A-9DEC7EFD438A}"/>
            </a:ext>
          </a:extLst>
        </xdr:cNvPr>
        <xdr:cNvSpPr/>
      </xdr:nvSpPr>
      <xdr:spPr>
        <a:xfrm>
          <a:off x="3686175" y="4552950"/>
          <a:ext cx="2617200" cy="62865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ADE7C077-0455-44B0-8A22-7D6B3DF68469}" type="TxLink">
            <a:rPr lang="en-US" sz="2000" b="0" i="0" u="none" strike="noStrike" kern="1200">
              <a:solidFill>
                <a:srgbClr val="808080"/>
              </a:solidFill>
              <a:latin typeface="Calibri"/>
              <a:cs typeface="Calibri"/>
            </a:rPr>
            <a:pPr algn="ctr"/>
            <a:t>316.050,68</a:t>
          </a:fld>
          <a:endParaRPr lang="pt-BR" sz="1050" kern="1200"/>
        </a:p>
      </xdr:txBody>
    </xdr:sp>
    <xdr:clientData/>
  </xdr:twoCellAnchor>
  <xdr:twoCellAnchor>
    <xdr:from>
      <xdr:col>10</xdr:col>
      <xdr:colOff>819150</xdr:colOff>
      <xdr:row>19</xdr:row>
      <xdr:rowOff>114300</xdr:rowOff>
    </xdr:from>
    <xdr:to>
      <xdr:col>14</xdr:col>
      <xdr:colOff>569325</xdr:colOff>
      <xdr:row>22</xdr:row>
      <xdr:rowOff>171450</xdr:rowOff>
    </xdr:to>
    <xdr:sp macro="" textlink="Dashboard!G7">
      <xdr:nvSpPr>
        <xdr:cNvPr id="27" name="Retângulo 26">
          <a:extLst>
            <a:ext uri="{FF2B5EF4-FFF2-40B4-BE49-F238E27FC236}">
              <a16:creationId xmlns:a16="http://schemas.microsoft.com/office/drawing/2014/main" id="{1AE88592-73C4-4F77-A22E-A54CE5253780}"/>
            </a:ext>
          </a:extLst>
        </xdr:cNvPr>
        <xdr:cNvSpPr/>
      </xdr:nvSpPr>
      <xdr:spPr>
        <a:xfrm>
          <a:off x="6353175" y="4552950"/>
          <a:ext cx="2617200" cy="62865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AE9C5AEE-0180-4E83-9E30-CB68268CFEDE}" type="TxLink">
            <a:rPr lang="en-US" sz="2000" b="0" i="0" u="none" strike="noStrike" kern="1200">
              <a:solidFill>
                <a:srgbClr val="808080"/>
              </a:solidFill>
              <a:latin typeface="Calibri"/>
              <a:cs typeface="Calibri"/>
            </a:rPr>
            <a:pPr algn="ctr"/>
            <a:t>324.008,33</a:t>
          </a:fld>
          <a:endParaRPr lang="pt-BR" sz="1050" kern="1200"/>
        </a:p>
      </xdr:txBody>
    </xdr:sp>
    <xdr:clientData/>
  </xdr:twoCellAnchor>
  <xdr:twoCellAnchor>
    <xdr:from>
      <xdr:col>15</xdr:col>
      <xdr:colOff>9525</xdr:colOff>
      <xdr:row>19</xdr:row>
      <xdr:rowOff>114300</xdr:rowOff>
    </xdr:from>
    <xdr:to>
      <xdr:col>20</xdr:col>
      <xdr:colOff>7350</xdr:colOff>
      <xdr:row>22</xdr:row>
      <xdr:rowOff>171450</xdr:rowOff>
    </xdr:to>
    <xdr:sp macro="" textlink="Dashboard!I7">
      <xdr:nvSpPr>
        <xdr:cNvPr id="28" name="Retângulo 27">
          <a:extLst>
            <a:ext uri="{FF2B5EF4-FFF2-40B4-BE49-F238E27FC236}">
              <a16:creationId xmlns:a16="http://schemas.microsoft.com/office/drawing/2014/main" id="{E19684A7-73E6-4B19-B8CF-5A02C1071C88}"/>
            </a:ext>
          </a:extLst>
        </xdr:cNvPr>
        <xdr:cNvSpPr/>
      </xdr:nvSpPr>
      <xdr:spPr>
        <a:xfrm>
          <a:off x="9020175" y="4552950"/>
          <a:ext cx="2617200" cy="62865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2BBDBE12-5677-40AD-8601-75AECB17470E}" type="TxLink">
            <a:rPr lang="en-US" sz="2000" b="0" i="0" u="none" strike="noStrike" kern="1200">
              <a:solidFill>
                <a:srgbClr val="808080"/>
              </a:solidFill>
              <a:latin typeface="Calibri"/>
              <a:cs typeface="Calibri"/>
            </a:rPr>
            <a:pPr algn="ctr"/>
            <a:t>331.965,97</a:t>
          </a:fld>
          <a:endParaRPr lang="pt-BR" sz="1050" kern="1200"/>
        </a:p>
      </xdr:txBody>
    </xdr:sp>
    <xdr:clientData/>
  </xdr:twoCellAnchor>
  <xdr:twoCellAnchor>
    <xdr:from>
      <xdr:col>4</xdr:col>
      <xdr:colOff>0</xdr:colOff>
      <xdr:row>23</xdr:row>
      <xdr:rowOff>38100</xdr:rowOff>
    </xdr:from>
    <xdr:to>
      <xdr:col>6</xdr:col>
      <xdr:colOff>540750</xdr:colOff>
      <xdr:row>26</xdr:row>
      <xdr:rowOff>95250</xdr:rowOff>
    </xdr:to>
    <xdr:sp macro="" textlink="Dashboard!C9">
      <xdr:nvSpPr>
        <xdr:cNvPr id="29" name="Retângulo 28">
          <a:extLst>
            <a:ext uri="{FF2B5EF4-FFF2-40B4-BE49-F238E27FC236}">
              <a16:creationId xmlns:a16="http://schemas.microsoft.com/office/drawing/2014/main" id="{087C07EB-DE2C-42D7-A1F5-3F4BCBD8E574}"/>
            </a:ext>
          </a:extLst>
        </xdr:cNvPr>
        <xdr:cNvSpPr/>
      </xdr:nvSpPr>
      <xdr:spPr>
        <a:xfrm>
          <a:off x="1019175" y="5238750"/>
          <a:ext cx="2617200" cy="62865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9D2DE9B1-2AC6-4F96-A9C6-FD452098DADA}" type="TxLink">
            <a:rPr lang="en-US" sz="2000" b="0" i="0" u="none" strike="noStrike" kern="1200">
              <a:solidFill>
                <a:srgbClr val="808080"/>
              </a:solidFill>
              <a:latin typeface="Calibri"/>
              <a:cs typeface="Calibri"/>
            </a:rPr>
            <a:pPr algn="ctr"/>
            <a:t>379.711,87</a:t>
          </a:fld>
          <a:endParaRPr lang="pt-BR" sz="1050" kern="1200"/>
        </a:p>
      </xdr:txBody>
    </xdr:sp>
    <xdr:clientData/>
  </xdr:twoCellAnchor>
  <xdr:twoCellAnchor>
    <xdr:from>
      <xdr:col>6</xdr:col>
      <xdr:colOff>590550</xdr:colOff>
      <xdr:row>23</xdr:row>
      <xdr:rowOff>38100</xdr:rowOff>
    </xdr:from>
    <xdr:to>
      <xdr:col>10</xdr:col>
      <xdr:colOff>769350</xdr:colOff>
      <xdr:row>26</xdr:row>
      <xdr:rowOff>95250</xdr:rowOff>
    </xdr:to>
    <xdr:sp macro="" textlink="Dashboard!E9">
      <xdr:nvSpPr>
        <xdr:cNvPr id="30" name="Retângulo 29">
          <a:extLst>
            <a:ext uri="{FF2B5EF4-FFF2-40B4-BE49-F238E27FC236}">
              <a16:creationId xmlns:a16="http://schemas.microsoft.com/office/drawing/2014/main" id="{8B447EEE-93AF-41AA-921A-73030DA2570B}"/>
            </a:ext>
          </a:extLst>
        </xdr:cNvPr>
        <xdr:cNvSpPr/>
      </xdr:nvSpPr>
      <xdr:spPr>
        <a:xfrm>
          <a:off x="3686175" y="5238750"/>
          <a:ext cx="2617200" cy="62865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250644D5-35B5-456B-8E4C-0312E51A0DD4}" type="TxLink">
            <a:rPr lang="en-US" sz="2000" b="0" i="0" u="none" strike="noStrike" kern="1200">
              <a:solidFill>
                <a:srgbClr val="808080"/>
              </a:solidFill>
              <a:latin typeface="Calibri"/>
              <a:cs typeface="Calibri"/>
            </a:rPr>
            <a:pPr algn="ctr"/>
            <a:t>8 anos</a:t>
          </a:fld>
          <a:endParaRPr lang="pt-BR" sz="1050" kern="1200"/>
        </a:p>
      </xdr:txBody>
    </xdr:sp>
    <xdr:clientData/>
  </xdr:twoCellAnchor>
  <xdr:twoCellAnchor>
    <xdr:from>
      <xdr:col>10</xdr:col>
      <xdr:colOff>819150</xdr:colOff>
      <xdr:row>23</xdr:row>
      <xdr:rowOff>38100</xdr:rowOff>
    </xdr:from>
    <xdr:to>
      <xdr:col>14</xdr:col>
      <xdr:colOff>569325</xdr:colOff>
      <xdr:row>26</xdr:row>
      <xdr:rowOff>95250</xdr:rowOff>
    </xdr:to>
    <xdr:sp macro="" textlink="Dashboard!G9">
      <xdr:nvSpPr>
        <xdr:cNvPr id="31" name="Retângulo 30">
          <a:extLst>
            <a:ext uri="{FF2B5EF4-FFF2-40B4-BE49-F238E27FC236}">
              <a16:creationId xmlns:a16="http://schemas.microsoft.com/office/drawing/2014/main" id="{7A9E8DDC-A0C3-48D3-830D-304E704EFE9B}"/>
            </a:ext>
          </a:extLst>
        </xdr:cNvPr>
        <xdr:cNvSpPr/>
      </xdr:nvSpPr>
      <xdr:spPr>
        <a:xfrm>
          <a:off x="6353175" y="5238750"/>
          <a:ext cx="2617200" cy="62865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AC1A8D77-0DE6-47C6-8951-700EDA3C4FFC}" type="TxLink">
            <a:rPr lang="en-US" sz="2000" b="0" i="0" u="none" strike="noStrike" kern="1200">
              <a:solidFill>
                <a:srgbClr val="808080"/>
              </a:solidFill>
              <a:latin typeface="Calibri"/>
              <a:cs typeface="Calibri"/>
            </a:rPr>
            <a:pPr algn="ctr"/>
            <a:t>306.329,20</a:t>
          </a:fld>
          <a:endParaRPr lang="pt-BR" sz="1050" kern="1200"/>
        </a:p>
      </xdr:txBody>
    </xdr:sp>
    <xdr:clientData/>
  </xdr:twoCellAnchor>
  <xdr:twoCellAnchor>
    <xdr:from>
      <xdr:col>15</xdr:col>
      <xdr:colOff>9525</xdr:colOff>
      <xdr:row>23</xdr:row>
      <xdr:rowOff>38100</xdr:rowOff>
    </xdr:from>
    <xdr:to>
      <xdr:col>20</xdr:col>
      <xdr:colOff>7350</xdr:colOff>
      <xdr:row>26</xdr:row>
      <xdr:rowOff>95250</xdr:rowOff>
    </xdr:to>
    <xdr:sp macro="" textlink="Dashboard!I9">
      <xdr:nvSpPr>
        <xdr:cNvPr id="32" name="Retângulo 31">
          <a:extLst>
            <a:ext uri="{FF2B5EF4-FFF2-40B4-BE49-F238E27FC236}">
              <a16:creationId xmlns:a16="http://schemas.microsoft.com/office/drawing/2014/main" id="{30095CAD-A9FD-4A9F-B4E7-E5A303CEB620}"/>
            </a:ext>
          </a:extLst>
        </xdr:cNvPr>
        <xdr:cNvSpPr/>
      </xdr:nvSpPr>
      <xdr:spPr>
        <a:xfrm>
          <a:off x="9020175" y="5238750"/>
          <a:ext cx="2617200" cy="62865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4620F75C-9513-4AD3-AA7E-41A0CEBC4EFA}" type="TxLink">
            <a:rPr lang="en-US" sz="2000" b="0" i="0" u="none" strike="noStrike" kern="1200">
              <a:solidFill>
                <a:srgbClr val="808080"/>
              </a:solidFill>
              <a:latin typeface="Calibri"/>
              <a:cs typeface="Calibri"/>
            </a:rPr>
            <a:pPr algn="ctr"/>
            <a:t>22,00%</a:t>
          </a:fld>
          <a:endParaRPr lang="pt-BR" sz="1050" kern="1200"/>
        </a:p>
      </xdr:txBody>
    </xdr:sp>
    <xdr:clientData/>
  </xdr:twoCellAnchor>
  <xdr:twoCellAnchor editAs="absolute">
    <xdr:from>
      <xdr:col>4</xdr:col>
      <xdr:colOff>0</xdr:colOff>
      <xdr:row>16</xdr:row>
      <xdr:rowOff>17379</xdr:rowOff>
    </xdr:from>
    <xdr:to>
      <xdr:col>6</xdr:col>
      <xdr:colOff>540750</xdr:colOff>
      <xdr:row>17</xdr:row>
      <xdr:rowOff>75730</xdr:rowOff>
    </xdr:to>
    <xdr:sp macro="" textlink="">
      <xdr:nvSpPr>
        <xdr:cNvPr id="51" name="CaixaDeTexto 50">
          <a:extLst>
            <a:ext uri="{FF2B5EF4-FFF2-40B4-BE49-F238E27FC236}">
              <a16:creationId xmlns:a16="http://schemas.microsoft.com/office/drawing/2014/main" id="{432919AB-8E09-4572-972A-B119B7AE1889}"/>
            </a:ext>
          </a:extLst>
        </xdr:cNvPr>
        <xdr:cNvSpPr txBox="1"/>
      </xdr:nvSpPr>
      <xdr:spPr>
        <a:xfrm>
          <a:off x="1019175" y="3884529"/>
          <a:ext cx="261720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Impostos em</a:t>
          </a:r>
          <a:r>
            <a:rPr lang="pt-BR" sz="1000" kern="1200" baseline="0">
              <a:solidFill>
                <a:schemeClr val="tx1">
                  <a:lumMod val="75000"/>
                  <a:lumOff val="25000"/>
                </a:schemeClr>
              </a:solidFill>
            </a:rPr>
            <a:t> </a:t>
          </a:r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2025</a:t>
          </a:r>
        </a:p>
      </xdr:txBody>
    </xdr:sp>
    <xdr:clientData/>
  </xdr:twoCellAnchor>
  <xdr:twoCellAnchor editAs="absolute">
    <xdr:from>
      <xdr:col>6</xdr:col>
      <xdr:colOff>590550</xdr:colOff>
      <xdr:row>16</xdr:row>
      <xdr:rowOff>0</xdr:rowOff>
    </xdr:from>
    <xdr:to>
      <xdr:col>10</xdr:col>
      <xdr:colOff>769350</xdr:colOff>
      <xdr:row>17</xdr:row>
      <xdr:rowOff>58351</xdr:rowOff>
    </xdr:to>
    <xdr:sp macro="" textlink="">
      <xdr:nvSpPr>
        <xdr:cNvPr id="52" name="CaixaDeTexto 51">
          <a:extLst>
            <a:ext uri="{FF2B5EF4-FFF2-40B4-BE49-F238E27FC236}">
              <a16:creationId xmlns:a16="http://schemas.microsoft.com/office/drawing/2014/main" id="{365E5F27-F05C-4873-8758-79F85E2A26A5}"/>
            </a:ext>
          </a:extLst>
        </xdr:cNvPr>
        <xdr:cNvSpPr txBox="1"/>
      </xdr:nvSpPr>
      <xdr:spPr>
        <a:xfrm>
          <a:off x="3686175" y="3867150"/>
          <a:ext cx="261720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Imposto em 2026</a:t>
          </a:r>
        </a:p>
      </xdr:txBody>
    </xdr:sp>
    <xdr:clientData/>
  </xdr:twoCellAnchor>
  <xdr:twoCellAnchor editAs="absolute">
    <xdr:from>
      <xdr:col>10</xdr:col>
      <xdr:colOff>819150</xdr:colOff>
      <xdr:row>16</xdr:row>
      <xdr:rowOff>0</xdr:rowOff>
    </xdr:from>
    <xdr:to>
      <xdr:col>14</xdr:col>
      <xdr:colOff>569325</xdr:colOff>
      <xdr:row>17</xdr:row>
      <xdr:rowOff>58351</xdr:rowOff>
    </xdr:to>
    <xdr:sp macro="" textlink="">
      <xdr:nvSpPr>
        <xdr:cNvPr id="53" name="CaixaDeTexto 52">
          <a:extLst>
            <a:ext uri="{FF2B5EF4-FFF2-40B4-BE49-F238E27FC236}">
              <a16:creationId xmlns:a16="http://schemas.microsoft.com/office/drawing/2014/main" id="{F62B4547-7FA2-4704-BECB-AACC6E420C24}"/>
            </a:ext>
          </a:extLst>
        </xdr:cNvPr>
        <xdr:cNvSpPr txBox="1"/>
      </xdr:nvSpPr>
      <xdr:spPr>
        <a:xfrm>
          <a:off x="6353175" y="3867150"/>
          <a:ext cx="261720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Impostos em 2027</a:t>
          </a:r>
        </a:p>
      </xdr:txBody>
    </xdr:sp>
    <xdr:clientData/>
  </xdr:twoCellAnchor>
  <xdr:twoCellAnchor editAs="absolute">
    <xdr:from>
      <xdr:col>15</xdr:col>
      <xdr:colOff>19050</xdr:colOff>
      <xdr:row>16</xdr:row>
      <xdr:rowOff>0</xdr:rowOff>
    </xdr:from>
    <xdr:to>
      <xdr:col>20</xdr:col>
      <xdr:colOff>16875</xdr:colOff>
      <xdr:row>17</xdr:row>
      <xdr:rowOff>58351</xdr:rowOff>
    </xdr:to>
    <xdr:sp macro="" textlink="">
      <xdr:nvSpPr>
        <xdr:cNvPr id="54" name="CaixaDeTexto 53">
          <a:extLst>
            <a:ext uri="{FF2B5EF4-FFF2-40B4-BE49-F238E27FC236}">
              <a16:creationId xmlns:a16="http://schemas.microsoft.com/office/drawing/2014/main" id="{5B042664-99EA-43B2-A952-4A976336299C}"/>
            </a:ext>
          </a:extLst>
        </xdr:cNvPr>
        <xdr:cNvSpPr txBox="1"/>
      </xdr:nvSpPr>
      <xdr:spPr>
        <a:xfrm>
          <a:off x="9029700" y="3867150"/>
          <a:ext cx="261720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Impostos em</a:t>
          </a:r>
          <a:r>
            <a:rPr lang="pt-BR" sz="1000" kern="1200" baseline="0">
              <a:solidFill>
                <a:schemeClr val="tx1">
                  <a:lumMod val="75000"/>
                  <a:lumOff val="25000"/>
                </a:schemeClr>
              </a:solidFill>
            </a:rPr>
            <a:t> 2028</a:t>
          </a:r>
          <a:endParaRPr lang="pt-BR" sz="1000" kern="12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4</xdr:col>
      <xdr:colOff>0</xdr:colOff>
      <xdr:row>19</xdr:row>
      <xdr:rowOff>141204</xdr:rowOff>
    </xdr:from>
    <xdr:to>
      <xdr:col>6</xdr:col>
      <xdr:colOff>540750</xdr:colOff>
      <xdr:row>21</xdr:row>
      <xdr:rowOff>9055</xdr:rowOff>
    </xdr:to>
    <xdr:sp macro="" textlink="">
      <xdr:nvSpPr>
        <xdr:cNvPr id="55" name="CaixaDeTexto 54">
          <a:extLst>
            <a:ext uri="{FF2B5EF4-FFF2-40B4-BE49-F238E27FC236}">
              <a16:creationId xmlns:a16="http://schemas.microsoft.com/office/drawing/2014/main" id="{186CF7B8-86B0-4AB9-B53F-D7EFABE28EC9}"/>
            </a:ext>
          </a:extLst>
        </xdr:cNvPr>
        <xdr:cNvSpPr txBox="1"/>
      </xdr:nvSpPr>
      <xdr:spPr>
        <a:xfrm>
          <a:off x="1019175" y="4579854"/>
          <a:ext cx="261720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Impostos em 2029</a:t>
          </a:r>
        </a:p>
      </xdr:txBody>
    </xdr:sp>
    <xdr:clientData/>
  </xdr:twoCellAnchor>
  <xdr:twoCellAnchor editAs="absolute">
    <xdr:from>
      <xdr:col>6</xdr:col>
      <xdr:colOff>590550</xdr:colOff>
      <xdr:row>19</xdr:row>
      <xdr:rowOff>123825</xdr:rowOff>
    </xdr:from>
    <xdr:to>
      <xdr:col>10</xdr:col>
      <xdr:colOff>769350</xdr:colOff>
      <xdr:row>20</xdr:row>
      <xdr:rowOff>182176</xdr:rowOff>
    </xdr:to>
    <xdr:sp macro="" textlink="">
      <xdr:nvSpPr>
        <xdr:cNvPr id="56" name="CaixaDeTexto 55">
          <a:extLst>
            <a:ext uri="{FF2B5EF4-FFF2-40B4-BE49-F238E27FC236}">
              <a16:creationId xmlns:a16="http://schemas.microsoft.com/office/drawing/2014/main" id="{4F3C2FED-1E9B-449F-AF67-B73AC160AD27}"/>
            </a:ext>
          </a:extLst>
        </xdr:cNvPr>
        <xdr:cNvSpPr txBox="1"/>
      </xdr:nvSpPr>
      <xdr:spPr>
        <a:xfrm>
          <a:off x="3686175" y="4562475"/>
          <a:ext cx="261720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Imposto em 2030</a:t>
          </a:r>
        </a:p>
      </xdr:txBody>
    </xdr:sp>
    <xdr:clientData/>
  </xdr:twoCellAnchor>
  <xdr:twoCellAnchor editAs="absolute">
    <xdr:from>
      <xdr:col>10</xdr:col>
      <xdr:colOff>819150</xdr:colOff>
      <xdr:row>19</xdr:row>
      <xdr:rowOff>123825</xdr:rowOff>
    </xdr:from>
    <xdr:to>
      <xdr:col>14</xdr:col>
      <xdr:colOff>569325</xdr:colOff>
      <xdr:row>20</xdr:row>
      <xdr:rowOff>182176</xdr:rowOff>
    </xdr:to>
    <xdr:sp macro="" textlink="">
      <xdr:nvSpPr>
        <xdr:cNvPr id="57" name="CaixaDeTexto 56">
          <a:extLst>
            <a:ext uri="{FF2B5EF4-FFF2-40B4-BE49-F238E27FC236}">
              <a16:creationId xmlns:a16="http://schemas.microsoft.com/office/drawing/2014/main" id="{AAEBA05C-43EE-403F-936C-15BB1A8C7AAF}"/>
            </a:ext>
          </a:extLst>
        </xdr:cNvPr>
        <xdr:cNvSpPr txBox="1"/>
      </xdr:nvSpPr>
      <xdr:spPr>
        <a:xfrm>
          <a:off x="6353175" y="4562475"/>
          <a:ext cx="261720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Impostos em 2031</a:t>
          </a:r>
        </a:p>
      </xdr:txBody>
    </xdr:sp>
    <xdr:clientData/>
  </xdr:twoCellAnchor>
  <xdr:twoCellAnchor editAs="absolute">
    <xdr:from>
      <xdr:col>15</xdr:col>
      <xdr:colOff>19050</xdr:colOff>
      <xdr:row>19</xdr:row>
      <xdr:rowOff>123825</xdr:rowOff>
    </xdr:from>
    <xdr:to>
      <xdr:col>20</xdr:col>
      <xdr:colOff>16875</xdr:colOff>
      <xdr:row>20</xdr:row>
      <xdr:rowOff>182176</xdr:rowOff>
    </xdr:to>
    <xdr:sp macro="" textlink="">
      <xdr:nvSpPr>
        <xdr:cNvPr id="58" name="CaixaDeTexto 57">
          <a:extLst>
            <a:ext uri="{FF2B5EF4-FFF2-40B4-BE49-F238E27FC236}">
              <a16:creationId xmlns:a16="http://schemas.microsoft.com/office/drawing/2014/main" id="{2C4DC869-D13E-481E-A3BA-7A15BE59E509}"/>
            </a:ext>
          </a:extLst>
        </xdr:cNvPr>
        <xdr:cNvSpPr txBox="1"/>
      </xdr:nvSpPr>
      <xdr:spPr>
        <a:xfrm>
          <a:off x="9029700" y="4562475"/>
          <a:ext cx="261720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Impostos em</a:t>
          </a:r>
          <a:r>
            <a:rPr lang="pt-BR" sz="1000" kern="1200" baseline="0">
              <a:solidFill>
                <a:schemeClr val="tx1">
                  <a:lumMod val="75000"/>
                  <a:lumOff val="25000"/>
                </a:schemeClr>
              </a:solidFill>
            </a:rPr>
            <a:t> 2032</a:t>
          </a:r>
          <a:endParaRPr lang="pt-BR" sz="1000" kern="12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</xdr:col>
      <xdr:colOff>171450</xdr:colOff>
      <xdr:row>23</xdr:row>
      <xdr:rowOff>38100</xdr:rowOff>
    </xdr:from>
    <xdr:to>
      <xdr:col>6</xdr:col>
      <xdr:colOff>531225</xdr:colOff>
      <xdr:row>24</xdr:row>
      <xdr:rowOff>96451</xdr:rowOff>
    </xdr:to>
    <xdr:sp macro="" textlink="">
      <xdr:nvSpPr>
        <xdr:cNvPr id="59" name="CaixaDeTexto 58">
          <a:extLst>
            <a:ext uri="{FF2B5EF4-FFF2-40B4-BE49-F238E27FC236}">
              <a16:creationId xmlns:a16="http://schemas.microsoft.com/office/drawing/2014/main" id="{FCB439AC-0374-455D-9F7C-86FF4C65D73B}"/>
            </a:ext>
          </a:extLst>
        </xdr:cNvPr>
        <xdr:cNvSpPr txBox="1"/>
      </xdr:nvSpPr>
      <xdr:spPr>
        <a:xfrm>
          <a:off x="1009650" y="5238750"/>
          <a:ext cx="261720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Impostos em</a:t>
          </a:r>
          <a:r>
            <a:rPr lang="pt-BR" sz="1000" kern="1200" baseline="0">
              <a:solidFill>
                <a:schemeClr val="tx1">
                  <a:lumMod val="75000"/>
                  <a:lumOff val="25000"/>
                </a:schemeClr>
              </a:solidFill>
            </a:rPr>
            <a:t> 2033</a:t>
          </a:r>
          <a:endParaRPr lang="pt-BR" sz="1000" kern="12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6</xdr:col>
      <xdr:colOff>590550</xdr:colOff>
      <xdr:row>23</xdr:row>
      <xdr:rowOff>38100</xdr:rowOff>
    </xdr:from>
    <xdr:to>
      <xdr:col>10</xdr:col>
      <xdr:colOff>769350</xdr:colOff>
      <xdr:row>24</xdr:row>
      <xdr:rowOff>96451</xdr:rowOff>
    </xdr:to>
    <xdr:sp macro="" textlink="">
      <xdr:nvSpPr>
        <xdr:cNvPr id="60" name="CaixaDeTexto 59">
          <a:extLst>
            <a:ext uri="{FF2B5EF4-FFF2-40B4-BE49-F238E27FC236}">
              <a16:creationId xmlns:a16="http://schemas.microsoft.com/office/drawing/2014/main" id="{12689F20-54B6-494B-B1EA-65B25F724E6B}"/>
            </a:ext>
          </a:extLst>
        </xdr:cNvPr>
        <xdr:cNvSpPr txBox="1"/>
      </xdr:nvSpPr>
      <xdr:spPr>
        <a:xfrm>
          <a:off x="3686175" y="5238750"/>
          <a:ext cx="261720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Duração da Transição Tributária</a:t>
          </a:r>
        </a:p>
      </xdr:txBody>
    </xdr:sp>
    <xdr:clientData/>
  </xdr:twoCellAnchor>
  <xdr:twoCellAnchor editAs="absolute">
    <xdr:from>
      <xdr:col>10</xdr:col>
      <xdr:colOff>819150</xdr:colOff>
      <xdr:row>23</xdr:row>
      <xdr:rowOff>38100</xdr:rowOff>
    </xdr:from>
    <xdr:to>
      <xdr:col>14</xdr:col>
      <xdr:colOff>569325</xdr:colOff>
      <xdr:row>24</xdr:row>
      <xdr:rowOff>96451</xdr:rowOff>
    </xdr:to>
    <xdr:sp macro="" textlink="">
      <xdr:nvSpPr>
        <xdr:cNvPr id="61" name="CaixaDeTexto 60">
          <a:extLst>
            <a:ext uri="{FF2B5EF4-FFF2-40B4-BE49-F238E27FC236}">
              <a16:creationId xmlns:a16="http://schemas.microsoft.com/office/drawing/2014/main" id="{84F38EDE-76FB-4A4C-A4EE-55048B686507}"/>
            </a:ext>
          </a:extLst>
        </xdr:cNvPr>
        <xdr:cNvSpPr txBox="1"/>
      </xdr:nvSpPr>
      <xdr:spPr>
        <a:xfrm>
          <a:off x="6353175" y="5238750"/>
          <a:ext cx="261720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Média de Impostos na Transição Tributária</a:t>
          </a:r>
        </a:p>
      </xdr:txBody>
    </xdr:sp>
    <xdr:clientData/>
  </xdr:twoCellAnchor>
  <xdr:twoCellAnchor editAs="absolute">
    <xdr:from>
      <xdr:col>15</xdr:col>
      <xdr:colOff>19050</xdr:colOff>
      <xdr:row>23</xdr:row>
      <xdr:rowOff>38100</xdr:rowOff>
    </xdr:from>
    <xdr:to>
      <xdr:col>20</xdr:col>
      <xdr:colOff>16875</xdr:colOff>
      <xdr:row>24</xdr:row>
      <xdr:rowOff>96451</xdr:rowOff>
    </xdr:to>
    <xdr:sp macro="" textlink="">
      <xdr:nvSpPr>
        <xdr:cNvPr id="62" name="CaixaDeTexto 61">
          <a:extLst>
            <a:ext uri="{FF2B5EF4-FFF2-40B4-BE49-F238E27FC236}">
              <a16:creationId xmlns:a16="http://schemas.microsoft.com/office/drawing/2014/main" id="{36E89647-FD53-41D5-8AA1-DF3E4DF3D0D8}"/>
            </a:ext>
          </a:extLst>
        </xdr:cNvPr>
        <xdr:cNvSpPr txBox="1"/>
      </xdr:nvSpPr>
      <xdr:spPr>
        <a:xfrm>
          <a:off x="9029700" y="5238750"/>
          <a:ext cx="261720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Média</a:t>
          </a:r>
          <a:r>
            <a:rPr lang="pt-BR" sz="1000" kern="1200" baseline="0">
              <a:solidFill>
                <a:schemeClr val="tx1">
                  <a:lumMod val="75000"/>
                  <a:lumOff val="25000"/>
                </a:schemeClr>
              </a:solidFill>
            </a:rPr>
            <a:t> de Carga Tributária na Transição</a:t>
          </a:r>
          <a:endParaRPr lang="pt-BR" sz="1000" kern="12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6</xdr:col>
      <xdr:colOff>390524</xdr:colOff>
      <xdr:row>17</xdr:row>
      <xdr:rowOff>0</xdr:rowOff>
    </xdr:from>
    <xdr:to>
      <xdr:col>7</xdr:col>
      <xdr:colOff>140924</xdr:colOff>
      <xdr:row>18</xdr:row>
      <xdr:rowOff>38100</xdr:rowOff>
    </xdr:to>
    <xdr:sp macro="" textlink="">
      <xdr:nvSpPr>
        <xdr:cNvPr id="63" name="Seta: para a Direita 62">
          <a:extLst>
            <a:ext uri="{FF2B5EF4-FFF2-40B4-BE49-F238E27FC236}">
              <a16:creationId xmlns:a16="http://schemas.microsoft.com/office/drawing/2014/main" id="{D9FF31D2-F948-496A-8B5F-129A85DADB63}"/>
            </a:ext>
          </a:extLst>
        </xdr:cNvPr>
        <xdr:cNvSpPr/>
      </xdr:nvSpPr>
      <xdr:spPr>
        <a:xfrm>
          <a:off x="3486149" y="4057650"/>
          <a:ext cx="360000" cy="228600"/>
        </a:xfrm>
        <a:prstGeom prst="rightArrow">
          <a:avLst/>
        </a:prstGeom>
        <a:solidFill>
          <a:srgbClr val="FB5A5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 editAs="absolute">
    <xdr:from>
      <xdr:col>6</xdr:col>
      <xdr:colOff>390524</xdr:colOff>
      <xdr:row>20</xdr:row>
      <xdr:rowOff>133350</xdr:rowOff>
    </xdr:from>
    <xdr:to>
      <xdr:col>7</xdr:col>
      <xdr:colOff>140924</xdr:colOff>
      <xdr:row>21</xdr:row>
      <xdr:rowOff>171450</xdr:rowOff>
    </xdr:to>
    <xdr:sp macro="" textlink="">
      <xdr:nvSpPr>
        <xdr:cNvPr id="11264" name="Seta: para a Direita 11263">
          <a:extLst>
            <a:ext uri="{FF2B5EF4-FFF2-40B4-BE49-F238E27FC236}">
              <a16:creationId xmlns:a16="http://schemas.microsoft.com/office/drawing/2014/main" id="{C8336984-0DE9-4C0A-8FCE-8D2F31150025}"/>
            </a:ext>
          </a:extLst>
        </xdr:cNvPr>
        <xdr:cNvSpPr/>
      </xdr:nvSpPr>
      <xdr:spPr>
        <a:xfrm>
          <a:off x="3486149" y="4762500"/>
          <a:ext cx="360000" cy="228600"/>
        </a:xfrm>
        <a:prstGeom prst="rightArrow">
          <a:avLst/>
        </a:prstGeom>
        <a:solidFill>
          <a:srgbClr val="FB5A5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 editAs="absolute">
    <xdr:from>
      <xdr:col>10</xdr:col>
      <xdr:colOff>619124</xdr:colOff>
      <xdr:row>17</xdr:row>
      <xdr:rowOff>0</xdr:rowOff>
    </xdr:from>
    <xdr:to>
      <xdr:col>10</xdr:col>
      <xdr:colOff>979124</xdr:colOff>
      <xdr:row>18</xdr:row>
      <xdr:rowOff>38100</xdr:rowOff>
    </xdr:to>
    <xdr:sp macro="" textlink="">
      <xdr:nvSpPr>
        <xdr:cNvPr id="11266" name="Seta: para a Direita 11265">
          <a:extLst>
            <a:ext uri="{FF2B5EF4-FFF2-40B4-BE49-F238E27FC236}">
              <a16:creationId xmlns:a16="http://schemas.microsoft.com/office/drawing/2014/main" id="{9BF306D1-C0C7-4D97-A3F4-0BF39AD391B1}"/>
            </a:ext>
          </a:extLst>
        </xdr:cNvPr>
        <xdr:cNvSpPr/>
      </xdr:nvSpPr>
      <xdr:spPr>
        <a:xfrm>
          <a:off x="6153149" y="4057650"/>
          <a:ext cx="360000" cy="228600"/>
        </a:xfrm>
        <a:prstGeom prst="rightArrow">
          <a:avLst/>
        </a:prstGeom>
        <a:solidFill>
          <a:srgbClr val="FB5A5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 editAs="absolute">
    <xdr:from>
      <xdr:col>10</xdr:col>
      <xdr:colOff>619124</xdr:colOff>
      <xdr:row>20</xdr:row>
      <xdr:rowOff>133350</xdr:rowOff>
    </xdr:from>
    <xdr:to>
      <xdr:col>10</xdr:col>
      <xdr:colOff>979124</xdr:colOff>
      <xdr:row>21</xdr:row>
      <xdr:rowOff>171450</xdr:rowOff>
    </xdr:to>
    <xdr:sp macro="" textlink="">
      <xdr:nvSpPr>
        <xdr:cNvPr id="11267" name="Seta: para a Direita 11266">
          <a:extLst>
            <a:ext uri="{FF2B5EF4-FFF2-40B4-BE49-F238E27FC236}">
              <a16:creationId xmlns:a16="http://schemas.microsoft.com/office/drawing/2014/main" id="{512F663B-513D-4C36-84B2-B40D7C675EBF}"/>
            </a:ext>
          </a:extLst>
        </xdr:cNvPr>
        <xdr:cNvSpPr/>
      </xdr:nvSpPr>
      <xdr:spPr>
        <a:xfrm>
          <a:off x="6153149" y="4762500"/>
          <a:ext cx="360000" cy="228600"/>
        </a:xfrm>
        <a:prstGeom prst="rightArrow">
          <a:avLst/>
        </a:prstGeom>
        <a:solidFill>
          <a:srgbClr val="FB5A5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 editAs="absolute">
    <xdr:from>
      <xdr:col>14</xdr:col>
      <xdr:colOff>419099</xdr:colOff>
      <xdr:row>17</xdr:row>
      <xdr:rowOff>0</xdr:rowOff>
    </xdr:from>
    <xdr:to>
      <xdr:col>15</xdr:col>
      <xdr:colOff>169499</xdr:colOff>
      <xdr:row>18</xdr:row>
      <xdr:rowOff>38100</xdr:rowOff>
    </xdr:to>
    <xdr:sp macro="" textlink="">
      <xdr:nvSpPr>
        <xdr:cNvPr id="11268" name="Seta: para a Direita 11267">
          <a:extLst>
            <a:ext uri="{FF2B5EF4-FFF2-40B4-BE49-F238E27FC236}">
              <a16:creationId xmlns:a16="http://schemas.microsoft.com/office/drawing/2014/main" id="{062F3C24-FF53-427D-99EE-A2BC48024153}"/>
            </a:ext>
          </a:extLst>
        </xdr:cNvPr>
        <xdr:cNvSpPr/>
      </xdr:nvSpPr>
      <xdr:spPr>
        <a:xfrm>
          <a:off x="8820149" y="4057650"/>
          <a:ext cx="360000" cy="228600"/>
        </a:xfrm>
        <a:prstGeom prst="rightArrow">
          <a:avLst/>
        </a:prstGeom>
        <a:solidFill>
          <a:srgbClr val="FB5A5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 editAs="absolute">
    <xdr:from>
      <xdr:col>14</xdr:col>
      <xdr:colOff>419099</xdr:colOff>
      <xdr:row>20</xdr:row>
      <xdr:rowOff>133350</xdr:rowOff>
    </xdr:from>
    <xdr:to>
      <xdr:col>15</xdr:col>
      <xdr:colOff>169499</xdr:colOff>
      <xdr:row>21</xdr:row>
      <xdr:rowOff>171450</xdr:rowOff>
    </xdr:to>
    <xdr:sp macro="" textlink="">
      <xdr:nvSpPr>
        <xdr:cNvPr id="11269" name="Seta: para a Direita 11268">
          <a:extLst>
            <a:ext uri="{FF2B5EF4-FFF2-40B4-BE49-F238E27FC236}">
              <a16:creationId xmlns:a16="http://schemas.microsoft.com/office/drawing/2014/main" id="{0F6E4E1E-67BE-4AB8-B1C8-D5CB2213BE11}"/>
            </a:ext>
          </a:extLst>
        </xdr:cNvPr>
        <xdr:cNvSpPr/>
      </xdr:nvSpPr>
      <xdr:spPr>
        <a:xfrm>
          <a:off x="8820149" y="4762500"/>
          <a:ext cx="360000" cy="228600"/>
        </a:xfrm>
        <a:prstGeom prst="rightArrow">
          <a:avLst/>
        </a:prstGeom>
        <a:solidFill>
          <a:srgbClr val="FB5A5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 editAs="absolute">
    <xdr:from>
      <xdr:col>4</xdr:col>
      <xdr:colOff>0</xdr:colOff>
      <xdr:row>26</xdr:row>
      <xdr:rowOff>142876</xdr:rowOff>
    </xdr:from>
    <xdr:to>
      <xdr:col>10</xdr:col>
      <xdr:colOff>771525</xdr:colOff>
      <xdr:row>45</xdr:row>
      <xdr:rowOff>0</xdr:rowOff>
    </xdr:to>
    <xdr:graphicFrame macro="">
      <xdr:nvGraphicFramePr>
        <xdr:cNvPr id="11270" name="Gráfico 11269">
          <a:extLst>
            <a:ext uri="{FF2B5EF4-FFF2-40B4-BE49-F238E27FC236}">
              <a16:creationId xmlns:a16="http://schemas.microsoft.com/office/drawing/2014/main" id="{3248621D-73ED-432A-8A03-E4D216F4D7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10</xdr:col>
      <xdr:colOff>819150</xdr:colOff>
      <xdr:row>26</xdr:row>
      <xdr:rowOff>142875</xdr:rowOff>
    </xdr:from>
    <xdr:to>
      <xdr:col>20</xdr:col>
      <xdr:colOff>9525</xdr:colOff>
      <xdr:row>45</xdr:row>
      <xdr:rowOff>0</xdr:rowOff>
    </xdr:to>
    <xdr:graphicFrame macro="">
      <xdr:nvGraphicFramePr>
        <xdr:cNvPr id="11271" name="Gráfico 11270">
          <a:extLst>
            <a:ext uri="{FF2B5EF4-FFF2-40B4-BE49-F238E27FC236}">
              <a16:creationId xmlns:a16="http://schemas.microsoft.com/office/drawing/2014/main" id="{5242C97B-49D6-41D1-A880-A128CEA301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0</xdr:colOff>
      <xdr:row>56</xdr:row>
      <xdr:rowOff>0</xdr:rowOff>
    </xdr:from>
    <xdr:to>
      <xdr:col>6</xdr:col>
      <xdr:colOff>540750</xdr:colOff>
      <xdr:row>59</xdr:row>
      <xdr:rowOff>57150</xdr:rowOff>
    </xdr:to>
    <xdr:sp macro="" textlink="Dash2!C5">
      <xdr:nvSpPr>
        <xdr:cNvPr id="11272" name="Retângulo 11271">
          <a:extLst>
            <a:ext uri="{FF2B5EF4-FFF2-40B4-BE49-F238E27FC236}">
              <a16:creationId xmlns:a16="http://schemas.microsoft.com/office/drawing/2014/main" id="{37A4F37C-1974-46C9-800A-175D8A277594}"/>
            </a:ext>
          </a:extLst>
        </xdr:cNvPr>
        <xdr:cNvSpPr/>
      </xdr:nvSpPr>
      <xdr:spPr>
        <a:xfrm>
          <a:off x="1019175" y="11487150"/>
          <a:ext cx="2617200" cy="62865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51CC483A-711E-4E32-9C79-2A64EC8CA26F}" type="TxLink">
            <a:rPr lang="en-US" sz="2000" b="0" i="0" u="none" strike="noStrike" kern="1200">
              <a:solidFill>
                <a:srgbClr val="808080"/>
              </a:solidFill>
              <a:latin typeface="Calibri"/>
              <a:cs typeface="Calibri"/>
            </a:rPr>
            <a:pPr algn="ctr"/>
            <a:t>1.392.217,00</a:t>
          </a:fld>
          <a:endParaRPr lang="pt-BR" sz="1000" kern="1200"/>
        </a:p>
      </xdr:txBody>
    </xdr:sp>
    <xdr:clientData/>
  </xdr:twoCellAnchor>
  <xdr:twoCellAnchor>
    <xdr:from>
      <xdr:col>6</xdr:col>
      <xdr:colOff>590550</xdr:colOff>
      <xdr:row>56</xdr:row>
      <xdr:rowOff>0</xdr:rowOff>
    </xdr:from>
    <xdr:to>
      <xdr:col>10</xdr:col>
      <xdr:colOff>769350</xdr:colOff>
      <xdr:row>59</xdr:row>
      <xdr:rowOff>57150</xdr:rowOff>
    </xdr:to>
    <xdr:sp macro="" textlink="Dash2!E5">
      <xdr:nvSpPr>
        <xdr:cNvPr id="11273" name="Retângulo 11272">
          <a:extLst>
            <a:ext uri="{FF2B5EF4-FFF2-40B4-BE49-F238E27FC236}">
              <a16:creationId xmlns:a16="http://schemas.microsoft.com/office/drawing/2014/main" id="{F11B117C-020E-4785-A646-33677BD12C3D}"/>
            </a:ext>
          </a:extLst>
        </xdr:cNvPr>
        <xdr:cNvSpPr/>
      </xdr:nvSpPr>
      <xdr:spPr>
        <a:xfrm>
          <a:off x="3686175" y="11487150"/>
          <a:ext cx="2617200" cy="62865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1BB8D582-D800-4605-A613-85967E8AAD9B}" type="TxLink">
            <a:rPr lang="en-US" sz="2000" b="0" i="0" u="none" strike="noStrike" kern="1200">
              <a:solidFill>
                <a:srgbClr val="808080"/>
              </a:solidFill>
              <a:latin typeface="Calibri"/>
              <a:cs typeface="Calibri"/>
            </a:rPr>
            <a:pPr algn="ctr"/>
            <a:t>379.711,87</a:t>
          </a:fld>
          <a:endParaRPr lang="pt-BR" sz="1000" kern="1200"/>
        </a:p>
      </xdr:txBody>
    </xdr:sp>
    <xdr:clientData/>
  </xdr:twoCellAnchor>
  <xdr:twoCellAnchor>
    <xdr:from>
      <xdr:col>10</xdr:col>
      <xdr:colOff>819150</xdr:colOff>
      <xdr:row>56</xdr:row>
      <xdr:rowOff>0</xdr:rowOff>
    </xdr:from>
    <xdr:to>
      <xdr:col>14</xdr:col>
      <xdr:colOff>569325</xdr:colOff>
      <xdr:row>59</xdr:row>
      <xdr:rowOff>57150</xdr:rowOff>
    </xdr:to>
    <xdr:sp macro="" textlink="Dash2!G5">
      <xdr:nvSpPr>
        <xdr:cNvPr id="11274" name="Retângulo 11273">
          <a:extLst>
            <a:ext uri="{FF2B5EF4-FFF2-40B4-BE49-F238E27FC236}">
              <a16:creationId xmlns:a16="http://schemas.microsoft.com/office/drawing/2014/main" id="{C00B99E3-1FC4-4E57-90B6-DC29987BEB93}"/>
            </a:ext>
          </a:extLst>
        </xdr:cNvPr>
        <xdr:cNvSpPr/>
      </xdr:nvSpPr>
      <xdr:spPr>
        <a:xfrm>
          <a:off x="6353175" y="11487150"/>
          <a:ext cx="2617200" cy="62865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B0E76762-6B9F-46AC-A09A-B5B3C278081C}" type="TxLink">
            <a:rPr lang="en-US" sz="2000" b="0" i="0" u="none" strike="noStrike" kern="1200">
              <a:solidFill>
                <a:srgbClr val="808080"/>
              </a:solidFill>
              <a:latin typeface="Calibri"/>
              <a:cs typeface="Calibri"/>
            </a:rPr>
            <a:pPr algn="ctr"/>
            <a:t>93.720,13</a:t>
          </a:fld>
          <a:endParaRPr lang="pt-BR" sz="1000" kern="1200"/>
        </a:p>
      </xdr:txBody>
    </xdr:sp>
    <xdr:clientData/>
  </xdr:twoCellAnchor>
  <xdr:twoCellAnchor>
    <xdr:from>
      <xdr:col>15</xdr:col>
      <xdr:colOff>9525</xdr:colOff>
      <xdr:row>56</xdr:row>
      <xdr:rowOff>0</xdr:rowOff>
    </xdr:from>
    <xdr:to>
      <xdr:col>20</xdr:col>
      <xdr:colOff>7350</xdr:colOff>
      <xdr:row>59</xdr:row>
      <xdr:rowOff>57150</xdr:rowOff>
    </xdr:to>
    <xdr:sp macro="" textlink="Dash2!I5">
      <xdr:nvSpPr>
        <xdr:cNvPr id="11275" name="Retângulo 11274">
          <a:extLst>
            <a:ext uri="{FF2B5EF4-FFF2-40B4-BE49-F238E27FC236}">
              <a16:creationId xmlns:a16="http://schemas.microsoft.com/office/drawing/2014/main" id="{FCA6AADE-BD4E-430E-9D78-305BDEDBA0C8}"/>
            </a:ext>
          </a:extLst>
        </xdr:cNvPr>
        <xdr:cNvSpPr/>
      </xdr:nvSpPr>
      <xdr:spPr>
        <a:xfrm>
          <a:off x="9020175" y="11487150"/>
          <a:ext cx="2617200" cy="62865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452EF5F7-843B-4033-99D7-95F1DB6D3037}" type="TxLink">
            <a:rPr lang="en-US" sz="2000" b="0" i="0" u="none" strike="noStrike" kern="1200">
              <a:solidFill>
                <a:srgbClr val="808080"/>
              </a:solidFill>
              <a:latin typeface="Calibri"/>
              <a:cs typeface="Calibri"/>
            </a:rPr>
            <a:pPr algn="ctr"/>
            <a:t>6,73%</a:t>
          </a:fld>
          <a:endParaRPr lang="pt-BR" sz="1000" kern="1200"/>
        </a:p>
      </xdr:txBody>
    </xdr:sp>
    <xdr:clientData/>
  </xdr:twoCellAnchor>
  <xdr:oneCellAnchor>
    <xdr:from>
      <xdr:col>4</xdr:col>
      <xdr:colOff>9525</xdr:colOff>
      <xdr:row>56</xdr:row>
      <xdr:rowOff>17379</xdr:rowOff>
    </xdr:from>
    <xdr:ext cx="2617200" cy="248851"/>
    <xdr:sp macro="" textlink="">
      <xdr:nvSpPr>
        <xdr:cNvPr id="11276" name="CaixaDeTexto 11275">
          <a:extLst>
            <a:ext uri="{FF2B5EF4-FFF2-40B4-BE49-F238E27FC236}">
              <a16:creationId xmlns:a16="http://schemas.microsoft.com/office/drawing/2014/main" id="{703F8212-E985-44CC-8DEB-6D5792EAB50E}"/>
            </a:ext>
          </a:extLst>
        </xdr:cNvPr>
        <xdr:cNvSpPr txBox="1"/>
      </xdr:nvSpPr>
      <xdr:spPr>
        <a:xfrm>
          <a:off x="1028700" y="11504529"/>
          <a:ext cx="261720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Total do Faturamento</a:t>
          </a:r>
        </a:p>
      </xdr:txBody>
    </xdr:sp>
    <xdr:clientData/>
  </xdr:oneCellAnchor>
  <xdr:oneCellAnchor>
    <xdr:from>
      <xdr:col>6</xdr:col>
      <xdr:colOff>590550</xdr:colOff>
      <xdr:row>56</xdr:row>
      <xdr:rowOff>0</xdr:rowOff>
    </xdr:from>
    <xdr:ext cx="2617200" cy="248851"/>
    <xdr:sp macro="" textlink="">
      <xdr:nvSpPr>
        <xdr:cNvPr id="11277" name="CaixaDeTexto 11276">
          <a:extLst>
            <a:ext uri="{FF2B5EF4-FFF2-40B4-BE49-F238E27FC236}">
              <a16:creationId xmlns:a16="http://schemas.microsoft.com/office/drawing/2014/main" id="{F0FDC34B-3F31-4BC7-823B-500E7DE759B1}"/>
            </a:ext>
          </a:extLst>
        </xdr:cNvPr>
        <xdr:cNvSpPr txBox="1"/>
      </xdr:nvSpPr>
      <xdr:spPr>
        <a:xfrm>
          <a:off x="3686175" y="11487150"/>
          <a:ext cx="261720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Total dos Impostos</a:t>
          </a:r>
        </a:p>
      </xdr:txBody>
    </xdr:sp>
    <xdr:clientData/>
  </xdr:oneCellAnchor>
  <xdr:oneCellAnchor>
    <xdr:from>
      <xdr:col>10</xdr:col>
      <xdr:colOff>819150</xdr:colOff>
      <xdr:row>56</xdr:row>
      <xdr:rowOff>0</xdr:rowOff>
    </xdr:from>
    <xdr:ext cx="2617200" cy="248851"/>
    <xdr:sp macro="" textlink="">
      <xdr:nvSpPr>
        <xdr:cNvPr id="11278" name="CaixaDeTexto 11277">
          <a:extLst>
            <a:ext uri="{FF2B5EF4-FFF2-40B4-BE49-F238E27FC236}">
              <a16:creationId xmlns:a16="http://schemas.microsoft.com/office/drawing/2014/main" id="{739D12FC-2877-4380-8FBA-42E47453334A}"/>
            </a:ext>
          </a:extLst>
        </xdr:cNvPr>
        <xdr:cNvSpPr txBox="1"/>
      </xdr:nvSpPr>
      <xdr:spPr>
        <a:xfrm>
          <a:off x="6353175" y="11487150"/>
          <a:ext cx="261720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Total do</a:t>
          </a:r>
          <a:r>
            <a:rPr lang="pt-BR" sz="1000" kern="1200" baseline="0">
              <a:solidFill>
                <a:schemeClr val="tx1">
                  <a:lumMod val="75000"/>
                  <a:lumOff val="25000"/>
                </a:schemeClr>
              </a:solidFill>
            </a:rPr>
            <a:t> Lucro Líquido</a:t>
          </a:r>
          <a:endParaRPr lang="pt-BR" sz="1000" kern="12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oneCellAnchor>
  <xdr:oneCellAnchor>
    <xdr:from>
      <xdr:col>15</xdr:col>
      <xdr:colOff>9525</xdr:colOff>
      <xdr:row>56</xdr:row>
      <xdr:rowOff>0</xdr:rowOff>
    </xdr:from>
    <xdr:ext cx="2617200" cy="248851"/>
    <xdr:sp macro="" textlink="">
      <xdr:nvSpPr>
        <xdr:cNvPr id="11279" name="CaixaDeTexto 11278">
          <a:extLst>
            <a:ext uri="{FF2B5EF4-FFF2-40B4-BE49-F238E27FC236}">
              <a16:creationId xmlns:a16="http://schemas.microsoft.com/office/drawing/2014/main" id="{BDD300B2-8991-4813-9566-C1AEB411F2CA}"/>
            </a:ext>
          </a:extLst>
        </xdr:cNvPr>
        <xdr:cNvSpPr txBox="1"/>
      </xdr:nvSpPr>
      <xdr:spPr>
        <a:xfrm>
          <a:off x="9020175" y="11487150"/>
          <a:ext cx="261720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Taxa de Lucratividade</a:t>
          </a:r>
          <a:r>
            <a:rPr lang="pt-BR" sz="1000" kern="1200" baseline="0">
              <a:solidFill>
                <a:schemeClr val="tx1">
                  <a:lumMod val="75000"/>
                  <a:lumOff val="25000"/>
                </a:schemeClr>
              </a:solidFill>
            </a:rPr>
            <a:t> %</a:t>
          </a:r>
          <a:endParaRPr lang="pt-BR" sz="1000" kern="12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oneCellAnchor>
  <xdr:twoCellAnchor>
    <xdr:from>
      <xdr:col>10</xdr:col>
      <xdr:colOff>828675</xdr:colOff>
      <xdr:row>59</xdr:row>
      <xdr:rowOff>114300</xdr:rowOff>
    </xdr:from>
    <xdr:to>
      <xdr:col>14</xdr:col>
      <xdr:colOff>578850</xdr:colOff>
      <xdr:row>85</xdr:row>
      <xdr:rowOff>0</xdr:rowOff>
    </xdr:to>
    <xdr:graphicFrame macro="">
      <xdr:nvGraphicFramePr>
        <xdr:cNvPr id="11280" name="Gráfico 11279">
          <a:extLst>
            <a:ext uri="{FF2B5EF4-FFF2-40B4-BE49-F238E27FC236}">
              <a16:creationId xmlns:a16="http://schemas.microsoft.com/office/drawing/2014/main" id="{E11C9EAC-C66E-4E1A-87A3-ECC3E40EDE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15</xdr:col>
      <xdr:colOff>19050</xdr:colOff>
      <xdr:row>59</xdr:row>
      <xdr:rowOff>114300</xdr:rowOff>
    </xdr:from>
    <xdr:to>
      <xdr:col>20</xdr:col>
      <xdr:colOff>16875</xdr:colOff>
      <xdr:row>85</xdr:row>
      <xdr:rowOff>0</xdr:rowOff>
    </xdr:to>
    <xdr:graphicFrame macro="">
      <xdr:nvGraphicFramePr>
        <xdr:cNvPr id="11281" name="Gráfico 11280">
          <a:extLst>
            <a:ext uri="{FF2B5EF4-FFF2-40B4-BE49-F238E27FC236}">
              <a16:creationId xmlns:a16="http://schemas.microsoft.com/office/drawing/2014/main" id="{624083D4-D71F-458B-9D17-48A949DF46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</xdr:col>
      <xdr:colOff>0</xdr:colOff>
      <xdr:row>59</xdr:row>
      <xdr:rowOff>114300</xdr:rowOff>
    </xdr:from>
    <xdr:to>
      <xdr:col>10</xdr:col>
      <xdr:colOff>781050</xdr:colOff>
      <xdr:row>85</xdr:row>
      <xdr:rowOff>0</xdr:rowOff>
    </xdr:to>
    <xdr:graphicFrame macro="">
      <xdr:nvGraphicFramePr>
        <xdr:cNvPr id="11282" name="Gráfico 11281">
          <a:extLst>
            <a:ext uri="{FF2B5EF4-FFF2-40B4-BE49-F238E27FC236}">
              <a16:creationId xmlns:a16="http://schemas.microsoft.com/office/drawing/2014/main" id="{1936FC10-326F-49F7-9B68-3AF5F4E032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</xdr:col>
      <xdr:colOff>0</xdr:colOff>
      <xdr:row>96</xdr:row>
      <xdr:rowOff>0</xdr:rowOff>
    </xdr:from>
    <xdr:to>
      <xdr:col>6</xdr:col>
      <xdr:colOff>540750</xdr:colOff>
      <xdr:row>99</xdr:row>
      <xdr:rowOff>57150</xdr:rowOff>
    </xdr:to>
    <xdr:sp macro="" textlink="Dash3!C5">
      <xdr:nvSpPr>
        <xdr:cNvPr id="11283" name="Retângulo 11282">
          <a:extLst>
            <a:ext uri="{FF2B5EF4-FFF2-40B4-BE49-F238E27FC236}">
              <a16:creationId xmlns:a16="http://schemas.microsoft.com/office/drawing/2014/main" id="{6B40E959-E6B3-41DE-88F7-380E41B7E183}"/>
            </a:ext>
          </a:extLst>
        </xdr:cNvPr>
        <xdr:cNvSpPr/>
      </xdr:nvSpPr>
      <xdr:spPr>
        <a:xfrm>
          <a:off x="1019175" y="19107150"/>
          <a:ext cx="2617200" cy="62865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F602E245-BD0B-4A03-B937-9E15D7F07ACC}" type="TxLink">
            <a:rPr lang="en-US" sz="2000" b="0" i="0" u="none" strike="noStrike" kern="1200">
              <a:solidFill>
                <a:srgbClr val="808080"/>
              </a:solidFill>
              <a:latin typeface="Calibri"/>
              <a:cs typeface="Calibri"/>
            </a:rPr>
            <a:pPr algn="ctr"/>
            <a:t>173.784,92</a:t>
          </a:fld>
          <a:endParaRPr lang="pt-BR" sz="900" kern="1200"/>
        </a:p>
      </xdr:txBody>
    </xdr:sp>
    <xdr:clientData/>
  </xdr:twoCellAnchor>
  <xdr:twoCellAnchor>
    <xdr:from>
      <xdr:col>6</xdr:col>
      <xdr:colOff>590550</xdr:colOff>
      <xdr:row>96</xdr:row>
      <xdr:rowOff>0</xdr:rowOff>
    </xdr:from>
    <xdr:to>
      <xdr:col>10</xdr:col>
      <xdr:colOff>769350</xdr:colOff>
      <xdr:row>99</xdr:row>
      <xdr:rowOff>57150</xdr:rowOff>
    </xdr:to>
    <xdr:sp macro="" textlink="Dash3!E5">
      <xdr:nvSpPr>
        <xdr:cNvPr id="11284" name="Retângulo 11283">
          <a:extLst>
            <a:ext uri="{FF2B5EF4-FFF2-40B4-BE49-F238E27FC236}">
              <a16:creationId xmlns:a16="http://schemas.microsoft.com/office/drawing/2014/main" id="{A9FC202A-7846-49AA-BD13-A9E0AD56511F}"/>
            </a:ext>
          </a:extLst>
        </xdr:cNvPr>
        <xdr:cNvSpPr/>
      </xdr:nvSpPr>
      <xdr:spPr>
        <a:xfrm>
          <a:off x="3686175" y="19107150"/>
          <a:ext cx="2617200" cy="62865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5B5AF9C0-0C95-4870-806B-13471A7CEC36}" type="TxLink">
            <a:rPr lang="en-US" sz="2000" b="0" i="0" u="none" strike="noStrike" kern="1200">
              <a:solidFill>
                <a:srgbClr val="808080"/>
              </a:solidFill>
              <a:latin typeface="Calibri"/>
              <a:cs typeface="Calibri"/>
            </a:rPr>
            <a:pPr algn="ctr"/>
            <a:t>12,48%</a:t>
          </a:fld>
          <a:endParaRPr lang="pt-BR" sz="900" kern="1200"/>
        </a:p>
      </xdr:txBody>
    </xdr:sp>
    <xdr:clientData/>
  </xdr:twoCellAnchor>
  <xdr:oneCellAnchor>
    <xdr:from>
      <xdr:col>4</xdr:col>
      <xdr:colOff>9525</xdr:colOff>
      <xdr:row>95</xdr:row>
      <xdr:rowOff>188829</xdr:rowOff>
    </xdr:from>
    <xdr:ext cx="2617200" cy="248851"/>
    <xdr:sp macro="" textlink="">
      <xdr:nvSpPr>
        <xdr:cNvPr id="11285" name="CaixaDeTexto 11284">
          <a:extLst>
            <a:ext uri="{FF2B5EF4-FFF2-40B4-BE49-F238E27FC236}">
              <a16:creationId xmlns:a16="http://schemas.microsoft.com/office/drawing/2014/main" id="{13D11FD6-8F0E-4E3B-9CDD-02EF122DE7B7}"/>
            </a:ext>
          </a:extLst>
        </xdr:cNvPr>
        <xdr:cNvSpPr txBox="1"/>
      </xdr:nvSpPr>
      <xdr:spPr>
        <a:xfrm>
          <a:off x="1028700" y="19105479"/>
          <a:ext cx="261720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Média de Lucro Líquido na Transição Tributária</a:t>
          </a:r>
        </a:p>
      </xdr:txBody>
    </xdr:sp>
    <xdr:clientData/>
  </xdr:oneCellAnchor>
  <xdr:oneCellAnchor>
    <xdr:from>
      <xdr:col>6</xdr:col>
      <xdr:colOff>590550</xdr:colOff>
      <xdr:row>95</xdr:row>
      <xdr:rowOff>180975</xdr:rowOff>
    </xdr:from>
    <xdr:ext cx="2617200" cy="248851"/>
    <xdr:sp macro="" textlink="">
      <xdr:nvSpPr>
        <xdr:cNvPr id="11286" name="CaixaDeTexto 11285">
          <a:extLst>
            <a:ext uri="{FF2B5EF4-FFF2-40B4-BE49-F238E27FC236}">
              <a16:creationId xmlns:a16="http://schemas.microsoft.com/office/drawing/2014/main" id="{56BCE928-EDC1-4EAD-8024-E31391C83D1C}"/>
            </a:ext>
          </a:extLst>
        </xdr:cNvPr>
        <xdr:cNvSpPr txBox="1"/>
      </xdr:nvSpPr>
      <xdr:spPr>
        <a:xfrm>
          <a:off x="3686175" y="19097625"/>
          <a:ext cx="261720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Média de Lucratividade na Transição</a:t>
          </a:r>
          <a:r>
            <a:rPr lang="pt-BR" sz="1000" kern="1200" baseline="0">
              <a:solidFill>
                <a:schemeClr val="tx1">
                  <a:lumMod val="75000"/>
                  <a:lumOff val="25000"/>
                </a:schemeClr>
              </a:solidFill>
            </a:rPr>
            <a:t> Tributária</a:t>
          </a:r>
          <a:endParaRPr lang="pt-BR" sz="1000" kern="12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oneCellAnchor>
  <xdr:twoCellAnchor>
    <xdr:from>
      <xdr:col>10</xdr:col>
      <xdr:colOff>819150</xdr:colOff>
      <xdr:row>110</xdr:row>
      <xdr:rowOff>114300</xdr:rowOff>
    </xdr:from>
    <xdr:to>
      <xdr:col>20</xdr:col>
      <xdr:colOff>9525</xdr:colOff>
      <xdr:row>125</xdr:row>
      <xdr:rowOff>0</xdr:rowOff>
    </xdr:to>
    <xdr:graphicFrame macro="">
      <xdr:nvGraphicFramePr>
        <xdr:cNvPr id="11287" name="Gráfico 11286">
          <a:extLst>
            <a:ext uri="{FF2B5EF4-FFF2-40B4-BE49-F238E27FC236}">
              <a16:creationId xmlns:a16="http://schemas.microsoft.com/office/drawing/2014/main" id="{C0F38EE4-3E7C-4C0B-8D35-878A07430C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10</xdr:col>
      <xdr:colOff>819150</xdr:colOff>
      <xdr:row>95</xdr:row>
      <xdr:rowOff>171450</xdr:rowOff>
    </xdr:from>
    <xdr:to>
      <xdr:col>20</xdr:col>
      <xdr:colOff>8881</xdr:colOff>
      <xdr:row>110</xdr:row>
      <xdr:rowOff>49950</xdr:rowOff>
    </xdr:to>
    <xdr:graphicFrame macro="">
      <xdr:nvGraphicFramePr>
        <xdr:cNvPr id="11288" name="Gráfico 11287">
          <a:extLst>
            <a:ext uri="{FF2B5EF4-FFF2-40B4-BE49-F238E27FC236}">
              <a16:creationId xmlns:a16="http://schemas.microsoft.com/office/drawing/2014/main" id="{9DBD2A1A-F20B-439A-8FD1-0F4E5AAFF4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</xdr:col>
      <xdr:colOff>0</xdr:colOff>
      <xdr:row>99</xdr:row>
      <xdr:rowOff>104774</xdr:rowOff>
    </xdr:from>
    <xdr:to>
      <xdr:col>10</xdr:col>
      <xdr:colOff>771525</xdr:colOff>
      <xdr:row>112</xdr:row>
      <xdr:rowOff>18674</xdr:rowOff>
    </xdr:to>
    <xdr:graphicFrame macro="">
      <xdr:nvGraphicFramePr>
        <xdr:cNvPr id="11289" name="Gráfico 11288">
          <a:extLst>
            <a:ext uri="{FF2B5EF4-FFF2-40B4-BE49-F238E27FC236}">
              <a16:creationId xmlns:a16="http://schemas.microsoft.com/office/drawing/2014/main" id="{A3C81FDA-2F2B-44A2-BCC3-CFD76BD274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0</xdr:colOff>
      <xdr:row>112</xdr:row>
      <xdr:rowOff>85725</xdr:rowOff>
    </xdr:from>
    <xdr:to>
      <xdr:col>10</xdr:col>
      <xdr:colOff>770881</xdr:colOff>
      <xdr:row>124</xdr:row>
      <xdr:rowOff>190125</xdr:rowOff>
    </xdr:to>
    <xdr:graphicFrame macro="">
      <xdr:nvGraphicFramePr>
        <xdr:cNvPr id="11290" name="Gráfico 11289">
          <a:extLst>
            <a:ext uri="{FF2B5EF4-FFF2-40B4-BE49-F238E27FC236}">
              <a16:creationId xmlns:a16="http://schemas.microsoft.com/office/drawing/2014/main" id="{A3979D73-91E7-4C67-8929-A3F09312D3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1257300</xdr:colOff>
      <xdr:row>0</xdr:row>
      <xdr:rowOff>85725</xdr:rowOff>
    </xdr:from>
    <xdr:to>
      <xdr:col>2</xdr:col>
      <xdr:colOff>2337300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BBFC3A9-D0FB-4309-A144-06A865E8F50D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2</xdr:col>
      <xdr:colOff>2362200</xdr:colOff>
      <xdr:row>0</xdr:row>
      <xdr:rowOff>85725</xdr:rowOff>
    </xdr:from>
    <xdr:to>
      <xdr:col>4</xdr:col>
      <xdr:colOff>337050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8D24AB6-86DC-4C93-90E3-B7CE52F19BB7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4</xdr:col>
      <xdr:colOff>361950</xdr:colOff>
      <xdr:row>0</xdr:row>
      <xdr:rowOff>85725</xdr:rowOff>
    </xdr:from>
    <xdr:to>
      <xdr:col>4</xdr:col>
      <xdr:colOff>1441950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123D105-FFEF-41A8-8D4C-9AA8B88335CD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4</xdr:col>
      <xdr:colOff>2571750</xdr:colOff>
      <xdr:row>0</xdr:row>
      <xdr:rowOff>85725</xdr:rowOff>
    </xdr:from>
    <xdr:to>
      <xdr:col>6</xdr:col>
      <xdr:colOff>546600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AB184CF-5F65-4E75-A56B-1725C0F4A797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6</xdr:col>
      <xdr:colOff>571500</xdr:colOff>
      <xdr:row>0</xdr:row>
      <xdr:rowOff>85725</xdr:rowOff>
    </xdr:from>
    <xdr:to>
      <xdr:col>6</xdr:col>
      <xdr:colOff>1651500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9833B3-F533-4BBE-87EF-F15CAEB992AA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6</xdr:col>
      <xdr:colOff>1676400</xdr:colOff>
      <xdr:row>0</xdr:row>
      <xdr:rowOff>85725</xdr:rowOff>
    </xdr:from>
    <xdr:to>
      <xdr:col>6</xdr:col>
      <xdr:colOff>2756400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0D91CD3-8CC2-4D3B-B200-FA840E49EFE3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6</xdr:col>
      <xdr:colOff>762000</xdr:colOff>
      <xdr:row>0</xdr:row>
      <xdr:rowOff>371475</xdr:rowOff>
    </xdr:from>
    <xdr:to>
      <xdr:col>6</xdr:col>
      <xdr:colOff>1482000</xdr:colOff>
      <xdr:row>0</xdr:row>
      <xdr:rowOff>388425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921B277E-C17F-4484-BAD9-9D4F97A562DD}"/>
            </a:ext>
          </a:extLst>
        </xdr:cNvPr>
        <xdr:cNvSpPr/>
      </xdr:nvSpPr>
      <xdr:spPr>
        <a:xfrm>
          <a:off x="72009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1466850</xdr:colOff>
      <xdr:row>0</xdr:row>
      <xdr:rowOff>85725</xdr:rowOff>
    </xdr:from>
    <xdr:to>
      <xdr:col>4</xdr:col>
      <xdr:colOff>2546850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FFDB865-335F-42FA-9FA1-E9477C7C6B19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F5178310-7326-438E-BFE0-304D8A5D9F32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C2926D91-2D3A-DC31-F6E0-9B1E12D4D52C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DB2004CF-582D-428F-ED9A-F71C56DD761B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4" name="Meio-quadro 13">
            <a:extLst>
              <a:ext uri="{FF2B5EF4-FFF2-40B4-BE49-F238E27FC236}">
                <a16:creationId xmlns:a16="http://schemas.microsoft.com/office/drawing/2014/main" id="{763458E4-945D-06FD-DD2B-B43A91D0E8E5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9525</xdr:colOff>
      <xdr:row>4</xdr:row>
      <xdr:rowOff>17379</xdr:rowOff>
    </xdr:from>
    <xdr:to>
      <xdr:col>2</xdr:col>
      <xdr:colOff>3038475</xdr:colOff>
      <xdr:row>4</xdr:row>
      <xdr:rowOff>266230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29259D2E-E240-4181-AF4E-87EC761AF18F}"/>
            </a:ext>
          </a:extLst>
        </xdr:cNvPr>
        <xdr:cNvSpPr txBox="1"/>
      </xdr:nvSpPr>
      <xdr:spPr>
        <a:xfrm>
          <a:off x="238125" y="1779504"/>
          <a:ext cx="302895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Impostos</a:t>
          </a:r>
          <a:r>
            <a:rPr lang="pt-BR" sz="1000" kern="1200" baseline="0">
              <a:solidFill>
                <a:schemeClr val="tx1">
                  <a:lumMod val="75000"/>
                  <a:lumOff val="25000"/>
                </a:schemeClr>
              </a:solidFill>
            </a:rPr>
            <a:t> em</a:t>
          </a:r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 2025</a:t>
          </a:r>
        </a:p>
      </xdr:txBody>
    </xdr:sp>
    <xdr:clientData/>
  </xdr:twoCellAnchor>
  <xdr:twoCellAnchor editAs="absolute">
    <xdr:from>
      <xdr:col>4</xdr:col>
      <xdr:colOff>0</xdr:colOff>
      <xdr:row>4</xdr:row>
      <xdr:rowOff>9525</xdr:rowOff>
    </xdr:from>
    <xdr:to>
      <xdr:col>4</xdr:col>
      <xdr:colOff>3028950</xdr:colOff>
      <xdr:row>4</xdr:row>
      <xdr:rowOff>258376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EE318818-B462-4BE6-8DA5-BB539DC18FB9}"/>
            </a:ext>
          </a:extLst>
        </xdr:cNvPr>
        <xdr:cNvSpPr txBox="1"/>
      </xdr:nvSpPr>
      <xdr:spPr>
        <a:xfrm>
          <a:off x="3333750" y="1266825"/>
          <a:ext cx="302895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Imposto em 2026</a:t>
          </a:r>
        </a:p>
      </xdr:txBody>
    </xdr:sp>
    <xdr:clientData/>
  </xdr:twoCellAnchor>
  <xdr:twoCellAnchor editAs="absolute">
    <xdr:from>
      <xdr:col>6</xdr:col>
      <xdr:colOff>0</xdr:colOff>
      <xdr:row>4</xdr:row>
      <xdr:rowOff>9525</xdr:rowOff>
    </xdr:from>
    <xdr:to>
      <xdr:col>6</xdr:col>
      <xdr:colOff>3028950</xdr:colOff>
      <xdr:row>4</xdr:row>
      <xdr:rowOff>258376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840761DE-38F3-4E6C-97ED-0821F0987E42}"/>
            </a:ext>
          </a:extLst>
        </xdr:cNvPr>
        <xdr:cNvSpPr txBox="1"/>
      </xdr:nvSpPr>
      <xdr:spPr>
        <a:xfrm>
          <a:off x="6438900" y="1266825"/>
          <a:ext cx="302895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Impostos em 2027</a:t>
          </a:r>
        </a:p>
      </xdr:txBody>
    </xdr:sp>
    <xdr:clientData/>
  </xdr:twoCellAnchor>
  <xdr:twoCellAnchor editAs="absolute">
    <xdr:from>
      <xdr:col>8</xdr:col>
      <xdr:colOff>0</xdr:colOff>
      <xdr:row>4</xdr:row>
      <xdr:rowOff>9525</xdr:rowOff>
    </xdr:from>
    <xdr:to>
      <xdr:col>8</xdr:col>
      <xdr:colOff>3028950</xdr:colOff>
      <xdr:row>4</xdr:row>
      <xdr:rowOff>258376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DCE2EE8E-7DE3-4659-A9F6-30F68F947E18}"/>
            </a:ext>
          </a:extLst>
        </xdr:cNvPr>
        <xdr:cNvSpPr txBox="1"/>
      </xdr:nvSpPr>
      <xdr:spPr>
        <a:xfrm>
          <a:off x="9544050" y="1266825"/>
          <a:ext cx="302895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Impostos em</a:t>
          </a:r>
          <a:r>
            <a:rPr lang="pt-BR" sz="1000" kern="1200" baseline="0">
              <a:solidFill>
                <a:schemeClr val="tx1">
                  <a:lumMod val="75000"/>
                  <a:lumOff val="25000"/>
                </a:schemeClr>
              </a:solidFill>
            </a:rPr>
            <a:t> 2028</a:t>
          </a:r>
          <a:endParaRPr lang="pt-BR" sz="1000" kern="12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2</xdr:col>
      <xdr:colOff>9525</xdr:colOff>
      <xdr:row>6</xdr:row>
      <xdr:rowOff>26904</xdr:rowOff>
    </xdr:from>
    <xdr:to>
      <xdr:col>2</xdr:col>
      <xdr:colOff>3038475</xdr:colOff>
      <xdr:row>6</xdr:row>
      <xdr:rowOff>275755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DA0C14D0-35C5-4386-AB32-E03F7D47A568}"/>
            </a:ext>
          </a:extLst>
        </xdr:cNvPr>
        <xdr:cNvSpPr txBox="1"/>
      </xdr:nvSpPr>
      <xdr:spPr>
        <a:xfrm>
          <a:off x="238125" y="1970004"/>
          <a:ext cx="302895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Impostos em 2029</a:t>
          </a:r>
        </a:p>
      </xdr:txBody>
    </xdr:sp>
    <xdr:clientData/>
  </xdr:twoCellAnchor>
  <xdr:twoCellAnchor editAs="absolute">
    <xdr:from>
      <xdr:col>4</xdr:col>
      <xdr:colOff>0</xdr:colOff>
      <xdr:row>6</xdr:row>
      <xdr:rowOff>19050</xdr:rowOff>
    </xdr:from>
    <xdr:to>
      <xdr:col>4</xdr:col>
      <xdr:colOff>3028950</xdr:colOff>
      <xdr:row>6</xdr:row>
      <xdr:rowOff>267901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7AED69FC-4C42-4D5B-A986-1A1C2C7A7E1F}"/>
            </a:ext>
          </a:extLst>
        </xdr:cNvPr>
        <xdr:cNvSpPr txBox="1"/>
      </xdr:nvSpPr>
      <xdr:spPr>
        <a:xfrm>
          <a:off x="3333750" y="1962150"/>
          <a:ext cx="302895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Imposto em 2030</a:t>
          </a:r>
        </a:p>
      </xdr:txBody>
    </xdr:sp>
    <xdr:clientData/>
  </xdr:twoCellAnchor>
  <xdr:twoCellAnchor editAs="absolute">
    <xdr:from>
      <xdr:col>6</xdr:col>
      <xdr:colOff>0</xdr:colOff>
      <xdr:row>6</xdr:row>
      <xdr:rowOff>19050</xdr:rowOff>
    </xdr:from>
    <xdr:to>
      <xdr:col>6</xdr:col>
      <xdr:colOff>3028950</xdr:colOff>
      <xdr:row>6</xdr:row>
      <xdr:rowOff>267901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6C100913-9034-44B1-B1E4-49562DCACECC}"/>
            </a:ext>
          </a:extLst>
        </xdr:cNvPr>
        <xdr:cNvSpPr txBox="1"/>
      </xdr:nvSpPr>
      <xdr:spPr>
        <a:xfrm>
          <a:off x="6438900" y="1962150"/>
          <a:ext cx="302895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Impostos em 2031</a:t>
          </a:r>
        </a:p>
      </xdr:txBody>
    </xdr:sp>
    <xdr:clientData/>
  </xdr:twoCellAnchor>
  <xdr:twoCellAnchor editAs="absolute">
    <xdr:from>
      <xdr:col>8</xdr:col>
      <xdr:colOff>0</xdr:colOff>
      <xdr:row>6</xdr:row>
      <xdr:rowOff>19050</xdr:rowOff>
    </xdr:from>
    <xdr:to>
      <xdr:col>8</xdr:col>
      <xdr:colOff>3028950</xdr:colOff>
      <xdr:row>6</xdr:row>
      <xdr:rowOff>267901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A7B2D2C8-D7EE-4ECC-AE0B-38020B78B198}"/>
            </a:ext>
          </a:extLst>
        </xdr:cNvPr>
        <xdr:cNvSpPr txBox="1"/>
      </xdr:nvSpPr>
      <xdr:spPr>
        <a:xfrm>
          <a:off x="9544050" y="1962150"/>
          <a:ext cx="302895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Impostos em</a:t>
          </a:r>
          <a:r>
            <a:rPr lang="pt-BR" sz="1000" kern="1200" baseline="0">
              <a:solidFill>
                <a:schemeClr val="tx1">
                  <a:lumMod val="75000"/>
                  <a:lumOff val="25000"/>
                </a:schemeClr>
              </a:solidFill>
            </a:rPr>
            <a:t> 2032</a:t>
          </a:r>
          <a:endParaRPr lang="pt-BR" sz="1000" kern="12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2</xdr:col>
      <xdr:colOff>0</xdr:colOff>
      <xdr:row>8</xdr:row>
      <xdr:rowOff>0</xdr:rowOff>
    </xdr:from>
    <xdr:to>
      <xdr:col>2</xdr:col>
      <xdr:colOff>3028950</xdr:colOff>
      <xdr:row>8</xdr:row>
      <xdr:rowOff>248851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821F8997-FFA6-4AC1-AB60-BF8F0EF24C5C}"/>
            </a:ext>
          </a:extLst>
        </xdr:cNvPr>
        <xdr:cNvSpPr txBox="1"/>
      </xdr:nvSpPr>
      <xdr:spPr>
        <a:xfrm>
          <a:off x="228600" y="2628900"/>
          <a:ext cx="302895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Impostos em</a:t>
          </a:r>
          <a:r>
            <a:rPr lang="pt-BR" sz="1000" kern="1200" baseline="0">
              <a:solidFill>
                <a:schemeClr val="tx1">
                  <a:lumMod val="75000"/>
                  <a:lumOff val="25000"/>
                </a:schemeClr>
              </a:solidFill>
            </a:rPr>
            <a:t> 2033</a:t>
          </a:r>
          <a:endParaRPr lang="pt-BR" sz="1000" kern="12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2</xdr:col>
      <xdr:colOff>0</xdr:colOff>
      <xdr:row>10</xdr:row>
      <xdr:rowOff>0</xdr:rowOff>
    </xdr:from>
    <xdr:to>
      <xdr:col>5</xdr:col>
      <xdr:colOff>0</xdr:colOff>
      <xdr:row>18</xdr:row>
      <xdr:rowOff>0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DF6DC35D-2C73-4BAB-82A4-AED4C05953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4</xdr:col>
      <xdr:colOff>0</xdr:colOff>
      <xdr:row>8</xdr:row>
      <xdr:rowOff>9525</xdr:rowOff>
    </xdr:from>
    <xdr:to>
      <xdr:col>4</xdr:col>
      <xdr:colOff>3028950</xdr:colOff>
      <xdr:row>8</xdr:row>
      <xdr:rowOff>258376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C02887D1-1DCF-4E83-84CA-462FB3F8AC54}"/>
            </a:ext>
          </a:extLst>
        </xdr:cNvPr>
        <xdr:cNvSpPr txBox="1"/>
      </xdr:nvSpPr>
      <xdr:spPr>
        <a:xfrm>
          <a:off x="3333750" y="2638425"/>
          <a:ext cx="302895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Duração da Transição Tributária</a:t>
          </a:r>
        </a:p>
      </xdr:txBody>
    </xdr:sp>
    <xdr:clientData/>
  </xdr:twoCellAnchor>
  <xdr:twoCellAnchor editAs="absolute">
    <xdr:from>
      <xdr:col>6</xdr:col>
      <xdr:colOff>0</xdr:colOff>
      <xdr:row>8</xdr:row>
      <xdr:rowOff>9525</xdr:rowOff>
    </xdr:from>
    <xdr:to>
      <xdr:col>6</xdr:col>
      <xdr:colOff>3028950</xdr:colOff>
      <xdr:row>8</xdr:row>
      <xdr:rowOff>258376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5371D411-B876-4A0A-B975-E461C325DFAE}"/>
            </a:ext>
          </a:extLst>
        </xdr:cNvPr>
        <xdr:cNvSpPr txBox="1"/>
      </xdr:nvSpPr>
      <xdr:spPr>
        <a:xfrm>
          <a:off x="6438900" y="2638425"/>
          <a:ext cx="302895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Média de Impostos na Transição Tributária</a:t>
          </a:r>
        </a:p>
      </xdr:txBody>
    </xdr:sp>
    <xdr:clientData/>
  </xdr:twoCellAnchor>
  <xdr:twoCellAnchor editAs="absolute">
    <xdr:from>
      <xdr:col>8</xdr:col>
      <xdr:colOff>0</xdr:colOff>
      <xdr:row>8</xdr:row>
      <xdr:rowOff>9525</xdr:rowOff>
    </xdr:from>
    <xdr:to>
      <xdr:col>8</xdr:col>
      <xdr:colOff>3028950</xdr:colOff>
      <xdr:row>8</xdr:row>
      <xdr:rowOff>258376</xdr:rowOff>
    </xdr:to>
    <xdr:sp macro="" textlink="">
      <xdr:nvSpPr>
        <xdr:cNvPr id="31" name="CaixaDeTexto 30">
          <a:extLst>
            <a:ext uri="{FF2B5EF4-FFF2-40B4-BE49-F238E27FC236}">
              <a16:creationId xmlns:a16="http://schemas.microsoft.com/office/drawing/2014/main" id="{884BA7E2-696C-41E7-B74E-41EDD5EE89CD}"/>
            </a:ext>
          </a:extLst>
        </xdr:cNvPr>
        <xdr:cNvSpPr txBox="1"/>
      </xdr:nvSpPr>
      <xdr:spPr>
        <a:xfrm>
          <a:off x="9544050" y="2638425"/>
          <a:ext cx="302895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Média</a:t>
          </a:r>
          <a:r>
            <a:rPr lang="pt-BR" sz="1000" kern="1200" baseline="0">
              <a:solidFill>
                <a:schemeClr val="tx1">
                  <a:lumMod val="75000"/>
                  <a:lumOff val="25000"/>
                </a:schemeClr>
              </a:solidFill>
            </a:rPr>
            <a:t> de Carga Tributária na Transição</a:t>
          </a:r>
          <a:endParaRPr lang="pt-BR" sz="1000" kern="12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2</xdr:col>
      <xdr:colOff>742950</xdr:colOff>
      <xdr:row>1</xdr:row>
      <xdr:rowOff>142875</xdr:rowOff>
    </xdr:from>
    <xdr:to>
      <xdr:col>2</xdr:col>
      <xdr:colOff>1822950</xdr:colOff>
      <xdr:row>2</xdr:row>
      <xdr:rowOff>13875</xdr:rowOff>
    </xdr:to>
    <xdr:sp macro="" textlink="">
      <xdr:nvSpPr>
        <xdr:cNvPr id="32" name="Retângulo 3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54D03A9-218D-4F05-BFE3-5C8E18A54FEF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Transição</a:t>
          </a:r>
        </a:p>
      </xdr:txBody>
    </xdr:sp>
    <xdr:clientData/>
  </xdr:twoCellAnchor>
  <xdr:twoCellAnchor editAs="absolute">
    <xdr:from>
      <xdr:col>2</xdr:col>
      <xdr:colOff>1838325</xdr:colOff>
      <xdr:row>1</xdr:row>
      <xdr:rowOff>142875</xdr:rowOff>
    </xdr:from>
    <xdr:to>
      <xdr:col>2</xdr:col>
      <xdr:colOff>2918325</xdr:colOff>
      <xdr:row>2</xdr:row>
      <xdr:rowOff>13875</xdr:rowOff>
    </xdr:to>
    <xdr:sp macro="" textlink="">
      <xdr:nvSpPr>
        <xdr:cNvPr id="33" name="Retângulo 3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4019816-CA4C-4455-AC23-98845831B3AE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Anual</a:t>
          </a:r>
        </a:p>
      </xdr:txBody>
    </xdr:sp>
    <xdr:clientData/>
  </xdr:twoCellAnchor>
  <xdr:twoCellAnchor editAs="absolute">
    <xdr:from>
      <xdr:col>2</xdr:col>
      <xdr:colOff>2933700</xdr:colOff>
      <xdr:row>1</xdr:row>
      <xdr:rowOff>142875</xdr:rowOff>
    </xdr:from>
    <xdr:to>
      <xdr:col>4</xdr:col>
      <xdr:colOff>908550</xdr:colOff>
      <xdr:row>2</xdr:row>
      <xdr:rowOff>13875</xdr:rowOff>
    </xdr:to>
    <xdr:sp macro="" textlink="">
      <xdr:nvSpPr>
        <xdr:cNvPr id="34" name="Retângulo 3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2E0717F-DC49-48C7-B807-D03F0E820131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Analítico</a:t>
          </a:r>
        </a:p>
      </xdr:txBody>
    </xdr:sp>
    <xdr:clientData/>
  </xdr:twoCellAnchor>
  <xdr:twoCellAnchor editAs="absolute">
    <xdr:from>
      <xdr:col>2</xdr:col>
      <xdr:colOff>2828925</xdr:colOff>
      <xdr:row>4</xdr:row>
      <xdr:rowOff>180975</xdr:rowOff>
    </xdr:from>
    <xdr:to>
      <xdr:col>4</xdr:col>
      <xdr:colOff>228600</xdr:colOff>
      <xdr:row>4</xdr:row>
      <xdr:rowOff>409575</xdr:rowOff>
    </xdr:to>
    <xdr:sp macro="" textlink="">
      <xdr:nvSpPr>
        <xdr:cNvPr id="15" name="Seta: para a Direita 14">
          <a:extLst>
            <a:ext uri="{FF2B5EF4-FFF2-40B4-BE49-F238E27FC236}">
              <a16:creationId xmlns:a16="http://schemas.microsoft.com/office/drawing/2014/main" id="{80B22C3B-5758-3F27-F4A5-5AAD0208BF48}"/>
            </a:ext>
          </a:extLst>
        </xdr:cNvPr>
        <xdr:cNvSpPr/>
      </xdr:nvSpPr>
      <xdr:spPr>
        <a:xfrm>
          <a:off x="3057525" y="1438275"/>
          <a:ext cx="504825" cy="228600"/>
        </a:xfrm>
        <a:prstGeom prst="rightArrow">
          <a:avLst/>
        </a:prstGeom>
        <a:solidFill>
          <a:srgbClr val="FB5A5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 editAs="absolute">
    <xdr:from>
      <xdr:col>2</xdr:col>
      <xdr:colOff>2828925</xdr:colOff>
      <xdr:row>6</xdr:row>
      <xdr:rowOff>200025</xdr:rowOff>
    </xdr:from>
    <xdr:to>
      <xdr:col>4</xdr:col>
      <xdr:colOff>228600</xdr:colOff>
      <xdr:row>6</xdr:row>
      <xdr:rowOff>428625</xdr:rowOff>
    </xdr:to>
    <xdr:sp macro="" textlink="">
      <xdr:nvSpPr>
        <xdr:cNvPr id="24" name="Seta: para a Direita 23">
          <a:extLst>
            <a:ext uri="{FF2B5EF4-FFF2-40B4-BE49-F238E27FC236}">
              <a16:creationId xmlns:a16="http://schemas.microsoft.com/office/drawing/2014/main" id="{7078A7D3-4DA2-4E1F-A471-E055EFE9E63B}"/>
            </a:ext>
          </a:extLst>
        </xdr:cNvPr>
        <xdr:cNvSpPr/>
      </xdr:nvSpPr>
      <xdr:spPr>
        <a:xfrm>
          <a:off x="3057525" y="2143125"/>
          <a:ext cx="504825" cy="228600"/>
        </a:xfrm>
        <a:prstGeom prst="rightArrow">
          <a:avLst/>
        </a:prstGeom>
        <a:solidFill>
          <a:srgbClr val="FB5A5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 editAs="absolute">
    <xdr:from>
      <xdr:col>4</xdr:col>
      <xdr:colOff>2828925</xdr:colOff>
      <xdr:row>4</xdr:row>
      <xdr:rowOff>180975</xdr:rowOff>
    </xdr:from>
    <xdr:to>
      <xdr:col>6</xdr:col>
      <xdr:colOff>228600</xdr:colOff>
      <xdr:row>4</xdr:row>
      <xdr:rowOff>409575</xdr:rowOff>
    </xdr:to>
    <xdr:sp macro="" textlink="">
      <xdr:nvSpPr>
        <xdr:cNvPr id="35" name="Seta: para a Direita 34">
          <a:extLst>
            <a:ext uri="{FF2B5EF4-FFF2-40B4-BE49-F238E27FC236}">
              <a16:creationId xmlns:a16="http://schemas.microsoft.com/office/drawing/2014/main" id="{A0055642-3DCB-414C-B1FA-A9FCC7599AEE}"/>
            </a:ext>
          </a:extLst>
        </xdr:cNvPr>
        <xdr:cNvSpPr/>
      </xdr:nvSpPr>
      <xdr:spPr>
        <a:xfrm>
          <a:off x="6162675" y="1438275"/>
          <a:ext cx="504825" cy="228600"/>
        </a:xfrm>
        <a:prstGeom prst="rightArrow">
          <a:avLst/>
        </a:prstGeom>
        <a:solidFill>
          <a:srgbClr val="FB5A5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 editAs="absolute">
    <xdr:from>
      <xdr:col>4</xdr:col>
      <xdr:colOff>2828925</xdr:colOff>
      <xdr:row>6</xdr:row>
      <xdr:rowOff>200025</xdr:rowOff>
    </xdr:from>
    <xdr:to>
      <xdr:col>6</xdr:col>
      <xdr:colOff>228600</xdr:colOff>
      <xdr:row>6</xdr:row>
      <xdr:rowOff>428625</xdr:rowOff>
    </xdr:to>
    <xdr:sp macro="" textlink="">
      <xdr:nvSpPr>
        <xdr:cNvPr id="36" name="Seta: para a Direita 35">
          <a:extLst>
            <a:ext uri="{FF2B5EF4-FFF2-40B4-BE49-F238E27FC236}">
              <a16:creationId xmlns:a16="http://schemas.microsoft.com/office/drawing/2014/main" id="{9FFDFB00-48AB-4FCE-93E3-11BFDE1773C7}"/>
            </a:ext>
          </a:extLst>
        </xdr:cNvPr>
        <xdr:cNvSpPr/>
      </xdr:nvSpPr>
      <xdr:spPr>
        <a:xfrm>
          <a:off x="6162675" y="2143125"/>
          <a:ext cx="504825" cy="228600"/>
        </a:xfrm>
        <a:prstGeom prst="rightArrow">
          <a:avLst/>
        </a:prstGeom>
        <a:solidFill>
          <a:srgbClr val="FB5A5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 editAs="absolute">
    <xdr:from>
      <xdr:col>6</xdr:col>
      <xdr:colOff>2828925</xdr:colOff>
      <xdr:row>4</xdr:row>
      <xdr:rowOff>180975</xdr:rowOff>
    </xdr:from>
    <xdr:to>
      <xdr:col>8</xdr:col>
      <xdr:colOff>228600</xdr:colOff>
      <xdr:row>4</xdr:row>
      <xdr:rowOff>409575</xdr:rowOff>
    </xdr:to>
    <xdr:sp macro="" textlink="">
      <xdr:nvSpPr>
        <xdr:cNvPr id="37" name="Seta: para a Direita 36">
          <a:extLst>
            <a:ext uri="{FF2B5EF4-FFF2-40B4-BE49-F238E27FC236}">
              <a16:creationId xmlns:a16="http://schemas.microsoft.com/office/drawing/2014/main" id="{93F5BFD4-846B-4881-8EF4-AD5B6382E341}"/>
            </a:ext>
          </a:extLst>
        </xdr:cNvPr>
        <xdr:cNvSpPr/>
      </xdr:nvSpPr>
      <xdr:spPr>
        <a:xfrm>
          <a:off x="9267825" y="1438275"/>
          <a:ext cx="504825" cy="228600"/>
        </a:xfrm>
        <a:prstGeom prst="rightArrow">
          <a:avLst/>
        </a:prstGeom>
        <a:solidFill>
          <a:srgbClr val="FB5A5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 editAs="absolute">
    <xdr:from>
      <xdr:col>6</xdr:col>
      <xdr:colOff>2828925</xdr:colOff>
      <xdr:row>6</xdr:row>
      <xdr:rowOff>200025</xdr:rowOff>
    </xdr:from>
    <xdr:to>
      <xdr:col>8</xdr:col>
      <xdr:colOff>228600</xdr:colOff>
      <xdr:row>6</xdr:row>
      <xdr:rowOff>428625</xdr:rowOff>
    </xdr:to>
    <xdr:sp macro="" textlink="">
      <xdr:nvSpPr>
        <xdr:cNvPr id="38" name="Seta: para a Direita 37">
          <a:extLst>
            <a:ext uri="{FF2B5EF4-FFF2-40B4-BE49-F238E27FC236}">
              <a16:creationId xmlns:a16="http://schemas.microsoft.com/office/drawing/2014/main" id="{D51F1B61-E95B-49B4-861D-91528EA953A1}"/>
            </a:ext>
          </a:extLst>
        </xdr:cNvPr>
        <xdr:cNvSpPr/>
      </xdr:nvSpPr>
      <xdr:spPr>
        <a:xfrm>
          <a:off x="9267825" y="2143125"/>
          <a:ext cx="504825" cy="228600"/>
        </a:xfrm>
        <a:prstGeom prst="rightArrow">
          <a:avLst/>
        </a:prstGeom>
        <a:solidFill>
          <a:srgbClr val="FB5A5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 editAs="absolute">
    <xdr:from>
      <xdr:col>6</xdr:col>
      <xdr:colOff>0</xdr:colOff>
      <xdr:row>9</xdr:row>
      <xdr:rowOff>57149</xdr:rowOff>
    </xdr:from>
    <xdr:to>
      <xdr:col>9</xdr:col>
      <xdr:colOff>0</xdr:colOff>
      <xdr:row>18</xdr:row>
      <xdr:rowOff>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F36AC226-A964-4D60-A583-2A4C09DA9F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1257300</xdr:colOff>
      <xdr:row>0</xdr:row>
      <xdr:rowOff>85725</xdr:rowOff>
    </xdr:from>
    <xdr:to>
      <xdr:col>2</xdr:col>
      <xdr:colOff>2337300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2</xdr:col>
      <xdr:colOff>2362200</xdr:colOff>
      <xdr:row>0</xdr:row>
      <xdr:rowOff>85725</xdr:rowOff>
    </xdr:from>
    <xdr:to>
      <xdr:col>4</xdr:col>
      <xdr:colOff>337050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4</xdr:col>
      <xdr:colOff>361950</xdr:colOff>
      <xdr:row>0</xdr:row>
      <xdr:rowOff>85725</xdr:rowOff>
    </xdr:from>
    <xdr:to>
      <xdr:col>4</xdr:col>
      <xdr:colOff>1441950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4</xdr:col>
      <xdr:colOff>2571750</xdr:colOff>
      <xdr:row>0</xdr:row>
      <xdr:rowOff>85725</xdr:rowOff>
    </xdr:from>
    <xdr:to>
      <xdr:col>6</xdr:col>
      <xdr:colOff>546600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6</xdr:col>
      <xdr:colOff>571500</xdr:colOff>
      <xdr:row>0</xdr:row>
      <xdr:rowOff>85725</xdr:rowOff>
    </xdr:from>
    <xdr:to>
      <xdr:col>6</xdr:col>
      <xdr:colOff>1651500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6</xdr:col>
      <xdr:colOff>1676400</xdr:colOff>
      <xdr:row>0</xdr:row>
      <xdr:rowOff>85725</xdr:rowOff>
    </xdr:from>
    <xdr:to>
      <xdr:col>6</xdr:col>
      <xdr:colOff>2756400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6</xdr:col>
      <xdr:colOff>762000</xdr:colOff>
      <xdr:row>0</xdr:row>
      <xdr:rowOff>371475</xdr:rowOff>
    </xdr:from>
    <xdr:to>
      <xdr:col>6</xdr:col>
      <xdr:colOff>1482000</xdr:colOff>
      <xdr:row>0</xdr:row>
      <xdr:rowOff>388425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72009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1466850</xdr:colOff>
      <xdr:row>0</xdr:row>
      <xdr:rowOff>85725</xdr:rowOff>
    </xdr:from>
    <xdr:to>
      <xdr:col>4</xdr:col>
      <xdr:colOff>2546850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2</xdr:col>
      <xdr:colOff>742950</xdr:colOff>
      <xdr:row>1</xdr:row>
      <xdr:rowOff>142875</xdr:rowOff>
    </xdr:from>
    <xdr:to>
      <xdr:col>2</xdr:col>
      <xdr:colOff>1822950</xdr:colOff>
      <xdr:row>2</xdr:row>
      <xdr:rowOff>13875</xdr:rowOff>
    </xdr:to>
    <xdr:sp macro="" textlink="">
      <xdr:nvSpPr>
        <xdr:cNvPr id="10" name="Retângul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Transição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00000000-0008-0000-0F00-00000C000000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00000000-0008-0000-0F00-00000D000000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4" name="Meio-quadro 13">
            <a:extLst>
              <a:ext uri="{FF2B5EF4-FFF2-40B4-BE49-F238E27FC236}">
                <a16:creationId xmlns:a16="http://schemas.microsoft.com/office/drawing/2014/main" id="{00000000-0008-0000-0F00-00000E000000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1838325</xdr:colOff>
      <xdr:row>1</xdr:row>
      <xdr:rowOff>142875</xdr:rowOff>
    </xdr:from>
    <xdr:to>
      <xdr:col>2</xdr:col>
      <xdr:colOff>2918325</xdr:colOff>
      <xdr:row>2</xdr:row>
      <xdr:rowOff>13875</xdr:rowOff>
    </xdr:to>
    <xdr:sp macro="" textlink="">
      <xdr:nvSpPr>
        <xdr:cNvPr id="16" name="Retâ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7E4BA61-0E5B-4CB4-A93A-580AAF180195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Anual</a:t>
          </a:r>
        </a:p>
      </xdr:txBody>
    </xdr:sp>
    <xdr:clientData/>
  </xdr:twoCellAnchor>
  <xdr:twoCellAnchor editAs="absolute">
    <xdr:from>
      <xdr:col>2</xdr:col>
      <xdr:colOff>2933700</xdr:colOff>
      <xdr:row>1</xdr:row>
      <xdr:rowOff>142875</xdr:rowOff>
    </xdr:from>
    <xdr:to>
      <xdr:col>4</xdr:col>
      <xdr:colOff>908550</xdr:colOff>
      <xdr:row>2</xdr:row>
      <xdr:rowOff>13875</xdr:rowOff>
    </xdr:to>
    <xdr:sp macro="" textlink="">
      <xdr:nvSpPr>
        <xdr:cNvPr id="17" name="Retângulo 1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46F96D39-F96B-4641-BBE7-E329BA5C5D08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Analítico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1676400</xdr:colOff>
          <xdr:row>2</xdr:row>
          <xdr:rowOff>285750</xdr:rowOff>
        </xdr:from>
        <xdr:to>
          <xdr:col>4</xdr:col>
          <xdr:colOff>9525</xdr:colOff>
          <xdr:row>2</xdr:row>
          <xdr:rowOff>609600</xdr:rowOff>
        </xdr:to>
        <xdr:sp macro="" textlink="">
          <xdr:nvSpPr>
            <xdr:cNvPr id="63489" name="Drop Dow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38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9525</xdr:colOff>
      <xdr:row>2</xdr:row>
      <xdr:rowOff>314325</xdr:rowOff>
    </xdr:from>
    <xdr:to>
      <xdr:col>2</xdr:col>
      <xdr:colOff>1717750</xdr:colOff>
      <xdr:row>2</xdr:row>
      <xdr:rowOff>563176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5F64F7D7-4CD7-D6B0-0471-1AB3848AFFFC}"/>
            </a:ext>
          </a:extLst>
        </xdr:cNvPr>
        <xdr:cNvSpPr txBox="1"/>
      </xdr:nvSpPr>
      <xdr:spPr>
        <a:xfrm>
          <a:off x="238125" y="1133475"/>
          <a:ext cx="1708225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Selecione o ano para Análise:</a:t>
          </a:r>
        </a:p>
      </xdr:txBody>
    </xdr:sp>
    <xdr:clientData/>
  </xdr:twoCellAnchor>
  <xdr:oneCellAnchor>
    <xdr:from>
      <xdr:col>2</xdr:col>
      <xdr:colOff>9525</xdr:colOff>
      <xdr:row>4</xdr:row>
      <xdr:rowOff>17379</xdr:rowOff>
    </xdr:from>
    <xdr:ext cx="3028950" cy="248851"/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A6D434F2-5670-4609-80FE-8396CED867C5}"/>
            </a:ext>
          </a:extLst>
        </xdr:cNvPr>
        <xdr:cNvSpPr txBox="1"/>
      </xdr:nvSpPr>
      <xdr:spPr>
        <a:xfrm>
          <a:off x="238125" y="1779504"/>
          <a:ext cx="302895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Total do Faturamento</a:t>
          </a:r>
        </a:p>
      </xdr:txBody>
    </xdr:sp>
    <xdr:clientData/>
  </xdr:oneCellAnchor>
  <xdr:oneCellAnchor>
    <xdr:from>
      <xdr:col>4</xdr:col>
      <xdr:colOff>0</xdr:colOff>
      <xdr:row>4</xdr:row>
      <xdr:rowOff>9525</xdr:rowOff>
    </xdr:from>
    <xdr:ext cx="3028950" cy="248851"/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3AE6E258-787F-4D54-B5E8-3A35A022A31D}"/>
            </a:ext>
          </a:extLst>
        </xdr:cNvPr>
        <xdr:cNvSpPr txBox="1"/>
      </xdr:nvSpPr>
      <xdr:spPr>
        <a:xfrm>
          <a:off x="3333750" y="1771650"/>
          <a:ext cx="302895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Total dos Impostos</a:t>
          </a:r>
        </a:p>
      </xdr:txBody>
    </xdr:sp>
    <xdr:clientData/>
  </xdr:oneCellAnchor>
  <xdr:oneCellAnchor>
    <xdr:from>
      <xdr:col>6</xdr:col>
      <xdr:colOff>0</xdr:colOff>
      <xdr:row>4</xdr:row>
      <xdr:rowOff>0</xdr:rowOff>
    </xdr:from>
    <xdr:ext cx="3028950" cy="248851"/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2C5EA5E6-9454-4E9B-8D6E-0D0CFBCEDDF8}"/>
            </a:ext>
          </a:extLst>
        </xdr:cNvPr>
        <xdr:cNvSpPr txBox="1"/>
      </xdr:nvSpPr>
      <xdr:spPr>
        <a:xfrm>
          <a:off x="6438900" y="1762125"/>
          <a:ext cx="302895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Total do</a:t>
          </a:r>
          <a:r>
            <a:rPr lang="pt-BR" sz="1000" kern="1200" baseline="0">
              <a:solidFill>
                <a:schemeClr val="tx1">
                  <a:lumMod val="75000"/>
                  <a:lumOff val="25000"/>
                </a:schemeClr>
              </a:solidFill>
            </a:rPr>
            <a:t> Lucro Líquido</a:t>
          </a:r>
          <a:endParaRPr lang="pt-BR" sz="1000" kern="12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oneCellAnchor>
  <xdr:oneCellAnchor>
    <xdr:from>
      <xdr:col>8</xdr:col>
      <xdr:colOff>0</xdr:colOff>
      <xdr:row>4</xdr:row>
      <xdr:rowOff>0</xdr:rowOff>
    </xdr:from>
    <xdr:ext cx="3028950" cy="248851"/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E0A70CD-01B2-4024-B157-0634E21626A4}"/>
            </a:ext>
          </a:extLst>
        </xdr:cNvPr>
        <xdr:cNvSpPr txBox="1"/>
      </xdr:nvSpPr>
      <xdr:spPr>
        <a:xfrm>
          <a:off x="9544050" y="1762125"/>
          <a:ext cx="302895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Taxa de Lucratividade</a:t>
          </a:r>
          <a:r>
            <a:rPr lang="pt-BR" sz="1000" kern="1200" baseline="0">
              <a:solidFill>
                <a:schemeClr val="tx1">
                  <a:lumMod val="75000"/>
                  <a:lumOff val="25000"/>
                </a:schemeClr>
              </a:solidFill>
            </a:rPr>
            <a:t> %</a:t>
          </a:r>
          <a:endParaRPr lang="pt-BR" sz="1000" kern="12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oneCellAnchor>
  <xdr:twoCellAnchor>
    <xdr:from>
      <xdr:col>6</xdr:col>
      <xdr:colOff>0</xdr:colOff>
      <xdr:row>6</xdr:row>
      <xdr:rowOff>0</xdr:rowOff>
    </xdr:from>
    <xdr:to>
      <xdr:col>7</xdr:col>
      <xdr:colOff>0</xdr:colOff>
      <xdr:row>15</xdr:row>
      <xdr:rowOff>0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6D1DE75D-56B0-4DDC-91E5-F52A6997B7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15</xdr:row>
      <xdr:rowOff>0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38FEA46-4C56-4485-8E26-6D8D2E42FD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6</xdr:row>
      <xdr:rowOff>0</xdr:rowOff>
    </xdr:from>
    <xdr:to>
      <xdr:col>5</xdr:col>
      <xdr:colOff>0</xdr:colOff>
      <xdr:row>15</xdr:row>
      <xdr:rowOff>0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49950907-DD6B-4C95-A20C-F7B5AF62F5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1257300</xdr:colOff>
      <xdr:row>0</xdr:row>
      <xdr:rowOff>85725</xdr:rowOff>
    </xdr:from>
    <xdr:to>
      <xdr:col>2</xdr:col>
      <xdr:colOff>2337300</xdr:colOff>
      <xdr:row>0</xdr:row>
      <xdr:rowOff>373725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DBCC97-BE76-48BD-B3BE-149B3441C046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2</xdr:col>
      <xdr:colOff>2362200</xdr:colOff>
      <xdr:row>0</xdr:row>
      <xdr:rowOff>85725</xdr:rowOff>
    </xdr:from>
    <xdr:to>
      <xdr:col>4</xdr:col>
      <xdr:colOff>337050</xdr:colOff>
      <xdr:row>0</xdr:row>
      <xdr:rowOff>373725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24E1664-5940-44B7-BCBB-48B66348DEAC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4</xdr:col>
      <xdr:colOff>361950</xdr:colOff>
      <xdr:row>0</xdr:row>
      <xdr:rowOff>85725</xdr:rowOff>
    </xdr:from>
    <xdr:to>
      <xdr:col>4</xdr:col>
      <xdr:colOff>1441950</xdr:colOff>
      <xdr:row>0</xdr:row>
      <xdr:rowOff>373725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4501BC8-7EB7-4453-882B-9A0CDEB72F79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4</xdr:col>
      <xdr:colOff>2571750</xdr:colOff>
      <xdr:row>0</xdr:row>
      <xdr:rowOff>85725</xdr:rowOff>
    </xdr:from>
    <xdr:to>
      <xdr:col>6</xdr:col>
      <xdr:colOff>546600</xdr:colOff>
      <xdr:row>0</xdr:row>
      <xdr:rowOff>373725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6FF3F8E-B04A-493B-AC66-CF6FC8839B2C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6</xdr:col>
      <xdr:colOff>571500</xdr:colOff>
      <xdr:row>0</xdr:row>
      <xdr:rowOff>85725</xdr:rowOff>
    </xdr:from>
    <xdr:to>
      <xdr:col>6</xdr:col>
      <xdr:colOff>1651500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439F0D3-FE20-4E35-9227-E2930D7231A3}"/>
            </a:ext>
          </a:extLst>
        </xdr:cNvPr>
        <xdr:cNvSpPr/>
      </xdr:nvSpPr>
      <xdr:spPr>
        <a:xfrm>
          <a:off x="70104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6</xdr:col>
      <xdr:colOff>1676400</xdr:colOff>
      <xdr:row>0</xdr:row>
      <xdr:rowOff>85725</xdr:rowOff>
    </xdr:from>
    <xdr:to>
      <xdr:col>6</xdr:col>
      <xdr:colOff>2756400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0D7F696-4924-453D-B277-ADD80BE0D928}"/>
            </a:ext>
          </a:extLst>
        </xdr:cNvPr>
        <xdr:cNvSpPr/>
      </xdr:nvSpPr>
      <xdr:spPr>
        <a:xfrm>
          <a:off x="81153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33CCCC"/>
              </a:solidFill>
            </a:rPr>
            <a:t>Suporte</a:t>
          </a:r>
        </a:p>
      </xdr:txBody>
    </xdr:sp>
    <xdr:clientData/>
  </xdr:twoCellAnchor>
  <xdr:twoCellAnchor editAs="absolute">
    <xdr:from>
      <xdr:col>6</xdr:col>
      <xdr:colOff>762000</xdr:colOff>
      <xdr:row>0</xdr:row>
      <xdr:rowOff>371475</xdr:rowOff>
    </xdr:from>
    <xdr:to>
      <xdr:col>6</xdr:col>
      <xdr:colOff>1482000</xdr:colOff>
      <xdr:row>0</xdr:row>
      <xdr:rowOff>388425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6FA7A6C6-781F-45C7-8C99-AC8957F80B61}"/>
            </a:ext>
          </a:extLst>
        </xdr:cNvPr>
        <xdr:cNvSpPr/>
      </xdr:nvSpPr>
      <xdr:spPr>
        <a:xfrm>
          <a:off x="72009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1466850</xdr:colOff>
      <xdr:row>0</xdr:row>
      <xdr:rowOff>85725</xdr:rowOff>
    </xdr:from>
    <xdr:to>
      <xdr:col>4</xdr:col>
      <xdr:colOff>2546850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A406C0A-68CB-489B-840F-4AEBD45FE4A6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Controles</a:t>
          </a:r>
        </a:p>
      </xdr:txBody>
    </xdr:sp>
    <xdr:clientData/>
  </xdr:twoCellAnchor>
  <xdr:twoCellAnchor editAs="absolute">
    <xdr:from>
      <xdr:col>0</xdr:col>
      <xdr:colOff>113929</xdr:colOff>
      <xdr:row>0</xdr:row>
      <xdr:rowOff>0</xdr:rowOff>
    </xdr:from>
    <xdr:to>
      <xdr:col>2</xdr:col>
      <xdr:colOff>788359</xdr:colOff>
      <xdr:row>0</xdr:row>
      <xdr:rowOff>428625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2AAAFD4C-DE5A-4E51-96FB-51BD3AEDB3AC}"/>
            </a:ext>
          </a:extLst>
        </xdr:cNvPr>
        <xdr:cNvGrpSpPr/>
      </xdr:nvGrpSpPr>
      <xdr:grpSpPr>
        <a:xfrm>
          <a:off x="113929" y="0"/>
          <a:ext cx="903030" cy="428625"/>
          <a:chOff x="142504" y="66675"/>
          <a:chExt cx="903030" cy="534208"/>
        </a:xfrm>
      </xdr:grpSpPr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3FAA64D8-6909-48DE-6697-DD035AB34176}"/>
              </a:ext>
            </a:extLst>
          </xdr:cNvPr>
          <xdr:cNvSpPr txBox="1"/>
        </xdr:nvSpPr>
        <xdr:spPr>
          <a:xfrm>
            <a:off x="247239" y="66675"/>
            <a:ext cx="798295" cy="5342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aseline="0">
                <a:solidFill>
                  <a:srgbClr val="00ACA8"/>
                </a:solidFill>
                <a:latin typeface="Bell MT" panose="02020503060305020303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on</a:t>
            </a:r>
            <a:r>
              <a:rPr lang="pt-BR" sz="1400" baseline="0">
                <a:solidFill>
                  <a:schemeClr val="bg1">
                    <a:lumMod val="85000"/>
                  </a:schemeClr>
                </a:solidFill>
                <a:latin typeface="Californian FB" panose="0207040306080B030204" pitchFamily="18" charset="0"/>
                <a:ea typeface="Arial Unicode MS" panose="020B0604020202020204" pitchFamily="34" charset="-128"/>
                <a:cs typeface="Arial Unicode MS" panose="020B0604020202020204" pitchFamily="34" charset="-128"/>
              </a:rPr>
              <a:t>side </a:t>
            </a:r>
          </a:p>
          <a:p>
            <a:r>
              <a:rPr lang="pt-BR" sz="500" b="1">
                <a:solidFill>
                  <a:schemeClr val="bg1">
                    <a:lumMod val="85000"/>
                  </a:schemeClr>
                </a:solidFill>
                <a:latin typeface="Microsoft JhengHei" panose="020B0604030504040204" pitchFamily="34" charset="-120"/>
                <a:ea typeface="Microsoft JhengHei" panose="020B0604030504040204" pitchFamily="34" charset="-120"/>
                <a:cs typeface="Raavi" panose="020B0502040204020203" pitchFamily="34" charset="0"/>
              </a:rPr>
              <a:t>Corporation</a:t>
            </a:r>
            <a:endParaRPr lang="pt-BR" sz="1400" b="1">
              <a:solidFill>
                <a:schemeClr val="bg1">
                  <a:lumMod val="85000"/>
                </a:schemeClr>
              </a:solidFill>
              <a:latin typeface="Microsoft JhengHei" panose="020B0604030504040204" pitchFamily="34" charset="-120"/>
              <a:ea typeface="Microsoft JhengHei" panose="020B0604030504040204" pitchFamily="34" charset="-120"/>
              <a:cs typeface="Raavi" panose="020B0502040204020203" pitchFamily="34" charset="0"/>
            </a:endParaRPr>
          </a:p>
        </xdr:txBody>
      </xdr:sp>
      <xdr:sp macro="" textlink="">
        <xdr:nvSpPr>
          <xdr:cNvPr id="12" name="Meio-quadro 11">
            <a:extLst>
              <a:ext uri="{FF2B5EF4-FFF2-40B4-BE49-F238E27FC236}">
                <a16:creationId xmlns:a16="http://schemas.microsoft.com/office/drawing/2014/main" id="{BE0A674C-4999-E519-708E-D60DADA5CE49}"/>
              </a:ext>
            </a:extLst>
          </xdr:cNvPr>
          <xdr:cNvSpPr/>
        </xdr:nvSpPr>
        <xdr:spPr>
          <a:xfrm rot="19006200">
            <a:off x="218772" y="328420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13" name="Meio-quadro 12">
            <a:extLst>
              <a:ext uri="{FF2B5EF4-FFF2-40B4-BE49-F238E27FC236}">
                <a16:creationId xmlns:a16="http://schemas.microsoft.com/office/drawing/2014/main" id="{6C35716E-9596-AE8B-583A-99EEFDE1CC9C}"/>
              </a:ext>
            </a:extLst>
          </xdr:cNvPr>
          <xdr:cNvSpPr/>
        </xdr:nvSpPr>
        <xdr:spPr>
          <a:xfrm rot="8219073">
            <a:off x="142504" y="211056"/>
            <a:ext cx="108000" cy="107999"/>
          </a:xfrm>
          <a:prstGeom prst="halfFrame">
            <a:avLst>
              <a:gd name="adj1" fmla="val 16166"/>
              <a:gd name="adj2" fmla="val 8695"/>
            </a:avLst>
          </a:prstGeom>
          <a:solidFill>
            <a:srgbClr val="009999"/>
          </a:solidFill>
          <a:ln>
            <a:solidFill>
              <a:srgbClr val="0099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742950</xdr:colOff>
      <xdr:row>1</xdr:row>
      <xdr:rowOff>142875</xdr:rowOff>
    </xdr:from>
    <xdr:to>
      <xdr:col>2</xdr:col>
      <xdr:colOff>1822950</xdr:colOff>
      <xdr:row>2</xdr:row>
      <xdr:rowOff>13875</xdr:rowOff>
    </xdr:to>
    <xdr:sp macro="" textlink="">
      <xdr:nvSpPr>
        <xdr:cNvPr id="16" name="Retângulo 1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75676B5-E725-4C7E-9E31-8602A245228C}"/>
            </a:ext>
          </a:extLst>
        </xdr:cNvPr>
        <xdr:cNvSpPr/>
      </xdr:nvSpPr>
      <xdr:spPr>
        <a:xfrm>
          <a:off x="971550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Transição</a:t>
          </a:r>
        </a:p>
      </xdr:txBody>
    </xdr:sp>
    <xdr:clientData/>
  </xdr:twoCellAnchor>
  <xdr:twoCellAnchor editAs="absolute">
    <xdr:from>
      <xdr:col>2</xdr:col>
      <xdr:colOff>1838325</xdr:colOff>
      <xdr:row>1</xdr:row>
      <xdr:rowOff>142875</xdr:rowOff>
    </xdr:from>
    <xdr:to>
      <xdr:col>2</xdr:col>
      <xdr:colOff>2918325</xdr:colOff>
      <xdr:row>2</xdr:row>
      <xdr:rowOff>13875</xdr:rowOff>
    </xdr:to>
    <xdr:sp macro="" textlink="">
      <xdr:nvSpPr>
        <xdr:cNvPr id="17" name="Retângul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C3A4116-ADF7-4B9F-BB5B-7C1462D31222}"/>
            </a:ext>
          </a:extLst>
        </xdr:cNvPr>
        <xdr:cNvSpPr/>
      </xdr:nvSpPr>
      <xdr:spPr>
        <a:xfrm>
          <a:off x="2066925" y="581025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Anual</a:t>
          </a:r>
        </a:p>
      </xdr:txBody>
    </xdr:sp>
    <xdr:clientData/>
  </xdr:twoCellAnchor>
  <xdr:twoCellAnchor editAs="absolute">
    <xdr:from>
      <xdr:col>2</xdr:col>
      <xdr:colOff>2933700</xdr:colOff>
      <xdr:row>1</xdr:row>
      <xdr:rowOff>142875</xdr:rowOff>
    </xdr:from>
    <xdr:to>
      <xdr:col>4</xdr:col>
      <xdr:colOff>908550</xdr:colOff>
      <xdr:row>2</xdr:row>
      <xdr:rowOff>13875</xdr:rowOff>
    </xdr:to>
    <xdr:sp macro="" textlink="">
      <xdr:nvSpPr>
        <xdr:cNvPr id="18" name="Retângulo 1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EC30022B-0CC4-4BB7-9FB1-C963DE668BEF}"/>
            </a:ext>
          </a:extLst>
        </xdr:cNvPr>
        <xdr:cNvSpPr/>
      </xdr:nvSpPr>
      <xdr:spPr>
        <a:xfrm>
          <a:off x="3162300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Analítico</a:t>
          </a:r>
        </a:p>
      </xdr:txBody>
    </xdr:sp>
    <xdr:clientData/>
  </xdr:twoCellAnchor>
  <xdr:oneCellAnchor>
    <xdr:from>
      <xdr:col>2</xdr:col>
      <xdr:colOff>9525</xdr:colOff>
      <xdr:row>4</xdr:row>
      <xdr:rowOff>17379</xdr:rowOff>
    </xdr:from>
    <xdr:ext cx="3028950" cy="248851"/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4F86018D-7B07-460D-A737-A0012EFB9CCB}"/>
            </a:ext>
          </a:extLst>
        </xdr:cNvPr>
        <xdr:cNvSpPr txBox="1"/>
      </xdr:nvSpPr>
      <xdr:spPr>
        <a:xfrm>
          <a:off x="238125" y="1779504"/>
          <a:ext cx="302895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Média de Lucro Líquido na Transição Tributária</a:t>
          </a:r>
        </a:p>
      </xdr:txBody>
    </xdr:sp>
    <xdr:clientData/>
  </xdr:oneCellAnchor>
  <xdr:oneCellAnchor>
    <xdr:from>
      <xdr:col>4</xdr:col>
      <xdr:colOff>0</xdr:colOff>
      <xdr:row>4</xdr:row>
      <xdr:rowOff>9525</xdr:rowOff>
    </xdr:from>
    <xdr:ext cx="3028950" cy="248851"/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C5BDF6A4-4A92-4B85-8311-1987A70059BD}"/>
            </a:ext>
          </a:extLst>
        </xdr:cNvPr>
        <xdr:cNvSpPr txBox="1"/>
      </xdr:nvSpPr>
      <xdr:spPr>
        <a:xfrm>
          <a:off x="3333750" y="1266825"/>
          <a:ext cx="302895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000" kern="1200">
              <a:solidFill>
                <a:schemeClr val="tx1">
                  <a:lumMod val="75000"/>
                  <a:lumOff val="25000"/>
                </a:schemeClr>
              </a:solidFill>
            </a:rPr>
            <a:t>Média de Lucratividade na Transição</a:t>
          </a:r>
          <a:r>
            <a:rPr lang="pt-BR" sz="1000" kern="1200" baseline="0">
              <a:solidFill>
                <a:schemeClr val="tx1">
                  <a:lumMod val="75000"/>
                  <a:lumOff val="25000"/>
                </a:schemeClr>
              </a:solidFill>
            </a:rPr>
            <a:t> Tributária</a:t>
          </a:r>
          <a:endParaRPr lang="pt-BR" sz="1000" kern="12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oneCellAnchor>
  <xdr:twoCellAnchor>
    <xdr:from>
      <xdr:col>6</xdr:col>
      <xdr:colOff>0</xdr:colOff>
      <xdr:row>9</xdr:row>
      <xdr:rowOff>314325</xdr:rowOff>
    </xdr:from>
    <xdr:to>
      <xdr:col>9</xdr:col>
      <xdr:colOff>0</xdr:colOff>
      <xdr:row>16</xdr:row>
      <xdr:rowOff>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7E66D6B1-3480-4405-BC3A-60BB730FDC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0</xdr:colOff>
      <xdr:row>4</xdr:row>
      <xdr:rowOff>0</xdr:rowOff>
    </xdr:from>
    <xdr:to>
      <xdr:col>8</xdr:col>
      <xdr:colOff>3047250</xdr:colOff>
      <xdr:row>9</xdr:row>
      <xdr:rowOff>252600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3727D9E-E04E-4B70-8BA5-3197D7A83B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6</xdr:row>
      <xdr:rowOff>0</xdr:rowOff>
    </xdr:from>
    <xdr:to>
      <xdr:col>5</xdr:col>
      <xdr:colOff>0</xdr:colOff>
      <xdr:row>11</xdr:row>
      <xdr:rowOff>24600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60F96843-6B90-4DA8-AE80-0F241E98F4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11</xdr:row>
      <xdr:rowOff>85725</xdr:rowOff>
    </xdr:from>
    <xdr:to>
      <xdr:col>4</xdr:col>
      <xdr:colOff>3047250</xdr:colOff>
      <xdr:row>16</xdr:row>
      <xdr:rowOff>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8AF3363A-6CFD-4424-94BF-CBE0DEA362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onsidecorporation.com.br/" TargetMode="External"/><Relationship Id="rId1" Type="http://schemas.openxmlformats.org/officeDocument/2006/relationships/hyperlink" Target="mailto:onsidecorporation@gmail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1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12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1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4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15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1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2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2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2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2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2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18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48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FFC000"/>
  </sheetPr>
  <dimension ref="B1:X26"/>
  <sheetViews>
    <sheetView showGridLines="0" zoomScaleNormal="100" workbookViewId="0">
      <selection activeCell="T22" sqref="T22"/>
    </sheetView>
  </sheetViews>
  <sheetFormatPr defaultColWidth="20.7109375" defaultRowHeight="20.100000000000001" customHeight="1" x14ac:dyDescent="0.25"/>
  <cols>
    <col min="1" max="1" width="5.7109375" style="19" customWidth="1"/>
    <col min="2" max="2" width="15.7109375" style="19" customWidth="1"/>
    <col min="3" max="3" width="29" style="19" customWidth="1"/>
    <col min="4" max="4" width="28.140625" style="19" customWidth="1"/>
    <col min="5" max="5" width="23.85546875" style="19" customWidth="1"/>
    <col min="6" max="8" width="15.7109375" style="19" customWidth="1"/>
    <col min="9" max="9" width="5.7109375" style="19" customWidth="1"/>
    <col min="10" max="23" width="14.7109375" style="19" customWidth="1"/>
    <col min="24" max="16384" width="20.7109375" style="19"/>
  </cols>
  <sheetData>
    <row r="1" spans="2:24" s="20" customFormat="1" ht="20.100000000000001" customHeight="1" x14ac:dyDescent="0.25"/>
    <row r="2" spans="2:24" s="22" customFormat="1" ht="20.100000000000001" customHeight="1" x14ac:dyDescent="0.25">
      <c r="B2" s="274" t="s">
        <v>0</v>
      </c>
      <c r="C2" s="274"/>
    </row>
    <row r="4" spans="2:24" ht="20.100000000000001" customHeight="1" x14ac:dyDescent="0.25">
      <c r="B4" s="49" t="s">
        <v>32</v>
      </c>
      <c r="C4" s="49">
        <v>2</v>
      </c>
      <c r="D4" s="49" t="str">
        <f>INDEX(Regime,C4)</f>
        <v>Lucro Presumido</v>
      </c>
      <c r="E4" s="19" t="s">
        <v>100</v>
      </c>
      <c r="G4" s="49">
        <v>2025</v>
      </c>
      <c r="H4" s="49">
        <v>9</v>
      </c>
      <c r="J4" s="118" t="s">
        <v>82</v>
      </c>
      <c r="K4" s="118" t="s">
        <v>83</v>
      </c>
      <c r="L4" s="118" t="s">
        <v>84</v>
      </c>
      <c r="M4" s="118" t="s">
        <v>85</v>
      </c>
      <c r="N4" s="118" t="s">
        <v>86</v>
      </c>
      <c r="O4" s="118" t="s">
        <v>87</v>
      </c>
      <c r="P4" s="118" t="s">
        <v>88</v>
      </c>
      <c r="Q4" s="118" t="s">
        <v>89</v>
      </c>
      <c r="R4" s="118" t="s">
        <v>90</v>
      </c>
      <c r="S4" s="118" t="s">
        <v>91</v>
      </c>
      <c r="T4" s="118" t="s">
        <v>92</v>
      </c>
      <c r="U4" s="118" t="s">
        <v>93</v>
      </c>
      <c r="V4" s="118" t="s">
        <v>94</v>
      </c>
      <c r="W4" s="118" t="s">
        <v>95</v>
      </c>
    </row>
    <row r="5" spans="2:24" ht="20.100000000000001" customHeight="1" x14ac:dyDescent="0.25">
      <c r="B5" s="49" t="s">
        <v>33</v>
      </c>
      <c r="C5" s="49" t="b">
        <v>0</v>
      </c>
      <c r="D5" s="83" t="s">
        <v>101</v>
      </c>
      <c r="G5" s="49">
        <v>2026</v>
      </c>
      <c r="J5" s="19" t="s">
        <v>135</v>
      </c>
      <c r="K5" s="132">
        <f>IF($H$4=1,Relatórios!D25,IF($H$4=2,'2026'!D29,IF($H$4=3,'2027'!D27,IF($H$4=4,'2028'!D27,IF($H$4=5,'2029'!D27,IF($H$4=6,'2030'!D27,IF($H$4=7,'2031'!D27,IF($H$4=8,'2032'!D27,IF($H$4=9,'2033'!D27)))))))))</f>
        <v>134725</v>
      </c>
      <c r="L5" s="132">
        <f>IF($H$4=1,Relatórios!E25,IF($H$4=2,'2026'!E29,IF($H$4=3,'2027'!E27,IF($H$4=4,'2028'!E27,IF($H$4=5,'2029'!E27,IF($H$4=6,'2030'!E27,IF($H$4=7,'2031'!E27,IF($H$4=8,'2032'!E27,IF($H$4=9,'2033'!E27)))))))))</f>
        <v>108391</v>
      </c>
      <c r="M5" s="132">
        <f>IF($H$4=1,Relatórios!F25,IF($H$4=2,'2026'!F29,IF($H$4=3,'2027'!F27,IF($H$4=4,'2028'!F27,IF($H$4=5,'2029'!F27,IF($H$4=6,'2030'!F27,IF($H$4=7,'2031'!F27,IF($H$4=8,'2032'!F27,IF($H$4=9,'2033'!F27)))))))))</f>
        <v>133613</v>
      </c>
      <c r="N5" s="132">
        <f>IF($H$4=1,Relatórios!G25,IF($H$4=2,'2026'!G29,IF($H$4=3,'2027'!G27,IF($H$4=4,'2028'!G27,IF($H$4=5,'2029'!G27,IF($H$4=6,'2030'!G27,IF($H$4=7,'2031'!G27,IF($H$4=8,'2032'!G27,IF($H$4=9,'2033'!G27)))))))))</f>
        <v>120356</v>
      </c>
      <c r="O5" s="132">
        <f>IF($H$4=1,Relatórios!H25,IF($H$4=2,'2026'!H29,IF($H$4=3,'2027'!H27,IF($H$4=4,'2028'!H27,IF($H$4=5,'2029'!H27,IF($H$4=6,'2030'!H27,IF($H$4=7,'2031'!H27,IF($H$4=8,'2032'!H27,IF($H$4=9,'2033'!H27)))))))))</f>
        <v>119059</v>
      </c>
      <c r="P5" s="132">
        <f>IF($H$4=1,Relatórios!I25,IF($H$4=2,'2026'!I29,IF($H$4=3,'2027'!I27,IF($H$4=4,'2028'!I27,IF($H$4=5,'2029'!I27,IF($H$4=6,'2030'!I27,IF($H$4=7,'2031'!I27,IF($H$4=8,'2032'!I27,IF($H$4=9,'2033'!I27)))))))))</f>
        <v>104241</v>
      </c>
      <c r="Q5" s="132">
        <f>IF($H$4=1,Relatórios!J25,IF($H$4=2,'2026'!J29,IF($H$4=3,'2027'!J27,IF($H$4=4,'2028'!J27,IF($H$4=5,'2029'!J27,IF($H$4=6,'2030'!J27,IF($H$4=7,'2031'!J27,IF($H$4=8,'2032'!J27,IF($H$4=9,'2033'!J27)))))))))</f>
        <v>123748</v>
      </c>
      <c r="R5" s="132">
        <f>IF($H$4=1,Relatórios!K25,IF($H$4=2,'2026'!K29,IF($H$4=3,'2027'!K27,IF($H$4=4,'2028'!K27,IF($H$4=5,'2029'!K27,IF($H$4=6,'2030'!K27,IF($H$4=7,'2031'!K27,IF($H$4=8,'2032'!K27,IF($H$4=9,'2033'!K27)))))))))</f>
        <v>102602</v>
      </c>
      <c r="S5" s="132">
        <f>IF($H$4=1,Relatórios!L25,IF($H$4=2,'2026'!L29,IF($H$4=3,'2027'!L27,IF($H$4=4,'2028'!L27,IF($H$4=5,'2029'!L27,IF($H$4=6,'2030'!L27,IF($H$4=7,'2031'!L27,IF($H$4=8,'2032'!L27,IF($H$4=9,'2033'!L27)))))))))</f>
        <v>109759</v>
      </c>
      <c r="T5" s="132">
        <f>IF($H$4=1,Relatórios!M25,IF($H$4=2,'2026'!M29,IF($H$4=3,'2027'!M27,IF($H$4=4,'2028'!M27,IF($H$4=5,'2029'!M27,IF($H$4=6,'2030'!M27,IF($H$4=7,'2031'!M27,IF($H$4=8,'2032'!M27,IF($H$4=9,'2033'!M27)))))))))</f>
        <v>115659</v>
      </c>
      <c r="U5" s="132">
        <f>IF($H$4=1,Relatórios!N25,IF($H$4=2,'2026'!N29,IF($H$4=3,'2027'!N27,IF($H$4=4,'2028'!N27,IF($H$4=5,'2029'!N27,IF($H$4=6,'2030'!N27,IF($H$4=7,'2031'!N27,IF($H$4=8,'2032'!N27,IF($H$4=9,'2033'!N27)))))))))</f>
        <v>110531</v>
      </c>
      <c r="V5" s="132">
        <f>IF($H$4=1,Relatórios!O25,IF($H$4=2,'2026'!O29,IF($H$4=3,'2027'!O27,IF($H$4=4,'2028'!O27,IF($H$4=5,'2029'!O27,IF($H$4=6,'2030'!O27,IF($H$4=7,'2031'!O27,IF($H$4=8,'2032'!O27,IF($H$4=9,'2033'!O27)))))))))</f>
        <v>109533</v>
      </c>
      <c r="W5" s="132">
        <f>IF($H$4=1,Relatórios!P25,IF($H$4=2,'2026'!P29,IF($H$4=3,'2027'!P27,IF($H$4=4,'2028'!P27,IF($H$4=5,'2029'!P27,IF($H$4=6,'2030'!P27,IF($H$4=7,'2031'!P27,IF($H$4=8,'2032'!P27,IF($H$4=9,'2033'!P27)))))))))</f>
        <v>1392217</v>
      </c>
    </row>
    <row r="6" spans="2:24" ht="20.100000000000001" customHeight="1" x14ac:dyDescent="0.25">
      <c r="B6" s="49" t="s">
        <v>34</v>
      </c>
      <c r="G6" s="49">
        <v>2027</v>
      </c>
      <c r="J6" s="19" t="s">
        <v>64</v>
      </c>
      <c r="K6" s="132">
        <f>IF($H$4=1,Relatórios!D16,IF($H$4=2,'2026'!D20,IF($H$4=3,'2027'!D18,IF($H$4=4,'2028'!D18,IF($H$4=5,'2029'!D18,IF($H$4=6,'2030'!D18,IF($H$4=7,'2031'!D18,IF($H$4=8,'2032'!D18,IF($H$4=9,'2033'!D18)))))))))</f>
        <v>33819.198000000004</v>
      </c>
      <c r="L6" s="132">
        <f>IF($H$4=1,Relatórios!E16,IF($H$4=2,'2026'!E20,IF($H$4=3,'2027'!E18,IF($H$4=4,'2028'!E18,IF($H$4=5,'2029'!E18,IF($H$4=6,'2030'!E18,IF($H$4=7,'2031'!E18,IF($H$4=8,'2032'!E18,IF($H$4=9,'2033'!E18)))))))))</f>
        <v>26689.588499999998</v>
      </c>
      <c r="M6" s="132">
        <f>IF($H$4=1,Relatórios!F16,IF($H$4=2,'2026'!F20,IF($H$4=3,'2027'!F18,IF($H$4=4,'2028'!F18,IF($H$4=5,'2029'!F18,IF($H$4=6,'2030'!F18,IF($H$4=7,'2031'!F18,IF($H$4=8,'2032'!F18,IF($H$4=9,'2033'!F18)))))))))</f>
        <v>42463.322800000002</v>
      </c>
      <c r="N6" s="132">
        <f>IF($H$4=1,Relatórios!G16,IF($H$4=2,'2026'!G20,IF($H$4=3,'2027'!G18,IF($H$4=4,'2028'!G18,IF($H$4=5,'2029'!G18,IF($H$4=6,'2030'!G18,IF($H$4=7,'2031'!G18,IF($H$4=8,'2032'!G18,IF($H$4=9,'2033'!G18)))))))))</f>
        <v>30254.532800000001</v>
      </c>
      <c r="O6" s="132">
        <f>IF($H$4=1,Relatórios!H16,IF($H$4=2,'2026'!H20,IF($H$4=3,'2027'!H18,IF($H$4=4,'2028'!H18,IF($H$4=5,'2029'!H18,IF($H$4=6,'2030'!H18,IF($H$4=7,'2031'!H18,IF($H$4=8,'2032'!H18,IF($H$4=9,'2033'!H18)))))))))</f>
        <v>29824.997900000002</v>
      </c>
      <c r="P6" s="132">
        <f>IF($H$4=1,Relatórios!I16,IF($H$4=2,'2026'!I20,IF($H$4=3,'2027'!I18,IF($H$4=4,'2028'!I18,IF($H$4=5,'2029'!I18,IF($H$4=6,'2030'!I18,IF($H$4=7,'2031'!I18,IF($H$4=8,'2032'!I18,IF($H$4=9,'2033'!I18)))))))))</f>
        <v>33512.091400000005</v>
      </c>
      <c r="Q6" s="132">
        <f>IF($H$4=1,Relatórios!J16,IF($H$4=2,'2026'!J20,IF($H$4=3,'2027'!J18,IF($H$4=4,'2028'!J18,IF($H$4=5,'2029'!J18,IF($H$4=6,'2030'!J18,IF($H$4=7,'2031'!J18,IF($H$4=8,'2032'!J18,IF($H$4=9,'2033'!J18)))))))))</f>
        <v>31766.4175</v>
      </c>
      <c r="R6" s="132">
        <f>IF($H$4=1,Relatórios!K16,IF($H$4=2,'2026'!K20,IF($H$4=3,'2027'!K18,IF($H$4=4,'2028'!K18,IF($H$4=5,'2029'!K18,IF($H$4=6,'2030'!K18,IF($H$4=7,'2031'!K18,IF($H$4=8,'2032'!K18,IF($H$4=9,'2033'!K18)))))))))</f>
        <v>24892.184500000003</v>
      </c>
      <c r="S6" s="132">
        <f>IF($H$4=1,Relatórios!L16,IF($H$4=2,'2026'!L20,IF($H$4=3,'2027'!L18,IF($H$4=4,'2028'!L18,IF($H$4=5,'2029'!L18,IF($H$4=6,'2030'!L18,IF($H$4=7,'2031'!L18,IF($H$4=8,'2032'!L18,IF($H$4=9,'2033'!L18)))))))))</f>
        <v>35508.068599999999</v>
      </c>
      <c r="T6" s="132">
        <f>IF($H$4=1,Relatórios!M16,IF($H$4=2,'2026'!M20,IF($H$4=3,'2027'!M18,IF($H$4=4,'2028'!M18,IF($H$4=5,'2029'!M18,IF($H$4=6,'2030'!M18,IF($H$4=7,'2031'!M18,IF($H$4=8,'2032'!M18,IF($H$4=9,'2033'!M18)))))))))</f>
        <v>28168.818500000001</v>
      </c>
      <c r="U6" s="132">
        <f>IF($H$4=1,Relatórios!N16,IF($H$4=2,'2026'!N20,IF($H$4=3,'2027'!N18,IF($H$4=4,'2028'!N18,IF($H$4=5,'2029'!N18,IF($H$4=6,'2030'!N18,IF($H$4=7,'2031'!N18,IF($H$4=8,'2032'!N18,IF($H$4=9,'2033'!N18)))))))))</f>
        <v>27487.8145</v>
      </c>
      <c r="V6" s="132">
        <f>IF($H$4=1,Relatórios!O16,IF($H$4=2,'2026'!O20,IF($H$4=3,'2027'!O18,IF($H$4=4,'2028'!O18,IF($H$4=5,'2029'!O18,IF($H$4=6,'2030'!O18,IF($H$4=7,'2031'!O18,IF($H$4=8,'2032'!O18,IF($H$4=9,'2033'!O18)))))))))</f>
        <v>35324.830299999994</v>
      </c>
      <c r="W6" s="132">
        <f>IF($H$4=1,Relatórios!P16,IF($H$4=2,'2026'!P20,IF($H$4=3,'2027'!P18,IF($H$4=4,'2028'!P18,IF($H$4=5,'2029'!P18,IF($H$4=6,'2030'!P18,IF($H$4=7,'2031'!P18,IF($H$4=8,'2032'!P18,IF($H$4=9,'2033'!P18)))))))))</f>
        <v>379711.8653</v>
      </c>
    </row>
    <row r="7" spans="2:24" ht="20.100000000000001" customHeight="1" x14ac:dyDescent="0.25">
      <c r="G7" s="49">
        <v>2028</v>
      </c>
      <c r="J7" s="19" t="s">
        <v>305</v>
      </c>
      <c r="K7" s="132">
        <f>IF($H$4=1,Relatórios!D54,IF($H$4=2,'2026'!D60,IF($H$4=3,'2027'!D58,IF($H$4=4,'2028'!D58,IF($H$4=5,'2029'!D58,IF($H$4=6,'2030'!D58,IF($H$4=7,'2031'!D58,IF($H$4=8,'2032'!D58,IF($H$4=9,'2033'!D58)))))))))</f>
        <v>23495.801999999996</v>
      </c>
      <c r="L7" s="132">
        <f>IF($H$4=1,Relatórios!E54,IF($H$4=2,'2026'!E60,IF($H$4=3,'2027'!E58,IF($H$4=4,'2028'!E58,IF($H$4=5,'2029'!E58,IF($H$4=6,'2030'!E58,IF($H$4=7,'2031'!E58,IF($H$4=8,'2032'!E58,IF($H$4=9,'2033'!E58)))))))))</f>
        <v>7244.4115000000093</v>
      </c>
      <c r="M7" s="132">
        <f>IF($H$4=1,Relatórios!F54,IF($H$4=2,'2026'!F60,IF($H$4=3,'2027'!F58,IF($H$4=4,'2028'!F58,IF($H$4=5,'2029'!F58,IF($H$4=6,'2030'!F58,IF($H$4=7,'2031'!F58,IF($H$4=8,'2032'!F58,IF($H$4=9,'2033'!F58)))))))))</f>
        <v>14687.677200000011</v>
      </c>
      <c r="N7" s="132">
        <f>IF($H$4=1,Relatórios!G54,IF($H$4=2,'2026'!G60,IF($H$4=3,'2027'!G58,IF($H$4=4,'2028'!G58,IF($H$4=5,'2029'!G58,IF($H$4=6,'2030'!G58,IF($H$4=7,'2031'!G58,IF($H$4=8,'2032'!G58,IF($H$4=9,'2033'!G58)))))))))</f>
        <v>13760.467200000006</v>
      </c>
      <c r="O7" s="132">
        <f>IF($H$4=1,Relatórios!H54,IF($H$4=2,'2026'!H60,IF($H$4=3,'2027'!H58,IF($H$4=4,'2028'!H58,IF($H$4=5,'2029'!H58,IF($H$4=6,'2030'!H58,IF($H$4=7,'2031'!H58,IF($H$4=8,'2032'!H58,IF($H$4=9,'2033'!H58)))))))))</f>
        <v>14729.002100000005</v>
      </c>
      <c r="P7" s="132">
        <f>IF($H$4=1,Relatórios!I54,IF($H$4=2,'2026'!I60,IF($H$4=3,'2027'!I58,IF($H$4=4,'2028'!I58,IF($H$4=5,'2029'!I58,IF($H$4=6,'2030'!I58,IF($H$4=7,'2031'!I58,IF($H$4=8,'2032'!I58,IF($H$4=9,'2033'!I58)))))))))</f>
        <v>-5452.091400000003</v>
      </c>
      <c r="Q7" s="132">
        <f>IF($H$4=1,Relatórios!J54,IF($H$4=2,'2026'!J60,IF($H$4=3,'2027'!J58,IF($H$4=4,'2028'!J58,IF($H$4=5,'2029'!J58,IF($H$4=6,'2030'!J58,IF($H$4=7,'2031'!J58,IF($H$4=8,'2032'!J58,IF($H$4=9,'2033'!J58)))))))))</f>
        <v>14943.582499999997</v>
      </c>
      <c r="R7" s="132">
        <f>IF($H$4=1,Relatórios!K54,IF($H$4=2,'2026'!K60,IF($H$4=3,'2027'!K58,IF($H$4=4,'2028'!K58,IF($H$4=5,'2029'!K58,IF($H$4=6,'2030'!K58,IF($H$4=7,'2031'!K58,IF($H$4=8,'2032'!K58,IF($H$4=9,'2033'!K58)))))))))</f>
        <v>-524.18450000000303</v>
      </c>
      <c r="S7" s="132">
        <f>IF($H$4=1,Relatórios!L54,IF($H$4=2,'2026'!L60,IF($H$4=3,'2027'!L58,IF($H$4=4,'2028'!L58,IF($H$4=5,'2029'!L58,IF($H$4=6,'2030'!L58,IF($H$4=7,'2031'!L58,IF($H$4=8,'2032'!L58,IF($H$4=9,'2033'!L58)))))))))</f>
        <v>-3328.0686000000005</v>
      </c>
      <c r="T7" s="132">
        <f>IF($H$4=1,Relatórios!M54,IF($H$4=2,'2026'!M60,IF($H$4=3,'2027'!M58,IF($H$4=4,'2028'!M58,IF($H$4=5,'2029'!M58,IF($H$4=6,'2030'!M58,IF($H$4=7,'2031'!M58,IF($H$4=8,'2032'!M58,IF($H$4=9,'2033'!M58)))))))))</f>
        <v>11955.181500000006</v>
      </c>
      <c r="U7" s="132">
        <f>IF($H$4=1,Relatórios!N54,IF($H$4=2,'2026'!N60,IF($H$4=3,'2027'!N58,IF($H$4=4,'2028'!N58,IF($H$4=5,'2029'!N58,IF($H$4=6,'2030'!N58,IF($H$4=7,'2031'!N58,IF($H$4=8,'2032'!N58,IF($H$4=9,'2033'!N58)))))))))</f>
        <v>6465.1855000000069</v>
      </c>
      <c r="V7" s="132">
        <f>IF($H$4=1,Relatórios!O54,IF($H$4=2,'2026'!O60,IF($H$4=3,'2027'!O58,IF($H$4=4,'2028'!O58,IF($H$4=5,'2029'!O58,IF($H$4=6,'2030'!O58,IF($H$4=7,'2031'!O58,IF($H$4=8,'2032'!O58,IF($H$4=9,'2033'!O58)))))))))</f>
        <v>-4256.8302999999851</v>
      </c>
      <c r="W7" s="132">
        <f>IF($H$4=1,Relatórios!P54,IF($H$4=2,'2026'!P60,IF($H$4=3,'2027'!P58,IF($H$4=4,'2028'!P58,IF($H$4=5,'2029'!P58,IF($H$4=6,'2030'!P58,IF($H$4=7,'2031'!P58,IF($H$4=8,'2032'!P58,IF($H$4=9,'2033'!P58)))))))))</f>
        <v>93720.134700000053</v>
      </c>
    </row>
    <row r="8" spans="2:24" ht="20.100000000000001" customHeight="1" x14ac:dyDescent="0.25">
      <c r="B8" s="49" t="s">
        <v>80</v>
      </c>
      <c r="C8" s="49">
        <v>6</v>
      </c>
      <c r="D8" s="19" t="s">
        <v>118</v>
      </c>
      <c r="G8" s="49">
        <v>2029</v>
      </c>
      <c r="J8" s="19" t="s">
        <v>306</v>
      </c>
      <c r="K8" s="133">
        <f>IFERROR(K7/K5,0)</f>
        <v>0.17439823343848576</v>
      </c>
      <c r="L8" s="133">
        <f t="shared" ref="L8:W8" si="0">IFERROR(L7/L5,0)</f>
        <v>6.6835913498353272E-2</v>
      </c>
      <c r="M8" s="133">
        <f t="shared" si="0"/>
        <v>0.10992700710260238</v>
      </c>
      <c r="N8" s="133">
        <f t="shared" si="0"/>
        <v>0.11433137691515177</v>
      </c>
      <c r="O8" s="133">
        <f t="shared" si="0"/>
        <v>0.12371179079280026</v>
      </c>
      <c r="P8" s="133">
        <f t="shared" si="0"/>
        <v>-5.2302754194606754E-2</v>
      </c>
      <c r="Q8" s="133">
        <f t="shared" si="0"/>
        <v>0.12075817386947665</v>
      </c>
      <c r="R8" s="133">
        <f t="shared" si="0"/>
        <v>-5.1089111323366311E-3</v>
      </c>
      <c r="S8" s="133">
        <f t="shared" si="0"/>
        <v>-3.0321600962107894E-2</v>
      </c>
      <c r="T8" s="133">
        <f t="shared" si="0"/>
        <v>0.10336576920084045</v>
      </c>
      <c r="U8" s="133">
        <f t="shared" si="0"/>
        <v>5.8492056527128196E-2</v>
      </c>
      <c r="V8" s="133">
        <f t="shared" si="0"/>
        <v>-3.8863450284389041E-2</v>
      </c>
      <c r="W8" s="133">
        <f t="shared" si="0"/>
        <v>6.7317188843405915E-2</v>
      </c>
    </row>
    <row r="9" spans="2:24" ht="20.100000000000001" customHeight="1" x14ac:dyDescent="0.25">
      <c r="B9" s="49" t="s">
        <v>81</v>
      </c>
      <c r="C9" s="49" t="str">
        <f>INDEX(Anexo,C8)</f>
        <v>Não é do Simples Nacional</v>
      </c>
      <c r="G9" s="49">
        <v>2030</v>
      </c>
    </row>
    <row r="10" spans="2:24" ht="20.100000000000001" customHeight="1" x14ac:dyDescent="0.25">
      <c r="B10" s="49" t="s">
        <v>75</v>
      </c>
      <c r="G10" s="49">
        <v>2031</v>
      </c>
      <c r="J10" s="118" t="s">
        <v>82</v>
      </c>
      <c r="K10" s="118" t="s">
        <v>83</v>
      </c>
      <c r="L10" s="118" t="s">
        <v>84</v>
      </c>
      <c r="M10" s="118" t="s">
        <v>85</v>
      </c>
      <c r="N10" s="118" t="s">
        <v>86</v>
      </c>
      <c r="O10" s="118" t="s">
        <v>87</v>
      </c>
      <c r="P10" s="118" t="s">
        <v>88</v>
      </c>
      <c r="Q10" s="118" t="s">
        <v>89</v>
      </c>
      <c r="R10" s="118" t="s">
        <v>90</v>
      </c>
      <c r="S10" s="118" t="s">
        <v>91</v>
      </c>
      <c r="T10" s="118" t="s">
        <v>92</v>
      </c>
      <c r="U10" s="118" t="s">
        <v>93</v>
      </c>
      <c r="V10" s="118" t="s">
        <v>94</v>
      </c>
      <c r="W10" s="118" t="s">
        <v>95</v>
      </c>
      <c r="X10" s="19" t="s">
        <v>48</v>
      </c>
    </row>
    <row r="11" spans="2:24" ht="20.100000000000001" customHeight="1" x14ac:dyDescent="0.25">
      <c r="B11" s="49" t="s">
        <v>76</v>
      </c>
      <c r="G11" s="49">
        <v>2032</v>
      </c>
      <c r="J11" s="19" t="s">
        <v>135</v>
      </c>
      <c r="K11" s="132">
        <f>K5</f>
        <v>134725</v>
      </c>
      <c r="L11" s="132">
        <f t="shared" ref="L11:W11" si="1">L5</f>
        <v>108391</v>
      </c>
      <c r="M11" s="132">
        <f t="shared" si="1"/>
        <v>133613</v>
      </c>
      <c r="N11" s="132">
        <f t="shared" si="1"/>
        <v>120356</v>
      </c>
      <c r="O11" s="132">
        <f t="shared" si="1"/>
        <v>119059</v>
      </c>
      <c r="P11" s="132">
        <f t="shared" si="1"/>
        <v>104241</v>
      </c>
      <c r="Q11" s="132">
        <f t="shared" si="1"/>
        <v>123748</v>
      </c>
      <c r="R11" s="132">
        <f t="shared" si="1"/>
        <v>102602</v>
      </c>
      <c r="S11" s="132">
        <f t="shared" si="1"/>
        <v>109759</v>
      </c>
      <c r="T11" s="132">
        <f t="shared" si="1"/>
        <v>115659</v>
      </c>
      <c r="U11" s="132">
        <f t="shared" si="1"/>
        <v>110531</v>
      </c>
      <c r="V11" s="132">
        <f t="shared" si="1"/>
        <v>109533</v>
      </c>
      <c r="W11" s="132">
        <f t="shared" si="1"/>
        <v>1392217</v>
      </c>
      <c r="X11" s="226">
        <v>1</v>
      </c>
    </row>
    <row r="12" spans="2:24" ht="20.100000000000001" customHeight="1" x14ac:dyDescent="0.25">
      <c r="B12" s="49" t="s">
        <v>77</v>
      </c>
      <c r="G12" s="49">
        <v>2033</v>
      </c>
      <c r="J12" s="19" t="s">
        <v>307</v>
      </c>
      <c r="K12" s="132">
        <f>Cus!D8</f>
        <v>38671</v>
      </c>
      <c r="L12" s="132">
        <f>Cus!E8</f>
        <v>35038</v>
      </c>
      <c r="M12" s="132">
        <f>Cus!F8</f>
        <v>38988</v>
      </c>
      <c r="N12" s="132">
        <f>Cus!G8</f>
        <v>36366</v>
      </c>
      <c r="O12" s="132">
        <f>Cus!H8</f>
        <v>36221</v>
      </c>
      <c r="P12" s="132">
        <f>Cus!I8</f>
        <v>36625</v>
      </c>
      <c r="Q12" s="132">
        <f>Cus!J8</f>
        <v>37727</v>
      </c>
      <c r="R12" s="132">
        <f>Cus!K8</f>
        <v>38303</v>
      </c>
      <c r="S12" s="132">
        <f>Cus!L8</f>
        <v>39407</v>
      </c>
      <c r="T12" s="132">
        <f>Cus!M8</f>
        <v>36094</v>
      </c>
      <c r="U12" s="132">
        <f>Cus!N8</f>
        <v>37011</v>
      </c>
      <c r="V12" s="132">
        <f>Cus!O8</f>
        <v>39167</v>
      </c>
      <c r="W12" s="132">
        <f>Cus!P8</f>
        <v>449618</v>
      </c>
      <c r="X12" s="226">
        <f>IFERROR(W12/$W$11,0)</f>
        <v>0.3229510916760821</v>
      </c>
    </row>
    <row r="13" spans="2:24" ht="20.100000000000001" customHeight="1" x14ac:dyDescent="0.25">
      <c r="B13" s="49" t="s">
        <v>119</v>
      </c>
      <c r="J13" s="19" t="s">
        <v>308</v>
      </c>
      <c r="K13" s="132">
        <f>Desp!D13</f>
        <v>26739</v>
      </c>
      <c r="L13" s="132">
        <f>Desp!E13</f>
        <v>27419</v>
      </c>
      <c r="M13" s="132">
        <f>Desp!F13</f>
        <v>25474</v>
      </c>
      <c r="N13" s="132">
        <f>Desp!G13</f>
        <v>27975</v>
      </c>
      <c r="O13" s="132">
        <f>Desp!H13</f>
        <v>26284</v>
      </c>
      <c r="P13" s="132">
        <f>Desp!I13</f>
        <v>27556</v>
      </c>
      <c r="Q13" s="132">
        <f>Desp!J13</f>
        <v>27311</v>
      </c>
      <c r="R13" s="132">
        <f>Desp!K13</f>
        <v>27931</v>
      </c>
      <c r="S13" s="132">
        <f>Desp!L13</f>
        <v>26172</v>
      </c>
      <c r="T13" s="132">
        <f>Desp!M13</f>
        <v>27441</v>
      </c>
      <c r="U13" s="132">
        <f>Desp!N13</f>
        <v>27567</v>
      </c>
      <c r="V13" s="132">
        <f>Desp!O13</f>
        <v>27298</v>
      </c>
      <c r="W13" s="132">
        <f>Desp!P13</f>
        <v>325167</v>
      </c>
      <c r="X13" s="226">
        <f>IFERROR(W13/$W$11,0)</f>
        <v>0.23356057281300258</v>
      </c>
    </row>
    <row r="14" spans="2:24" ht="20.100000000000001" customHeight="1" x14ac:dyDescent="0.25">
      <c r="J14" s="19" t="s">
        <v>64</v>
      </c>
      <c r="K14" s="132">
        <f>K6</f>
        <v>33819.198000000004</v>
      </c>
      <c r="L14" s="132">
        <f t="shared" ref="L14:W14" si="2">L6</f>
        <v>26689.588499999998</v>
      </c>
      <c r="M14" s="132">
        <f t="shared" si="2"/>
        <v>42463.322800000002</v>
      </c>
      <c r="N14" s="132">
        <f t="shared" si="2"/>
        <v>30254.532800000001</v>
      </c>
      <c r="O14" s="132">
        <f t="shared" si="2"/>
        <v>29824.997900000002</v>
      </c>
      <c r="P14" s="132">
        <f t="shared" si="2"/>
        <v>33512.091400000005</v>
      </c>
      <c r="Q14" s="132">
        <f t="shared" si="2"/>
        <v>31766.4175</v>
      </c>
      <c r="R14" s="132">
        <f t="shared" si="2"/>
        <v>24892.184500000003</v>
      </c>
      <c r="S14" s="132">
        <f t="shared" si="2"/>
        <v>35508.068599999999</v>
      </c>
      <c r="T14" s="132">
        <f t="shared" si="2"/>
        <v>28168.818500000001</v>
      </c>
      <c r="U14" s="132">
        <f t="shared" si="2"/>
        <v>27487.8145</v>
      </c>
      <c r="V14" s="132">
        <f t="shared" si="2"/>
        <v>35324.830299999994</v>
      </c>
      <c r="W14" s="132">
        <f t="shared" si="2"/>
        <v>379711.8653</v>
      </c>
      <c r="X14" s="226">
        <f>IFERROR(W14/$W$11,0)</f>
        <v>0.2727389949267966</v>
      </c>
    </row>
    <row r="15" spans="2:24" ht="20.100000000000001" customHeight="1" x14ac:dyDescent="0.25">
      <c r="B15" s="49" t="s">
        <v>258</v>
      </c>
      <c r="C15" s="49">
        <v>1</v>
      </c>
      <c r="D15" s="49" t="str">
        <f>INDEX(B15:B16,C15)</f>
        <v>Simplificado</v>
      </c>
      <c r="J15" s="19" t="s">
        <v>305</v>
      </c>
      <c r="K15" s="132">
        <f>K7</f>
        <v>23495.801999999996</v>
      </c>
      <c r="L15" s="132">
        <f t="shared" ref="L15:W15" si="3">L7</f>
        <v>7244.4115000000093</v>
      </c>
      <c r="M15" s="132">
        <f t="shared" si="3"/>
        <v>14687.677200000011</v>
      </c>
      <c r="N15" s="132">
        <f t="shared" si="3"/>
        <v>13760.467200000006</v>
      </c>
      <c r="O15" s="132">
        <f t="shared" si="3"/>
        <v>14729.002100000005</v>
      </c>
      <c r="P15" s="132">
        <f t="shared" si="3"/>
        <v>-5452.091400000003</v>
      </c>
      <c r="Q15" s="132">
        <f t="shared" si="3"/>
        <v>14943.582499999997</v>
      </c>
      <c r="R15" s="132">
        <f t="shared" si="3"/>
        <v>-524.18450000000303</v>
      </c>
      <c r="S15" s="132">
        <f t="shared" si="3"/>
        <v>-3328.0686000000005</v>
      </c>
      <c r="T15" s="132">
        <f t="shared" si="3"/>
        <v>11955.181500000006</v>
      </c>
      <c r="U15" s="132">
        <f t="shared" si="3"/>
        <v>6465.1855000000069</v>
      </c>
      <c r="V15" s="132">
        <f t="shared" si="3"/>
        <v>-4256.8302999999851</v>
      </c>
      <c r="W15" s="132">
        <f t="shared" si="3"/>
        <v>93720.134700000053</v>
      </c>
      <c r="X15" s="226">
        <f>IFERROR(W15/$W$11,0)</f>
        <v>6.7317188843405915E-2</v>
      </c>
    </row>
    <row r="16" spans="2:24" ht="20.100000000000001" customHeight="1" x14ac:dyDescent="0.25">
      <c r="B16" s="49" t="s">
        <v>259</v>
      </c>
    </row>
    <row r="17" spans="2:22" ht="20.100000000000001" customHeight="1" x14ac:dyDescent="0.25">
      <c r="J17" s="19" t="str">
        <f>J10</f>
        <v>Tipo</v>
      </c>
      <c r="K17" s="19" t="str">
        <f t="shared" ref="K17:V17" si="4">K10</f>
        <v>Jan</v>
      </c>
      <c r="L17" s="19" t="str">
        <f t="shared" si="4"/>
        <v>Fev</v>
      </c>
      <c r="M17" s="19" t="str">
        <f t="shared" si="4"/>
        <v>Mar</v>
      </c>
      <c r="N17" s="19" t="str">
        <f t="shared" si="4"/>
        <v>Abr</v>
      </c>
      <c r="O17" s="19" t="str">
        <f t="shared" si="4"/>
        <v>Mai</v>
      </c>
      <c r="P17" s="19" t="str">
        <f t="shared" si="4"/>
        <v>Jun</v>
      </c>
      <c r="Q17" s="19" t="str">
        <f t="shared" si="4"/>
        <v>Jul</v>
      </c>
      <c r="R17" s="19" t="str">
        <f t="shared" si="4"/>
        <v>Ago</v>
      </c>
      <c r="S17" s="19" t="str">
        <f t="shared" si="4"/>
        <v>Set</v>
      </c>
      <c r="T17" s="19" t="str">
        <f t="shared" si="4"/>
        <v>Out</v>
      </c>
      <c r="U17" s="19" t="str">
        <f t="shared" si="4"/>
        <v>Nov</v>
      </c>
      <c r="V17" s="19" t="str">
        <f t="shared" si="4"/>
        <v>Dez</v>
      </c>
    </row>
    <row r="18" spans="2:22" ht="20.100000000000001" customHeight="1" x14ac:dyDescent="0.25">
      <c r="B18" s="49">
        <v>2</v>
      </c>
      <c r="C18" s="49" t="s">
        <v>281</v>
      </c>
      <c r="D18" s="49" t="s">
        <v>283</v>
      </c>
      <c r="J18" s="19" t="str">
        <f>J11</f>
        <v>Faturamento</v>
      </c>
      <c r="K18" s="132">
        <f>K11</f>
        <v>134725</v>
      </c>
      <c r="L18" s="132">
        <f t="shared" ref="L18:V18" si="5">L11</f>
        <v>108391</v>
      </c>
      <c r="M18" s="132">
        <f t="shared" si="5"/>
        <v>133613</v>
      </c>
      <c r="N18" s="132">
        <f t="shared" si="5"/>
        <v>120356</v>
      </c>
      <c r="O18" s="132">
        <f t="shared" si="5"/>
        <v>119059</v>
      </c>
      <c r="P18" s="132">
        <f t="shared" si="5"/>
        <v>104241</v>
      </c>
      <c r="Q18" s="132">
        <f t="shared" si="5"/>
        <v>123748</v>
      </c>
      <c r="R18" s="132">
        <f t="shared" si="5"/>
        <v>102602</v>
      </c>
      <c r="S18" s="132">
        <f t="shared" si="5"/>
        <v>109759</v>
      </c>
      <c r="T18" s="132">
        <f t="shared" si="5"/>
        <v>115659</v>
      </c>
      <c r="U18" s="132">
        <f t="shared" si="5"/>
        <v>110531</v>
      </c>
      <c r="V18" s="132">
        <f t="shared" si="5"/>
        <v>109533</v>
      </c>
    </row>
    <row r="19" spans="2:22" ht="20.100000000000001" customHeight="1" x14ac:dyDescent="0.25">
      <c r="C19" s="49" t="s">
        <v>282</v>
      </c>
      <c r="J19" s="19" t="str">
        <f>J14</f>
        <v>Impostos</v>
      </c>
      <c r="K19" s="132">
        <f>-K14</f>
        <v>-33819.198000000004</v>
      </c>
      <c r="L19" s="132">
        <f t="shared" ref="L19:V19" si="6">-L14</f>
        <v>-26689.588499999998</v>
      </c>
      <c r="M19" s="132">
        <f t="shared" si="6"/>
        <v>-42463.322800000002</v>
      </c>
      <c r="N19" s="132">
        <f t="shared" si="6"/>
        <v>-30254.532800000001</v>
      </c>
      <c r="O19" s="132">
        <f t="shared" si="6"/>
        <v>-29824.997900000002</v>
      </c>
      <c r="P19" s="132">
        <f t="shared" si="6"/>
        <v>-33512.091400000005</v>
      </c>
      <c r="Q19" s="132">
        <f t="shared" si="6"/>
        <v>-31766.4175</v>
      </c>
      <c r="R19" s="132">
        <f t="shared" si="6"/>
        <v>-24892.184500000003</v>
      </c>
      <c r="S19" s="132">
        <f t="shared" si="6"/>
        <v>-35508.068599999999</v>
      </c>
      <c r="T19" s="132">
        <f t="shared" si="6"/>
        <v>-28168.818500000001</v>
      </c>
      <c r="U19" s="132">
        <f t="shared" si="6"/>
        <v>-27487.8145</v>
      </c>
      <c r="V19" s="132">
        <f t="shared" si="6"/>
        <v>-35324.830299999994</v>
      </c>
    </row>
    <row r="21" spans="2:22" ht="20.100000000000001" customHeight="1" x14ac:dyDescent="0.25">
      <c r="T21" s="49" t="s">
        <v>323</v>
      </c>
    </row>
    <row r="22" spans="2:22" ht="20.100000000000001" customHeight="1" x14ac:dyDescent="0.25">
      <c r="J22" s="19" t="s">
        <v>82</v>
      </c>
      <c r="K22" s="19">
        <v>2025</v>
      </c>
      <c r="L22" s="19">
        <v>2026</v>
      </c>
      <c r="M22" s="19">
        <v>2027</v>
      </c>
      <c r="N22" s="19">
        <v>2028</v>
      </c>
      <c r="O22" s="19">
        <v>2029</v>
      </c>
      <c r="P22" s="19">
        <v>2030</v>
      </c>
      <c r="Q22" s="19">
        <v>2031</v>
      </c>
      <c r="R22" s="19">
        <v>2032</v>
      </c>
      <c r="S22" s="19">
        <v>2033</v>
      </c>
      <c r="T22" s="49" t="s">
        <v>310</v>
      </c>
    </row>
    <row r="23" spans="2:22" ht="20.100000000000001" customHeight="1" x14ac:dyDescent="0.25">
      <c r="J23" s="19" t="s">
        <v>64</v>
      </c>
      <c r="K23" s="132">
        <f>Relatórios!P16</f>
        <v>247038.86263999998</v>
      </c>
      <c r="L23" s="132">
        <f>'2026'!P20</f>
        <v>247038.86263999998</v>
      </c>
      <c r="M23" s="132">
        <f>'2027'!P18</f>
        <v>301527.59830000001</v>
      </c>
      <c r="N23" s="132">
        <f>'2028'!P18</f>
        <v>301527.59830000001</v>
      </c>
      <c r="O23" s="132">
        <f>'2029'!P18</f>
        <v>308093.02969999996</v>
      </c>
      <c r="P23" s="132">
        <f>'2030'!P18</f>
        <v>316050.67809999996</v>
      </c>
      <c r="Q23" s="132">
        <f>'2031'!P18</f>
        <v>324008.32649999997</v>
      </c>
      <c r="R23" s="132">
        <f>'2032'!P18</f>
        <v>331965.97489999997</v>
      </c>
      <c r="S23" s="132">
        <f>'2033'!P18</f>
        <v>379711.8653</v>
      </c>
      <c r="T23" s="235">
        <f>IFERROR(AVERAGE(K23:S23),0)</f>
        <v>306329.1995977778</v>
      </c>
    </row>
    <row r="24" spans="2:22" ht="20.100000000000001" customHeight="1" x14ac:dyDescent="0.25">
      <c r="J24" s="19" t="s">
        <v>309</v>
      </c>
      <c r="K24" s="226">
        <f>Carga!P5</f>
        <v>0.17744278560023327</v>
      </c>
      <c r="L24" s="226">
        <f>Carga!P6</f>
        <v>0.17744278560023327</v>
      </c>
      <c r="M24" s="226">
        <f>Carga!P7</f>
        <v>0.21658089098179378</v>
      </c>
      <c r="N24" s="226">
        <f>Carga!P8</f>
        <v>0.21658089098179378</v>
      </c>
      <c r="O24" s="226">
        <f>Carga!P9</f>
        <v>0.22129670137629404</v>
      </c>
      <c r="P24" s="226">
        <f>Carga!P10</f>
        <v>0.22701251177079432</v>
      </c>
      <c r="Q24" s="226">
        <f>Carga!P11</f>
        <v>0.2327283221652946</v>
      </c>
      <c r="R24" s="226">
        <f>Carga!P12</f>
        <v>0.23844413255979491</v>
      </c>
      <c r="S24" s="226">
        <f>Carga!P13</f>
        <v>0.2727389949267966</v>
      </c>
      <c r="T24" s="135">
        <f>IFERROR(AVERAGE(K24:S24),0)</f>
        <v>0.22002977955144762</v>
      </c>
    </row>
    <row r="25" spans="2:22" ht="20.100000000000001" customHeight="1" x14ac:dyDescent="0.25">
      <c r="J25" s="19" t="s">
        <v>305</v>
      </c>
      <c r="K25" s="132">
        <f>Relatórios!P54</f>
        <v>263423.76642249996</v>
      </c>
      <c r="L25" s="132">
        <f>'2026'!P60</f>
        <v>249501.59642250001</v>
      </c>
      <c r="M25" s="132">
        <f>'2027'!P58</f>
        <v>171904.40170000002</v>
      </c>
      <c r="N25" s="132">
        <f>'2028'!P58</f>
        <v>171904.40170000002</v>
      </c>
      <c r="O25" s="132">
        <f>'2029'!P58</f>
        <v>165338.97030000002</v>
      </c>
      <c r="P25" s="132">
        <f>'2030'!P58</f>
        <v>157381.32190000001</v>
      </c>
      <c r="Q25" s="132">
        <f>'2031'!P58</f>
        <v>149423.67350000006</v>
      </c>
      <c r="R25" s="132">
        <f>'2032'!P58</f>
        <v>141466.02510000006</v>
      </c>
      <c r="S25" s="132">
        <f>'2033'!P58</f>
        <v>93720.134700000053</v>
      </c>
      <c r="T25" s="235">
        <f>IFERROR(AVERAGE(K25:S25),0)</f>
        <v>173784.92130500003</v>
      </c>
    </row>
    <row r="26" spans="2:22" ht="20.100000000000001" customHeight="1" x14ac:dyDescent="0.25">
      <c r="J26" s="19" t="s">
        <v>322</v>
      </c>
      <c r="K26" s="226">
        <f>Lucra!P5</f>
        <v>0.18921171514390353</v>
      </c>
      <c r="L26" s="226">
        <f>Lucra!P6</f>
        <v>0.17921171514390358</v>
      </c>
      <c r="M26" s="226">
        <f>Lucra!P7</f>
        <v>0.12347529278840871</v>
      </c>
      <c r="N26" s="226">
        <f>Lucra!P8</f>
        <v>0.12347529278840871</v>
      </c>
      <c r="O26" s="226">
        <f>Lucra!P9</f>
        <v>0.11875948239390843</v>
      </c>
      <c r="P26" s="226">
        <f>Lucra!P10</f>
        <v>0.11304367199940815</v>
      </c>
      <c r="Q26" s="226">
        <f>Lucra!P11</f>
        <v>0.1073278616049079</v>
      </c>
      <c r="R26" s="226">
        <f>Lucra!P12</f>
        <v>0.10161205121040762</v>
      </c>
      <c r="S26" s="226">
        <f>Lucra!P13</f>
        <v>6.7317188843405915E-2</v>
      </c>
      <c r="T26" s="135">
        <f>IFERROR(AVERAGE(K26:S26),0)</f>
        <v>0.12482603021296251</v>
      </c>
    </row>
  </sheetData>
  <mergeCells count="1">
    <mergeCell ref="B2:C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FFC000"/>
  </sheetPr>
  <dimension ref="B1:P35"/>
  <sheetViews>
    <sheetView showGridLines="0" workbookViewId="0">
      <selection activeCell="C10" sqref="C10"/>
    </sheetView>
  </sheetViews>
  <sheetFormatPr defaultColWidth="20.7109375" defaultRowHeight="20.100000000000001" customHeight="1" x14ac:dyDescent="0.25"/>
  <cols>
    <col min="1" max="1" width="6.7109375" style="19" customWidth="1"/>
    <col min="2" max="14" width="14.7109375" style="19" customWidth="1"/>
    <col min="15" max="16384" width="20.7109375" style="19"/>
  </cols>
  <sheetData>
    <row r="1" spans="2:15" s="20" customFormat="1" ht="20.100000000000001" customHeight="1" x14ac:dyDescent="0.25"/>
    <row r="2" spans="2:15" s="22" customFormat="1" ht="20.100000000000001" customHeight="1" x14ac:dyDescent="0.25">
      <c r="B2" s="21" t="s">
        <v>0</v>
      </c>
    </row>
    <row r="4" spans="2:15" ht="20.100000000000001" customHeight="1" x14ac:dyDescent="0.25">
      <c r="B4" s="19" t="s">
        <v>204</v>
      </c>
      <c r="C4" s="188" t="s">
        <v>205</v>
      </c>
    </row>
    <row r="5" spans="2:15" ht="20.100000000000001" customHeight="1" x14ac:dyDescent="0.25">
      <c r="B5" s="112" t="s">
        <v>82</v>
      </c>
      <c r="C5" s="112" t="s">
        <v>83</v>
      </c>
      <c r="D5" s="112" t="s">
        <v>84</v>
      </c>
      <c r="E5" s="112" t="s">
        <v>85</v>
      </c>
      <c r="F5" s="112" t="s">
        <v>86</v>
      </c>
      <c r="G5" s="112" t="s">
        <v>87</v>
      </c>
      <c r="H5" s="112" t="s">
        <v>88</v>
      </c>
      <c r="I5" s="112" t="s">
        <v>89</v>
      </c>
      <c r="J5" s="112" t="s">
        <v>90</v>
      </c>
      <c r="K5" s="112" t="s">
        <v>91</v>
      </c>
      <c r="L5" s="112" t="s">
        <v>92</v>
      </c>
      <c r="M5" s="112" t="s">
        <v>93</v>
      </c>
      <c r="N5" s="112" t="s">
        <v>94</v>
      </c>
      <c r="O5" s="112" t="s">
        <v>95</v>
      </c>
    </row>
    <row r="6" spans="2:15" ht="20.100000000000001" customHeight="1" x14ac:dyDescent="0.25">
      <c r="B6" s="19" t="s">
        <v>97</v>
      </c>
      <c r="C6" s="132">
        <f>'Fat6'!D11</f>
        <v>770.62699999999995</v>
      </c>
      <c r="D6" s="132">
        <f>'Fat6'!E11</f>
        <v>619.99652000000003</v>
      </c>
      <c r="E6" s="132">
        <f>'Fat6'!F11</f>
        <v>764.26635999999996</v>
      </c>
      <c r="F6" s="132">
        <f>'Fat6'!G11</f>
        <v>688.43631999999991</v>
      </c>
      <c r="G6" s="132">
        <f>'Fat6'!H11</f>
        <v>681.01747999999998</v>
      </c>
      <c r="H6" s="132">
        <f>'Fat6'!I11</f>
        <v>596.25851999999998</v>
      </c>
      <c r="I6" s="132">
        <f>'Fat6'!J11</f>
        <v>707.83856000000003</v>
      </c>
      <c r="J6" s="132">
        <f>'Fat6'!K11</f>
        <v>586.88343999999995</v>
      </c>
      <c r="K6" s="132">
        <f>'Fat6'!L11</f>
        <v>627.82147999999995</v>
      </c>
      <c r="L6" s="132">
        <f>'Fat6'!M11</f>
        <v>661.56948</v>
      </c>
      <c r="M6" s="132">
        <f>'Fat6'!N11</f>
        <v>632.23731999999995</v>
      </c>
      <c r="N6" s="132">
        <f>'Fat6'!O11</f>
        <v>626.52876000000003</v>
      </c>
      <c r="O6" s="114">
        <f t="shared" ref="O6:O11" si="0">SUM(C6:N6)</f>
        <v>7963.4812400000001</v>
      </c>
    </row>
    <row r="7" spans="2:15" ht="20.100000000000001" customHeight="1" x14ac:dyDescent="0.25">
      <c r="B7" s="19" t="s">
        <v>98</v>
      </c>
      <c r="C7" s="132">
        <f>'Fat6'!D12</f>
        <v>3556.74</v>
      </c>
      <c r="D7" s="132">
        <f>'Fat6'!E12</f>
        <v>2861.5223999999998</v>
      </c>
      <c r="E7" s="132">
        <f>'Fat6'!F12</f>
        <v>3527.3831999999998</v>
      </c>
      <c r="F7" s="132">
        <f>'Fat6'!G12</f>
        <v>3177.3984</v>
      </c>
      <c r="G7" s="132">
        <f>'Fat6'!H12</f>
        <v>3143.1576</v>
      </c>
      <c r="H7" s="132">
        <f>'Fat6'!I12</f>
        <v>2751.9623999999999</v>
      </c>
      <c r="I7" s="132">
        <f>'Fat6'!J12</f>
        <v>3266.9472000000001</v>
      </c>
      <c r="J7" s="132">
        <f>'Fat6'!K12</f>
        <v>2708.6927999999998</v>
      </c>
      <c r="K7" s="132">
        <f>'Fat6'!L12</f>
        <v>2897.6376</v>
      </c>
      <c r="L7" s="132">
        <f>'Fat6'!M12</f>
        <v>3053.3975999999998</v>
      </c>
      <c r="M7" s="132">
        <f>'Fat6'!N12</f>
        <v>2918.0183999999999</v>
      </c>
      <c r="N7" s="132">
        <f>'Fat6'!O12</f>
        <v>2891.6712000000002</v>
      </c>
      <c r="O7" s="114">
        <f t="shared" si="0"/>
        <v>36754.528799999993</v>
      </c>
    </row>
    <row r="8" spans="2:15" ht="20.100000000000001" customHeight="1" x14ac:dyDescent="0.25">
      <c r="B8" s="19" t="s">
        <v>37</v>
      </c>
      <c r="C8" s="132">
        <f>'Fat6'!D13</f>
        <v>16167</v>
      </c>
      <c r="D8" s="132">
        <f>'Fat6'!E13</f>
        <v>13006.92</v>
      </c>
      <c r="E8" s="132">
        <f>'Fat6'!F13</f>
        <v>16033.56</v>
      </c>
      <c r="F8" s="132">
        <f>'Fat6'!G13</f>
        <v>14442.72</v>
      </c>
      <c r="G8" s="132">
        <f>'Fat6'!H13</f>
        <v>14287.08</v>
      </c>
      <c r="H8" s="132">
        <f>'Fat6'!I13</f>
        <v>12508.92</v>
      </c>
      <c r="I8" s="132">
        <f>'Fat6'!J13</f>
        <v>14849.76</v>
      </c>
      <c r="J8" s="132">
        <f>'Fat6'!K13</f>
        <v>12312.24</v>
      </c>
      <c r="K8" s="132">
        <f>'Fat6'!L13</f>
        <v>13171.08</v>
      </c>
      <c r="L8" s="132">
        <f>'Fat6'!M13</f>
        <v>13879.08</v>
      </c>
      <c r="M8" s="132">
        <f>'Fat6'!N13</f>
        <v>13263.72</v>
      </c>
      <c r="N8" s="132">
        <f>'Fat6'!O13</f>
        <v>13143.96</v>
      </c>
      <c r="O8" s="114">
        <f t="shared" si="0"/>
        <v>167066.03999999998</v>
      </c>
    </row>
    <row r="9" spans="2:15" ht="20.100000000000001" customHeight="1" x14ac:dyDescent="0.25">
      <c r="B9" s="19" t="s">
        <v>38</v>
      </c>
      <c r="C9" s="132">
        <f>'Fat6'!D14</f>
        <v>0</v>
      </c>
      <c r="D9" s="132">
        <f>'Fat6'!E14</f>
        <v>0</v>
      </c>
      <c r="E9" s="132">
        <f>'Fat6'!F14</f>
        <v>0</v>
      </c>
      <c r="F9" s="132">
        <f>'Fat6'!G14</f>
        <v>0</v>
      </c>
      <c r="G9" s="132">
        <f>'Fat6'!H14</f>
        <v>0</v>
      </c>
      <c r="H9" s="132">
        <f>'Fat6'!I14</f>
        <v>0</v>
      </c>
      <c r="I9" s="132">
        <f>'Fat6'!J14</f>
        <v>0</v>
      </c>
      <c r="J9" s="132">
        <f>'Fat6'!K14</f>
        <v>0</v>
      </c>
      <c r="K9" s="132">
        <f>'Fat6'!L14</f>
        <v>0</v>
      </c>
      <c r="L9" s="132">
        <f>'Fat6'!M14</f>
        <v>0</v>
      </c>
      <c r="M9" s="132">
        <f>'Fat6'!N14</f>
        <v>0</v>
      </c>
      <c r="N9" s="132">
        <f>'Fat6'!O14</f>
        <v>0</v>
      </c>
      <c r="O9" s="114">
        <f t="shared" si="0"/>
        <v>0</v>
      </c>
    </row>
    <row r="10" spans="2:15" ht="20.100000000000001" customHeight="1" x14ac:dyDescent="0.25">
      <c r="B10" s="19" t="s">
        <v>39</v>
      </c>
      <c r="C10" s="132">
        <f>'Fat6'!D15</f>
        <v>0</v>
      </c>
      <c r="D10" s="132">
        <f>'Fat6'!E15</f>
        <v>0</v>
      </c>
      <c r="E10" s="132">
        <f>'Fat6'!F15</f>
        <v>0</v>
      </c>
      <c r="F10" s="132">
        <f>'Fat6'!G15</f>
        <v>0</v>
      </c>
      <c r="G10" s="132">
        <f>'Fat6'!H15</f>
        <v>0</v>
      </c>
      <c r="H10" s="132">
        <f>'Fat6'!I15</f>
        <v>0</v>
      </c>
      <c r="I10" s="132">
        <f>'Fat6'!J15</f>
        <v>0</v>
      </c>
      <c r="J10" s="132">
        <f>'Fat6'!K15</f>
        <v>0</v>
      </c>
      <c r="K10" s="132">
        <f>'Fat6'!L15</f>
        <v>0</v>
      </c>
      <c r="L10" s="132">
        <f>'Fat6'!M15</f>
        <v>0</v>
      </c>
      <c r="M10" s="132">
        <f>'Fat6'!N15</f>
        <v>0</v>
      </c>
      <c r="N10" s="132">
        <f>'Fat6'!O15</f>
        <v>0</v>
      </c>
      <c r="O10" s="114">
        <f t="shared" si="0"/>
        <v>0</v>
      </c>
    </row>
    <row r="11" spans="2:15" ht="20.100000000000001" customHeight="1" x14ac:dyDescent="0.25">
      <c r="B11" s="115" t="s">
        <v>99</v>
      </c>
      <c r="C11" s="114">
        <f>SUM(C6:C10)</f>
        <v>20494.366999999998</v>
      </c>
      <c r="D11" s="114">
        <f>SUM(D6:D10)</f>
        <v>16488.438920000001</v>
      </c>
      <c r="E11" s="114">
        <f t="shared" ref="E11:N11" si="1">SUM(E6:E10)</f>
        <v>20325.209559999999</v>
      </c>
      <c r="F11" s="114">
        <f t="shared" si="1"/>
        <v>18308.55472</v>
      </c>
      <c r="G11" s="114">
        <f t="shared" si="1"/>
        <v>18111.255079999999</v>
      </c>
      <c r="H11" s="114">
        <f t="shared" si="1"/>
        <v>15857.14092</v>
      </c>
      <c r="I11" s="114">
        <f t="shared" si="1"/>
        <v>18824.545760000001</v>
      </c>
      <c r="J11" s="114">
        <f t="shared" si="1"/>
        <v>15607.81624</v>
      </c>
      <c r="K11" s="114">
        <f t="shared" si="1"/>
        <v>16696.539079999999</v>
      </c>
      <c r="L11" s="114">
        <f t="shared" si="1"/>
        <v>17594.04708</v>
      </c>
      <c r="M11" s="114">
        <f t="shared" si="1"/>
        <v>16813.975719999999</v>
      </c>
      <c r="N11" s="114">
        <f t="shared" si="1"/>
        <v>16662.159960000001</v>
      </c>
      <c r="O11" s="114">
        <f t="shared" si="0"/>
        <v>211784.05003999994</v>
      </c>
    </row>
    <row r="12" spans="2:15" ht="20.100000000000001" customHeight="1" x14ac:dyDescent="0.25">
      <c r="B12" s="19" t="s">
        <v>204</v>
      </c>
      <c r="C12" s="188" t="s">
        <v>206</v>
      </c>
    </row>
    <row r="13" spans="2:15" ht="20.100000000000001" customHeight="1" x14ac:dyDescent="0.25">
      <c r="B13" s="112" t="s">
        <v>82</v>
      </c>
      <c r="C13" s="112" t="s">
        <v>83</v>
      </c>
      <c r="D13" s="112" t="s">
        <v>84</v>
      </c>
      <c r="E13" s="112" t="s">
        <v>85</v>
      </c>
      <c r="F13" s="112" t="s">
        <v>86</v>
      </c>
      <c r="G13" s="112" t="s">
        <v>87</v>
      </c>
      <c r="H13" s="112" t="s">
        <v>88</v>
      </c>
      <c r="I13" s="112" t="s">
        <v>89</v>
      </c>
      <c r="J13" s="112" t="s">
        <v>90</v>
      </c>
      <c r="K13" s="112" t="s">
        <v>91</v>
      </c>
      <c r="L13" s="112" t="s">
        <v>92</v>
      </c>
      <c r="M13" s="112" t="s">
        <v>93</v>
      </c>
      <c r="N13" s="112" t="s">
        <v>94</v>
      </c>
      <c r="O13" s="112" t="s">
        <v>95</v>
      </c>
    </row>
    <row r="14" spans="2:15" ht="20.100000000000001" customHeight="1" x14ac:dyDescent="0.25">
      <c r="B14" s="19" t="s">
        <v>97</v>
      </c>
      <c r="C14" s="132">
        <f>IF('BH (1)'!$D$4="Lucro Real",Lançamentos!D10,0)</f>
        <v>0</v>
      </c>
      <c r="D14" s="132">
        <f>IF('BH (1)'!$D$4="Lucro Real",Lançamentos!E10,0)</f>
        <v>0</v>
      </c>
      <c r="E14" s="132">
        <f>IF('BH (1)'!$D$4="Lucro Real",Lançamentos!F10,0)</f>
        <v>0</v>
      </c>
      <c r="F14" s="132">
        <f>IF('BH (1)'!$D$4="Lucro Real",Lançamentos!G10,0)</f>
        <v>0</v>
      </c>
      <c r="G14" s="132">
        <f>IF('BH (1)'!$D$4="Lucro Real",Lançamentos!H10,0)</f>
        <v>0</v>
      </c>
      <c r="H14" s="132">
        <f>IF('BH (1)'!$D$4="Lucro Real",Lançamentos!I10,0)</f>
        <v>0</v>
      </c>
      <c r="I14" s="132">
        <f>IF('BH (1)'!$D$4="Lucro Real",Lançamentos!J10,0)</f>
        <v>0</v>
      </c>
      <c r="J14" s="132">
        <f>IF('BH (1)'!$D$4="Lucro Real",Lançamentos!K10,0)</f>
        <v>0</v>
      </c>
      <c r="K14" s="132">
        <f>IF('BH (1)'!$D$4="Lucro Real",Lançamentos!L10,0)</f>
        <v>0</v>
      </c>
      <c r="L14" s="132">
        <f>IF('BH (1)'!$D$4="Lucro Real",Lançamentos!M10,0)</f>
        <v>0</v>
      </c>
      <c r="M14" s="132">
        <f>IF('BH (1)'!$D$4="Lucro Real",Lançamentos!N10,0)</f>
        <v>0</v>
      </c>
      <c r="N14" s="132">
        <f>IF('BH (1)'!$D$4="Lucro Real",Lançamentos!O10,0)</f>
        <v>0</v>
      </c>
      <c r="O14" s="114">
        <f t="shared" ref="O14:O19" si="2">SUM(C14:N14)</f>
        <v>0</v>
      </c>
    </row>
    <row r="15" spans="2:15" ht="20.100000000000001" customHeight="1" x14ac:dyDescent="0.25">
      <c r="B15" s="19" t="s">
        <v>98</v>
      </c>
      <c r="C15" s="132">
        <f>IF('BH (1)'!$D$4="Lucro Real",Lançamentos!D11,0)</f>
        <v>0</v>
      </c>
      <c r="D15" s="132">
        <f>IF('BH (1)'!$D$4="Lucro Real",Lançamentos!E11,0)</f>
        <v>0</v>
      </c>
      <c r="E15" s="132">
        <f>IF('BH (1)'!$D$4="Lucro Real",Lançamentos!F11,0)</f>
        <v>0</v>
      </c>
      <c r="F15" s="132">
        <f>IF('BH (1)'!$D$4="Lucro Real",Lançamentos!G11,0)</f>
        <v>0</v>
      </c>
      <c r="G15" s="132">
        <f>IF('BH (1)'!$D$4="Lucro Real",Lançamentos!H11,0)</f>
        <v>0</v>
      </c>
      <c r="H15" s="132">
        <f>IF('BH (1)'!$D$4="Lucro Real",Lançamentos!I11,0)</f>
        <v>0</v>
      </c>
      <c r="I15" s="132">
        <f>IF('BH (1)'!$D$4="Lucro Real",Lançamentos!J11,0)</f>
        <v>0</v>
      </c>
      <c r="J15" s="132">
        <f>IF('BH (1)'!$D$4="Lucro Real",Lançamentos!K11,0)</f>
        <v>0</v>
      </c>
      <c r="K15" s="132">
        <f>IF('BH (1)'!$D$4="Lucro Real",Lançamentos!L11,0)</f>
        <v>0</v>
      </c>
      <c r="L15" s="132">
        <f>IF('BH (1)'!$D$4="Lucro Real",Lançamentos!M11,0)</f>
        <v>0</v>
      </c>
      <c r="M15" s="132">
        <f>IF('BH (1)'!$D$4="Lucro Real",Lançamentos!N11,0)</f>
        <v>0</v>
      </c>
      <c r="N15" s="132">
        <f>IF('BH (1)'!$D$4="Lucro Real",Lançamentos!O11,0)</f>
        <v>0</v>
      </c>
      <c r="O15" s="114">
        <f t="shared" si="2"/>
        <v>0</v>
      </c>
    </row>
    <row r="16" spans="2:15" ht="20.100000000000001" customHeight="1" x14ac:dyDescent="0.25">
      <c r="B16" s="19" t="s">
        <v>37</v>
      </c>
      <c r="C16" s="132">
        <f>Lançamentos!D12</f>
        <v>4211.4974999999995</v>
      </c>
      <c r="D16" s="132">
        <f>Lançamentos!E12</f>
        <v>4096.6980000000003</v>
      </c>
      <c r="E16" s="132">
        <f>Lançamentos!F12</f>
        <v>4021.1835000000001</v>
      </c>
      <c r="F16" s="132">
        <f>Lançamentos!G12</f>
        <v>3979.1339999999996</v>
      </c>
      <c r="G16" s="132">
        <f>Lançamentos!H12</f>
        <v>4014.3449999999998</v>
      </c>
      <c r="H16" s="132">
        <f>Lançamentos!I12</f>
        <v>4020.8924999999999</v>
      </c>
      <c r="I16" s="132">
        <f>Lançamentos!J12</f>
        <v>3684.4964999999997</v>
      </c>
      <c r="J16" s="132">
        <f>Lançamentos!K12</f>
        <v>4191.4184999999998</v>
      </c>
      <c r="K16" s="132">
        <f>Lançamentos!L12</f>
        <v>3693.5174999999999</v>
      </c>
      <c r="L16" s="132">
        <f>Lançamentos!M12</f>
        <v>4383.0419999999995</v>
      </c>
      <c r="M16" s="132">
        <f>Lançamentos!N12</f>
        <v>3991.9380000000001</v>
      </c>
      <c r="N16" s="132">
        <f>Lançamentos!O12</f>
        <v>3751.5719999999997</v>
      </c>
      <c r="O16" s="114">
        <f t="shared" si="2"/>
        <v>48039.735000000008</v>
      </c>
    </row>
    <row r="17" spans="2:16" ht="20.100000000000001" customHeight="1" x14ac:dyDescent="0.25">
      <c r="B17" s="19" t="s">
        <v>38</v>
      </c>
      <c r="C17" s="132">
        <f>Lançamentos!D13</f>
        <v>0</v>
      </c>
      <c r="D17" s="132">
        <f>Lançamentos!E13</f>
        <v>0</v>
      </c>
      <c r="E17" s="132">
        <f>Lançamentos!F13</f>
        <v>0</v>
      </c>
      <c r="F17" s="132">
        <f>Lançamentos!G13</f>
        <v>0</v>
      </c>
      <c r="G17" s="132">
        <f>Lançamentos!H13</f>
        <v>0</v>
      </c>
      <c r="H17" s="132">
        <f>Lançamentos!I13</f>
        <v>0</v>
      </c>
      <c r="I17" s="132">
        <f>Lançamentos!J13</f>
        <v>0</v>
      </c>
      <c r="J17" s="132">
        <f>Lançamentos!K13</f>
        <v>0</v>
      </c>
      <c r="K17" s="132">
        <f>Lançamentos!L13</f>
        <v>0</v>
      </c>
      <c r="L17" s="132">
        <f>Lançamentos!M13</f>
        <v>0</v>
      </c>
      <c r="M17" s="132">
        <f>Lançamentos!N13</f>
        <v>0</v>
      </c>
      <c r="N17" s="132">
        <f>Lançamentos!O13</f>
        <v>0</v>
      </c>
      <c r="O17" s="114">
        <f t="shared" si="2"/>
        <v>0</v>
      </c>
    </row>
    <row r="18" spans="2:16" ht="20.100000000000001" customHeight="1" x14ac:dyDescent="0.25">
      <c r="B18" s="19" t="s">
        <v>39</v>
      </c>
      <c r="C18" s="132">
        <f>Lançamentos!D14</f>
        <v>0</v>
      </c>
      <c r="D18" s="132">
        <f>Lançamentos!E14</f>
        <v>0</v>
      </c>
      <c r="E18" s="132">
        <f>Lançamentos!F14</f>
        <v>0</v>
      </c>
      <c r="F18" s="132">
        <f>Lançamentos!G14</f>
        <v>0</v>
      </c>
      <c r="G18" s="132">
        <f>Lançamentos!H14</f>
        <v>0</v>
      </c>
      <c r="H18" s="132">
        <f>Lançamentos!I14</f>
        <v>0</v>
      </c>
      <c r="I18" s="132">
        <f>Lançamentos!J14</f>
        <v>0</v>
      </c>
      <c r="J18" s="132">
        <f>Lançamentos!K14</f>
        <v>0</v>
      </c>
      <c r="K18" s="132">
        <f>Lançamentos!L14</f>
        <v>0</v>
      </c>
      <c r="L18" s="132">
        <f>Lançamentos!M14</f>
        <v>0</v>
      </c>
      <c r="M18" s="132">
        <f>Lançamentos!N14</f>
        <v>0</v>
      </c>
      <c r="N18" s="132">
        <f>Lançamentos!O14</f>
        <v>0</v>
      </c>
      <c r="O18" s="114">
        <f t="shared" si="2"/>
        <v>0</v>
      </c>
    </row>
    <row r="19" spans="2:16" ht="20.100000000000001" customHeight="1" x14ac:dyDescent="0.25">
      <c r="B19" s="115" t="s">
        <v>99</v>
      </c>
      <c r="C19" s="114">
        <f>SUM(C14:C18)</f>
        <v>4211.4974999999995</v>
      </c>
      <c r="D19" s="114">
        <f>SUM(D14:D18)</f>
        <v>4096.6980000000003</v>
      </c>
      <c r="E19" s="114">
        <f t="shared" ref="E19:N19" si="3">SUM(E14:E18)</f>
        <v>4021.1835000000001</v>
      </c>
      <c r="F19" s="114">
        <f t="shared" si="3"/>
        <v>3979.1339999999996</v>
      </c>
      <c r="G19" s="114">
        <f t="shared" si="3"/>
        <v>4014.3449999999998</v>
      </c>
      <c r="H19" s="114">
        <f t="shared" si="3"/>
        <v>4020.8924999999999</v>
      </c>
      <c r="I19" s="114">
        <f t="shared" si="3"/>
        <v>3684.4964999999997</v>
      </c>
      <c r="J19" s="114">
        <f t="shared" si="3"/>
        <v>4191.4184999999998</v>
      </c>
      <c r="K19" s="114">
        <f t="shared" si="3"/>
        <v>3693.5174999999999</v>
      </c>
      <c r="L19" s="114">
        <f t="shared" si="3"/>
        <v>4383.0419999999995</v>
      </c>
      <c r="M19" s="114">
        <f t="shared" si="3"/>
        <v>3991.9380000000001</v>
      </c>
      <c r="N19" s="114">
        <f t="shared" si="3"/>
        <v>3751.5719999999997</v>
      </c>
      <c r="O19" s="114">
        <f t="shared" si="2"/>
        <v>48039.735000000008</v>
      </c>
    </row>
    <row r="20" spans="2:16" ht="20.100000000000001" customHeight="1" x14ac:dyDescent="0.25">
      <c r="B20" s="19" t="s">
        <v>204</v>
      </c>
      <c r="C20" s="188" t="s">
        <v>207</v>
      </c>
    </row>
    <row r="21" spans="2:16" ht="20.100000000000001" customHeight="1" x14ac:dyDescent="0.25">
      <c r="B21" s="112" t="s">
        <v>82</v>
      </c>
      <c r="C21" s="112" t="s">
        <v>83</v>
      </c>
      <c r="D21" s="112" t="s">
        <v>84</v>
      </c>
      <c r="E21" s="112" t="s">
        <v>85</v>
      </c>
      <c r="F21" s="112" t="s">
        <v>86</v>
      </c>
      <c r="G21" s="112" t="s">
        <v>87</v>
      </c>
      <c r="H21" s="112" t="s">
        <v>88</v>
      </c>
      <c r="I21" s="112" t="s">
        <v>89</v>
      </c>
      <c r="J21" s="112" t="s">
        <v>90</v>
      </c>
      <c r="K21" s="112" t="s">
        <v>91</v>
      </c>
      <c r="L21" s="112" t="s">
        <v>92</v>
      </c>
      <c r="M21" s="112" t="s">
        <v>93</v>
      </c>
      <c r="N21" s="112" t="s">
        <v>94</v>
      </c>
      <c r="O21" s="112" t="s">
        <v>95</v>
      </c>
    </row>
    <row r="22" spans="2:16" ht="20.100000000000001" customHeight="1" x14ac:dyDescent="0.25">
      <c r="B22" s="19" t="s">
        <v>97</v>
      </c>
      <c r="C22" s="132">
        <f>C14-C6</f>
        <v>-770.62699999999995</v>
      </c>
      <c r="D22" s="132">
        <f>IF(C22&lt;0,D14-D6,D14+C22-D6)</f>
        <v>-619.99652000000003</v>
      </c>
      <c r="E22" s="132">
        <f t="shared" ref="E22:N22" si="4">IF(D22&lt;0,E14-E6,E14+D22-E6)</f>
        <v>-764.26635999999996</v>
      </c>
      <c r="F22" s="132">
        <f t="shared" si="4"/>
        <v>-688.43631999999991</v>
      </c>
      <c r="G22" s="132">
        <f t="shared" si="4"/>
        <v>-681.01747999999998</v>
      </c>
      <c r="H22" s="132">
        <f t="shared" si="4"/>
        <v>-596.25851999999998</v>
      </c>
      <c r="I22" s="132">
        <f t="shared" si="4"/>
        <v>-707.83856000000003</v>
      </c>
      <c r="J22" s="132">
        <f t="shared" si="4"/>
        <v>-586.88343999999995</v>
      </c>
      <c r="K22" s="132">
        <f t="shared" si="4"/>
        <v>-627.82147999999995</v>
      </c>
      <c r="L22" s="132">
        <f t="shared" si="4"/>
        <v>-661.56948</v>
      </c>
      <c r="M22" s="132">
        <f t="shared" si="4"/>
        <v>-632.23731999999995</v>
      </c>
      <c r="N22" s="132">
        <f t="shared" si="4"/>
        <v>-626.52876000000003</v>
      </c>
      <c r="O22" s="114">
        <f t="shared" ref="O22:O27" si="5">SUM(C22:N22)</f>
        <v>-7963.4812400000001</v>
      </c>
    </row>
    <row r="23" spans="2:16" ht="20.100000000000001" customHeight="1" x14ac:dyDescent="0.25">
      <c r="B23" s="19" t="s">
        <v>98</v>
      </c>
      <c r="C23" s="132">
        <f>C15-C7</f>
        <v>-3556.74</v>
      </c>
      <c r="D23" s="132">
        <f>IF(C23&lt;0,D15-D7,D15+C23-D7)</f>
        <v>-2861.5223999999998</v>
      </c>
      <c r="E23" s="132">
        <f t="shared" ref="D23:N26" si="6">IF(D23&lt;0,E15-E7,E15+D23-E7)</f>
        <v>-3527.3831999999998</v>
      </c>
      <c r="F23" s="132">
        <f t="shared" si="6"/>
        <v>-3177.3984</v>
      </c>
      <c r="G23" s="132">
        <f t="shared" si="6"/>
        <v>-3143.1576</v>
      </c>
      <c r="H23" s="132">
        <f t="shared" si="6"/>
        <v>-2751.9623999999999</v>
      </c>
      <c r="I23" s="132">
        <f t="shared" si="6"/>
        <v>-3266.9472000000001</v>
      </c>
      <c r="J23" s="132">
        <f t="shared" si="6"/>
        <v>-2708.6927999999998</v>
      </c>
      <c r="K23" s="132">
        <f t="shared" si="6"/>
        <v>-2897.6376</v>
      </c>
      <c r="L23" s="132">
        <f t="shared" si="6"/>
        <v>-3053.3975999999998</v>
      </c>
      <c r="M23" s="132">
        <f t="shared" si="6"/>
        <v>-2918.0183999999999</v>
      </c>
      <c r="N23" s="132">
        <f t="shared" si="6"/>
        <v>-2891.6712000000002</v>
      </c>
      <c r="O23" s="114">
        <f t="shared" si="5"/>
        <v>-36754.528799999993</v>
      </c>
    </row>
    <row r="24" spans="2:16" ht="20.100000000000001" customHeight="1" x14ac:dyDescent="0.25">
      <c r="B24" s="19" t="s">
        <v>37</v>
      </c>
      <c r="C24" s="132">
        <f>C16-C8</f>
        <v>-11955.502500000001</v>
      </c>
      <c r="D24" s="132">
        <f t="shared" si="6"/>
        <v>-8910.2219999999998</v>
      </c>
      <c r="E24" s="132">
        <f>IF(D24&lt;0,E16-E8,E16+D24-E8)</f>
        <v>-12012.376499999998</v>
      </c>
      <c r="F24" s="132">
        <f>IF(E24&lt;0,F16-F8,F16+E24-F8)</f>
        <v>-10463.585999999999</v>
      </c>
      <c r="G24" s="132">
        <f t="shared" si="6"/>
        <v>-10272.735000000001</v>
      </c>
      <c r="H24" s="132">
        <f t="shared" si="6"/>
        <v>-8488.0275000000001</v>
      </c>
      <c r="I24" s="132">
        <f t="shared" si="6"/>
        <v>-11165.263500000001</v>
      </c>
      <c r="J24" s="132">
        <f t="shared" si="6"/>
        <v>-8120.8215</v>
      </c>
      <c r="K24" s="132">
        <f t="shared" si="6"/>
        <v>-9477.5625</v>
      </c>
      <c r="L24" s="132">
        <f t="shared" si="6"/>
        <v>-9496.0380000000005</v>
      </c>
      <c r="M24" s="132">
        <f t="shared" si="6"/>
        <v>-9271.7819999999992</v>
      </c>
      <c r="N24" s="132">
        <f t="shared" si="6"/>
        <v>-9392.387999999999</v>
      </c>
      <c r="O24" s="114">
        <f t="shared" si="5"/>
        <v>-119026.30499999999</v>
      </c>
    </row>
    <row r="25" spans="2:16" ht="20.100000000000001" customHeight="1" x14ac:dyDescent="0.25">
      <c r="B25" s="19" t="s">
        <v>38</v>
      </c>
      <c r="C25" s="132">
        <f>C17-C9</f>
        <v>0</v>
      </c>
      <c r="D25" s="132">
        <f t="shared" si="6"/>
        <v>0</v>
      </c>
      <c r="E25" s="132">
        <f t="shared" si="6"/>
        <v>0</v>
      </c>
      <c r="F25" s="132">
        <f t="shared" si="6"/>
        <v>0</v>
      </c>
      <c r="G25" s="132">
        <f t="shared" si="6"/>
        <v>0</v>
      </c>
      <c r="H25" s="132">
        <f t="shared" si="6"/>
        <v>0</v>
      </c>
      <c r="I25" s="132">
        <f t="shared" si="6"/>
        <v>0</v>
      </c>
      <c r="J25" s="132">
        <f t="shared" si="6"/>
        <v>0</v>
      </c>
      <c r="K25" s="132">
        <f t="shared" si="6"/>
        <v>0</v>
      </c>
      <c r="L25" s="132">
        <f t="shared" si="6"/>
        <v>0</v>
      </c>
      <c r="M25" s="132">
        <f t="shared" si="6"/>
        <v>0</v>
      </c>
      <c r="N25" s="132">
        <f t="shared" si="6"/>
        <v>0</v>
      </c>
      <c r="O25" s="114">
        <f t="shared" si="5"/>
        <v>0</v>
      </c>
    </row>
    <row r="26" spans="2:16" ht="20.100000000000001" customHeight="1" x14ac:dyDescent="0.25">
      <c r="B26" s="19" t="s">
        <v>39</v>
      </c>
      <c r="C26" s="132">
        <f>C18-C10</f>
        <v>0</v>
      </c>
      <c r="D26" s="132">
        <f t="shared" si="6"/>
        <v>0</v>
      </c>
      <c r="E26" s="132">
        <f t="shared" si="6"/>
        <v>0</v>
      </c>
      <c r="F26" s="132">
        <f t="shared" si="6"/>
        <v>0</v>
      </c>
      <c r="G26" s="132">
        <f t="shared" si="6"/>
        <v>0</v>
      </c>
      <c r="H26" s="132">
        <f t="shared" si="6"/>
        <v>0</v>
      </c>
      <c r="I26" s="132">
        <f t="shared" si="6"/>
        <v>0</v>
      </c>
      <c r="J26" s="132">
        <f t="shared" si="6"/>
        <v>0</v>
      </c>
      <c r="K26" s="132">
        <f t="shared" si="6"/>
        <v>0</v>
      </c>
      <c r="L26" s="132">
        <f t="shared" si="6"/>
        <v>0</v>
      </c>
      <c r="M26" s="132">
        <f t="shared" si="6"/>
        <v>0</v>
      </c>
      <c r="N26" s="132">
        <f t="shared" si="6"/>
        <v>0</v>
      </c>
      <c r="O26" s="114">
        <f t="shared" si="5"/>
        <v>0</v>
      </c>
      <c r="P26" s="132"/>
    </row>
    <row r="27" spans="2:16" ht="20.100000000000001" customHeight="1" x14ac:dyDescent="0.25">
      <c r="B27" s="115" t="s">
        <v>99</v>
      </c>
      <c r="C27" s="114">
        <f>SUM(C22:C26)</f>
        <v>-16282.869500000001</v>
      </c>
      <c r="D27" s="114">
        <f>SUM(D22:D26)</f>
        <v>-12391.74092</v>
      </c>
      <c r="E27" s="114">
        <f t="shared" ref="E27:N27" si="7">SUM(E22:E26)</f>
        <v>-16304.026059999998</v>
      </c>
      <c r="F27" s="114">
        <f t="shared" si="7"/>
        <v>-14329.420719999998</v>
      </c>
      <c r="G27" s="114">
        <f t="shared" si="7"/>
        <v>-14096.910080000001</v>
      </c>
      <c r="H27" s="114">
        <f t="shared" si="7"/>
        <v>-11836.24842</v>
      </c>
      <c r="I27" s="114">
        <f t="shared" si="7"/>
        <v>-15140.049260000002</v>
      </c>
      <c r="J27" s="114">
        <f t="shared" si="7"/>
        <v>-11416.39774</v>
      </c>
      <c r="K27" s="114">
        <f t="shared" si="7"/>
        <v>-13003.021580000001</v>
      </c>
      <c r="L27" s="114">
        <f t="shared" si="7"/>
        <v>-13211.005080000001</v>
      </c>
      <c r="M27" s="114">
        <f t="shared" si="7"/>
        <v>-12822.03772</v>
      </c>
      <c r="N27" s="114">
        <f t="shared" si="7"/>
        <v>-12910.587959999999</v>
      </c>
      <c r="O27" s="114">
        <f t="shared" si="5"/>
        <v>-163744.31503999999</v>
      </c>
    </row>
    <row r="28" spans="2:16" ht="20.100000000000001" customHeight="1" x14ac:dyDescent="0.25">
      <c r="B28" s="19" t="s">
        <v>204</v>
      </c>
      <c r="C28" s="188" t="s">
        <v>208</v>
      </c>
    </row>
    <row r="29" spans="2:16" ht="20.100000000000001" customHeight="1" x14ac:dyDescent="0.25">
      <c r="B29" s="112" t="s">
        <v>82</v>
      </c>
      <c r="C29" s="112" t="s">
        <v>83</v>
      </c>
      <c r="D29" s="112" t="s">
        <v>84</v>
      </c>
      <c r="E29" s="112" t="s">
        <v>85</v>
      </c>
      <c r="F29" s="112" t="s">
        <v>86</v>
      </c>
      <c r="G29" s="112" t="s">
        <v>87</v>
      </c>
      <c r="H29" s="112" t="s">
        <v>88</v>
      </c>
      <c r="I29" s="112" t="s">
        <v>89</v>
      </c>
      <c r="J29" s="112" t="s">
        <v>90</v>
      </c>
      <c r="K29" s="112" t="s">
        <v>91</v>
      </c>
      <c r="L29" s="112" t="s">
        <v>92</v>
      </c>
      <c r="M29" s="112" t="s">
        <v>93</v>
      </c>
      <c r="N29" s="112" t="s">
        <v>94</v>
      </c>
      <c r="O29" s="112" t="s">
        <v>95</v>
      </c>
    </row>
    <row r="30" spans="2:16" ht="20.100000000000001" customHeight="1" x14ac:dyDescent="0.25">
      <c r="B30" s="19" t="s">
        <v>97</v>
      </c>
      <c r="C30" s="132">
        <f>IF(C22&lt;0,C22*-1,0)</f>
        <v>770.62699999999995</v>
      </c>
      <c r="D30" s="132">
        <f t="shared" ref="D30:N30" si="8">IF(D22&lt;0,D22*-1,0)</f>
        <v>619.99652000000003</v>
      </c>
      <c r="E30" s="132">
        <f t="shared" si="8"/>
        <v>764.26635999999996</v>
      </c>
      <c r="F30" s="132">
        <f t="shared" si="8"/>
        <v>688.43631999999991</v>
      </c>
      <c r="G30" s="132">
        <f t="shared" si="8"/>
        <v>681.01747999999998</v>
      </c>
      <c r="H30" s="132">
        <f t="shared" si="8"/>
        <v>596.25851999999998</v>
      </c>
      <c r="I30" s="132">
        <f t="shared" si="8"/>
        <v>707.83856000000003</v>
      </c>
      <c r="J30" s="132">
        <f t="shared" si="8"/>
        <v>586.88343999999995</v>
      </c>
      <c r="K30" s="132">
        <f t="shared" si="8"/>
        <v>627.82147999999995</v>
      </c>
      <c r="L30" s="132">
        <f t="shared" si="8"/>
        <v>661.56948</v>
      </c>
      <c r="M30" s="132">
        <f t="shared" si="8"/>
        <v>632.23731999999995</v>
      </c>
      <c r="N30" s="132">
        <f t="shared" si="8"/>
        <v>626.52876000000003</v>
      </c>
      <c r="O30" s="114">
        <f t="shared" ref="O30:O35" si="9">SUM(C30:N30)</f>
        <v>7963.4812400000001</v>
      </c>
    </row>
    <row r="31" spans="2:16" ht="20.100000000000001" customHeight="1" x14ac:dyDescent="0.25">
      <c r="B31" s="19" t="s">
        <v>98</v>
      </c>
      <c r="C31" s="132">
        <f t="shared" ref="C31:N34" si="10">IF(C23&lt;0,C23*-1,0)</f>
        <v>3556.74</v>
      </c>
      <c r="D31" s="132">
        <f t="shared" si="10"/>
        <v>2861.5223999999998</v>
      </c>
      <c r="E31" s="132">
        <f t="shared" si="10"/>
        <v>3527.3831999999998</v>
      </c>
      <c r="F31" s="132">
        <f t="shared" si="10"/>
        <v>3177.3984</v>
      </c>
      <c r="G31" s="132">
        <f t="shared" si="10"/>
        <v>3143.1576</v>
      </c>
      <c r="H31" s="132">
        <f t="shared" si="10"/>
        <v>2751.9623999999999</v>
      </c>
      <c r="I31" s="132">
        <f t="shared" si="10"/>
        <v>3266.9472000000001</v>
      </c>
      <c r="J31" s="132">
        <f t="shared" si="10"/>
        <v>2708.6927999999998</v>
      </c>
      <c r="K31" s="132">
        <f t="shared" si="10"/>
        <v>2897.6376</v>
      </c>
      <c r="L31" s="132">
        <f t="shared" si="10"/>
        <v>3053.3975999999998</v>
      </c>
      <c r="M31" s="132">
        <f t="shared" si="10"/>
        <v>2918.0183999999999</v>
      </c>
      <c r="N31" s="132">
        <f t="shared" si="10"/>
        <v>2891.6712000000002</v>
      </c>
      <c r="O31" s="114">
        <f t="shared" si="9"/>
        <v>36754.528799999993</v>
      </c>
    </row>
    <row r="32" spans="2:16" ht="20.100000000000001" customHeight="1" x14ac:dyDescent="0.25">
      <c r="B32" s="19" t="s">
        <v>37</v>
      </c>
      <c r="C32" s="132">
        <f t="shared" si="10"/>
        <v>11955.502500000001</v>
      </c>
      <c r="D32" s="132">
        <f t="shared" si="10"/>
        <v>8910.2219999999998</v>
      </c>
      <c r="E32" s="132">
        <f t="shared" si="10"/>
        <v>12012.376499999998</v>
      </c>
      <c r="F32" s="132">
        <f t="shared" si="10"/>
        <v>10463.585999999999</v>
      </c>
      <c r="G32" s="132">
        <f t="shared" si="10"/>
        <v>10272.735000000001</v>
      </c>
      <c r="H32" s="132">
        <f t="shared" si="10"/>
        <v>8488.0275000000001</v>
      </c>
      <c r="I32" s="132">
        <f t="shared" si="10"/>
        <v>11165.263500000001</v>
      </c>
      <c r="J32" s="132">
        <f t="shared" si="10"/>
        <v>8120.8215</v>
      </c>
      <c r="K32" s="132">
        <f t="shared" si="10"/>
        <v>9477.5625</v>
      </c>
      <c r="L32" s="132">
        <f t="shared" si="10"/>
        <v>9496.0380000000005</v>
      </c>
      <c r="M32" s="132">
        <f t="shared" si="10"/>
        <v>9271.7819999999992</v>
      </c>
      <c r="N32" s="132">
        <f t="shared" si="10"/>
        <v>9392.387999999999</v>
      </c>
      <c r="O32" s="114">
        <f t="shared" si="9"/>
        <v>119026.30499999999</v>
      </c>
    </row>
    <row r="33" spans="2:15" ht="20.100000000000001" customHeight="1" x14ac:dyDescent="0.25">
      <c r="B33" s="19" t="s">
        <v>38</v>
      </c>
      <c r="C33" s="132">
        <f t="shared" si="10"/>
        <v>0</v>
      </c>
      <c r="D33" s="132">
        <f t="shared" si="10"/>
        <v>0</v>
      </c>
      <c r="E33" s="132">
        <f t="shared" si="10"/>
        <v>0</v>
      </c>
      <c r="F33" s="132">
        <f t="shared" si="10"/>
        <v>0</v>
      </c>
      <c r="G33" s="132">
        <f t="shared" si="10"/>
        <v>0</v>
      </c>
      <c r="H33" s="132">
        <f t="shared" si="10"/>
        <v>0</v>
      </c>
      <c r="I33" s="132">
        <f t="shared" si="10"/>
        <v>0</v>
      </c>
      <c r="J33" s="132">
        <f t="shared" si="10"/>
        <v>0</v>
      </c>
      <c r="K33" s="132">
        <f t="shared" si="10"/>
        <v>0</v>
      </c>
      <c r="L33" s="132">
        <f t="shared" si="10"/>
        <v>0</v>
      </c>
      <c r="M33" s="132">
        <f t="shared" si="10"/>
        <v>0</v>
      </c>
      <c r="N33" s="132">
        <f t="shared" si="10"/>
        <v>0</v>
      </c>
      <c r="O33" s="114">
        <f t="shared" si="9"/>
        <v>0</v>
      </c>
    </row>
    <row r="34" spans="2:15" ht="20.100000000000001" customHeight="1" x14ac:dyDescent="0.25">
      <c r="B34" s="19" t="s">
        <v>39</v>
      </c>
      <c r="C34" s="132">
        <f>IF(C26&lt;0,C26*-1,0)</f>
        <v>0</v>
      </c>
      <c r="D34" s="132">
        <f t="shared" si="10"/>
        <v>0</v>
      </c>
      <c r="E34" s="132">
        <f t="shared" si="10"/>
        <v>0</v>
      </c>
      <c r="F34" s="132">
        <f t="shared" si="10"/>
        <v>0</v>
      </c>
      <c r="G34" s="132">
        <f t="shared" si="10"/>
        <v>0</v>
      </c>
      <c r="H34" s="132">
        <f t="shared" si="10"/>
        <v>0</v>
      </c>
      <c r="I34" s="132">
        <f t="shared" si="10"/>
        <v>0</v>
      </c>
      <c r="J34" s="132">
        <f t="shared" si="10"/>
        <v>0</v>
      </c>
      <c r="K34" s="132">
        <f t="shared" si="10"/>
        <v>0</v>
      </c>
      <c r="L34" s="132">
        <f t="shared" si="10"/>
        <v>0</v>
      </c>
      <c r="M34" s="132">
        <f t="shared" si="10"/>
        <v>0</v>
      </c>
      <c r="N34" s="132">
        <f t="shared" si="10"/>
        <v>0</v>
      </c>
      <c r="O34" s="114">
        <f t="shared" si="9"/>
        <v>0</v>
      </c>
    </row>
    <row r="35" spans="2:15" ht="20.100000000000001" customHeight="1" x14ac:dyDescent="0.25">
      <c r="B35" s="115" t="s">
        <v>99</v>
      </c>
      <c r="C35" s="114">
        <f>SUM(C30:C34)</f>
        <v>16282.869500000001</v>
      </c>
      <c r="D35" s="114">
        <f>SUM(D30:D34)</f>
        <v>12391.74092</v>
      </c>
      <c r="E35" s="114">
        <f t="shared" ref="E35:N35" si="11">SUM(E30:E34)</f>
        <v>16304.026059999998</v>
      </c>
      <c r="F35" s="114">
        <f t="shared" si="11"/>
        <v>14329.420719999998</v>
      </c>
      <c r="G35" s="114">
        <f t="shared" si="11"/>
        <v>14096.910080000001</v>
      </c>
      <c r="H35" s="114">
        <f t="shared" si="11"/>
        <v>11836.24842</v>
      </c>
      <c r="I35" s="114">
        <f t="shared" si="11"/>
        <v>15140.049260000002</v>
      </c>
      <c r="J35" s="114">
        <f t="shared" si="11"/>
        <v>11416.39774</v>
      </c>
      <c r="K35" s="114">
        <f t="shared" si="11"/>
        <v>13003.021580000001</v>
      </c>
      <c r="L35" s="114">
        <f t="shared" si="11"/>
        <v>13211.005080000001</v>
      </c>
      <c r="M35" s="114">
        <f t="shared" si="11"/>
        <v>12822.03772</v>
      </c>
      <c r="N35" s="114">
        <f t="shared" si="11"/>
        <v>12910.587959999999</v>
      </c>
      <c r="O35" s="114">
        <f t="shared" si="9"/>
        <v>163744.31503999999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9">
    <tabColor rgb="FFFFC000"/>
  </sheetPr>
  <dimension ref="A1:AD86"/>
  <sheetViews>
    <sheetView showGridLines="0" topLeftCell="A34" workbookViewId="0">
      <selection activeCell="R55" sqref="R55"/>
    </sheetView>
  </sheetViews>
  <sheetFormatPr defaultColWidth="20.7109375" defaultRowHeight="20.100000000000001" customHeight="1" x14ac:dyDescent="0.25"/>
  <cols>
    <col min="1" max="1" width="6.7109375" style="19" customWidth="1"/>
    <col min="2" max="15" width="12.7109375" style="19" customWidth="1"/>
    <col min="16" max="16" width="5.7109375" style="19" customWidth="1"/>
    <col min="17" max="33" width="12.7109375" style="19" customWidth="1"/>
    <col min="34" max="16384" width="20.7109375" style="19"/>
  </cols>
  <sheetData>
    <row r="1" spans="1:30" s="20" customFormat="1" ht="20.100000000000001" customHeight="1" x14ac:dyDescent="0.25"/>
    <row r="2" spans="1:30" s="20" customFormat="1" ht="20.100000000000001" customHeight="1" x14ac:dyDescent="0.25">
      <c r="B2" s="275" t="s">
        <v>0</v>
      </c>
      <c r="C2" s="275"/>
    </row>
    <row r="3" spans="1:30" ht="20.100000000000001" customHeight="1" x14ac:dyDescent="0.2">
      <c r="B3" s="120" t="s">
        <v>109</v>
      </c>
      <c r="Q3" s="19" t="b">
        <f>'BH (1)'!C5</f>
        <v>0</v>
      </c>
    </row>
    <row r="4" spans="1:30" ht="20.100000000000001" customHeight="1" x14ac:dyDescent="0.25">
      <c r="B4" s="112" t="s">
        <v>82</v>
      </c>
      <c r="C4" s="112" t="s">
        <v>83</v>
      </c>
      <c r="D4" s="112" t="s">
        <v>84</v>
      </c>
      <c r="E4" s="112" t="s">
        <v>85</v>
      </c>
      <c r="F4" s="112" t="s">
        <v>86</v>
      </c>
      <c r="G4" s="112" t="s">
        <v>87</v>
      </c>
      <c r="H4" s="112" t="s">
        <v>88</v>
      </c>
      <c r="I4" s="112" t="s">
        <v>89</v>
      </c>
      <c r="J4" s="112" t="s">
        <v>90</v>
      </c>
      <c r="K4" s="112" t="s">
        <v>91</v>
      </c>
      <c r="L4" s="112" t="s">
        <v>92</v>
      </c>
      <c r="M4" s="112" t="s">
        <v>93</v>
      </c>
      <c r="N4" s="112" t="s">
        <v>94</v>
      </c>
      <c r="O4" s="112" t="s">
        <v>95</v>
      </c>
      <c r="Q4" s="112" t="s">
        <v>82</v>
      </c>
      <c r="R4" s="112" t="s">
        <v>83</v>
      </c>
      <c r="S4" s="112" t="s">
        <v>84</v>
      </c>
      <c r="T4" s="112" t="s">
        <v>85</v>
      </c>
      <c r="U4" s="112" t="s">
        <v>86</v>
      </c>
      <c r="V4" s="112" t="s">
        <v>87</v>
      </c>
      <c r="W4" s="112" t="s">
        <v>88</v>
      </c>
      <c r="X4" s="112" t="s">
        <v>89</v>
      </c>
      <c r="Y4" s="112" t="s">
        <v>90</v>
      </c>
      <c r="Z4" s="112" t="s">
        <v>91</v>
      </c>
      <c r="AA4" s="112" t="s">
        <v>92</v>
      </c>
      <c r="AB4" s="112" t="s">
        <v>93</v>
      </c>
      <c r="AC4" s="112" t="s">
        <v>94</v>
      </c>
      <c r="AD4" s="112" t="s">
        <v>95</v>
      </c>
    </row>
    <row r="5" spans="1:30" ht="20.100000000000001" customHeight="1" x14ac:dyDescent="0.25">
      <c r="B5" s="19" t="s">
        <v>102</v>
      </c>
      <c r="C5" s="116">
        <f>'Fat1'!D5</f>
        <v>0</v>
      </c>
      <c r="D5" s="116">
        <f>'Fat1'!E5</f>
        <v>0</v>
      </c>
      <c r="E5" s="116">
        <f>'Fat1'!F5</f>
        <v>0</v>
      </c>
      <c r="F5" s="116">
        <f>'Fat1'!G5</f>
        <v>0</v>
      </c>
      <c r="G5" s="116">
        <f>'Fat1'!H5</f>
        <v>0</v>
      </c>
      <c r="H5" s="116">
        <f>'Fat1'!I5</f>
        <v>0</v>
      </c>
      <c r="I5" s="116">
        <f>'Fat1'!J5</f>
        <v>0</v>
      </c>
      <c r="J5" s="116">
        <f>'Fat1'!K5</f>
        <v>0</v>
      </c>
      <c r="K5" s="116">
        <f>'Fat1'!L5</f>
        <v>0</v>
      </c>
      <c r="L5" s="116">
        <f>'Fat1'!M5</f>
        <v>0</v>
      </c>
      <c r="M5" s="116">
        <f>'Fat1'!N5</f>
        <v>0</v>
      </c>
      <c r="N5" s="116">
        <f>'Fat1'!O5</f>
        <v>0</v>
      </c>
      <c r="O5" s="119">
        <f>SUM(C5:N5)</f>
        <v>0</v>
      </c>
      <c r="Q5" s="19" t="s">
        <v>97</v>
      </c>
      <c r="R5" s="116">
        <f>IFERROR(Base!D5*$A$11,0)</f>
        <v>0</v>
      </c>
      <c r="S5" s="116">
        <f>IFERROR(Base!E5*$A$11,0)</f>
        <v>0</v>
      </c>
      <c r="T5" s="116">
        <f>IFERROR(Base!F5*$A$11,0)</f>
        <v>0</v>
      </c>
      <c r="U5" s="116">
        <f>IFERROR(Base!G5*$A$11,0)</f>
        <v>0</v>
      </c>
      <c r="V5" s="116">
        <f>IFERROR(Base!H5*$A$11,0)</f>
        <v>0</v>
      </c>
      <c r="W5" s="116">
        <f>IFERROR(Base!I5*$A$11,0)</f>
        <v>0</v>
      </c>
      <c r="X5" s="116">
        <f>IFERROR(Base!J5*$A$11,0)</f>
        <v>0</v>
      </c>
      <c r="Y5" s="116">
        <f>IFERROR(Base!K5*$A$11,0)</f>
        <v>0</v>
      </c>
      <c r="Z5" s="116">
        <f>IFERROR(Base!L5*$A$11,0)</f>
        <v>0</v>
      </c>
      <c r="AA5" s="116">
        <f>IFERROR(Base!M5*$A$11,0)</f>
        <v>0</v>
      </c>
      <c r="AB5" s="116">
        <f>IFERROR(Base!N5*$A$11,0)</f>
        <v>0</v>
      </c>
      <c r="AC5" s="116">
        <f>IFERROR(Base!O5*$A$11,0)</f>
        <v>0</v>
      </c>
      <c r="AD5" s="119">
        <f>SUM(R5:AC5)</f>
        <v>0</v>
      </c>
    </row>
    <row r="6" spans="1:30" ht="20.100000000000001" customHeight="1" x14ac:dyDescent="0.25">
      <c r="B6" s="19" t="s">
        <v>103</v>
      </c>
      <c r="C6" s="116">
        <f>'Fat1'!D6</f>
        <v>134725</v>
      </c>
      <c r="D6" s="116">
        <f>'Fat1'!E6</f>
        <v>108391</v>
      </c>
      <c r="E6" s="116">
        <f>'Fat1'!F6</f>
        <v>133613</v>
      </c>
      <c r="F6" s="116">
        <f>'Fat1'!G6</f>
        <v>120356</v>
      </c>
      <c r="G6" s="116">
        <f>'Fat1'!H6</f>
        <v>119059</v>
      </c>
      <c r="H6" s="116">
        <f>'Fat1'!I6</f>
        <v>104241</v>
      </c>
      <c r="I6" s="116">
        <f>'Fat1'!J6</f>
        <v>123748</v>
      </c>
      <c r="J6" s="116">
        <f>'Fat1'!K6</f>
        <v>102602</v>
      </c>
      <c r="K6" s="116">
        <f>'Fat1'!L6</f>
        <v>109759</v>
      </c>
      <c r="L6" s="116">
        <f>'Fat1'!M6</f>
        <v>115659</v>
      </c>
      <c r="M6" s="116">
        <f>'Fat1'!N6</f>
        <v>110531</v>
      </c>
      <c r="N6" s="116">
        <f>'Fat1'!O6</f>
        <v>109533</v>
      </c>
      <c r="O6" s="119">
        <f>SUM(C6:N6)</f>
        <v>1392217</v>
      </c>
      <c r="Q6" s="19" t="s">
        <v>98</v>
      </c>
      <c r="R6" s="116">
        <f>IFERROR(Base!D5*$A$12,0)</f>
        <v>0</v>
      </c>
      <c r="S6" s="116">
        <f>IFERROR(Base!E5*$A$12,0)</f>
        <v>0</v>
      </c>
      <c r="T6" s="116">
        <f>IFERROR(Base!F5*$A$12,0)</f>
        <v>0</v>
      </c>
      <c r="U6" s="116">
        <f>IFERROR(Base!G5*$A$12,0)</f>
        <v>0</v>
      </c>
      <c r="V6" s="116">
        <f>IFERROR(Base!H5*$A$12,0)</f>
        <v>0</v>
      </c>
      <c r="W6" s="116">
        <f>IFERROR(Base!I5*$A$12,0)</f>
        <v>0</v>
      </c>
      <c r="X6" s="116">
        <f>IFERROR(Base!J5*$A$12,0)</f>
        <v>0</v>
      </c>
      <c r="Y6" s="116">
        <f>IFERROR(Base!K5*$A$12,0)</f>
        <v>0</v>
      </c>
      <c r="Z6" s="116">
        <f>IFERROR(Base!L5*$A$12,0)</f>
        <v>0</v>
      </c>
      <c r="AA6" s="116">
        <f>IFERROR(Base!M5*$A$12,0)</f>
        <v>0</v>
      </c>
      <c r="AB6" s="116">
        <f>IFERROR(Base!N5*$A$12,0)</f>
        <v>0</v>
      </c>
      <c r="AC6" s="116">
        <f>IFERROR(Base!O5*$A$12,0)</f>
        <v>0</v>
      </c>
      <c r="AD6" s="119">
        <f>SUM(R6:AC6)</f>
        <v>0</v>
      </c>
    </row>
    <row r="7" spans="1:30" ht="20.100000000000001" customHeight="1" x14ac:dyDescent="0.25">
      <c r="B7" s="19" t="s">
        <v>104</v>
      </c>
      <c r="C7" s="116">
        <f>'Fat1'!D7</f>
        <v>0</v>
      </c>
      <c r="D7" s="116">
        <f>'Fat1'!E7</f>
        <v>0</v>
      </c>
      <c r="E7" s="116">
        <f>'Fat1'!F7</f>
        <v>0</v>
      </c>
      <c r="F7" s="116">
        <f>'Fat1'!G7</f>
        <v>0</v>
      </c>
      <c r="G7" s="116">
        <f>'Fat1'!H7</f>
        <v>0</v>
      </c>
      <c r="H7" s="116">
        <f>'Fat1'!I7</f>
        <v>0</v>
      </c>
      <c r="I7" s="116">
        <f>'Fat1'!J7</f>
        <v>0</v>
      </c>
      <c r="J7" s="116">
        <f>'Fat1'!K7</f>
        <v>0</v>
      </c>
      <c r="K7" s="116">
        <f>'Fat1'!L7</f>
        <v>0</v>
      </c>
      <c r="L7" s="116">
        <f>'Fat1'!M7</f>
        <v>0</v>
      </c>
      <c r="M7" s="116">
        <f>'Fat1'!N7</f>
        <v>0</v>
      </c>
      <c r="N7" s="116">
        <f>'Fat1'!O7</f>
        <v>0</v>
      </c>
      <c r="O7" s="119">
        <f>SUM(C7:N7)</f>
        <v>0</v>
      </c>
      <c r="Q7" s="118" t="s">
        <v>99</v>
      </c>
      <c r="R7" s="119">
        <f>SUM(R5:R6)</f>
        <v>0</v>
      </c>
      <c r="S7" s="119">
        <f t="shared" ref="S7:AC7" si="0">SUM(S5:S6)</f>
        <v>0</v>
      </c>
      <c r="T7" s="119">
        <f t="shared" si="0"/>
        <v>0</v>
      </c>
      <c r="U7" s="119">
        <f t="shared" si="0"/>
        <v>0</v>
      </c>
      <c r="V7" s="119">
        <f t="shared" si="0"/>
        <v>0</v>
      </c>
      <c r="W7" s="119">
        <f t="shared" si="0"/>
        <v>0</v>
      </c>
      <c r="X7" s="119">
        <f t="shared" si="0"/>
        <v>0</v>
      </c>
      <c r="Y7" s="119">
        <f t="shared" si="0"/>
        <v>0</v>
      </c>
      <c r="Z7" s="119">
        <f t="shared" si="0"/>
        <v>0</v>
      </c>
      <c r="AA7" s="119">
        <f t="shared" si="0"/>
        <v>0</v>
      </c>
      <c r="AB7" s="119">
        <f t="shared" si="0"/>
        <v>0</v>
      </c>
      <c r="AC7" s="119">
        <f t="shared" si="0"/>
        <v>0</v>
      </c>
      <c r="AD7" s="119">
        <f>SUM(R7:AC7)</f>
        <v>0</v>
      </c>
    </row>
    <row r="8" spans="1:30" ht="20.100000000000001" customHeight="1" x14ac:dyDescent="0.25">
      <c r="B8" s="118" t="s">
        <v>99</v>
      </c>
      <c r="C8" s="119">
        <f t="shared" ref="C8:N8" si="1">SUM(C5:C7)</f>
        <v>134725</v>
      </c>
      <c r="D8" s="119">
        <f t="shared" si="1"/>
        <v>108391</v>
      </c>
      <c r="E8" s="119">
        <f t="shared" si="1"/>
        <v>133613</v>
      </c>
      <c r="F8" s="119">
        <f t="shared" si="1"/>
        <v>120356</v>
      </c>
      <c r="G8" s="119">
        <f t="shared" si="1"/>
        <v>119059</v>
      </c>
      <c r="H8" s="119">
        <f t="shared" si="1"/>
        <v>104241</v>
      </c>
      <c r="I8" s="119">
        <f t="shared" si="1"/>
        <v>123748</v>
      </c>
      <c r="J8" s="119">
        <f t="shared" si="1"/>
        <v>102602</v>
      </c>
      <c r="K8" s="119">
        <f t="shared" si="1"/>
        <v>109759</v>
      </c>
      <c r="L8" s="119">
        <f t="shared" si="1"/>
        <v>115659</v>
      </c>
      <c r="M8" s="119">
        <f t="shared" si="1"/>
        <v>110531</v>
      </c>
      <c r="N8" s="119">
        <f t="shared" si="1"/>
        <v>109533</v>
      </c>
      <c r="O8" s="119">
        <f>SUM(C8:N8)</f>
        <v>1392217</v>
      </c>
      <c r="Q8" s="117" t="s">
        <v>37</v>
      </c>
    </row>
    <row r="9" spans="1:30" ht="20.100000000000001" customHeight="1" x14ac:dyDescent="0.25">
      <c r="Q9" s="112" t="s">
        <v>82</v>
      </c>
      <c r="R9" s="112" t="s">
        <v>83</v>
      </c>
      <c r="S9" s="112" t="s">
        <v>84</v>
      </c>
      <c r="T9" s="112" t="s">
        <v>85</v>
      </c>
      <c r="U9" s="112" t="s">
        <v>86</v>
      </c>
      <c r="V9" s="112" t="s">
        <v>87</v>
      </c>
      <c r="W9" s="112" t="s">
        <v>88</v>
      </c>
      <c r="X9" s="112" t="s">
        <v>89</v>
      </c>
      <c r="Y9" s="112" t="s">
        <v>90</v>
      </c>
      <c r="Z9" s="112" t="s">
        <v>91</v>
      </c>
      <c r="AA9" s="112" t="s">
        <v>92</v>
      </c>
      <c r="AB9" s="112" t="s">
        <v>93</v>
      </c>
      <c r="AC9" s="112" t="s">
        <v>94</v>
      </c>
      <c r="AD9" s="112" t="s">
        <v>95</v>
      </c>
    </row>
    <row r="10" spans="1:30" ht="20.100000000000001" customHeight="1" x14ac:dyDescent="0.25">
      <c r="A10" s="124" t="s">
        <v>110</v>
      </c>
      <c r="B10" s="112" t="s">
        <v>82</v>
      </c>
      <c r="C10" s="112" t="s">
        <v>83</v>
      </c>
      <c r="D10" s="112" t="s">
        <v>84</v>
      </c>
      <c r="E10" s="112" t="s">
        <v>85</v>
      </c>
      <c r="F10" s="112" t="s">
        <v>86</v>
      </c>
      <c r="G10" s="112" t="s">
        <v>87</v>
      </c>
      <c r="H10" s="112" t="s">
        <v>88</v>
      </c>
      <c r="I10" s="112" t="s">
        <v>89</v>
      </c>
      <c r="J10" s="112" t="s">
        <v>90</v>
      </c>
      <c r="K10" s="112" t="s">
        <v>91</v>
      </c>
      <c r="L10" s="112" t="s">
        <v>92</v>
      </c>
      <c r="M10" s="112" t="s">
        <v>93</v>
      </c>
      <c r="N10" s="112" t="s">
        <v>94</v>
      </c>
      <c r="O10" s="112" t="s">
        <v>95</v>
      </c>
      <c r="Q10" s="113">
        <f>Base!C8</f>
        <v>0</v>
      </c>
      <c r="R10" s="84">
        <f>IFERROR(Base!D8*$Q10,0)</f>
        <v>0</v>
      </c>
      <c r="S10" s="84">
        <f>IFERROR(Base!E8*$Q10,0)</f>
        <v>0</v>
      </c>
      <c r="T10" s="84">
        <f>IFERROR(Base!F8*$Q10,0)</f>
        <v>0</v>
      </c>
      <c r="U10" s="84">
        <f>IFERROR(Base!G8*$Q10,0)</f>
        <v>0</v>
      </c>
      <c r="V10" s="84">
        <f>IFERROR(Base!H8*$Q10,0)</f>
        <v>0</v>
      </c>
      <c r="W10" s="84">
        <f>IFERROR(Base!I8*$Q10,0)</f>
        <v>0</v>
      </c>
      <c r="X10" s="84">
        <f>IFERROR(Base!J8*$Q10,0)</f>
        <v>0</v>
      </c>
      <c r="Y10" s="84">
        <f>IFERROR(Base!K8*$Q10,0)</f>
        <v>0</v>
      </c>
      <c r="Z10" s="84">
        <f>IFERROR(Base!L8*$Q10,0)</f>
        <v>0</v>
      </c>
      <c r="AA10" s="84">
        <f>IFERROR(Base!M8*$Q10,0)</f>
        <v>0</v>
      </c>
      <c r="AB10" s="84">
        <f>IFERROR(Base!N8*$Q10,0)</f>
        <v>0</v>
      </c>
      <c r="AC10" s="84">
        <f>IFERROR(Base!O8*$Q10,0)</f>
        <v>0</v>
      </c>
      <c r="AD10" s="114">
        <f t="shared" ref="AD10:AD22" si="2">SUM(R10:AC10)</f>
        <v>0</v>
      </c>
    </row>
    <row r="11" spans="1:30" ht="20.100000000000001" customHeight="1" x14ac:dyDescent="0.25">
      <c r="A11" s="123">
        <f>IF('BH (1)'!$C$4=1,TabR!E5,IF('BH (1)'!$C$4=2,TabP!F5,IF('BH (1)'!$C$4=3,0)))</f>
        <v>6.4999999999999997E-3</v>
      </c>
      <c r="B11" s="130" t="s">
        <v>97</v>
      </c>
      <c r="C11" s="129">
        <f>IFERROR((C8-C13)*$A$11,0)</f>
        <v>770.62699999999995</v>
      </c>
      <c r="D11" s="129">
        <f t="shared" ref="D11:N11" si="3">IFERROR((D8-D13)*$A$11,0)</f>
        <v>619.99652000000003</v>
      </c>
      <c r="E11" s="129">
        <f t="shared" si="3"/>
        <v>764.26635999999996</v>
      </c>
      <c r="F11" s="129">
        <f t="shared" si="3"/>
        <v>688.43631999999991</v>
      </c>
      <c r="G11" s="129">
        <f t="shared" si="3"/>
        <v>681.01747999999998</v>
      </c>
      <c r="H11" s="129">
        <f t="shared" si="3"/>
        <v>596.25851999999998</v>
      </c>
      <c r="I11" s="129">
        <f t="shared" si="3"/>
        <v>707.83856000000003</v>
      </c>
      <c r="J11" s="129">
        <f t="shared" si="3"/>
        <v>586.88343999999995</v>
      </c>
      <c r="K11" s="129">
        <f t="shared" si="3"/>
        <v>627.82147999999995</v>
      </c>
      <c r="L11" s="129">
        <f t="shared" si="3"/>
        <v>661.56948</v>
      </c>
      <c r="M11" s="129">
        <f t="shared" si="3"/>
        <v>632.23731999999995</v>
      </c>
      <c r="N11" s="129">
        <f t="shared" si="3"/>
        <v>626.52876000000003</v>
      </c>
      <c r="O11" s="131">
        <f t="shared" ref="O11:O16" si="4">SUM(C11:N11)</f>
        <v>7963.4812400000001</v>
      </c>
      <c r="Q11" s="113">
        <f>Base!C9</f>
        <v>0.04</v>
      </c>
      <c r="R11" s="84">
        <f>IFERROR(Base!D9*$Q11,0)</f>
        <v>0</v>
      </c>
      <c r="S11" s="84">
        <f>IFERROR(Base!E9*$Q11,0)</f>
        <v>0</v>
      </c>
      <c r="T11" s="84">
        <f>IFERROR(Base!F9*$Q11,0)</f>
        <v>0</v>
      </c>
      <c r="U11" s="84">
        <f>IFERROR(Base!G9*$Q11,0)</f>
        <v>0</v>
      </c>
      <c r="V11" s="84">
        <f>IFERROR(Base!H9*$Q11,0)</f>
        <v>0</v>
      </c>
      <c r="W11" s="84">
        <f>IFERROR(Base!I9*$Q11,0)</f>
        <v>0</v>
      </c>
      <c r="X11" s="84">
        <f>IFERROR(Base!J9*$Q11,0)</f>
        <v>0</v>
      </c>
      <c r="Y11" s="84">
        <f>IFERROR(Base!K9*$Q11,0)</f>
        <v>0</v>
      </c>
      <c r="Z11" s="84">
        <f>IFERROR(Base!L9*$Q11,0)</f>
        <v>0</v>
      </c>
      <c r="AA11" s="84">
        <f>IFERROR(Base!M9*$Q11,0)</f>
        <v>0</v>
      </c>
      <c r="AB11" s="84">
        <f>IFERROR(Base!N9*$Q11,0)</f>
        <v>0</v>
      </c>
      <c r="AC11" s="84">
        <f>IFERROR(Base!O9*$Q11,0)</f>
        <v>0</v>
      </c>
      <c r="AD11" s="114">
        <f t="shared" si="2"/>
        <v>0</v>
      </c>
    </row>
    <row r="12" spans="1:30" ht="20.100000000000001" customHeight="1" x14ac:dyDescent="0.25">
      <c r="A12" s="123">
        <f>IF('BH (1)'!$C$4=1,TabR!E6,IF('BH (1)'!$C$4=2,TabP!F6,IF('BH (1)'!$C$4=3,0)))</f>
        <v>0.03</v>
      </c>
      <c r="B12" s="130" t="s">
        <v>98</v>
      </c>
      <c r="C12" s="129">
        <f>IFERROR((C8-C13)*$A$12,0)</f>
        <v>3556.74</v>
      </c>
      <c r="D12" s="129">
        <f t="shared" ref="D12:N12" si="5">IFERROR((D8-D13)*$A$12,0)</f>
        <v>2861.5223999999998</v>
      </c>
      <c r="E12" s="129">
        <f t="shared" si="5"/>
        <v>3527.3831999999998</v>
      </c>
      <c r="F12" s="129">
        <f t="shared" si="5"/>
        <v>3177.3984</v>
      </c>
      <c r="G12" s="129">
        <f t="shared" si="5"/>
        <v>3143.1576</v>
      </c>
      <c r="H12" s="129">
        <f t="shared" si="5"/>
        <v>2751.9623999999999</v>
      </c>
      <c r="I12" s="129">
        <f t="shared" si="5"/>
        <v>3266.9472000000001</v>
      </c>
      <c r="J12" s="129">
        <f t="shared" si="5"/>
        <v>2708.6927999999998</v>
      </c>
      <c r="K12" s="129">
        <f t="shared" si="5"/>
        <v>2897.6376</v>
      </c>
      <c r="L12" s="129">
        <f t="shared" si="5"/>
        <v>3053.3975999999998</v>
      </c>
      <c r="M12" s="129">
        <f t="shared" si="5"/>
        <v>2918.0183999999999</v>
      </c>
      <c r="N12" s="129">
        <f t="shared" si="5"/>
        <v>2891.6712000000002</v>
      </c>
      <c r="O12" s="131">
        <f t="shared" si="4"/>
        <v>36754.528799999993</v>
      </c>
      <c r="Q12" s="113">
        <f>Base!C10</f>
        <v>7.0000000000000007E-2</v>
      </c>
      <c r="R12" s="84">
        <f>IFERROR(Base!D10*$Q12,0)</f>
        <v>0</v>
      </c>
      <c r="S12" s="84">
        <f>IFERROR(Base!E10*$Q12,0)</f>
        <v>0</v>
      </c>
      <c r="T12" s="84">
        <f>IFERROR(Base!F10*$Q12,0)</f>
        <v>0</v>
      </c>
      <c r="U12" s="84">
        <f>IFERROR(Base!G10*$Q12,0)</f>
        <v>0</v>
      </c>
      <c r="V12" s="84">
        <f>IFERROR(Base!H10*$Q12,0)</f>
        <v>0</v>
      </c>
      <c r="W12" s="84">
        <f>IFERROR(Base!I10*$Q12,0)</f>
        <v>0</v>
      </c>
      <c r="X12" s="84">
        <f>IFERROR(Base!J10*$Q12,0)</f>
        <v>0</v>
      </c>
      <c r="Y12" s="84">
        <f>IFERROR(Base!K10*$Q12,0)</f>
        <v>0</v>
      </c>
      <c r="Z12" s="84">
        <f>IFERROR(Base!L10*$Q12,0)</f>
        <v>0</v>
      </c>
      <c r="AA12" s="84">
        <f>IFERROR(Base!M10*$Q12,0)</f>
        <v>0</v>
      </c>
      <c r="AB12" s="84">
        <f>IFERROR(Base!N10*$Q12,0)</f>
        <v>0</v>
      </c>
      <c r="AC12" s="84">
        <f>IFERROR(Base!O10*$Q12,0)</f>
        <v>0</v>
      </c>
      <c r="AD12" s="114">
        <f t="shared" si="2"/>
        <v>0</v>
      </c>
    </row>
    <row r="13" spans="1:30" ht="20.100000000000001" customHeight="1" x14ac:dyDescent="0.25">
      <c r="A13" s="123">
        <f>IF('BH (1)'!$C$4=1,TabR!E7,IF('BH (1)'!$C$4=2,TabP!F7,IF('BH (1)'!$C$4=3,0)))</f>
        <v>0.12</v>
      </c>
      <c r="B13" s="130" t="s">
        <v>37</v>
      </c>
      <c r="C13" s="129">
        <f>IFERROR(SUM(C5:C6)*$A$13,0)</f>
        <v>16167</v>
      </c>
      <c r="D13" s="129">
        <f t="shared" ref="D13:N13" si="6">IFERROR(SUM(D5:D6)*$A$13,0)</f>
        <v>13006.92</v>
      </c>
      <c r="E13" s="129">
        <f>IFERROR(SUM(E5:E6)*$A$13,0)</f>
        <v>16033.56</v>
      </c>
      <c r="F13" s="129">
        <f t="shared" si="6"/>
        <v>14442.72</v>
      </c>
      <c r="G13" s="129">
        <f t="shared" si="6"/>
        <v>14287.08</v>
      </c>
      <c r="H13" s="129">
        <f t="shared" si="6"/>
        <v>12508.92</v>
      </c>
      <c r="I13" s="129">
        <f t="shared" si="6"/>
        <v>14849.76</v>
      </c>
      <c r="J13" s="129">
        <f t="shared" si="6"/>
        <v>12312.24</v>
      </c>
      <c r="K13" s="129">
        <f t="shared" si="6"/>
        <v>13171.08</v>
      </c>
      <c r="L13" s="129">
        <f t="shared" si="6"/>
        <v>13879.08</v>
      </c>
      <c r="M13" s="129">
        <f t="shared" si="6"/>
        <v>13263.72</v>
      </c>
      <c r="N13" s="129">
        <f t="shared" si="6"/>
        <v>13143.96</v>
      </c>
      <c r="O13" s="131">
        <f t="shared" si="4"/>
        <v>167066.03999999998</v>
      </c>
      <c r="Q13" s="113">
        <f>Base!C11</f>
        <v>0.12</v>
      </c>
      <c r="R13" s="84">
        <f>IFERROR(Base!D11*$Q13,0)</f>
        <v>0</v>
      </c>
      <c r="S13" s="84">
        <f>IFERROR(Base!E11*$Q13,0)</f>
        <v>0</v>
      </c>
      <c r="T13" s="84">
        <f>IFERROR(Base!F11*$Q13,0)</f>
        <v>0</v>
      </c>
      <c r="U13" s="84">
        <f>IFERROR(Base!G11*$Q13,0)</f>
        <v>0</v>
      </c>
      <c r="V13" s="84">
        <f>IFERROR(Base!H11*$Q13,0)</f>
        <v>0</v>
      </c>
      <c r="W13" s="84">
        <f>IFERROR(Base!I11*$Q13,0)</f>
        <v>0</v>
      </c>
      <c r="X13" s="84">
        <f>IFERROR(Base!J11*$Q13,0)</f>
        <v>0</v>
      </c>
      <c r="Y13" s="84">
        <f>IFERROR(Base!K11*$Q13,0)</f>
        <v>0</v>
      </c>
      <c r="Z13" s="84">
        <f>IFERROR(Base!L11*$Q13,0)</f>
        <v>0</v>
      </c>
      <c r="AA13" s="84">
        <f>IFERROR(Base!M11*$Q13,0)</f>
        <v>0</v>
      </c>
      <c r="AB13" s="84">
        <f>IFERROR(Base!N11*$Q13,0)</f>
        <v>0</v>
      </c>
      <c r="AC13" s="84">
        <f>IFERROR(Base!O11*$Q13,0)</f>
        <v>0</v>
      </c>
      <c r="AD13" s="114">
        <f t="shared" si="2"/>
        <v>0</v>
      </c>
    </row>
    <row r="14" spans="1:30" ht="20.100000000000001" customHeight="1" x14ac:dyDescent="0.25">
      <c r="A14" s="123">
        <f>IF('BH (1)'!$C$4=1,TabR!E8,IF('BH (1)'!$C$4=2,TabP!F8,IF('BH (1)'!$C$4=3,0)))</f>
        <v>0.03</v>
      </c>
      <c r="B14" s="130" t="s">
        <v>38</v>
      </c>
      <c r="C14" s="129">
        <f>IFERROR(C5*$A$14,0)</f>
        <v>0</v>
      </c>
      <c r="D14" s="129">
        <f t="shared" ref="D14:N14" si="7">IFERROR(D5*$A$14,0)</f>
        <v>0</v>
      </c>
      <c r="E14" s="129">
        <f t="shared" si="7"/>
        <v>0</v>
      </c>
      <c r="F14" s="129">
        <f t="shared" si="7"/>
        <v>0</v>
      </c>
      <c r="G14" s="129">
        <f t="shared" si="7"/>
        <v>0</v>
      </c>
      <c r="H14" s="129">
        <f t="shared" si="7"/>
        <v>0</v>
      </c>
      <c r="I14" s="129">
        <f t="shared" si="7"/>
        <v>0</v>
      </c>
      <c r="J14" s="129">
        <f t="shared" si="7"/>
        <v>0</v>
      </c>
      <c r="K14" s="129">
        <f t="shared" si="7"/>
        <v>0</v>
      </c>
      <c r="L14" s="129">
        <f t="shared" si="7"/>
        <v>0</v>
      </c>
      <c r="M14" s="129">
        <f t="shared" si="7"/>
        <v>0</v>
      </c>
      <c r="N14" s="129">
        <f t="shared" si="7"/>
        <v>0</v>
      </c>
      <c r="O14" s="131">
        <f t="shared" si="4"/>
        <v>0</v>
      </c>
      <c r="Q14" s="113">
        <f>Base!C12</f>
        <v>0.15</v>
      </c>
      <c r="R14" s="84">
        <f>IFERROR(Base!D12*$Q14,0)</f>
        <v>0</v>
      </c>
      <c r="S14" s="84">
        <f>IFERROR(Base!E12*$Q14,0)</f>
        <v>0</v>
      </c>
      <c r="T14" s="84">
        <f>IFERROR(Base!F12*$Q14,0)</f>
        <v>0</v>
      </c>
      <c r="U14" s="84">
        <f>IFERROR(Base!G12*$Q14,0)</f>
        <v>0</v>
      </c>
      <c r="V14" s="84">
        <f>IFERROR(Base!H12*$Q14,0)</f>
        <v>0</v>
      </c>
      <c r="W14" s="84">
        <f>IFERROR(Base!I12*$Q14,0)</f>
        <v>0</v>
      </c>
      <c r="X14" s="84">
        <f>IFERROR(Base!J12*$Q14,0)</f>
        <v>0</v>
      </c>
      <c r="Y14" s="84">
        <f>IFERROR(Base!K12*$Q14,0)</f>
        <v>0</v>
      </c>
      <c r="Z14" s="84">
        <f>IFERROR(Base!L12*$Q14,0)</f>
        <v>0</v>
      </c>
      <c r="AA14" s="84">
        <f>IFERROR(Base!M12*$Q14,0)</f>
        <v>0</v>
      </c>
      <c r="AB14" s="84">
        <f>IFERROR(Base!N12*$Q14,0)</f>
        <v>0</v>
      </c>
      <c r="AC14" s="84">
        <f>IFERROR(Base!O12*$Q14,0)</f>
        <v>0</v>
      </c>
      <c r="AD14" s="114">
        <f t="shared" si="2"/>
        <v>0</v>
      </c>
    </row>
    <row r="15" spans="1:30" ht="20.100000000000001" customHeight="1" x14ac:dyDescent="0.25">
      <c r="A15" s="123">
        <f>IF('BH (1)'!$C$4=1,TabR!E9,IF('BH (1)'!$C$4=2,TabP!F9,IF('BH (1)'!$C$4=3,0)))</f>
        <v>0.03</v>
      </c>
      <c r="B15" s="130" t="s">
        <v>39</v>
      </c>
      <c r="C15" s="129">
        <f>IFERROR(C7*$A$15,0)</f>
        <v>0</v>
      </c>
      <c r="D15" s="129">
        <f t="shared" ref="D15:N15" si="8">IFERROR(D7*$A$15,0)</f>
        <v>0</v>
      </c>
      <c r="E15" s="129">
        <f t="shared" si="8"/>
        <v>0</v>
      </c>
      <c r="F15" s="129">
        <f t="shared" si="8"/>
        <v>0</v>
      </c>
      <c r="G15" s="129">
        <f t="shared" si="8"/>
        <v>0</v>
      </c>
      <c r="H15" s="129">
        <f t="shared" si="8"/>
        <v>0</v>
      </c>
      <c r="I15" s="129">
        <f t="shared" si="8"/>
        <v>0</v>
      </c>
      <c r="J15" s="129">
        <f t="shared" si="8"/>
        <v>0</v>
      </c>
      <c r="K15" s="129">
        <f t="shared" si="8"/>
        <v>0</v>
      </c>
      <c r="L15" s="129">
        <f t="shared" si="8"/>
        <v>0</v>
      </c>
      <c r="M15" s="129">
        <f t="shared" si="8"/>
        <v>0</v>
      </c>
      <c r="N15" s="129">
        <f t="shared" si="8"/>
        <v>0</v>
      </c>
      <c r="O15" s="131">
        <f t="shared" si="4"/>
        <v>0</v>
      </c>
      <c r="Q15" s="113">
        <f>Base!C13</f>
        <v>0.18</v>
      </c>
      <c r="R15" s="84">
        <f>IFERROR(Base!D13*$Q15,0)</f>
        <v>0</v>
      </c>
      <c r="S15" s="84">
        <f>IFERROR(Base!E13*$Q15,0)</f>
        <v>0</v>
      </c>
      <c r="T15" s="84">
        <f>IFERROR(Base!F13*$Q15,0)</f>
        <v>0</v>
      </c>
      <c r="U15" s="84">
        <f>IFERROR(Base!G13*$Q15,0)</f>
        <v>0</v>
      </c>
      <c r="V15" s="84">
        <f>IFERROR(Base!H13*$Q15,0)</f>
        <v>0</v>
      </c>
      <c r="W15" s="84">
        <f>IFERROR(Base!I13*$Q15,0)</f>
        <v>0</v>
      </c>
      <c r="X15" s="84">
        <f>IFERROR(Base!J13*$Q15,0)</f>
        <v>0</v>
      </c>
      <c r="Y15" s="84">
        <f>IFERROR(Base!K13*$Q15,0)</f>
        <v>0</v>
      </c>
      <c r="Z15" s="84">
        <f>IFERROR(Base!L13*$Q15,0)</f>
        <v>0</v>
      </c>
      <c r="AA15" s="84">
        <f>IFERROR(Base!M13*$Q15,0)</f>
        <v>0</v>
      </c>
      <c r="AB15" s="84">
        <f>IFERROR(Base!N13*$Q15,0)</f>
        <v>0</v>
      </c>
      <c r="AC15" s="84">
        <f>IFERROR(Base!O13*$Q15,0)</f>
        <v>0</v>
      </c>
      <c r="AD15" s="114">
        <f t="shared" si="2"/>
        <v>0</v>
      </c>
    </row>
    <row r="16" spans="1:30" ht="20.100000000000001" customHeight="1" x14ac:dyDescent="0.25">
      <c r="A16" s="123">
        <f>SUM(A11:A15)</f>
        <v>0.2165</v>
      </c>
      <c r="B16" s="115" t="s">
        <v>99</v>
      </c>
      <c r="C16" s="114">
        <f>SUM(C11:C15)</f>
        <v>20494.366999999998</v>
      </c>
      <c r="D16" s="114">
        <f>SUM(D11:D15)</f>
        <v>16488.438920000001</v>
      </c>
      <c r="E16" s="114">
        <f t="shared" ref="E16:N16" si="9">SUM(E11:E15)</f>
        <v>20325.209559999999</v>
      </c>
      <c r="F16" s="114">
        <f t="shared" si="9"/>
        <v>18308.55472</v>
      </c>
      <c r="G16" s="114">
        <f t="shared" si="9"/>
        <v>18111.255079999999</v>
      </c>
      <c r="H16" s="114">
        <f t="shared" si="9"/>
        <v>15857.14092</v>
      </c>
      <c r="I16" s="114">
        <f t="shared" si="9"/>
        <v>18824.545760000001</v>
      </c>
      <c r="J16" s="114">
        <f t="shared" si="9"/>
        <v>15607.81624</v>
      </c>
      <c r="K16" s="114">
        <f t="shared" si="9"/>
        <v>16696.539079999999</v>
      </c>
      <c r="L16" s="114">
        <f t="shared" si="9"/>
        <v>17594.04708</v>
      </c>
      <c r="M16" s="114">
        <f t="shared" si="9"/>
        <v>16813.975719999999</v>
      </c>
      <c r="N16" s="114">
        <f t="shared" si="9"/>
        <v>16662.159960000001</v>
      </c>
      <c r="O16" s="114">
        <f t="shared" si="4"/>
        <v>211784.05003999994</v>
      </c>
      <c r="Q16" s="113" t="str">
        <f>Base!C14</f>
        <v/>
      </c>
      <c r="R16" s="84">
        <f>IFERROR(Base!D14*$Q16,0)</f>
        <v>0</v>
      </c>
      <c r="S16" s="84">
        <f>IFERROR(Base!E14*$Q16,0)</f>
        <v>0</v>
      </c>
      <c r="T16" s="84">
        <f>IFERROR(Base!F14*$Q16,0)</f>
        <v>0</v>
      </c>
      <c r="U16" s="84">
        <f>IFERROR(Base!G14*$Q16,0)</f>
        <v>0</v>
      </c>
      <c r="V16" s="84">
        <f>IFERROR(Base!H14*$Q16,0)</f>
        <v>0</v>
      </c>
      <c r="W16" s="84">
        <f>IFERROR(Base!I14*$Q16,0)</f>
        <v>0</v>
      </c>
      <c r="X16" s="84">
        <f>IFERROR(Base!J14*$Q16,0)</f>
        <v>0</v>
      </c>
      <c r="Y16" s="84">
        <f>IFERROR(Base!K14*$Q16,0)</f>
        <v>0</v>
      </c>
      <c r="Z16" s="84">
        <f>IFERROR(Base!L14*$Q16,0)</f>
        <v>0</v>
      </c>
      <c r="AA16" s="84">
        <f>IFERROR(Base!M14*$Q16,0)</f>
        <v>0</v>
      </c>
      <c r="AB16" s="84">
        <f>IFERROR(Base!N14*$Q16,0)</f>
        <v>0</v>
      </c>
      <c r="AC16" s="84">
        <f>IFERROR(Base!O14*$Q16,0)</f>
        <v>0</v>
      </c>
      <c r="AD16" s="114">
        <f t="shared" si="2"/>
        <v>0</v>
      </c>
    </row>
    <row r="17" spans="1:30" ht="20.100000000000001" customHeight="1" x14ac:dyDescent="0.2">
      <c r="B17" s="120" t="s">
        <v>111</v>
      </c>
      <c r="Q17" s="113" t="str">
        <f>Base!C15</f>
        <v/>
      </c>
      <c r="R17" s="84">
        <f>IFERROR(Base!D15*$Q17,0)</f>
        <v>0</v>
      </c>
      <c r="S17" s="84">
        <f>IFERROR(Base!E15*$Q17,0)</f>
        <v>0</v>
      </c>
      <c r="T17" s="84">
        <f>IFERROR(Base!F15*$Q17,0)</f>
        <v>0</v>
      </c>
      <c r="U17" s="84">
        <f>IFERROR(Base!G15*$Q17,0)</f>
        <v>0</v>
      </c>
      <c r="V17" s="84">
        <f>IFERROR(Base!H15*$Q17,0)</f>
        <v>0</v>
      </c>
      <c r="W17" s="84">
        <f>IFERROR(Base!I15*$Q17,0)</f>
        <v>0</v>
      </c>
      <c r="X17" s="84">
        <f>IFERROR(Base!J15*$Q17,0)</f>
        <v>0</v>
      </c>
      <c r="Y17" s="84">
        <f>IFERROR(Base!K15*$Q17,0)</f>
        <v>0</v>
      </c>
      <c r="Z17" s="84">
        <f>IFERROR(Base!L15*$Q17,0)</f>
        <v>0</v>
      </c>
      <c r="AA17" s="84">
        <f>IFERROR(Base!M15*$Q17,0)</f>
        <v>0</v>
      </c>
      <c r="AB17" s="84">
        <f>IFERROR(Base!N15*$Q17,0)</f>
        <v>0</v>
      </c>
      <c r="AC17" s="84">
        <f>IFERROR(Base!O15*$Q17,0)</f>
        <v>0</v>
      </c>
      <c r="AD17" s="114">
        <f t="shared" si="2"/>
        <v>0</v>
      </c>
    </row>
    <row r="18" spans="1:30" ht="20.100000000000001" customHeight="1" x14ac:dyDescent="0.25">
      <c r="B18" s="112" t="s">
        <v>82</v>
      </c>
      <c r="C18" s="112" t="s">
        <v>83</v>
      </c>
      <c r="D18" s="112" t="s">
        <v>84</v>
      </c>
      <c r="E18" s="112" t="s">
        <v>85</v>
      </c>
      <c r="F18" s="112" t="s">
        <v>86</v>
      </c>
      <c r="G18" s="112" t="s">
        <v>87</v>
      </c>
      <c r="H18" s="112" t="s">
        <v>88</v>
      </c>
      <c r="I18" s="112" t="s">
        <v>89</v>
      </c>
      <c r="J18" s="112" t="s">
        <v>90</v>
      </c>
      <c r="K18" s="112" t="s">
        <v>91</v>
      </c>
      <c r="L18" s="112" t="s">
        <v>92</v>
      </c>
      <c r="M18" s="112" t="s">
        <v>93</v>
      </c>
      <c r="N18" s="112" t="s">
        <v>94</v>
      </c>
      <c r="O18" s="112" t="s">
        <v>95</v>
      </c>
      <c r="Q18" s="113" t="str">
        <f>Base!C16</f>
        <v/>
      </c>
      <c r="R18" s="84">
        <f>IFERROR(Base!D16*$Q18,0)</f>
        <v>0</v>
      </c>
      <c r="S18" s="84">
        <f>IFERROR(Base!E16*$Q18,0)</f>
        <v>0</v>
      </c>
      <c r="T18" s="84">
        <f>IFERROR(Base!F16*$Q18,0)</f>
        <v>0</v>
      </c>
      <c r="U18" s="84">
        <f>IFERROR(Base!G16*$Q18,0)</f>
        <v>0</v>
      </c>
      <c r="V18" s="84">
        <f>IFERROR(Base!H16*$Q18,0)</f>
        <v>0</v>
      </c>
      <c r="W18" s="84">
        <f>IFERROR(Base!I16*$Q18,0)</f>
        <v>0</v>
      </c>
      <c r="X18" s="84">
        <f>IFERROR(Base!J16*$Q18,0)</f>
        <v>0</v>
      </c>
      <c r="Y18" s="84">
        <f>IFERROR(Base!K16*$Q18,0)</f>
        <v>0</v>
      </c>
      <c r="Z18" s="84">
        <f>IFERROR(Base!L16*$Q18,0)</f>
        <v>0</v>
      </c>
      <c r="AA18" s="84">
        <f>IFERROR(Base!M16*$Q18,0)</f>
        <v>0</v>
      </c>
      <c r="AB18" s="84">
        <f>IFERROR(Base!N16*$Q18,0)</f>
        <v>0</v>
      </c>
      <c r="AC18" s="84">
        <f>IFERROR(Base!O16*$Q18,0)</f>
        <v>0</v>
      </c>
      <c r="AD18" s="114">
        <f t="shared" si="2"/>
        <v>0</v>
      </c>
    </row>
    <row r="19" spans="1:30" ht="20.100000000000001" customHeight="1" x14ac:dyDescent="0.25">
      <c r="B19" s="19" t="s">
        <v>102</v>
      </c>
      <c r="C19" s="116">
        <f>'Fat2'!D5</f>
        <v>0</v>
      </c>
      <c r="D19" s="116">
        <f>'Fat2'!E5</f>
        <v>0</v>
      </c>
      <c r="E19" s="116">
        <f>'Fat2'!F5</f>
        <v>0</v>
      </c>
      <c r="F19" s="116">
        <f>'Fat2'!G5</f>
        <v>0</v>
      </c>
      <c r="G19" s="116">
        <f>'Fat2'!H5</f>
        <v>0</v>
      </c>
      <c r="H19" s="116">
        <f>'Fat2'!I5</f>
        <v>0</v>
      </c>
      <c r="I19" s="116">
        <f>'Fat2'!J5</f>
        <v>0</v>
      </c>
      <c r="J19" s="116">
        <f>'Fat2'!K5</f>
        <v>0</v>
      </c>
      <c r="K19" s="116">
        <f>'Fat2'!L5</f>
        <v>0</v>
      </c>
      <c r="L19" s="116">
        <f>'Fat2'!M5</f>
        <v>0</v>
      </c>
      <c r="M19" s="116">
        <f>'Fat2'!N5</f>
        <v>0</v>
      </c>
      <c r="N19" s="116">
        <f>'Fat2'!O5</f>
        <v>0</v>
      </c>
      <c r="O19" s="119">
        <f>SUM(C19:N19)</f>
        <v>0</v>
      </c>
      <c r="Q19" s="113" t="str">
        <f>Base!C17</f>
        <v/>
      </c>
      <c r="R19" s="84">
        <f>IFERROR(Base!D17*$Q19,0)</f>
        <v>0</v>
      </c>
      <c r="S19" s="84">
        <f>IFERROR(Base!E17*$Q19,0)</f>
        <v>0</v>
      </c>
      <c r="T19" s="84">
        <f>IFERROR(Base!F17*$Q19,0)</f>
        <v>0</v>
      </c>
      <c r="U19" s="84">
        <f>IFERROR(Base!G17*$Q19,0)</f>
        <v>0</v>
      </c>
      <c r="V19" s="84">
        <f>IFERROR(Base!H17*$Q19,0)</f>
        <v>0</v>
      </c>
      <c r="W19" s="84">
        <f>IFERROR(Base!I17*$Q19,0)</f>
        <v>0</v>
      </c>
      <c r="X19" s="84">
        <f>IFERROR(Base!J17*$Q19,0)</f>
        <v>0</v>
      </c>
      <c r="Y19" s="84">
        <f>IFERROR(Base!K17*$Q19,0)</f>
        <v>0</v>
      </c>
      <c r="Z19" s="84">
        <f>IFERROR(Base!L17*$Q19,0)</f>
        <v>0</v>
      </c>
      <c r="AA19" s="84">
        <f>IFERROR(Base!M17*$Q19,0)</f>
        <v>0</v>
      </c>
      <c r="AB19" s="84">
        <f>IFERROR(Base!N17*$Q19,0)</f>
        <v>0</v>
      </c>
      <c r="AC19" s="84">
        <f>IFERROR(Base!O17*$Q19,0)</f>
        <v>0</v>
      </c>
      <c r="AD19" s="114">
        <f t="shared" si="2"/>
        <v>0</v>
      </c>
    </row>
    <row r="20" spans="1:30" ht="20.100000000000001" customHeight="1" x14ac:dyDescent="0.25">
      <c r="B20" s="19" t="s">
        <v>103</v>
      </c>
      <c r="C20" s="116">
        <f>'Fat2'!D6</f>
        <v>0</v>
      </c>
      <c r="D20" s="116">
        <f>'Fat2'!E6</f>
        <v>0</v>
      </c>
      <c r="E20" s="116">
        <f>'Fat2'!F6</f>
        <v>0</v>
      </c>
      <c r="F20" s="116">
        <f>'Fat2'!G6</f>
        <v>0</v>
      </c>
      <c r="G20" s="116">
        <f>'Fat2'!H6</f>
        <v>0</v>
      </c>
      <c r="H20" s="116">
        <f>'Fat2'!I6</f>
        <v>0</v>
      </c>
      <c r="I20" s="116">
        <f>'Fat2'!J6</f>
        <v>0</v>
      </c>
      <c r="J20" s="116">
        <f>'Fat2'!K6</f>
        <v>0</v>
      </c>
      <c r="K20" s="116">
        <f>'Fat2'!L6</f>
        <v>0</v>
      </c>
      <c r="L20" s="116">
        <f>'Fat2'!M6</f>
        <v>0</v>
      </c>
      <c r="M20" s="116">
        <f>'Fat2'!N6</f>
        <v>0</v>
      </c>
      <c r="N20" s="116">
        <f>'Fat2'!O6</f>
        <v>0</v>
      </c>
      <c r="O20" s="119">
        <f>SUM(C20:N20)</f>
        <v>0</v>
      </c>
      <c r="Q20" s="113" t="str">
        <f>Base!C18</f>
        <v/>
      </c>
      <c r="R20" s="84">
        <f>IFERROR(Base!D18*$Q20,0)</f>
        <v>0</v>
      </c>
      <c r="S20" s="84">
        <f>IFERROR(Base!E18*$Q20,0)</f>
        <v>0</v>
      </c>
      <c r="T20" s="84">
        <f>IFERROR(Base!F18*$Q20,0)</f>
        <v>0</v>
      </c>
      <c r="U20" s="84">
        <f>IFERROR(Base!G18*$Q20,0)</f>
        <v>0</v>
      </c>
      <c r="V20" s="84">
        <f>IFERROR(Base!H18*$Q20,0)</f>
        <v>0</v>
      </c>
      <c r="W20" s="84">
        <f>IFERROR(Base!I18*$Q20,0)</f>
        <v>0</v>
      </c>
      <c r="X20" s="84">
        <f>IFERROR(Base!J18*$Q20,0)</f>
        <v>0</v>
      </c>
      <c r="Y20" s="84">
        <f>IFERROR(Base!K18*$Q20,0)</f>
        <v>0</v>
      </c>
      <c r="Z20" s="84">
        <f>IFERROR(Base!L18*$Q20,0)</f>
        <v>0</v>
      </c>
      <c r="AA20" s="84">
        <f>IFERROR(Base!M18*$Q20,0)</f>
        <v>0</v>
      </c>
      <c r="AB20" s="84">
        <f>IFERROR(Base!N18*$Q20,0)</f>
        <v>0</v>
      </c>
      <c r="AC20" s="84">
        <f>IFERROR(Base!O18*$Q20,0)</f>
        <v>0</v>
      </c>
      <c r="AD20" s="114">
        <f t="shared" si="2"/>
        <v>0</v>
      </c>
    </row>
    <row r="21" spans="1:30" ht="20.100000000000001" customHeight="1" x14ac:dyDescent="0.25">
      <c r="B21" s="19" t="s">
        <v>104</v>
      </c>
      <c r="C21" s="116">
        <f>'Fat2'!D7</f>
        <v>0</v>
      </c>
      <c r="D21" s="116">
        <f>'Fat2'!E7</f>
        <v>0</v>
      </c>
      <c r="E21" s="116">
        <f>'Fat2'!F7</f>
        <v>0</v>
      </c>
      <c r="F21" s="116">
        <f>'Fat2'!G7</f>
        <v>0</v>
      </c>
      <c r="G21" s="116">
        <f>'Fat2'!H7</f>
        <v>0</v>
      </c>
      <c r="H21" s="116">
        <f>'Fat2'!I7</f>
        <v>0</v>
      </c>
      <c r="I21" s="116">
        <f>'Fat2'!J7</f>
        <v>0</v>
      </c>
      <c r="J21" s="116">
        <f>'Fat2'!K7</f>
        <v>0</v>
      </c>
      <c r="K21" s="116">
        <f>'Fat2'!L7</f>
        <v>0</v>
      </c>
      <c r="L21" s="116">
        <f>'Fat2'!M7</f>
        <v>0</v>
      </c>
      <c r="M21" s="116">
        <f>'Fat2'!N7</f>
        <v>0</v>
      </c>
      <c r="N21" s="116">
        <f>'Fat2'!O7</f>
        <v>0</v>
      </c>
      <c r="O21" s="119">
        <f>SUM(C21:N21)</f>
        <v>0</v>
      </c>
      <c r="Q21" s="113" t="str">
        <f>Base!C19</f>
        <v/>
      </c>
      <c r="R21" s="84">
        <f>IFERROR(Base!D19*$Q21,0)</f>
        <v>0</v>
      </c>
      <c r="S21" s="84">
        <f>IFERROR(Base!E19*$Q21,0)</f>
        <v>0</v>
      </c>
      <c r="T21" s="84">
        <f>IFERROR(Base!F19*$Q21,0)</f>
        <v>0</v>
      </c>
      <c r="U21" s="84">
        <f>IFERROR(Base!G19*$Q21,0)</f>
        <v>0</v>
      </c>
      <c r="V21" s="84">
        <f>IFERROR(Base!H19*$Q21,0)</f>
        <v>0</v>
      </c>
      <c r="W21" s="84">
        <f>IFERROR(Base!I19*$Q21,0)</f>
        <v>0</v>
      </c>
      <c r="X21" s="84">
        <f>IFERROR(Base!J19*$Q21,0)</f>
        <v>0</v>
      </c>
      <c r="Y21" s="84">
        <f>IFERROR(Base!K19*$Q21,0)</f>
        <v>0</v>
      </c>
      <c r="Z21" s="84">
        <f>IFERROR(Base!L19*$Q21,0)</f>
        <v>0</v>
      </c>
      <c r="AA21" s="84">
        <f>IFERROR(Base!M19*$Q21,0)</f>
        <v>0</v>
      </c>
      <c r="AB21" s="84">
        <f>IFERROR(Base!N19*$Q21,0)</f>
        <v>0</v>
      </c>
      <c r="AC21" s="84">
        <f>IFERROR(Base!O19*$Q21,0)</f>
        <v>0</v>
      </c>
      <c r="AD21" s="114">
        <f t="shared" si="2"/>
        <v>0</v>
      </c>
    </row>
    <row r="22" spans="1:30" ht="20.100000000000001" customHeight="1" x14ac:dyDescent="0.25">
      <c r="B22" s="118" t="s">
        <v>99</v>
      </c>
      <c r="C22" s="119">
        <f t="shared" ref="C22:N22" si="10">SUM(C19:C21)</f>
        <v>0</v>
      </c>
      <c r="D22" s="119">
        <f t="shared" si="10"/>
        <v>0</v>
      </c>
      <c r="E22" s="119">
        <f t="shared" si="10"/>
        <v>0</v>
      </c>
      <c r="F22" s="119">
        <f t="shared" si="10"/>
        <v>0</v>
      </c>
      <c r="G22" s="119">
        <f t="shared" si="10"/>
        <v>0</v>
      </c>
      <c r="H22" s="119">
        <f t="shared" si="10"/>
        <v>0</v>
      </c>
      <c r="I22" s="119">
        <f t="shared" si="10"/>
        <v>0</v>
      </c>
      <c r="J22" s="119">
        <f t="shared" si="10"/>
        <v>0</v>
      </c>
      <c r="K22" s="119">
        <f t="shared" si="10"/>
        <v>0</v>
      </c>
      <c r="L22" s="119">
        <f t="shared" si="10"/>
        <v>0</v>
      </c>
      <c r="M22" s="119">
        <f t="shared" si="10"/>
        <v>0</v>
      </c>
      <c r="N22" s="119">
        <f t="shared" si="10"/>
        <v>0</v>
      </c>
      <c r="O22" s="119">
        <f>SUM(C22:N22)</f>
        <v>0</v>
      </c>
      <c r="Q22" s="113" t="str">
        <f>Base!C20</f>
        <v/>
      </c>
      <c r="R22" s="84">
        <f>IFERROR(Base!D20*$Q22,0)</f>
        <v>0</v>
      </c>
      <c r="S22" s="84">
        <f>IFERROR(Base!E20*$Q22,0)</f>
        <v>0</v>
      </c>
      <c r="T22" s="84">
        <f>IFERROR(Base!F20*$Q22,0)</f>
        <v>0</v>
      </c>
      <c r="U22" s="84">
        <f>IFERROR(Base!G20*$Q22,0)</f>
        <v>0</v>
      </c>
      <c r="V22" s="84">
        <f>IFERROR(Base!H20*$Q22,0)</f>
        <v>0</v>
      </c>
      <c r="W22" s="84">
        <f>IFERROR(Base!I20*$Q22,0)</f>
        <v>0</v>
      </c>
      <c r="X22" s="84">
        <f>IFERROR(Base!J20*$Q22,0)</f>
        <v>0</v>
      </c>
      <c r="Y22" s="84">
        <f>IFERROR(Base!K20*$Q22,0)</f>
        <v>0</v>
      </c>
      <c r="Z22" s="84">
        <f>IFERROR(Base!L20*$Q22,0)</f>
        <v>0</v>
      </c>
      <c r="AA22" s="84">
        <f>IFERROR(Base!M20*$Q22,0)</f>
        <v>0</v>
      </c>
      <c r="AB22" s="84">
        <f>IFERROR(Base!N20*$Q22,0)</f>
        <v>0</v>
      </c>
      <c r="AC22" s="84">
        <f>IFERROR(Base!O20*$Q22,0)</f>
        <v>0</v>
      </c>
      <c r="AD22" s="114">
        <f t="shared" si="2"/>
        <v>0</v>
      </c>
    </row>
    <row r="23" spans="1:30" ht="20.100000000000001" customHeight="1" x14ac:dyDescent="0.25">
      <c r="Q23" s="115" t="s">
        <v>99</v>
      </c>
      <c r="R23" s="114">
        <f t="shared" ref="R23:AC23" si="11">SUM(R10:R22)</f>
        <v>0</v>
      </c>
      <c r="S23" s="114">
        <f t="shared" si="11"/>
        <v>0</v>
      </c>
      <c r="T23" s="114">
        <f t="shared" si="11"/>
        <v>0</v>
      </c>
      <c r="U23" s="114">
        <f t="shared" si="11"/>
        <v>0</v>
      </c>
      <c r="V23" s="114">
        <f t="shared" si="11"/>
        <v>0</v>
      </c>
      <c r="W23" s="114">
        <f t="shared" si="11"/>
        <v>0</v>
      </c>
      <c r="X23" s="114">
        <f t="shared" si="11"/>
        <v>0</v>
      </c>
      <c r="Y23" s="114">
        <f t="shared" si="11"/>
        <v>0</v>
      </c>
      <c r="Z23" s="114">
        <f t="shared" si="11"/>
        <v>0</v>
      </c>
      <c r="AA23" s="114">
        <f t="shared" si="11"/>
        <v>0</v>
      </c>
      <c r="AB23" s="114">
        <f t="shared" si="11"/>
        <v>0</v>
      </c>
      <c r="AC23" s="114">
        <f t="shared" si="11"/>
        <v>0</v>
      </c>
      <c r="AD23" s="114">
        <f>SUM(R23:AC23)</f>
        <v>0</v>
      </c>
    </row>
    <row r="24" spans="1:30" ht="20.100000000000001" customHeight="1" x14ac:dyDescent="0.25">
      <c r="A24" s="124"/>
      <c r="B24" s="112" t="s">
        <v>82</v>
      </c>
      <c r="C24" s="112" t="s">
        <v>83</v>
      </c>
      <c r="D24" s="112" t="s">
        <v>84</v>
      </c>
      <c r="E24" s="112" t="s">
        <v>85</v>
      </c>
      <c r="F24" s="112" t="s">
        <v>86</v>
      </c>
      <c r="G24" s="112" t="s">
        <v>87</v>
      </c>
      <c r="H24" s="112" t="s">
        <v>88</v>
      </c>
      <c r="I24" s="112" t="s">
        <v>89</v>
      </c>
      <c r="J24" s="112" t="s">
        <v>90</v>
      </c>
      <c r="K24" s="112" t="s">
        <v>91</v>
      </c>
      <c r="L24" s="112" t="s">
        <v>92</v>
      </c>
      <c r="M24" s="112" t="s">
        <v>93</v>
      </c>
      <c r="N24" s="112" t="s">
        <v>94</v>
      </c>
      <c r="O24" s="112" t="s">
        <v>95</v>
      </c>
      <c r="Q24" s="117" t="s">
        <v>38</v>
      </c>
    </row>
    <row r="25" spans="1:30" ht="20.100000000000001" customHeight="1" x14ac:dyDescent="0.25">
      <c r="A25" s="123"/>
      <c r="B25" s="121" t="s">
        <v>97</v>
      </c>
      <c r="C25" s="122">
        <v>0</v>
      </c>
      <c r="D25" s="122">
        <v>0</v>
      </c>
      <c r="E25" s="122">
        <v>0</v>
      </c>
      <c r="F25" s="122">
        <v>0</v>
      </c>
      <c r="G25" s="122">
        <v>0</v>
      </c>
      <c r="H25" s="122">
        <v>0</v>
      </c>
      <c r="I25" s="122">
        <v>0</v>
      </c>
      <c r="J25" s="122">
        <v>0</v>
      </c>
      <c r="K25" s="122">
        <v>0</v>
      </c>
      <c r="L25" s="122">
        <v>0</v>
      </c>
      <c r="M25" s="122">
        <v>0</v>
      </c>
      <c r="N25" s="122">
        <v>0</v>
      </c>
      <c r="O25" s="114">
        <f t="shared" ref="O25:O30" si="12">SUM(C25:N25)</f>
        <v>0</v>
      </c>
      <c r="Q25" s="112" t="s">
        <v>82</v>
      </c>
      <c r="R25" s="112" t="s">
        <v>83</v>
      </c>
      <c r="S25" s="112" t="s">
        <v>84</v>
      </c>
      <c r="T25" s="112" t="s">
        <v>85</v>
      </c>
      <c r="U25" s="112" t="s">
        <v>86</v>
      </c>
      <c r="V25" s="112" t="s">
        <v>87</v>
      </c>
      <c r="W25" s="112" t="s">
        <v>88</v>
      </c>
      <c r="X25" s="112" t="s">
        <v>89</v>
      </c>
      <c r="Y25" s="112" t="s">
        <v>90</v>
      </c>
      <c r="Z25" s="112" t="s">
        <v>91</v>
      </c>
      <c r="AA25" s="112" t="s">
        <v>92</v>
      </c>
      <c r="AB25" s="112" t="s">
        <v>93</v>
      </c>
      <c r="AC25" s="112" t="s">
        <v>94</v>
      </c>
      <c r="AD25" s="112" t="s">
        <v>95</v>
      </c>
    </row>
    <row r="26" spans="1:30" ht="20.100000000000001" customHeight="1" x14ac:dyDescent="0.25">
      <c r="A26" s="123"/>
      <c r="B26" s="121" t="s">
        <v>98</v>
      </c>
      <c r="C26" s="122">
        <v>0</v>
      </c>
      <c r="D26" s="122">
        <v>0</v>
      </c>
      <c r="E26" s="122">
        <v>0</v>
      </c>
      <c r="F26" s="122">
        <v>0</v>
      </c>
      <c r="G26" s="122">
        <v>0</v>
      </c>
      <c r="H26" s="122">
        <v>0</v>
      </c>
      <c r="I26" s="122">
        <v>0</v>
      </c>
      <c r="J26" s="122">
        <v>0</v>
      </c>
      <c r="K26" s="122">
        <v>0</v>
      </c>
      <c r="L26" s="122">
        <v>0</v>
      </c>
      <c r="M26" s="122">
        <v>0</v>
      </c>
      <c r="N26" s="122">
        <v>0</v>
      </c>
      <c r="O26" s="114">
        <f t="shared" si="12"/>
        <v>0</v>
      </c>
      <c r="Q26" s="113">
        <f>Base!C24</f>
        <v>0</v>
      </c>
      <c r="R26" s="84">
        <f>IFERROR(Base!D24*$Q26,0)</f>
        <v>0</v>
      </c>
      <c r="S26" s="84">
        <f>IFERROR(Base!E24*$Q26,0)</f>
        <v>0</v>
      </c>
      <c r="T26" s="84">
        <f>IFERROR(Base!F24*$Q26,0)</f>
        <v>0</v>
      </c>
      <c r="U26" s="84">
        <f>IFERROR(Base!G24*$Q26,0)</f>
        <v>0</v>
      </c>
      <c r="V26" s="84">
        <f>IFERROR(Base!H24*$Q26,0)</f>
        <v>0</v>
      </c>
      <c r="W26" s="84">
        <f>IFERROR(Base!I24*$Q26,0)</f>
        <v>0</v>
      </c>
      <c r="X26" s="84">
        <f>IFERROR(Base!J24*$Q26,0)</f>
        <v>0</v>
      </c>
      <c r="Y26" s="84">
        <f>IFERROR(Base!K24*$Q26,0)</f>
        <v>0</v>
      </c>
      <c r="Z26" s="84">
        <f>IFERROR(Base!L24*$Q26,0)</f>
        <v>0</v>
      </c>
      <c r="AA26" s="84">
        <f>IFERROR(Base!M24*$Q26,0)</f>
        <v>0</v>
      </c>
      <c r="AB26" s="84">
        <f>IFERROR(Base!N24*$Q26,0)</f>
        <v>0</v>
      </c>
      <c r="AC26" s="84">
        <f>IFERROR(Base!O24*$Q26,0)</f>
        <v>0</v>
      </c>
      <c r="AD26" s="114">
        <f t="shared" ref="AD26:AD38" si="13">SUM(R26:AC26)</f>
        <v>0</v>
      </c>
    </row>
    <row r="27" spans="1:30" ht="20.100000000000001" customHeight="1" x14ac:dyDescent="0.25">
      <c r="A27" s="123"/>
      <c r="B27" s="130" t="s">
        <v>37</v>
      </c>
      <c r="C27" s="129">
        <f>IFERROR(SUM(C19:C20)*$A$13,0)</f>
        <v>0</v>
      </c>
      <c r="D27" s="129">
        <f>IFERROR(SUM(D19:D20)*$A$13,0)</f>
        <v>0</v>
      </c>
      <c r="E27" s="129">
        <f>IFERROR(SUM(E19:E20)*$A$13,0)</f>
        <v>0</v>
      </c>
      <c r="F27" s="129">
        <f t="shared" ref="F27:N27" si="14">IFERROR(SUM(F19:F20)*$A$13,0)</f>
        <v>0</v>
      </c>
      <c r="G27" s="129">
        <f t="shared" si="14"/>
        <v>0</v>
      </c>
      <c r="H27" s="129">
        <f t="shared" si="14"/>
        <v>0</v>
      </c>
      <c r="I27" s="129">
        <f t="shared" si="14"/>
        <v>0</v>
      </c>
      <c r="J27" s="129">
        <f t="shared" si="14"/>
        <v>0</v>
      </c>
      <c r="K27" s="129">
        <f t="shared" si="14"/>
        <v>0</v>
      </c>
      <c r="L27" s="129">
        <f t="shared" si="14"/>
        <v>0</v>
      </c>
      <c r="M27" s="129">
        <f t="shared" si="14"/>
        <v>0</v>
      </c>
      <c r="N27" s="129">
        <f t="shared" si="14"/>
        <v>0</v>
      </c>
      <c r="O27" s="131">
        <f t="shared" si="12"/>
        <v>0</v>
      </c>
      <c r="Q27" s="113">
        <f>Base!C25</f>
        <v>0.01</v>
      </c>
      <c r="R27" s="84">
        <f>IFERROR(Base!D25*$Q27,0)</f>
        <v>0</v>
      </c>
      <c r="S27" s="84">
        <f>IFERROR(Base!E25*$Q27,0)</f>
        <v>0</v>
      </c>
      <c r="T27" s="84">
        <f>IFERROR(Base!F25*$Q27,0)</f>
        <v>0</v>
      </c>
      <c r="U27" s="84">
        <f>IFERROR(Base!G25*$Q27,0)</f>
        <v>0</v>
      </c>
      <c r="V27" s="84">
        <f>IFERROR(Base!H25*$Q27,0)</f>
        <v>0</v>
      </c>
      <c r="W27" s="84">
        <f>IFERROR(Base!I25*$Q27,0)</f>
        <v>0</v>
      </c>
      <c r="X27" s="84">
        <f>IFERROR(Base!J25*$Q27,0)</f>
        <v>0</v>
      </c>
      <c r="Y27" s="84">
        <f>IFERROR(Base!K25*$Q27,0)</f>
        <v>0</v>
      </c>
      <c r="Z27" s="84">
        <f>IFERROR(Base!L25*$Q27,0)</f>
        <v>0</v>
      </c>
      <c r="AA27" s="84">
        <f>IFERROR(Base!M25*$Q27,0)</f>
        <v>0</v>
      </c>
      <c r="AB27" s="84">
        <f>IFERROR(Base!N25*$Q27,0)</f>
        <v>0</v>
      </c>
      <c r="AC27" s="84">
        <f>IFERROR(Base!O25*$Q27,0)</f>
        <v>0</v>
      </c>
      <c r="AD27" s="114">
        <f t="shared" si="13"/>
        <v>0</v>
      </c>
    </row>
    <row r="28" spans="1:30" ht="20.100000000000001" customHeight="1" x14ac:dyDescent="0.25">
      <c r="A28" s="123"/>
      <c r="B28" s="130" t="s">
        <v>38</v>
      </c>
      <c r="C28" s="129">
        <f>IFERROR(C19*$A$14,0)</f>
        <v>0</v>
      </c>
      <c r="D28" s="129">
        <f t="shared" ref="D28:N28" si="15">IFERROR(D19*$A$14,0)</f>
        <v>0</v>
      </c>
      <c r="E28" s="129">
        <f t="shared" si="15"/>
        <v>0</v>
      </c>
      <c r="F28" s="129">
        <f t="shared" si="15"/>
        <v>0</v>
      </c>
      <c r="G28" s="129">
        <f t="shared" si="15"/>
        <v>0</v>
      </c>
      <c r="H28" s="129">
        <f t="shared" si="15"/>
        <v>0</v>
      </c>
      <c r="I28" s="129">
        <f t="shared" si="15"/>
        <v>0</v>
      </c>
      <c r="J28" s="129">
        <f t="shared" si="15"/>
        <v>0</v>
      </c>
      <c r="K28" s="129">
        <f t="shared" si="15"/>
        <v>0</v>
      </c>
      <c r="L28" s="129">
        <f t="shared" si="15"/>
        <v>0</v>
      </c>
      <c r="M28" s="129">
        <f t="shared" si="15"/>
        <v>0</v>
      </c>
      <c r="N28" s="129">
        <f t="shared" si="15"/>
        <v>0</v>
      </c>
      <c r="O28" s="131">
        <f t="shared" si="12"/>
        <v>0</v>
      </c>
      <c r="Q28" s="113">
        <f>Base!C26</f>
        <v>0.02</v>
      </c>
      <c r="R28" s="84">
        <f>IFERROR(Base!D26*$Q28,0)</f>
        <v>0</v>
      </c>
      <c r="S28" s="84">
        <f>IFERROR(Base!E26*$Q28,0)</f>
        <v>0</v>
      </c>
      <c r="T28" s="84">
        <f>IFERROR(Base!F26*$Q28,0)</f>
        <v>0</v>
      </c>
      <c r="U28" s="84">
        <f>IFERROR(Base!G26*$Q28,0)</f>
        <v>0</v>
      </c>
      <c r="V28" s="84">
        <f>IFERROR(Base!H26*$Q28,0)</f>
        <v>0</v>
      </c>
      <c r="W28" s="84">
        <f>IFERROR(Base!I26*$Q28,0)</f>
        <v>0</v>
      </c>
      <c r="X28" s="84">
        <f>IFERROR(Base!J26*$Q28,0)</f>
        <v>0</v>
      </c>
      <c r="Y28" s="84">
        <f>IFERROR(Base!K26*$Q28,0)</f>
        <v>0</v>
      </c>
      <c r="Z28" s="84">
        <f>IFERROR(Base!L26*$Q28,0)</f>
        <v>0</v>
      </c>
      <c r="AA28" s="84">
        <f>IFERROR(Base!M26*$Q28,0)</f>
        <v>0</v>
      </c>
      <c r="AB28" s="84">
        <f>IFERROR(Base!N26*$Q28,0)</f>
        <v>0</v>
      </c>
      <c r="AC28" s="84">
        <f>IFERROR(Base!O26*$Q28,0)</f>
        <v>0</v>
      </c>
      <c r="AD28" s="114">
        <f t="shared" si="13"/>
        <v>0</v>
      </c>
    </row>
    <row r="29" spans="1:30" ht="20.100000000000001" customHeight="1" x14ac:dyDescent="0.25">
      <c r="A29" s="123"/>
      <c r="B29" s="130" t="s">
        <v>39</v>
      </c>
      <c r="C29" s="129">
        <f>IFERROR(C21*$A$15,0)</f>
        <v>0</v>
      </c>
      <c r="D29" s="129">
        <f t="shared" ref="D29:N29" si="16">IFERROR(D21*$A$15,0)</f>
        <v>0</v>
      </c>
      <c r="E29" s="129">
        <f t="shared" si="16"/>
        <v>0</v>
      </c>
      <c r="F29" s="129">
        <f t="shared" si="16"/>
        <v>0</v>
      </c>
      <c r="G29" s="129">
        <f t="shared" si="16"/>
        <v>0</v>
      </c>
      <c r="H29" s="129">
        <f t="shared" si="16"/>
        <v>0</v>
      </c>
      <c r="I29" s="129">
        <f t="shared" si="16"/>
        <v>0</v>
      </c>
      <c r="J29" s="129">
        <f t="shared" si="16"/>
        <v>0</v>
      </c>
      <c r="K29" s="129">
        <f t="shared" si="16"/>
        <v>0</v>
      </c>
      <c r="L29" s="129">
        <f t="shared" si="16"/>
        <v>0</v>
      </c>
      <c r="M29" s="129">
        <f t="shared" si="16"/>
        <v>0</v>
      </c>
      <c r="N29" s="129">
        <f t="shared" si="16"/>
        <v>0</v>
      </c>
      <c r="O29" s="131">
        <f t="shared" si="12"/>
        <v>0</v>
      </c>
      <c r="Q29" s="113">
        <f>Base!C27</f>
        <v>0.03</v>
      </c>
      <c r="R29" s="84">
        <f>IFERROR(Base!D27*$Q29,0)</f>
        <v>0</v>
      </c>
      <c r="S29" s="84">
        <f>IFERROR(Base!E27*$Q29,0)</f>
        <v>0</v>
      </c>
      <c r="T29" s="84">
        <f>IFERROR(Base!F27*$Q29,0)</f>
        <v>0</v>
      </c>
      <c r="U29" s="84">
        <f>IFERROR(Base!G27*$Q29,0)</f>
        <v>0</v>
      </c>
      <c r="V29" s="84">
        <f>IFERROR(Base!H27*$Q29,0)</f>
        <v>0</v>
      </c>
      <c r="W29" s="84">
        <f>IFERROR(Base!I27*$Q29,0)</f>
        <v>0</v>
      </c>
      <c r="X29" s="84">
        <f>IFERROR(Base!J27*$Q29,0)</f>
        <v>0</v>
      </c>
      <c r="Y29" s="84">
        <f>IFERROR(Base!K27*$Q29,0)</f>
        <v>0</v>
      </c>
      <c r="Z29" s="84">
        <f>IFERROR(Base!L27*$Q29,0)</f>
        <v>0</v>
      </c>
      <c r="AA29" s="84">
        <f>IFERROR(Base!M27*$Q29,0)</f>
        <v>0</v>
      </c>
      <c r="AB29" s="84">
        <f>IFERROR(Base!N27*$Q29,0)</f>
        <v>0</v>
      </c>
      <c r="AC29" s="84">
        <f>IFERROR(Base!O27*$Q29,0)</f>
        <v>0</v>
      </c>
      <c r="AD29" s="114">
        <f t="shared" si="13"/>
        <v>0</v>
      </c>
    </row>
    <row r="30" spans="1:30" ht="20.100000000000001" customHeight="1" x14ac:dyDescent="0.25">
      <c r="A30" s="123"/>
      <c r="B30" s="115" t="s">
        <v>99</v>
      </c>
      <c r="C30" s="114">
        <f t="shared" ref="C30:N30" si="17">SUM(C25:C29)</f>
        <v>0</v>
      </c>
      <c r="D30" s="114">
        <f t="shared" si="17"/>
        <v>0</v>
      </c>
      <c r="E30" s="114">
        <f t="shared" si="17"/>
        <v>0</v>
      </c>
      <c r="F30" s="114">
        <f t="shared" si="17"/>
        <v>0</v>
      </c>
      <c r="G30" s="114">
        <f t="shared" si="17"/>
        <v>0</v>
      </c>
      <c r="H30" s="114">
        <f t="shared" si="17"/>
        <v>0</v>
      </c>
      <c r="I30" s="114">
        <f t="shared" si="17"/>
        <v>0</v>
      </c>
      <c r="J30" s="114">
        <f t="shared" si="17"/>
        <v>0</v>
      </c>
      <c r="K30" s="114">
        <f t="shared" si="17"/>
        <v>0</v>
      </c>
      <c r="L30" s="114">
        <f t="shared" si="17"/>
        <v>0</v>
      </c>
      <c r="M30" s="114">
        <f t="shared" si="17"/>
        <v>0</v>
      </c>
      <c r="N30" s="114">
        <f t="shared" si="17"/>
        <v>0</v>
      </c>
      <c r="O30" s="114">
        <f t="shared" si="12"/>
        <v>0</v>
      </c>
      <c r="Q30" s="113">
        <f>Base!C28</f>
        <v>0.04</v>
      </c>
      <c r="R30" s="84">
        <f>IFERROR(Base!D28*$Q30,0)</f>
        <v>0</v>
      </c>
      <c r="S30" s="84">
        <f>IFERROR(Base!E28*$Q30,0)</f>
        <v>0</v>
      </c>
      <c r="T30" s="84">
        <f>IFERROR(Base!F28*$Q30,0)</f>
        <v>0</v>
      </c>
      <c r="U30" s="84">
        <f>IFERROR(Base!G28*$Q30,0)</f>
        <v>0</v>
      </c>
      <c r="V30" s="84">
        <f>IFERROR(Base!H28*$Q30,0)</f>
        <v>0</v>
      </c>
      <c r="W30" s="84">
        <f>IFERROR(Base!I28*$Q30,0)</f>
        <v>0</v>
      </c>
      <c r="X30" s="84">
        <f>IFERROR(Base!J28*$Q30,0)</f>
        <v>0</v>
      </c>
      <c r="Y30" s="84">
        <f>IFERROR(Base!K28*$Q30,0)</f>
        <v>0</v>
      </c>
      <c r="Z30" s="84">
        <f>IFERROR(Base!L28*$Q30,0)</f>
        <v>0</v>
      </c>
      <c r="AA30" s="84">
        <f>IFERROR(Base!M28*$Q30,0)</f>
        <v>0</v>
      </c>
      <c r="AB30" s="84">
        <f>IFERROR(Base!N28*$Q30,0)</f>
        <v>0</v>
      </c>
      <c r="AC30" s="84">
        <f>IFERROR(Base!O28*$Q30,0)</f>
        <v>0</v>
      </c>
      <c r="AD30" s="114">
        <f t="shared" si="13"/>
        <v>0</v>
      </c>
    </row>
    <row r="31" spans="1:30" ht="20.100000000000001" customHeight="1" x14ac:dyDescent="0.2">
      <c r="B31" s="120" t="s">
        <v>112</v>
      </c>
      <c r="Q31" s="113">
        <f>Base!C29</f>
        <v>0.05</v>
      </c>
      <c r="R31" s="84">
        <f>IFERROR(Base!D29*$Q31,0)</f>
        <v>0</v>
      </c>
      <c r="S31" s="84">
        <f>IFERROR(Base!E29*$Q31,0)</f>
        <v>0</v>
      </c>
      <c r="T31" s="84">
        <f>IFERROR(Base!F29*$Q31,0)</f>
        <v>0</v>
      </c>
      <c r="U31" s="84">
        <f>IFERROR(Base!G29*$Q31,0)</f>
        <v>0</v>
      </c>
      <c r="V31" s="84">
        <f>IFERROR(Base!H29*$Q31,0)</f>
        <v>0</v>
      </c>
      <c r="W31" s="84">
        <f>IFERROR(Base!I29*$Q31,0)</f>
        <v>0</v>
      </c>
      <c r="X31" s="84">
        <f>IFERROR(Base!J29*$Q31,0)</f>
        <v>0</v>
      </c>
      <c r="Y31" s="84">
        <f>IFERROR(Base!K29*$Q31,0)</f>
        <v>0</v>
      </c>
      <c r="Z31" s="84">
        <f>IFERROR(Base!L29*$Q31,0)</f>
        <v>0</v>
      </c>
      <c r="AA31" s="84">
        <f>IFERROR(Base!M29*$Q31,0)</f>
        <v>0</v>
      </c>
      <c r="AB31" s="84">
        <f>IFERROR(Base!N29*$Q31,0)</f>
        <v>0</v>
      </c>
      <c r="AC31" s="84">
        <f>IFERROR(Base!O29*$Q31,0)</f>
        <v>0</v>
      </c>
      <c r="AD31" s="114">
        <f t="shared" si="13"/>
        <v>0</v>
      </c>
    </row>
    <row r="32" spans="1:30" ht="20.100000000000001" customHeight="1" x14ac:dyDescent="0.25">
      <c r="B32" s="112" t="s">
        <v>82</v>
      </c>
      <c r="C32" s="112" t="s">
        <v>83</v>
      </c>
      <c r="D32" s="112" t="s">
        <v>84</v>
      </c>
      <c r="E32" s="112" t="s">
        <v>85</v>
      </c>
      <c r="F32" s="112" t="s">
        <v>86</v>
      </c>
      <c r="G32" s="112" t="s">
        <v>87</v>
      </c>
      <c r="H32" s="112" t="s">
        <v>88</v>
      </c>
      <c r="I32" s="112" t="s">
        <v>89</v>
      </c>
      <c r="J32" s="112" t="s">
        <v>90</v>
      </c>
      <c r="K32" s="112" t="s">
        <v>91</v>
      </c>
      <c r="L32" s="112" t="s">
        <v>92</v>
      </c>
      <c r="M32" s="112" t="s">
        <v>93</v>
      </c>
      <c r="N32" s="112" t="s">
        <v>94</v>
      </c>
      <c r="O32" s="112" t="s">
        <v>95</v>
      </c>
      <c r="Q32" s="113" t="str">
        <f>Base!C30</f>
        <v/>
      </c>
      <c r="R32" s="84">
        <f>IFERROR(Base!D30*$Q32,0)</f>
        <v>0</v>
      </c>
      <c r="S32" s="84">
        <f>IFERROR(Base!E30*$Q32,0)</f>
        <v>0</v>
      </c>
      <c r="T32" s="84">
        <f>IFERROR(Base!F30*$Q32,0)</f>
        <v>0</v>
      </c>
      <c r="U32" s="84">
        <f>IFERROR(Base!G30*$Q32,0)</f>
        <v>0</v>
      </c>
      <c r="V32" s="84">
        <f>IFERROR(Base!H30*$Q32,0)</f>
        <v>0</v>
      </c>
      <c r="W32" s="84">
        <f>IFERROR(Base!I30*$Q32,0)</f>
        <v>0</v>
      </c>
      <c r="X32" s="84">
        <f>IFERROR(Base!J30*$Q32,0)</f>
        <v>0</v>
      </c>
      <c r="Y32" s="84">
        <f>IFERROR(Base!K30*$Q32,0)</f>
        <v>0</v>
      </c>
      <c r="Z32" s="84">
        <f>IFERROR(Base!L30*$Q32,0)</f>
        <v>0</v>
      </c>
      <c r="AA32" s="84">
        <f>IFERROR(Base!M30*$Q32,0)</f>
        <v>0</v>
      </c>
      <c r="AB32" s="84">
        <f>IFERROR(Base!N30*$Q32,0)</f>
        <v>0</v>
      </c>
      <c r="AC32" s="84">
        <f>IFERROR(Base!O30*$Q32,0)</f>
        <v>0</v>
      </c>
      <c r="AD32" s="114">
        <f t="shared" si="13"/>
        <v>0</v>
      </c>
    </row>
    <row r="33" spans="2:30" ht="20.100000000000001" customHeight="1" x14ac:dyDescent="0.25">
      <c r="B33" s="19" t="s">
        <v>102</v>
      </c>
      <c r="C33" s="116">
        <f>'Fat3'!D5</f>
        <v>0</v>
      </c>
      <c r="D33" s="116">
        <f>'Fat3'!E5</f>
        <v>0</v>
      </c>
      <c r="E33" s="116">
        <f>'Fat3'!F5</f>
        <v>0</v>
      </c>
      <c r="F33" s="116">
        <f>'Fat3'!G5</f>
        <v>0</v>
      </c>
      <c r="G33" s="116">
        <f>'Fat3'!H5</f>
        <v>0</v>
      </c>
      <c r="H33" s="116">
        <f>'Fat3'!I5</f>
        <v>0</v>
      </c>
      <c r="I33" s="116">
        <f>'Fat3'!J5</f>
        <v>0</v>
      </c>
      <c r="J33" s="116">
        <f>'Fat3'!K5</f>
        <v>0</v>
      </c>
      <c r="K33" s="116">
        <f>'Fat3'!L5</f>
        <v>0</v>
      </c>
      <c r="L33" s="116">
        <f>'Fat3'!M5</f>
        <v>0</v>
      </c>
      <c r="M33" s="116">
        <f>'Fat3'!N5</f>
        <v>0</v>
      </c>
      <c r="N33" s="116">
        <f>'Fat3'!O5</f>
        <v>0</v>
      </c>
      <c r="O33" s="119">
        <f>SUM(C33:N33)</f>
        <v>0</v>
      </c>
      <c r="Q33" s="113" t="str">
        <f>Base!C31</f>
        <v/>
      </c>
      <c r="R33" s="84">
        <f>IFERROR(Base!D31*$Q33,0)</f>
        <v>0</v>
      </c>
      <c r="S33" s="84">
        <f>IFERROR(Base!E31*$Q33,0)</f>
        <v>0</v>
      </c>
      <c r="T33" s="84">
        <f>IFERROR(Base!F31*$Q33,0)</f>
        <v>0</v>
      </c>
      <c r="U33" s="84">
        <f>IFERROR(Base!G31*$Q33,0)</f>
        <v>0</v>
      </c>
      <c r="V33" s="84">
        <f>IFERROR(Base!H31*$Q33,0)</f>
        <v>0</v>
      </c>
      <c r="W33" s="84">
        <f>IFERROR(Base!I31*$Q33,0)</f>
        <v>0</v>
      </c>
      <c r="X33" s="84">
        <f>IFERROR(Base!J31*$Q33,0)</f>
        <v>0</v>
      </c>
      <c r="Y33" s="84">
        <f>IFERROR(Base!K31*$Q33,0)</f>
        <v>0</v>
      </c>
      <c r="Z33" s="84">
        <f>IFERROR(Base!L31*$Q33,0)</f>
        <v>0</v>
      </c>
      <c r="AA33" s="84">
        <f>IFERROR(Base!M31*$Q33,0)</f>
        <v>0</v>
      </c>
      <c r="AB33" s="84">
        <f>IFERROR(Base!N31*$Q33,0)</f>
        <v>0</v>
      </c>
      <c r="AC33" s="84">
        <f>IFERROR(Base!O31*$Q33,0)</f>
        <v>0</v>
      </c>
      <c r="AD33" s="114">
        <f t="shared" si="13"/>
        <v>0</v>
      </c>
    </row>
    <row r="34" spans="2:30" ht="20.100000000000001" customHeight="1" x14ac:dyDescent="0.25">
      <c r="B34" s="19" t="s">
        <v>103</v>
      </c>
      <c r="C34" s="116">
        <f>'Fat3'!D6</f>
        <v>0</v>
      </c>
      <c r="D34" s="116">
        <f>'Fat3'!E6</f>
        <v>0</v>
      </c>
      <c r="E34" s="116">
        <f>'Fat3'!F6</f>
        <v>0</v>
      </c>
      <c r="F34" s="116">
        <f>'Fat3'!G6</f>
        <v>0</v>
      </c>
      <c r="G34" s="116">
        <f>'Fat3'!H6</f>
        <v>0</v>
      </c>
      <c r="H34" s="116">
        <f>'Fat3'!I6</f>
        <v>0</v>
      </c>
      <c r="I34" s="116">
        <f>'Fat3'!J6</f>
        <v>0</v>
      </c>
      <c r="J34" s="116">
        <f>'Fat3'!K6</f>
        <v>0</v>
      </c>
      <c r="K34" s="116">
        <f>'Fat3'!L6</f>
        <v>0</v>
      </c>
      <c r="L34" s="116">
        <f>'Fat3'!M6</f>
        <v>0</v>
      </c>
      <c r="M34" s="116">
        <f>'Fat3'!N6</f>
        <v>0</v>
      </c>
      <c r="N34" s="116">
        <f>'Fat3'!O6</f>
        <v>0</v>
      </c>
      <c r="O34" s="119">
        <f>SUM(C34:N34)</f>
        <v>0</v>
      </c>
      <c r="Q34" s="113" t="str">
        <f>Base!C32</f>
        <v/>
      </c>
      <c r="R34" s="84">
        <f>IFERROR(Base!D32*$Q34,0)</f>
        <v>0</v>
      </c>
      <c r="S34" s="84">
        <f>IFERROR(Base!E32*$Q34,0)</f>
        <v>0</v>
      </c>
      <c r="T34" s="84">
        <f>IFERROR(Base!F32*$Q34,0)</f>
        <v>0</v>
      </c>
      <c r="U34" s="84">
        <f>IFERROR(Base!G32*$Q34,0)</f>
        <v>0</v>
      </c>
      <c r="V34" s="84">
        <f>IFERROR(Base!H32*$Q34,0)</f>
        <v>0</v>
      </c>
      <c r="W34" s="84">
        <f>IFERROR(Base!I32*$Q34,0)</f>
        <v>0</v>
      </c>
      <c r="X34" s="84">
        <f>IFERROR(Base!J32*$Q34,0)</f>
        <v>0</v>
      </c>
      <c r="Y34" s="84">
        <f>IFERROR(Base!K32*$Q34,0)</f>
        <v>0</v>
      </c>
      <c r="Z34" s="84">
        <f>IFERROR(Base!L32*$Q34,0)</f>
        <v>0</v>
      </c>
      <c r="AA34" s="84">
        <f>IFERROR(Base!M32*$Q34,0)</f>
        <v>0</v>
      </c>
      <c r="AB34" s="84">
        <f>IFERROR(Base!N32*$Q34,0)</f>
        <v>0</v>
      </c>
      <c r="AC34" s="84">
        <f>IFERROR(Base!O32*$Q34,0)</f>
        <v>0</v>
      </c>
      <c r="AD34" s="114">
        <f t="shared" si="13"/>
        <v>0</v>
      </c>
    </row>
    <row r="35" spans="2:30" ht="20.100000000000001" customHeight="1" x14ac:dyDescent="0.25">
      <c r="B35" s="19" t="s">
        <v>104</v>
      </c>
      <c r="C35" s="116">
        <f>'Fat3'!D7</f>
        <v>0</v>
      </c>
      <c r="D35" s="116">
        <f>'Fat3'!E7</f>
        <v>0</v>
      </c>
      <c r="E35" s="116">
        <f>'Fat3'!F7</f>
        <v>0</v>
      </c>
      <c r="F35" s="116">
        <f>'Fat3'!G7</f>
        <v>0</v>
      </c>
      <c r="G35" s="116">
        <f>'Fat3'!H7</f>
        <v>0</v>
      </c>
      <c r="H35" s="116">
        <f>'Fat3'!I7</f>
        <v>0</v>
      </c>
      <c r="I35" s="116">
        <f>'Fat3'!J7</f>
        <v>0</v>
      </c>
      <c r="J35" s="116">
        <f>'Fat3'!K7</f>
        <v>0</v>
      </c>
      <c r="K35" s="116">
        <f>'Fat3'!L7</f>
        <v>0</v>
      </c>
      <c r="L35" s="116">
        <f>'Fat3'!M7</f>
        <v>0</v>
      </c>
      <c r="M35" s="116">
        <f>'Fat3'!N7</f>
        <v>0</v>
      </c>
      <c r="N35" s="116">
        <f>'Fat3'!O7</f>
        <v>0</v>
      </c>
      <c r="O35" s="119">
        <f>SUM(C35:N35)</f>
        <v>0</v>
      </c>
      <c r="Q35" s="113" t="str">
        <f>Base!C33</f>
        <v/>
      </c>
      <c r="R35" s="84">
        <f>IFERROR(Base!D33*$Q35,0)</f>
        <v>0</v>
      </c>
      <c r="S35" s="84">
        <f>IFERROR(Base!E33*$Q35,0)</f>
        <v>0</v>
      </c>
      <c r="T35" s="84">
        <f>IFERROR(Base!F33*$Q35,0)</f>
        <v>0</v>
      </c>
      <c r="U35" s="84">
        <f>IFERROR(Base!G33*$Q35,0)</f>
        <v>0</v>
      </c>
      <c r="V35" s="84">
        <f>IFERROR(Base!H33*$Q35,0)</f>
        <v>0</v>
      </c>
      <c r="W35" s="84">
        <f>IFERROR(Base!I33*$Q35,0)</f>
        <v>0</v>
      </c>
      <c r="X35" s="84">
        <f>IFERROR(Base!J33*$Q35,0)</f>
        <v>0</v>
      </c>
      <c r="Y35" s="84">
        <f>IFERROR(Base!K33*$Q35,0)</f>
        <v>0</v>
      </c>
      <c r="Z35" s="84">
        <f>IFERROR(Base!L33*$Q35,0)</f>
        <v>0</v>
      </c>
      <c r="AA35" s="84">
        <f>IFERROR(Base!M33*$Q35,0)</f>
        <v>0</v>
      </c>
      <c r="AB35" s="84">
        <f>IFERROR(Base!N33*$Q35,0)</f>
        <v>0</v>
      </c>
      <c r="AC35" s="84">
        <f>IFERROR(Base!O33*$Q35,0)</f>
        <v>0</v>
      </c>
      <c r="AD35" s="114">
        <f t="shared" si="13"/>
        <v>0</v>
      </c>
    </row>
    <row r="36" spans="2:30" ht="20.100000000000001" customHeight="1" x14ac:dyDescent="0.25">
      <c r="B36" s="118" t="s">
        <v>99</v>
      </c>
      <c r="C36" s="119">
        <f t="shared" ref="C36:N36" si="18">SUM(C33:C35)</f>
        <v>0</v>
      </c>
      <c r="D36" s="119">
        <f t="shared" si="18"/>
        <v>0</v>
      </c>
      <c r="E36" s="119">
        <f t="shared" si="18"/>
        <v>0</v>
      </c>
      <c r="F36" s="119">
        <f t="shared" si="18"/>
        <v>0</v>
      </c>
      <c r="G36" s="119">
        <f t="shared" si="18"/>
        <v>0</v>
      </c>
      <c r="H36" s="119">
        <f t="shared" si="18"/>
        <v>0</v>
      </c>
      <c r="I36" s="119">
        <f t="shared" si="18"/>
        <v>0</v>
      </c>
      <c r="J36" s="119">
        <f t="shared" si="18"/>
        <v>0</v>
      </c>
      <c r="K36" s="119">
        <f t="shared" si="18"/>
        <v>0</v>
      </c>
      <c r="L36" s="119">
        <f t="shared" si="18"/>
        <v>0</v>
      </c>
      <c r="M36" s="119">
        <f t="shared" si="18"/>
        <v>0</v>
      </c>
      <c r="N36" s="119">
        <f t="shared" si="18"/>
        <v>0</v>
      </c>
      <c r="O36" s="119">
        <f>SUM(C36:N36)</f>
        <v>0</v>
      </c>
      <c r="Q36" s="113" t="str">
        <f>Base!C34</f>
        <v/>
      </c>
      <c r="R36" s="84">
        <f>IFERROR(Base!D34*$Q36,0)</f>
        <v>0</v>
      </c>
      <c r="S36" s="84">
        <f>IFERROR(Base!E34*$Q36,0)</f>
        <v>0</v>
      </c>
      <c r="T36" s="84">
        <f>IFERROR(Base!F34*$Q36,0)</f>
        <v>0</v>
      </c>
      <c r="U36" s="84">
        <f>IFERROR(Base!G34*$Q36,0)</f>
        <v>0</v>
      </c>
      <c r="V36" s="84">
        <f>IFERROR(Base!H34*$Q36,0)</f>
        <v>0</v>
      </c>
      <c r="W36" s="84">
        <f>IFERROR(Base!I34*$Q36,0)</f>
        <v>0</v>
      </c>
      <c r="X36" s="84">
        <f>IFERROR(Base!J34*$Q36,0)</f>
        <v>0</v>
      </c>
      <c r="Y36" s="84">
        <f>IFERROR(Base!K34*$Q36,0)</f>
        <v>0</v>
      </c>
      <c r="Z36" s="84">
        <f>IFERROR(Base!L34*$Q36,0)</f>
        <v>0</v>
      </c>
      <c r="AA36" s="84">
        <f>IFERROR(Base!M34*$Q36,0)</f>
        <v>0</v>
      </c>
      <c r="AB36" s="84">
        <f>IFERROR(Base!N34*$Q36,0)</f>
        <v>0</v>
      </c>
      <c r="AC36" s="84">
        <f>IFERROR(Base!O34*$Q36,0)</f>
        <v>0</v>
      </c>
      <c r="AD36" s="114">
        <f t="shared" si="13"/>
        <v>0</v>
      </c>
    </row>
    <row r="37" spans="2:30" ht="20.100000000000001" customHeight="1" x14ac:dyDescent="0.25">
      <c r="Q37" s="113" t="str">
        <f>Base!C35</f>
        <v/>
      </c>
      <c r="R37" s="84">
        <f>IFERROR(Base!D35*$Q37,0)</f>
        <v>0</v>
      </c>
      <c r="S37" s="84">
        <f>IFERROR(Base!E35*$Q37,0)</f>
        <v>0</v>
      </c>
      <c r="T37" s="84">
        <f>IFERROR(Base!F35*$Q37,0)</f>
        <v>0</v>
      </c>
      <c r="U37" s="84">
        <f>IFERROR(Base!G35*$Q37,0)</f>
        <v>0</v>
      </c>
      <c r="V37" s="84">
        <f>IFERROR(Base!H35*$Q37,0)</f>
        <v>0</v>
      </c>
      <c r="W37" s="84">
        <f>IFERROR(Base!I35*$Q37,0)</f>
        <v>0</v>
      </c>
      <c r="X37" s="84">
        <f>IFERROR(Base!J35*$Q37,0)</f>
        <v>0</v>
      </c>
      <c r="Y37" s="84">
        <f>IFERROR(Base!K35*$Q37,0)</f>
        <v>0</v>
      </c>
      <c r="Z37" s="84">
        <f>IFERROR(Base!L35*$Q37,0)</f>
        <v>0</v>
      </c>
      <c r="AA37" s="84">
        <f>IFERROR(Base!M35*$Q37,0)</f>
        <v>0</v>
      </c>
      <c r="AB37" s="84">
        <f>IFERROR(Base!N35*$Q37,0)</f>
        <v>0</v>
      </c>
      <c r="AC37" s="84">
        <f>IFERROR(Base!O35*$Q37,0)</f>
        <v>0</v>
      </c>
      <c r="AD37" s="114">
        <f t="shared" si="13"/>
        <v>0</v>
      </c>
    </row>
    <row r="38" spans="2:30" ht="20.100000000000001" customHeight="1" x14ac:dyDescent="0.25">
      <c r="B38" s="112" t="s">
        <v>82</v>
      </c>
      <c r="C38" s="112" t="s">
        <v>83</v>
      </c>
      <c r="D38" s="112" t="s">
        <v>84</v>
      </c>
      <c r="E38" s="112" t="s">
        <v>85</v>
      </c>
      <c r="F38" s="112" t="s">
        <v>86</v>
      </c>
      <c r="G38" s="112" t="s">
        <v>87</v>
      </c>
      <c r="H38" s="112" t="s">
        <v>88</v>
      </c>
      <c r="I38" s="112" t="s">
        <v>89</v>
      </c>
      <c r="J38" s="112" t="s">
        <v>90</v>
      </c>
      <c r="K38" s="112" t="s">
        <v>91</v>
      </c>
      <c r="L38" s="112" t="s">
        <v>92</v>
      </c>
      <c r="M38" s="112" t="s">
        <v>93</v>
      </c>
      <c r="N38" s="112" t="s">
        <v>94</v>
      </c>
      <c r="O38" s="112" t="s">
        <v>95</v>
      </c>
      <c r="Q38" s="113" t="str">
        <f>Base!C36</f>
        <v/>
      </c>
      <c r="R38" s="84">
        <f>IFERROR(Base!D36*$Q38,0)</f>
        <v>0</v>
      </c>
      <c r="S38" s="84">
        <f>IFERROR(Base!E36*$Q38,0)</f>
        <v>0</v>
      </c>
      <c r="T38" s="84">
        <f>IFERROR(Base!F36*$Q38,0)</f>
        <v>0</v>
      </c>
      <c r="U38" s="84">
        <f>IFERROR(Base!G36*$Q38,0)</f>
        <v>0</v>
      </c>
      <c r="V38" s="84">
        <f>IFERROR(Base!H36*$Q38,0)</f>
        <v>0</v>
      </c>
      <c r="W38" s="84">
        <f>IFERROR(Base!I36*$Q38,0)</f>
        <v>0</v>
      </c>
      <c r="X38" s="84">
        <f>IFERROR(Base!J36*$Q38,0)</f>
        <v>0</v>
      </c>
      <c r="Y38" s="84">
        <f>IFERROR(Base!K36*$Q38,0)</f>
        <v>0</v>
      </c>
      <c r="Z38" s="84">
        <f>IFERROR(Base!L36*$Q38,0)</f>
        <v>0</v>
      </c>
      <c r="AA38" s="84">
        <f>IFERROR(Base!M36*$Q38,0)</f>
        <v>0</v>
      </c>
      <c r="AB38" s="84">
        <f>IFERROR(Base!N36*$Q38,0)</f>
        <v>0</v>
      </c>
      <c r="AC38" s="84">
        <f>IFERROR(Base!O36*$Q38,0)</f>
        <v>0</v>
      </c>
      <c r="AD38" s="114">
        <f t="shared" si="13"/>
        <v>0</v>
      </c>
    </row>
    <row r="39" spans="2:30" ht="20.100000000000001" customHeight="1" x14ac:dyDescent="0.25">
      <c r="B39" s="130" t="s">
        <v>97</v>
      </c>
      <c r="C39" s="129">
        <f>IFERROR(C36*$A$11,0)</f>
        <v>0</v>
      </c>
      <c r="D39" s="129">
        <f t="shared" ref="D39:N39" si="19">IFERROR(D36*$A$11,0)</f>
        <v>0</v>
      </c>
      <c r="E39" s="129">
        <f t="shared" si="19"/>
        <v>0</v>
      </c>
      <c r="F39" s="129">
        <f t="shared" si="19"/>
        <v>0</v>
      </c>
      <c r="G39" s="129">
        <f t="shared" si="19"/>
        <v>0</v>
      </c>
      <c r="H39" s="129">
        <f t="shared" si="19"/>
        <v>0</v>
      </c>
      <c r="I39" s="129">
        <f t="shared" si="19"/>
        <v>0</v>
      </c>
      <c r="J39" s="129">
        <f t="shared" si="19"/>
        <v>0</v>
      </c>
      <c r="K39" s="129">
        <f t="shared" si="19"/>
        <v>0</v>
      </c>
      <c r="L39" s="129">
        <f t="shared" si="19"/>
        <v>0</v>
      </c>
      <c r="M39" s="129">
        <f t="shared" si="19"/>
        <v>0</v>
      </c>
      <c r="N39" s="129">
        <f t="shared" si="19"/>
        <v>0</v>
      </c>
      <c r="O39" s="131">
        <f t="shared" ref="O39:O44" si="20">SUM(C39:N39)</f>
        <v>0</v>
      </c>
      <c r="Q39" s="115" t="s">
        <v>99</v>
      </c>
      <c r="R39" s="114">
        <f t="shared" ref="R39:AC39" si="21">SUM(R26:R38)</f>
        <v>0</v>
      </c>
      <c r="S39" s="114">
        <f t="shared" si="21"/>
        <v>0</v>
      </c>
      <c r="T39" s="114">
        <f t="shared" si="21"/>
        <v>0</v>
      </c>
      <c r="U39" s="114">
        <f t="shared" si="21"/>
        <v>0</v>
      </c>
      <c r="V39" s="114">
        <f t="shared" si="21"/>
        <v>0</v>
      </c>
      <c r="W39" s="114">
        <f t="shared" si="21"/>
        <v>0</v>
      </c>
      <c r="X39" s="114">
        <f t="shared" si="21"/>
        <v>0</v>
      </c>
      <c r="Y39" s="114">
        <f t="shared" si="21"/>
        <v>0</v>
      </c>
      <c r="Z39" s="114">
        <f t="shared" si="21"/>
        <v>0</v>
      </c>
      <c r="AA39" s="114">
        <f t="shared" si="21"/>
        <v>0</v>
      </c>
      <c r="AB39" s="114">
        <f t="shared" si="21"/>
        <v>0</v>
      </c>
      <c r="AC39" s="114">
        <f t="shared" si="21"/>
        <v>0</v>
      </c>
      <c r="AD39" s="114">
        <f>SUM(R39:AC39)</f>
        <v>0</v>
      </c>
    </row>
    <row r="40" spans="2:30" ht="20.100000000000001" customHeight="1" x14ac:dyDescent="0.25">
      <c r="B40" s="130" t="s">
        <v>98</v>
      </c>
      <c r="C40" s="129">
        <f>IFERROR(C36*$A$12,0)</f>
        <v>0</v>
      </c>
      <c r="D40" s="129">
        <f t="shared" ref="D40:N40" si="22">IFERROR(D36*$A$12,0)</f>
        <v>0</v>
      </c>
      <c r="E40" s="129">
        <f t="shared" si="22"/>
        <v>0</v>
      </c>
      <c r="F40" s="129">
        <f t="shared" si="22"/>
        <v>0</v>
      </c>
      <c r="G40" s="129">
        <f t="shared" si="22"/>
        <v>0</v>
      </c>
      <c r="H40" s="129">
        <f t="shared" si="22"/>
        <v>0</v>
      </c>
      <c r="I40" s="129">
        <f t="shared" si="22"/>
        <v>0</v>
      </c>
      <c r="J40" s="129">
        <f t="shared" si="22"/>
        <v>0</v>
      </c>
      <c r="K40" s="129">
        <f t="shared" si="22"/>
        <v>0</v>
      </c>
      <c r="L40" s="129">
        <f t="shared" si="22"/>
        <v>0</v>
      </c>
      <c r="M40" s="129">
        <f t="shared" si="22"/>
        <v>0</v>
      </c>
      <c r="N40" s="129">
        <f t="shared" si="22"/>
        <v>0</v>
      </c>
      <c r="O40" s="131">
        <f t="shared" si="20"/>
        <v>0</v>
      </c>
      <c r="Q40" s="117" t="s">
        <v>39</v>
      </c>
    </row>
    <row r="41" spans="2:30" ht="20.100000000000001" customHeight="1" x14ac:dyDescent="0.25">
      <c r="B41" s="121" t="s">
        <v>37</v>
      </c>
      <c r="C41" s="122">
        <v>0</v>
      </c>
      <c r="D41" s="122">
        <v>0</v>
      </c>
      <c r="E41" s="122">
        <v>0</v>
      </c>
      <c r="F41" s="122">
        <v>0</v>
      </c>
      <c r="G41" s="122">
        <v>0</v>
      </c>
      <c r="H41" s="122">
        <v>0</v>
      </c>
      <c r="I41" s="122">
        <v>0</v>
      </c>
      <c r="J41" s="122">
        <v>0</v>
      </c>
      <c r="K41" s="122">
        <v>0</v>
      </c>
      <c r="L41" s="122">
        <v>0</v>
      </c>
      <c r="M41" s="122">
        <v>0</v>
      </c>
      <c r="N41" s="122">
        <v>0</v>
      </c>
      <c r="O41" s="114">
        <f t="shared" si="20"/>
        <v>0</v>
      </c>
      <c r="Q41" s="112" t="s">
        <v>82</v>
      </c>
      <c r="R41" s="112" t="s">
        <v>83</v>
      </c>
      <c r="S41" s="112" t="s">
        <v>84</v>
      </c>
      <c r="T41" s="112" t="s">
        <v>85</v>
      </c>
      <c r="U41" s="112" t="s">
        <v>86</v>
      </c>
      <c r="V41" s="112" t="s">
        <v>87</v>
      </c>
      <c r="W41" s="112" t="s">
        <v>88</v>
      </c>
      <c r="X41" s="112" t="s">
        <v>89</v>
      </c>
      <c r="Y41" s="112" t="s">
        <v>90</v>
      </c>
      <c r="Z41" s="112" t="s">
        <v>91</v>
      </c>
      <c r="AA41" s="112" t="s">
        <v>92</v>
      </c>
      <c r="AB41" s="112" t="s">
        <v>93</v>
      </c>
      <c r="AC41" s="112" t="s">
        <v>94</v>
      </c>
      <c r="AD41" s="112" t="s">
        <v>95</v>
      </c>
    </row>
    <row r="42" spans="2:30" ht="20.100000000000001" customHeight="1" x14ac:dyDescent="0.25">
      <c r="B42" s="130" t="s">
        <v>38</v>
      </c>
      <c r="C42" s="129">
        <f>IFERROR(C33*$A$14,0)</f>
        <v>0</v>
      </c>
      <c r="D42" s="129">
        <f t="shared" ref="D42:N42" si="23">IFERROR(D33*$A$14,0)</f>
        <v>0</v>
      </c>
      <c r="E42" s="129">
        <f t="shared" si="23"/>
        <v>0</v>
      </c>
      <c r="F42" s="129">
        <f t="shared" si="23"/>
        <v>0</v>
      </c>
      <c r="G42" s="129">
        <f t="shared" si="23"/>
        <v>0</v>
      </c>
      <c r="H42" s="129">
        <f t="shared" si="23"/>
        <v>0</v>
      </c>
      <c r="I42" s="129">
        <f t="shared" si="23"/>
        <v>0</v>
      </c>
      <c r="J42" s="129">
        <f t="shared" si="23"/>
        <v>0</v>
      </c>
      <c r="K42" s="129">
        <f t="shared" si="23"/>
        <v>0</v>
      </c>
      <c r="L42" s="129">
        <f t="shared" si="23"/>
        <v>0</v>
      </c>
      <c r="M42" s="129">
        <f t="shared" si="23"/>
        <v>0</v>
      </c>
      <c r="N42" s="129">
        <f t="shared" si="23"/>
        <v>0</v>
      </c>
      <c r="O42" s="131">
        <f t="shared" si="20"/>
        <v>0</v>
      </c>
      <c r="Q42" s="113">
        <f>Base!C40</f>
        <v>0</v>
      </c>
      <c r="R42" s="84">
        <f>IFERROR(Base!D40*$Q42,0)</f>
        <v>0</v>
      </c>
      <c r="S42" s="84">
        <f>IFERROR(Base!E40*$Q42,0)</f>
        <v>0</v>
      </c>
      <c r="T42" s="84">
        <f>IFERROR(Base!F40*$Q42,0)</f>
        <v>0</v>
      </c>
      <c r="U42" s="84">
        <f>IFERROR(Base!G40*$Q42,0)</f>
        <v>0</v>
      </c>
      <c r="V42" s="84">
        <f>IFERROR(Base!H40*$Q42,0)</f>
        <v>0</v>
      </c>
      <c r="W42" s="84">
        <f>IFERROR(Base!I40*$Q42,0)</f>
        <v>0</v>
      </c>
      <c r="X42" s="84">
        <f>IFERROR(Base!J40*$Q42,0)</f>
        <v>0</v>
      </c>
      <c r="Y42" s="84">
        <f>IFERROR(Base!K40*$Q42,0)</f>
        <v>0</v>
      </c>
      <c r="Z42" s="84">
        <f>IFERROR(Base!L40*$Q42,0)</f>
        <v>0</v>
      </c>
      <c r="AA42" s="84">
        <f>IFERROR(Base!M40*$Q42,0)</f>
        <v>0</v>
      </c>
      <c r="AB42" s="84">
        <f>IFERROR(Base!N40*$Q42,0)</f>
        <v>0</v>
      </c>
      <c r="AC42" s="84">
        <f>IFERROR(Base!O40*$Q42,0)</f>
        <v>0</v>
      </c>
      <c r="AD42" s="114">
        <f t="shared" ref="AD42:AD54" si="24">SUM(R42:AC42)</f>
        <v>0</v>
      </c>
    </row>
    <row r="43" spans="2:30" ht="20.100000000000001" customHeight="1" x14ac:dyDescent="0.25">
      <c r="B43" s="121" t="s">
        <v>39</v>
      </c>
      <c r="C43" s="122">
        <v>0</v>
      </c>
      <c r="D43" s="122">
        <v>0</v>
      </c>
      <c r="E43" s="122">
        <v>0</v>
      </c>
      <c r="F43" s="122">
        <v>0</v>
      </c>
      <c r="G43" s="122">
        <v>0</v>
      </c>
      <c r="H43" s="122">
        <v>0</v>
      </c>
      <c r="I43" s="122">
        <v>0</v>
      </c>
      <c r="J43" s="122">
        <v>0</v>
      </c>
      <c r="K43" s="122">
        <v>0</v>
      </c>
      <c r="L43" s="122">
        <v>0</v>
      </c>
      <c r="M43" s="122">
        <v>0</v>
      </c>
      <c r="N43" s="122">
        <v>0</v>
      </c>
      <c r="O43" s="114">
        <f t="shared" si="20"/>
        <v>0</v>
      </c>
      <c r="Q43" s="113">
        <f>Base!C41</f>
        <v>0.01</v>
      </c>
      <c r="R43" s="84">
        <f>IFERROR(Base!D41*$Q43,0)</f>
        <v>0</v>
      </c>
      <c r="S43" s="84">
        <f>IFERROR(Base!E41*$Q43,0)</f>
        <v>0</v>
      </c>
      <c r="T43" s="84">
        <f>IFERROR(Base!F41*$Q43,0)</f>
        <v>0</v>
      </c>
      <c r="U43" s="84">
        <f>IFERROR(Base!G41*$Q43,0)</f>
        <v>0</v>
      </c>
      <c r="V43" s="84">
        <f>IFERROR(Base!H41*$Q43,0)</f>
        <v>0</v>
      </c>
      <c r="W43" s="84">
        <f>IFERROR(Base!I41*$Q43,0)</f>
        <v>0</v>
      </c>
      <c r="X43" s="84">
        <f>IFERROR(Base!J41*$Q43,0)</f>
        <v>0</v>
      </c>
      <c r="Y43" s="84">
        <f>IFERROR(Base!K41*$Q43,0)</f>
        <v>0</v>
      </c>
      <c r="Z43" s="84">
        <f>IFERROR(Base!L41*$Q43,0)</f>
        <v>0</v>
      </c>
      <c r="AA43" s="84">
        <f>IFERROR(Base!M41*$Q43,0)</f>
        <v>0</v>
      </c>
      <c r="AB43" s="84">
        <f>IFERROR(Base!N41*$Q43,0)</f>
        <v>0</v>
      </c>
      <c r="AC43" s="84">
        <f>IFERROR(Base!O41*$Q43,0)</f>
        <v>0</v>
      </c>
      <c r="AD43" s="114">
        <f t="shared" si="24"/>
        <v>0</v>
      </c>
    </row>
    <row r="44" spans="2:30" ht="20.100000000000001" customHeight="1" x14ac:dyDescent="0.25">
      <c r="B44" s="115" t="s">
        <v>99</v>
      </c>
      <c r="C44" s="114">
        <f t="shared" ref="C44:N44" si="25">SUM(C39:C43)</f>
        <v>0</v>
      </c>
      <c r="D44" s="114">
        <f t="shared" si="25"/>
        <v>0</v>
      </c>
      <c r="E44" s="114">
        <f t="shared" si="25"/>
        <v>0</v>
      </c>
      <c r="F44" s="114">
        <f t="shared" si="25"/>
        <v>0</v>
      </c>
      <c r="G44" s="114">
        <f t="shared" si="25"/>
        <v>0</v>
      </c>
      <c r="H44" s="114">
        <f t="shared" si="25"/>
        <v>0</v>
      </c>
      <c r="I44" s="114">
        <f t="shared" si="25"/>
        <v>0</v>
      </c>
      <c r="J44" s="114">
        <f t="shared" si="25"/>
        <v>0</v>
      </c>
      <c r="K44" s="114">
        <f t="shared" si="25"/>
        <v>0</v>
      </c>
      <c r="L44" s="114">
        <f t="shared" si="25"/>
        <v>0</v>
      </c>
      <c r="M44" s="114">
        <f t="shared" si="25"/>
        <v>0</v>
      </c>
      <c r="N44" s="114">
        <f t="shared" si="25"/>
        <v>0</v>
      </c>
      <c r="O44" s="114">
        <f t="shared" si="20"/>
        <v>0</v>
      </c>
      <c r="Q44" s="113">
        <f>Base!C42</f>
        <v>0.02</v>
      </c>
      <c r="R44" s="84">
        <f>IFERROR(Base!D42*$Q44,0)</f>
        <v>0</v>
      </c>
      <c r="S44" s="84">
        <f>IFERROR(Base!E42*$Q44,0)</f>
        <v>0</v>
      </c>
      <c r="T44" s="84">
        <f>IFERROR(Base!F42*$Q44,0)</f>
        <v>0</v>
      </c>
      <c r="U44" s="84">
        <f>IFERROR(Base!G42*$Q44,0)</f>
        <v>0</v>
      </c>
      <c r="V44" s="84">
        <f>IFERROR(Base!H42*$Q44,0)</f>
        <v>0</v>
      </c>
      <c r="W44" s="84">
        <f>IFERROR(Base!I42*$Q44,0)</f>
        <v>0</v>
      </c>
      <c r="X44" s="84">
        <f>IFERROR(Base!J42*$Q44,0)</f>
        <v>0</v>
      </c>
      <c r="Y44" s="84">
        <f>IFERROR(Base!K42*$Q44,0)</f>
        <v>0</v>
      </c>
      <c r="Z44" s="84">
        <f>IFERROR(Base!L42*$Q44,0)</f>
        <v>0</v>
      </c>
      <c r="AA44" s="84">
        <f>IFERROR(Base!M42*$Q44,0)</f>
        <v>0</v>
      </c>
      <c r="AB44" s="84">
        <f>IFERROR(Base!N42*$Q44,0)</f>
        <v>0</v>
      </c>
      <c r="AC44" s="84">
        <f>IFERROR(Base!O42*$Q44,0)</f>
        <v>0</v>
      </c>
      <c r="AD44" s="114">
        <f t="shared" si="24"/>
        <v>0</v>
      </c>
    </row>
    <row r="45" spans="2:30" ht="20.100000000000001" customHeight="1" x14ac:dyDescent="0.2">
      <c r="B45" s="120" t="s">
        <v>113</v>
      </c>
      <c r="Q45" s="113">
        <f>Base!C43</f>
        <v>0.03</v>
      </c>
      <c r="R45" s="84">
        <f>IFERROR(Base!D43*$Q45,0)</f>
        <v>0</v>
      </c>
      <c r="S45" s="84">
        <f>IFERROR(Base!E43*$Q45,0)</f>
        <v>0</v>
      </c>
      <c r="T45" s="84">
        <f>IFERROR(Base!F43*$Q45,0)</f>
        <v>0</v>
      </c>
      <c r="U45" s="84">
        <f>IFERROR(Base!G43*$Q45,0)</f>
        <v>0</v>
      </c>
      <c r="V45" s="84">
        <f>IFERROR(Base!H43*$Q45,0)</f>
        <v>0</v>
      </c>
      <c r="W45" s="84">
        <f>IFERROR(Base!I43*$Q45,0)</f>
        <v>0</v>
      </c>
      <c r="X45" s="84">
        <f>IFERROR(Base!J43*$Q45,0)</f>
        <v>0</v>
      </c>
      <c r="Y45" s="84">
        <f>IFERROR(Base!K43*$Q45,0)</f>
        <v>0</v>
      </c>
      <c r="Z45" s="84">
        <f>IFERROR(Base!L43*$Q45,0)</f>
        <v>0</v>
      </c>
      <c r="AA45" s="84">
        <f>IFERROR(Base!M43*$Q45,0)</f>
        <v>0</v>
      </c>
      <c r="AB45" s="84">
        <f>IFERROR(Base!N43*$Q45,0)</f>
        <v>0</v>
      </c>
      <c r="AC45" s="84">
        <f>IFERROR(Base!O43*$Q45,0)</f>
        <v>0</v>
      </c>
      <c r="AD45" s="114">
        <f t="shared" si="24"/>
        <v>0</v>
      </c>
    </row>
    <row r="46" spans="2:30" ht="20.100000000000001" customHeight="1" x14ac:dyDescent="0.25">
      <c r="B46" s="112" t="s">
        <v>82</v>
      </c>
      <c r="C46" s="112" t="s">
        <v>83</v>
      </c>
      <c r="D46" s="112" t="s">
        <v>84</v>
      </c>
      <c r="E46" s="112" t="s">
        <v>85</v>
      </c>
      <c r="F46" s="112" t="s">
        <v>86</v>
      </c>
      <c r="G46" s="112" t="s">
        <v>87</v>
      </c>
      <c r="H46" s="112" t="s">
        <v>88</v>
      </c>
      <c r="I46" s="112" t="s">
        <v>89</v>
      </c>
      <c r="J46" s="112" t="s">
        <v>90</v>
      </c>
      <c r="K46" s="112" t="s">
        <v>91</v>
      </c>
      <c r="L46" s="112" t="s">
        <v>92</v>
      </c>
      <c r="M46" s="112" t="s">
        <v>93</v>
      </c>
      <c r="N46" s="112" t="s">
        <v>94</v>
      </c>
      <c r="O46" s="112" t="s">
        <v>95</v>
      </c>
      <c r="Q46" s="113">
        <f>Base!C44</f>
        <v>0.04</v>
      </c>
      <c r="R46" s="84">
        <f>IFERROR(Base!D44*$Q46,0)</f>
        <v>0</v>
      </c>
      <c r="S46" s="84">
        <f>IFERROR(Base!E44*$Q46,0)</f>
        <v>0</v>
      </c>
      <c r="T46" s="84">
        <f>IFERROR(Base!F44*$Q46,0)</f>
        <v>0</v>
      </c>
      <c r="U46" s="84">
        <f>IFERROR(Base!G44*$Q46,0)</f>
        <v>0</v>
      </c>
      <c r="V46" s="84">
        <f>IFERROR(Base!H44*$Q46,0)</f>
        <v>0</v>
      </c>
      <c r="W46" s="84">
        <f>IFERROR(Base!I44*$Q46,0)</f>
        <v>0</v>
      </c>
      <c r="X46" s="84">
        <f>IFERROR(Base!J44*$Q46,0)</f>
        <v>0</v>
      </c>
      <c r="Y46" s="84">
        <f>IFERROR(Base!K44*$Q46,0)</f>
        <v>0</v>
      </c>
      <c r="Z46" s="84">
        <f>IFERROR(Base!L44*$Q46,0)</f>
        <v>0</v>
      </c>
      <c r="AA46" s="84">
        <f>IFERROR(Base!M44*$Q46,0)</f>
        <v>0</v>
      </c>
      <c r="AB46" s="84">
        <f>IFERROR(Base!N44*$Q46,0)</f>
        <v>0</v>
      </c>
      <c r="AC46" s="84">
        <f>IFERROR(Base!O44*$Q46,0)</f>
        <v>0</v>
      </c>
      <c r="AD46" s="114">
        <f t="shared" si="24"/>
        <v>0</v>
      </c>
    </row>
    <row r="47" spans="2:30" ht="20.100000000000001" customHeight="1" x14ac:dyDescent="0.25">
      <c r="B47" s="19" t="s">
        <v>102</v>
      </c>
      <c r="C47" s="116">
        <f>'Fat4'!D5</f>
        <v>0</v>
      </c>
      <c r="D47" s="116">
        <f>'Fat4'!E5</f>
        <v>0</v>
      </c>
      <c r="E47" s="116">
        <f>'Fat4'!F5</f>
        <v>0</v>
      </c>
      <c r="F47" s="116">
        <f>'Fat4'!G5</f>
        <v>0</v>
      </c>
      <c r="G47" s="116">
        <f>'Fat4'!H5</f>
        <v>0</v>
      </c>
      <c r="H47" s="116">
        <f>'Fat4'!I5</f>
        <v>0</v>
      </c>
      <c r="I47" s="116">
        <f>'Fat4'!J5</f>
        <v>0</v>
      </c>
      <c r="J47" s="116">
        <f>'Fat4'!K5</f>
        <v>0</v>
      </c>
      <c r="K47" s="116">
        <f>'Fat4'!L5</f>
        <v>0</v>
      </c>
      <c r="L47" s="116">
        <f>'Fat4'!M5</f>
        <v>0</v>
      </c>
      <c r="M47" s="116">
        <f>'Fat4'!N5</f>
        <v>0</v>
      </c>
      <c r="N47" s="116">
        <f>'Fat4'!O5</f>
        <v>0</v>
      </c>
      <c r="O47" s="119">
        <f>SUM(C47:N47)</f>
        <v>0</v>
      </c>
      <c r="Q47" s="113">
        <f>Base!C45</f>
        <v>0.05</v>
      </c>
      <c r="R47" s="84">
        <f>IFERROR(Base!D45*$Q47,0)</f>
        <v>0</v>
      </c>
      <c r="S47" s="84">
        <f>IFERROR(Base!E45*$Q47,0)</f>
        <v>0</v>
      </c>
      <c r="T47" s="84">
        <f>IFERROR(Base!F45*$Q47,0)</f>
        <v>0</v>
      </c>
      <c r="U47" s="84">
        <f>IFERROR(Base!G45*$Q47,0)</f>
        <v>0</v>
      </c>
      <c r="V47" s="84">
        <f>IFERROR(Base!H45*$Q47,0)</f>
        <v>0</v>
      </c>
      <c r="W47" s="84">
        <f>IFERROR(Base!I45*$Q47,0)</f>
        <v>0</v>
      </c>
      <c r="X47" s="84">
        <f>IFERROR(Base!J45*$Q47,0)</f>
        <v>0</v>
      </c>
      <c r="Y47" s="84">
        <f>IFERROR(Base!K45*$Q47,0)</f>
        <v>0</v>
      </c>
      <c r="Z47" s="84">
        <f>IFERROR(Base!L45*$Q47,0)</f>
        <v>0</v>
      </c>
      <c r="AA47" s="84">
        <f>IFERROR(Base!M45*$Q47,0)</f>
        <v>0</v>
      </c>
      <c r="AB47" s="84">
        <f>IFERROR(Base!N45*$Q47,0)</f>
        <v>0</v>
      </c>
      <c r="AC47" s="84">
        <f>IFERROR(Base!O45*$Q47,0)</f>
        <v>0</v>
      </c>
      <c r="AD47" s="114">
        <f t="shared" si="24"/>
        <v>0</v>
      </c>
    </row>
    <row r="48" spans="2:30" ht="20.100000000000001" customHeight="1" x14ac:dyDescent="0.25">
      <c r="B48" s="19" t="s">
        <v>103</v>
      </c>
      <c r="C48" s="116">
        <f>'Fat4'!D6</f>
        <v>0</v>
      </c>
      <c r="D48" s="116">
        <f>'Fat4'!E6</f>
        <v>0</v>
      </c>
      <c r="E48" s="116">
        <f>'Fat4'!F6</f>
        <v>0</v>
      </c>
      <c r="F48" s="116">
        <f>'Fat4'!G6</f>
        <v>0</v>
      </c>
      <c r="G48" s="116">
        <f>'Fat4'!H6</f>
        <v>0</v>
      </c>
      <c r="H48" s="116">
        <f>'Fat4'!I6</f>
        <v>0</v>
      </c>
      <c r="I48" s="116">
        <f>'Fat4'!J6</f>
        <v>0</v>
      </c>
      <c r="J48" s="116">
        <f>'Fat4'!K6</f>
        <v>0</v>
      </c>
      <c r="K48" s="116">
        <f>'Fat4'!L6</f>
        <v>0</v>
      </c>
      <c r="L48" s="116">
        <f>'Fat4'!M6</f>
        <v>0</v>
      </c>
      <c r="M48" s="116">
        <f>'Fat4'!N6</f>
        <v>0</v>
      </c>
      <c r="N48" s="116">
        <f>'Fat4'!O6</f>
        <v>0</v>
      </c>
      <c r="O48" s="119">
        <f>SUM(C48:N48)</f>
        <v>0</v>
      </c>
      <c r="Q48" s="113" t="str">
        <f>Base!C46</f>
        <v/>
      </c>
      <c r="R48" s="84">
        <f>IFERROR(Base!D46*$Q48,0)</f>
        <v>0</v>
      </c>
      <c r="S48" s="84">
        <f>IFERROR(Base!E46*$Q48,0)</f>
        <v>0</v>
      </c>
      <c r="T48" s="84">
        <f>IFERROR(Base!F46*$Q48,0)</f>
        <v>0</v>
      </c>
      <c r="U48" s="84">
        <f>IFERROR(Base!G46*$Q48,0)</f>
        <v>0</v>
      </c>
      <c r="V48" s="84">
        <f>IFERROR(Base!H46*$Q48,0)</f>
        <v>0</v>
      </c>
      <c r="W48" s="84">
        <f>IFERROR(Base!I46*$Q48,0)</f>
        <v>0</v>
      </c>
      <c r="X48" s="84">
        <f>IFERROR(Base!J46*$Q48,0)</f>
        <v>0</v>
      </c>
      <c r="Y48" s="84">
        <f>IFERROR(Base!K46*$Q48,0)</f>
        <v>0</v>
      </c>
      <c r="Z48" s="84">
        <f>IFERROR(Base!L46*$Q48,0)</f>
        <v>0</v>
      </c>
      <c r="AA48" s="84">
        <f>IFERROR(Base!M46*$Q48,0)</f>
        <v>0</v>
      </c>
      <c r="AB48" s="84">
        <f>IFERROR(Base!N46*$Q48,0)</f>
        <v>0</v>
      </c>
      <c r="AC48" s="84">
        <f>IFERROR(Base!O46*$Q48,0)</f>
        <v>0</v>
      </c>
      <c r="AD48" s="114">
        <f t="shared" si="24"/>
        <v>0</v>
      </c>
    </row>
    <row r="49" spans="2:30" ht="20.100000000000001" customHeight="1" x14ac:dyDescent="0.25">
      <c r="B49" s="19" t="s">
        <v>104</v>
      </c>
      <c r="C49" s="116">
        <f>'Fat4'!D7</f>
        <v>0</v>
      </c>
      <c r="D49" s="116">
        <f>'Fat4'!E7</f>
        <v>0</v>
      </c>
      <c r="E49" s="116">
        <f>'Fat4'!F7</f>
        <v>0</v>
      </c>
      <c r="F49" s="116">
        <f>'Fat4'!G7</f>
        <v>0</v>
      </c>
      <c r="G49" s="116">
        <f>'Fat4'!H7</f>
        <v>0</v>
      </c>
      <c r="H49" s="116">
        <f>'Fat4'!I7</f>
        <v>0</v>
      </c>
      <c r="I49" s="116">
        <f>'Fat4'!J7</f>
        <v>0</v>
      </c>
      <c r="J49" s="116">
        <f>'Fat4'!K7</f>
        <v>0</v>
      </c>
      <c r="K49" s="116">
        <f>'Fat4'!L7</f>
        <v>0</v>
      </c>
      <c r="L49" s="116">
        <f>'Fat4'!M7</f>
        <v>0</v>
      </c>
      <c r="M49" s="116">
        <f>'Fat4'!N7</f>
        <v>0</v>
      </c>
      <c r="N49" s="116">
        <f>'Fat4'!O7</f>
        <v>0</v>
      </c>
      <c r="O49" s="119">
        <f>SUM(C49:N49)</f>
        <v>0</v>
      </c>
      <c r="Q49" s="113" t="str">
        <f>Base!C47</f>
        <v/>
      </c>
      <c r="R49" s="84">
        <f>IFERROR(Base!D47*$Q49,0)</f>
        <v>0</v>
      </c>
      <c r="S49" s="84">
        <f>IFERROR(Base!E47*$Q49,0)</f>
        <v>0</v>
      </c>
      <c r="T49" s="84">
        <f>IFERROR(Base!F47*$Q49,0)</f>
        <v>0</v>
      </c>
      <c r="U49" s="84">
        <f>IFERROR(Base!G47*$Q49,0)</f>
        <v>0</v>
      </c>
      <c r="V49" s="84">
        <f>IFERROR(Base!H47*$Q49,0)</f>
        <v>0</v>
      </c>
      <c r="W49" s="84">
        <f>IFERROR(Base!I47*$Q49,0)</f>
        <v>0</v>
      </c>
      <c r="X49" s="84">
        <f>IFERROR(Base!J47*$Q49,0)</f>
        <v>0</v>
      </c>
      <c r="Y49" s="84">
        <f>IFERROR(Base!K47*$Q49,0)</f>
        <v>0</v>
      </c>
      <c r="Z49" s="84">
        <f>IFERROR(Base!L47*$Q49,0)</f>
        <v>0</v>
      </c>
      <c r="AA49" s="84">
        <f>IFERROR(Base!M47*$Q49,0)</f>
        <v>0</v>
      </c>
      <c r="AB49" s="84">
        <f>IFERROR(Base!N47*$Q49,0)</f>
        <v>0</v>
      </c>
      <c r="AC49" s="84">
        <f>IFERROR(Base!O47*$Q49,0)</f>
        <v>0</v>
      </c>
      <c r="AD49" s="114">
        <f t="shared" si="24"/>
        <v>0</v>
      </c>
    </row>
    <row r="50" spans="2:30" ht="20.100000000000001" customHeight="1" x14ac:dyDescent="0.25">
      <c r="B50" s="118" t="s">
        <v>99</v>
      </c>
      <c r="C50" s="119">
        <f t="shared" ref="C50:N50" si="26">SUM(C47:C49)</f>
        <v>0</v>
      </c>
      <c r="D50" s="119">
        <f t="shared" si="26"/>
        <v>0</v>
      </c>
      <c r="E50" s="119">
        <f t="shared" si="26"/>
        <v>0</v>
      </c>
      <c r="F50" s="119">
        <f t="shared" si="26"/>
        <v>0</v>
      </c>
      <c r="G50" s="119">
        <f t="shared" si="26"/>
        <v>0</v>
      </c>
      <c r="H50" s="119">
        <f t="shared" si="26"/>
        <v>0</v>
      </c>
      <c r="I50" s="119">
        <f t="shared" si="26"/>
        <v>0</v>
      </c>
      <c r="J50" s="119">
        <f t="shared" si="26"/>
        <v>0</v>
      </c>
      <c r="K50" s="119">
        <f t="shared" si="26"/>
        <v>0</v>
      </c>
      <c r="L50" s="119">
        <f t="shared" si="26"/>
        <v>0</v>
      </c>
      <c r="M50" s="119">
        <f t="shared" si="26"/>
        <v>0</v>
      </c>
      <c r="N50" s="119">
        <f t="shared" si="26"/>
        <v>0</v>
      </c>
      <c r="O50" s="119">
        <f>SUM(C50:N50)</f>
        <v>0</v>
      </c>
      <c r="Q50" s="113" t="str">
        <f>Base!C48</f>
        <v/>
      </c>
      <c r="R50" s="84">
        <f>IFERROR(Base!D48*$Q50,0)</f>
        <v>0</v>
      </c>
      <c r="S50" s="84">
        <f>IFERROR(Base!E48*$Q50,0)</f>
        <v>0</v>
      </c>
      <c r="T50" s="84">
        <f>IFERROR(Base!F48*$Q50,0)</f>
        <v>0</v>
      </c>
      <c r="U50" s="84">
        <f>IFERROR(Base!G48*$Q50,0)</f>
        <v>0</v>
      </c>
      <c r="V50" s="84">
        <f>IFERROR(Base!H48*$Q50,0)</f>
        <v>0</v>
      </c>
      <c r="W50" s="84">
        <f>IFERROR(Base!I48*$Q50,0)</f>
        <v>0</v>
      </c>
      <c r="X50" s="84">
        <f>IFERROR(Base!J48*$Q50,0)</f>
        <v>0</v>
      </c>
      <c r="Y50" s="84">
        <f>IFERROR(Base!K48*$Q50,0)</f>
        <v>0</v>
      </c>
      <c r="Z50" s="84">
        <f>IFERROR(Base!L48*$Q50,0)</f>
        <v>0</v>
      </c>
      <c r="AA50" s="84">
        <f>IFERROR(Base!M48*$Q50,0)</f>
        <v>0</v>
      </c>
      <c r="AB50" s="84">
        <f>IFERROR(Base!N48*$Q50,0)</f>
        <v>0</v>
      </c>
      <c r="AC50" s="84">
        <f>IFERROR(Base!O48*$Q50,0)</f>
        <v>0</v>
      </c>
      <c r="AD50" s="114">
        <f t="shared" si="24"/>
        <v>0</v>
      </c>
    </row>
    <row r="51" spans="2:30" ht="20.100000000000001" customHeight="1" x14ac:dyDescent="0.25">
      <c r="Q51" s="113" t="str">
        <f>Base!C49</f>
        <v/>
      </c>
      <c r="R51" s="84">
        <f>IFERROR(Base!D49*$Q51,0)</f>
        <v>0</v>
      </c>
      <c r="S51" s="84">
        <f>IFERROR(Base!E49*$Q51,0)</f>
        <v>0</v>
      </c>
      <c r="T51" s="84">
        <f>IFERROR(Base!F49*$Q51,0)</f>
        <v>0</v>
      </c>
      <c r="U51" s="84">
        <f>IFERROR(Base!G49*$Q51,0)</f>
        <v>0</v>
      </c>
      <c r="V51" s="84">
        <f>IFERROR(Base!H49*$Q51,0)</f>
        <v>0</v>
      </c>
      <c r="W51" s="84">
        <f>IFERROR(Base!I49*$Q51,0)</f>
        <v>0</v>
      </c>
      <c r="X51" s="84">
        <f>IFERROR(Base!J49*$Q51,0)</f>
        <v>0</v>
      </c>
      <c r="Y51" s="84">
        <f>IFERROR(Base!K49*$Q51,0)</f>
        <v>0</v>
      </c>
      <c r="Z51" s="84">
        <f>IFERROR(Base!L49*$Q51,0)</f>
        <v>0</v>
      </c>
      <c r="AA51" s="84">
        <f>IFERROR(Base!M49*$Q51,0)</f>
        <v>0</v>
      </c>
      <c r="AB51" s="84">
        <f>IFERROR(Base!N49*$Q51,0)</f>
        <v>0</v>
      </c>
      <c r="AC51" s="84">
        <f>IFERROR(Base!O49*$Q51,0)</f>
        <v>0</v>
      </c>
      <c r="AD51" s="114">
        <f t="shared" si="24"/>
        <v>0</v>
      </c>
    </row>
    <row r="52" spans="2:30" ht="20.100000000000001" customHeight="1" x14ac:dyDescent="0.25">
      <c r="B52" s="112" t="s">
        <v>82</v>
      </c>
      <c r="C52" s="112" t="s">
        <v>83</v>
      </c>
      <c r="D52" s="112" t="s">
        <v>84</v>
      </c>
      <c r="E52" s="112" t="s">
        <v>85</v>
      </c>
      <c r="F52" s="112" t="s">
        <v>86</v>
      </c>
      <c r="G52" s="112" t="s">
        <v>87</v>
      </c>
      <c r="H52" s="112" t="s">
        <v>88</v>
      </c>
      <c r="I52" s="112" t="s">
        <v>89</v>
      </c>
      <c r="J52" s="112" t="s">
        <v>90</v>
      </c>
      <c r="K52" s="112" t="s">
        <v>91</v>
      </c>
      <c r="L52" s="112" t="s">
        <v>92</v>
      </c>
      <c r="M52" s="112" t="s">
        <v>93</v>
      </c>
      <c r="N52" s="112" t="s">
        <v>94</v>
      </c>
      <c r="O52" s="112" t="s">
        <v>95</v>
      </c>
      <c r="Q52" s="113" t="str">
        <f>Base!C50</f>
        <v/>
      </c>
      <c r="R52" s="84">
        <f>IFERROR(Base!D50*$Q52,0)</f>
        <v>0</v>
      </c>
      <c r="S52" s="84">
        <f>IFERROR(Base!E50*$Q52,0)</f>
        <v>0</v>
      </c>
      <c r="T52" s="84">
        <f>IFERROR(Base!F50*$Q52,0)</f>
        <v>0</v>
      </c>
      <c r="U52" s="84">
        <f>IFERROR(Base!G50*$Q52,0)</f>
        <v>0</v>
      </c>
      <c r="V52" s="84">
        <f>IFERROR(Base!H50*$Q52,0)</f>
        <v>0</v>
      </c>
      <c r="W52" s="84">
        <f>IFERROR(Base!I50*$Q52,0)</f>
        <v>0</v>
      </c>
      <c r="X52" s="84">
        <f>IFERROR(Base!J50*$Q52,0)</f>
        <v>0</v>
      </c>
      <c r="Y52" s="84">
        <f>IFERROR(Base!K50*$Q52,0)</f>
        <v>0</v>
      </c>
      <c r="Z52" s="84">
        <f>IFERROR(Base!L50*$Q52,0)</f>
        <v>0</v>
      </c>
      <c r="AA52" s="84">
        <f>IFERROR(Base!M50*$Q52,0)</f>
        <v>0</v>
      </c>
      <c r="AB52" s="84">
        <f>IFERROR(Base!N50*$Q52,0)</f>
        <v>0</v>
      </c>
      <c r="AC52" s="84">
        <f>IFERROR(Base!O50*$Q52,0)</f>
        <v>0</v>
      </c>
      <c r="AD52" s="114">
        <f t="shared" si="24"/>
        <v>0</v>
      </c>
    </row>
    <row r="53" spans="2:30" ht="20.100000000000001" customHeight="1" x14ac:dyDescent="0.25">
      <c r="B53" s="121" t="s">
        <v>97</v>
      </c>
      <c r="C53" s="122">
        <v>0</v>
      </c>
      <c r="D53" s="122">
        <v>0</v>
      </c>
      <c r="E53" s="122">
        <v>0</v>
      </c>
      <c r="F53" s="122">
        <v>0</v>
      </c>
      <c r="G53" s="122">
        <v>0</v>
      </c>
      <c r="H53" s="122">
        <v>0</v>
      </c>
      <c r="I53" s="122">
        <v>0</v>
      </c>
      <c r="J53" s="122">
        <v>0</v>
      </c>
      <c r="K53" s="122">
        <v>0</v>
      </c>
      <c r="L53" s="122">
        <v>0</v>
      </c>
      <c r="M53" s="122">
        <v>0</v>
      </c>
      <c r="N53" s="122">
        <v>0</v>
      </c>
      <c r="O53" s="114">
        <f t="shared" ref="O53:O58" si="27">SUM(C53:N53)</f>
        <v>0</v>
      </c>
      <c r="Q53" s="113" t="str">
        <f>Base!C51</f>
        <v/>
      </c>
      <c r="R53" s="84">
        <f>IFERROR(Base!D51*$Q53,0)</f>
        <v>0</v>
      </c>
      <c r="S53" s="84">
        <f>IFERROR(Base!E51*$Q53,0)</f>
        <v>0</v>
      </c>
      <c r="T53" s="84">
        <f>IFERROR(Base!F51*$Q53,0)</f>
        <v>0</v>
      </c>
      <c r="U53" s="84">
        <f>IFERROR(Base!G51*$Q53,0)</f>
        <v>0</v>
      </c>
      <c r="V53" s="84">
        <f>IFERROR(Base!H51*$Q53,0)</f>
        <v>0</v>
      </c>
      <c r="W53" s="84">
        <f>IFERROR(Base!I51*$Q53,0)</f>
        <v>0</v>
      </c>
      <c r="X53" s="84">
        <f>IFERROR(Base!J51*$Q53,0)</f>
        <v>0</v>
      </c>
      <c r="Y53" s="84">
        <f>IFERROR(Base!K51*$Q53,0)</f>
        <v>0</v>
      </c>
      <c r="Z53" s="84">
        <f>IFERROR(Base!L51*$Q53,0)</f>
        <v>0</v>
      </c>
      <c r="AA53" s="84">
        <f>IFERROR(Base!M51*$Q53,0)</f>
        <v>0</v>
      </c>
      <c r="AB53" s="84">
        <f>IFERROR(Base!N51*$Q53,0)</f>
        <v>0</v>
      </c>
      <c r="AC53" s="84">
        <f>IFERROR(Base!O51*$Q53,0)</f>
        <v>0</v>
      </c>
      <c r="AD53" s="114">
        <f t="shared" si="24"/>
        <v>0</v>
      </c>
    </row>
    <row r="54" spans="2:30" ht="20.100000000000001" customHeight="1" x14ac:dyDescent="0.25">
      <c r="B54" s="121" t="s">
        <v>98</v>
      </c>
      <c r="C54" s="122">
        <v>0</v>
      </c>
      <c r="D54" s="122">
        <v>0</v>
      </c>
      <c r="E54" s="122">
        <v>0</v>
      </c>
      <c r="F54" s="122">
        <v>0</v>
      </c>
      <c r="G54" s="122">
        <v>0</v>
      </c>
      <c r="H54" s="122">
        <v>0</v>
      </c>
      <c r="I54" s="122">
        <v>0</v>
      </c>
      <c r="J54" s="122">
        <v>0</v>
      </c>
      <c r="K54" s="122">
        <v>0</v>
      </c>
      <c r="L54" s="122">
        <v>0</v>
      </c>
      <c r="M54" s="122">
        <v>0</v>
      </c>
      <c r="N54" s="122">
        <v>0</v>
      </c>
      <c r="O54" s="114">
        <f t="shared" si="27"/>
        <v>0</v>
      </c>
      <c r="Q54" s="113" t="str">
        <f>Base!C52</f>
        <v/>
      </c>
      <c r="R54" s="84">
        <f>IFERROR(Base!D52*$Q54,0)</f>
        <v>0</v>
      </c>
      <c r="S54" s="84">
        <f>IFERROR(Base!E52*$Q54,0)</f>
        <v>0</v>
      </c>
      <c r="T54" s="84">
        <f>IFERROR(Base!F52*$Q54,0)</f>
        <v>0</v>
      </c>
      <c r="U54" s="84">
        <f>IFERROR(Base!G52*$Q54,0)</f>
        <v>0</v>
      </c>
      <c r="V54" s="84">
        <f>IFERROR(Base!H52*$Q54,0)</f>
        <v>0</v>
      </c>
      <c r="W54" s="84">
        <f>IFERROR(Base!I52*$Q54,0)</f>
        <v>0</v>
      </c>
      <c r="X54" s="84">
        <f>IFERROR(Base!J52*$Q54,0)</f>
        <v>0</v>
      </c>
      <c r="Y54" s="84">
        <f>IFERROR(Base!K52*$Q54,0)</f>
        <v>0</v>
      </c>
      <c r="Z54" s="84">
        <f>IFERROR(Base!L52*$Q54,0)</f>
        <v>0</v>
      </c>
      <c r="AA54" s="84">
        <f>IFERROR(Base!M52*$Q54,0)</f>
        <v>0</v>
      </c>
      <c r="AB54" s="84">
        <f>IFERROR(Base!N52*$Q54,0)</f>
        <v>0</v>
      </c>
      <c r="AC54" s="84">
        <f>IFERROR(Base!O52*$Q54,0)</f>
        <v>0</v>
      </c>
      <c r="AD54" s="114">
        <f t="shared" si="24"/>
        <v>0</v>
      </c>
    </row>
    <row r="55" spans="2:30" ht="20.100000000000001" customHeight="1" x14ac:dyDescent="0.25">
      <c r="B55" s="121" t="s">
        <v>37</v>
      </c>
      <c r="C55" s="122">
        <v>0</v>
      </c>
      <c r="D55" s="122">
        <v>0</v>
      </c>
      <c r="E55" s="122">
        <v>0</v>
      </c>
      <c r="F55" s="122">
        <v>0</v>
      </c>
      <c r="G55" s="122">
        <v>0</v>
      </c>
      <c r="H55" s="122">
        <v>0</v>
      </c>
      <c r="I55" s="122">
        <v>0</v>
      </c>
      <c r="J55" s="122">
        <v>0</v>
      </c>
      <c r="K55" s="122">
        <v>0</v>
      </c>
      <c r="L55" s="122">
        <v>0</v>
      </c>
      <c r="M55" s="122">
        <v>0</v>
      </c>
      <c r="N55" s="122">
        <v>0</v>
      </c>
      <c r="O55" s="114">
        <f t="shared" si="27"/>
        <v>0</v>
      </c>
      <c r="Q55" s="115" t="s">
        <v>99</v>
      </c>
      <c r="R55" s="114">
        <f t="shared" ref="R55:AC55" si="28">SUM(R42:R54)</f>
        <v>0</v>
      </c>
      <c r="S55" s="114">
        <f t="shared" si="28"/>
        <v>0</v>
      </c>
      <c r="T55" s="114">
        <f t="shared" si="28"/>
        <v>0</v>
      </c>
      <c r="U55" s="114">
        <f t="shared" si="28"/>
        <v>0</v>
      </c>
      <c r="V55" s="114">
        <f t="shared" si="28"/>
        <v>0</v>
      </c>
      <c r="W55" s="114">
        <f t="shared" si="28"/>
        <v>0</v>
      </c>
      <c r="X55" s="114">
        <f t="shared" si="28"/>
        <v>0</v>
      </c>
      <c r="Y55" s="114">
        <f t="shared" si="28"/>
        <v>0</v>
      </c>
      <c r="Z55" s="114">
        <f t="shared" si="28"/>
        <v>0</v>
      </c>
      <c r="AA55" s="114">
        <f t="shared" si="28"/>
        <v>0</v>
      </c>
      <c r="AB55" s="114">
        <f t="shared" si="28"/>
        <v>0</v>
      </c>
      <c r="AC55" s="114">
        <f t="shared" si="28"/>
        <v>0</v>
      </c>
      <c r="AD55" s="114">
        <f>SUM(R55:AC55)</f>
        <v>0</v>
      </c>
    </row>
    <row r="56" spans="2:30" ht="20.100000000000001" customHeight="1" x14ac:dyDescent="0.25">
      <c r="B56" s="130" t="s">
        <v>38</v>
      </c>
      <c r="C56" s="129">
        <f>IFERROR(C47*$A$14,0)</f>
        <v>0</v>
      </c>
      <c r="D56" s="129">
        <f t="shared" ref="D56:N56" si="29">IFERROR(D47*$A$14,0)</f>
        <v>0</v>
      </c>
      <c r="E56" s="129">
        <f t="shared" si="29"/>
        <v>0</v>
      </c>
      <c r="F56" s="129">
        <f t="shared" si="29"/>
        <v>0</v>
      </c>
      <c r="G56" s="129">
        <f t="shared" si="29"/>
        <v>0</v>
      </c>
      <c r="H56" s="129">
        <f t="shared" si="29"/>
        <v>0</v>
      </c>
      <c r="I56" s="129">
        <f t="shared" si="29"/>
        <v>0</v>
      </c>
      <c r="J56" s="129">
        <f t="shared" si="29"/>
        <v>0</v>
      </c>
      <c r="K56" s="129">
        <f t="shared" si="29"/>
        <v>0</v>
      </c>
      <c r="L56" s="129">
        <f t="shared" si="29"/>
        <v>0</v>
      </c>
      <c r="M56" s="129">
        <f t="shared" si="29"/>
        <v>0</v>
      </c>
      <c r="N56" s="129">
        <f t="shared" si="29"/>
        <v>0</v>
      </c>
      <c r="O56" s="131">
        <f t="shared" si="27"/>
        <v>0</v>
      </c>
    </row>
    <row r="57" spans="2:30" ht="20.100000000000001" customHeight="1" x14ac:dyDescent="0.25">
      <c r="B57" s="121" t="s">
        <v>39</v>
      </c>
      <c r="C57" s="122">
        <v>0</v>
      </c>
      <c r="D57" s="122">
        <v>0</v>
      </c>
      <c r="E57" s="122">
        <v>0</v>
      </c>
      <c r="F57" s="122">
        <v>0</v>
      </c>
      <c r="G57" s="122">
        <v>0</v>
      </c>
      <c r="H57" s="122">
        <v>0</v>
      </c>
      <c r="I57" s="122">
        <v>0</v>
      </c>
      <c r="J57" s="122">
        <v>0</v>
      </c>
      <c r="K57" s="122">
        <v>0</v>
      </c>
      <c r="L57" s="122">
        <v>0</v>
      </c>
      <c r="M57" s="122">
        <v>0</v>
      </c>
      <c r="N57" s="122">
        <v>0</v>
      </c>
      <c r="O57" s="114">
        <f t="shared" si="27"/>
        <v>0</v>
      </c>
    </row>
    <row r="58" spans="2:30" ht="20.100000000000001" customHeight="1" x14ac:dyDescent="0.25">
      <c r="B58" s="115" t="s">
        <v>99</v>
      </c>
      <c r="C58" s="114">
        <f t="shared" ref="C58:N58" si="30">SUM(C53:C57)</f>
        <v>0</v>
      </c>
      <c r="D58" s="114">
        <f t="shared" si="30"/>
        <v>0</v>
      </c>
      <c r="E58" s="114">
        <f t="shared" si="30"/>
        <v>0</v>
      </c>
      <c r="F58" s="114">
        <f t="shared" si="30"/>
        <v>0</v>
      </c>
      <c r="G58" s="114">
        <f t="shared" si="30"/>
        <v>0</v>
      </c>
      <c r="H58" s="114">
        <f t="shared" si="30"/>
        <v>0</v>
      </c>
      <c r="I58" s="114">
        <f t="shared" si="30"/>
        <v>0</v>
      </c>
      <c r="J58" s="114">
        <f t="shared" si="30"/>
        <v>0</v>
      </c>
      <c r="K58" s="114">
        <f t="shared" si="30"/>
        <v>0</v>
      </c>
      <c r="L58" s="114">
        <f t="shared" si="30"/>
        <v>0</v>
      </c>
      <c r="M58" s="114">
        <f t="shared" si="30"/>
        <v>0</v>
      </c>
      <c r="N58" s="114">
        <f t="shared" si="30"/>
        <v>0</v>
      </c>
      <c r="O58" s="114">
        <f t="shared" si="27"/>
        <v>0</v>
      </c>
    </row>
    <row r="59" spans="2:30" ht="20.100000000000001" customHeight="1" x14ac:dyDescent="0.2">
      <c r="B59" s="120" t="s">
        <v>114</v>
      </c>
    </row>
    <row r="60" spans="2:30" ht="20.100000000000001" customHeight="1" x14ac:dyDescent="0.25">
      <c r="B60" s="112" t="s">
        <v>82</v>
      </c>
      <c r="C60" s="112" t="s">
        <v>83</v>
      </c>
      <c r="D60" s="112" t="s">
        <v>84</v>
      </c>
      <c r="E60" s="112" t="s">
        <v>85</v>
      </c>
      <c r="F60" s="112" t="s">
        <v>86</v>
      </c>
      <c r="G60" s="112" t="s">
        <v>87</v>
      </c>
      <c r="H60" s="112" t="s">
        <v>88</v>
      </c>
      <c r="I60" s="112" t="s">
        <v>89</v>
      </c>
      <c r="J60" s="112" t="s">
        <v>90</v>
      </c>
      <c r="K60" s="112" t="s">
        <v>91</v>
      </c>
      <c r="L60" s="112" t="s">
        <v>92</v>
      </c>
      <c r="M60" s="112" t="s">
        <v>93</v>
      </c>
      <c r="N60" s="112" t="s">
        <v>94</v>
      </c>
      <c r="O60" s="112" t="s">
        <v>95</v>
      </c>
    </row>
    <row r="61" spans="2:30" ht="20.100000000000001" customHeight="1" x14ac:dyDescent="0.25">
      <c r="B61" s="19" t="s">
        <v>102</v>
      </c>
      <c r="C61" s="116">
        <f>'Fat5'!D5</f>
        <v>0</v>
      </c>
      <c r="D61" s="116">
        <f>'Fat5'!E5</f>
        <v>0</v>
      </c>
      <c r="E61" s="116">
        <f>'Fat5'!F5</f>
        <v>0</v>
      </c>
      <c r="F61" s="116">
        <f>'Fat5'!G5</f>
        <v>0</v>
      </c>
      <c r="G61" s="116">
        <f>'Fat5'!H5</f>
        <v>0</v>
      </c>
      <c r="H61" s="116">
        <f>'Fat5'!I5</f>
        <v>0</v>
      </c>
      <c r="I61" s="116">
        <f>'Fat5'!J5</f>
        <v>0</v>
      </c>
      <c r="J61" s="116">
        <f>'Fat5'!K5</f>
        <v>0</v>
      </c>
      <c r="K61" s="116">
        <f>'Fat5'!L5</f>
        <v>0</v>
      </c>
      <c r="L61" s="116">
        <f>'Fat5'!M5</f>
        <v>0</v>
      </c>
      <c r="M61" s="116">
        <f>'Fat5'!N5</f>
        <v>0</v>
      </c>
      <c r="N61" s="116">
        <f>'Fat5'!O5</f>
        <v>0</v>
      </c>
      <c r="O61" s="119">
        <f>SUM(C61:N61)</f>
        <v>0</v>
      </c>
    </row>
    <row r="62" spans="2:30" ht="20.100000000000001" customHeight="1" x14ac:dyDescent="0.25">
      <c r="B62" s="19" t="s">
        <v>103</v>
      </c>
      <c r="C62" s="116">
        <f>'Fat5'!D6</f>
        <v>0</v>
      </c>
      <c r="D62" s="116">
        <f>'Fat5'!E6</f>
        <v>0</v>
      </c>
      <c r="E62" s="116">
        <f>'Fat5'!F6</f>
        <v>0</v>
      </c>
      <c r="F62" s="116">
        <f>'Fat5'!G6</f>
        <v>0</v>
      </c>
      <c r="G62" s="116">
        <f>'Fat5'!H6</f>
        <v>0</v>
      </c>
      <c r="H62" s="116">
        <f>'Fat5'!I6</f>
        <v>0</v>
      </c>
      <c r="I62" s="116">
        <f>'Fat5'!J6</f>
        <v>0</v>
      </c>
      <c r="J62" s="116">
        <f>'Fat5'!K6</f>
        <v>0</v>
      </c>
      <c r="K62" s="116">
        <f>'Fat5'!L6</f>
        <v>0</v>
      </c>
      <c r="L62" s="116">
        <f>'Fat5'!M6</f>
        <v>0</v>
      </c>
      <c r="M62" s="116">
        <f>'Fat5'!N6</f>
        <v>0</v>
      </c>
      <c r="N62" s="116">
        <f>'Fat5'!O6</f>
        <v>0</v>
      </c>
      <c r="O62" s="119">
        <f>SUM(C62:N62)</f>
        <v>0</v>
      </c>
    </row>
    <row r="63" spans="2:30" ht="20.100000000000001" customHeight="1" x14ac:dyDescent="0.25">
      <c r="B63" s="19" t="s">
        <v>104</v>
      </c>
      <c r="C63" s="116">
        <f>'Fat5'!D7</f>
        <v>0</v>
      </c>
      <c r="D63" s="116">
        <f>'Fat5'!E7</f>
        <v>0</v>
      </c>
      <c r="E63" s="116">
        <f>'Fat5'!F7</f>
        <v>0</v>
      </c>
      <c r="F63" s="116">
        <f>'Fat5'!G7</f>
        <v>0</v>
      </c>
      <c r="G63" s="116">
        <f>'Fat5'!H7</f>
        <v>0</v>
      </c>
      <c r="H63" s="116">
        <f>'Fat5'!I7</f>
        <v>0</v>
      </c>
      <c r="I63" s="116">
        <f>'Fat5'!J7</f>
        <v>0</v>
      </c>
      <c r="J63" s="116">
        <f>'Fat5'!K7</f>
        <v>0</v>
      </c>
      <c r="K63" s="116">
        <f>'Fat5'!L7</f>
        <v>0</v>
      </c>
      <c r="L63" s="116">
        <f>'Fat5'!M7</f>
        <v>0</v>
      </c>
      <c r="M63" s="116">
        <f>'Fat5'!N7</f>
        <v>0</v>
      </c>
      <c r="N63" s="116">
        <f>'Fat5'!O7</f>
        <v>0</v>
      </c>
      <c r="O63" s="119">
        <f>SUM(C63:N63)</f>
        <v>0</v>
      </c>
    </row>
    <row r="64" spans="2:30" ht="20.100000000000001" customHeight="1" x14ac:dyDescent="0.25">
      <c r="B64" s="118" t="s">
        <v>99</v>
      </c>
      <c r="C64" s="119">
        <f t="shared" ref="C64:N64" si="31">SUM(C61:C63)</f>
        <v>0</v>
      </c>
      <c r="D64" s="119">
        <f t="shared" si="31"/>
        <v>0</v>
      </c>
      <c r="E64" s="119">
        <f t="shared" si="31"/>
        <v>0</v>
      </c>
      <c r="F64" s="119">
        <f t="shared" si="31"/>
        <v>0</v>
      </c>
      <c r="G64" s="119">
        <f t="shared" si="31"/>
        <v>0</v>
      </c>
      <c r="H64" s="119">
        <f t="shared" si="31"/>
        <v>0</v>
      </c>
      <c r="I64" s="119">
        <f t="shared" si="31"/>
        <v>0</v>
      </c>
      <c r="J64" s="119">
        <f t="shared" si="31"/>
        <v>0</v>
      </c>
      <c r="K64" s="119">
        <f t="shared" si="31"/>
        <v>0</v>
      </c>
      <c r="L64" s="119">
        <f t="shared" si="31"/>
        <v>0</v>
      </c>
      <c r="M64" s="119">
        <f t="shared" si="31"/>
        <v>0</v>
      </c>
      <c r="N64" s="119">
        <f t="shared" si="31"/>
        <v>0</v>
      </c>
      <c r="O64" s="119">
        <f>SUM(C64:N64)</f>
        <v>0</v>
      </c>
    </row>
    <row r="66" spans="2:15" ht="20.100000000000001" customHeight="1" x14ac:dyDescent="0.25">
      <c r="B66" s="112" t="s">
        <v>82</v>
      </c>
      <c r="C66" s="112" t="s">
        <v>83</v>
      </c>
      <c r="D66" s="112" t="s">
        <v>84</v>
      </c>
      <c r="E66" s="112" t="s">
        <v>85</v>
      </c>
      <c r="F66" s="112" t="s">
        <v>86</v>
      </c>
      <c r="G66" s="112" t="s">
        <v>87</v>
      </c>
      <c r="H66" s="112" t="s">
        <v>88</v>
      </c>
      <c r="I66" s="112" t="s">
        <v>89</v>
      </c>
      <c r="J66" s="112" t="s">
        <v>90</v>
      </c>
      <c r="K66" s="112" t="s">
        <v>91</v>
      </c>
      <c r="L66" s="112" t="s">
        <v>92</v>
      </c>
      <c r="M66" s="112" t="s">
        <v>93</v>
      </c>
      <c r="N66" s="112" t="s">
        <v>94</v>
      </c>
      <c r="O66" s="112" t="s">
        <v>95</v>
      </c>
    </row>
    <row r="67" spans="2:15" ht="20.100000000000001" customHeight="1" x14ac:dyDescent="0.25">
      <c r="B67" s="121" t="s">
        <v>97</v>
      </c>
      <c r="C67" s="122">
        <v>0</v>
      </c>
      <c r="D67" s="122">
        <v>0</v>
      </c>
      <c r="E67" s="122">
        <v>0</v>
      </c>
      <c r="F67" s="122">
        <v>0</v>
      </c>
      <c r="G67" s="122">
        <v>0</v>
      </c>
      <c r="H67" s="122">
        <v>0</v>
      </c>
      <c r="I67" s="122">
        <v>0</v>
      </c>
      <c r="J67" s="122">
        <v>0</v>
      </c>
      <c r="K67" s="122">
        <v>0</v>
      </c>
      <c r="L67" s="122">
        <v>0</v>
      </c>
      <c r="M67" s="122">
        <v>0</v>
      </c>
      <c r="N67" s="122">
        <v>0</v>
      </c>
      <c r="O67" s="114">
        <f t="shared" ref="O67:O72" si="32">SUM(C67:N67)</f>
        <v>0</v>
      </c>
    </row>
    <row r="68" spans="2:15" ht="20.100000000000001" customHeight="1" x14ac:dyDescent="0.25">
      <c r="B68" s="121" t="s">
        <v>98</v>
      </c>
      <c r="C68" s="122">
        <v>0</v>
      </c>
      <c r="D68" s="122">
        <v>0</v>
      </c>
      <c r="E68" s="122">
        <v>0</v>
      </c>
      <c r="F68" s="122">
        <v>0</v>
      </c>
      <c r="G68" s="122">
        <v>0</v>
      </c>
      <c r="H68" s="122">
        <v>0</v>
      </c>
      <c r="I68" s="122">
        <v>0</v>
      </c>
      <c r="J68" s="122">
        <v>0</v>
      </c>
      <c r="K68" s="122">
        <v>0</v>
      </c>
      <c r="L68" s="122">
        <v>0</v>
      </c>
      <c r="M68" s="122">
        <v>0</v>
      </c>
      <c r="N68" s="122">
        <v>0</v>
      </c>
      <c r="O68" s="114">
        <f t="shared" si="32"/>
        <v>0</v>
      </c>
    </row>
    <row r="69" spans="2:15" ht="20.100000000000001" customHeight="1" x14ac:dyDescent="0.25">
      <c r="B69" s="121" t="s">
        <v>37</v>
      </c>
      <c r="C69" s="122">
        <v>0</v>
      </c>
      <c r="D69" s="122">
        <v>0</v>
      </c>
      <c r="E69" s="122">
        <v>0</v>
      </c>
      <c r="F69" s="122">
        <v>0</v>
      </c>
      <c r="G69" s="122">
        <v>0</v>
      </c>
      <c r="H69" s="122">
        <v>0</v>
      </c>
      <c r="I69" s="122">
        <v>0</v>
      </c>
      <c r="J69" s="122">
        <v>0</v>
      </c>
      <c r="K69" s="122">
        <v>0</v>
      </c>
      <c r="L69" s="122">
        <v>0</v>
      </c>
      <c r="M69" s="122">
        <v>0</v>
      </c>
      <c r="N69" s="122">
        <v>0</v>
      </c>
      <c r="O69" s="114">
        <f t="shared" si="32"/>
        <v>0</v>
      </c>
    </row>
    <row r="70" spans="2:15" ht="20.100000000000001" customHeight="1" x14ac:dyDescent="0.25">
      <c r="B70" s="121" t="s">
        <v>38</v>
      </c>
      <c r="C70" s="122">
        <v>0</v>
      </c>
      <c r="D70" s="122">
        <v>0</v>
      </c>
      <c r="E70" s="122">
        <v>0</v>
      </c>
      <c r="F70" s="122">
        <v>0</v>
      </c>
      <c r="G70" s="122">
        <v>0</v>
      </c>
      <c r="H70" s="122">
        <v>0</v>
      </c>
      <c r="I70" s="122">
        <v>0</v>
      </c>
      <c r="J70" s="122">
        <v>0</v>
      </c>
      <c r="K70" s="122">
        <v>0</v>
      </c>
      <c r="L70" s="122">
        <v>0</v>
      </c>
      <c r="M70" s="122">
        <v>0</v>
      </c>
      <c r="N70" s="122">
        <v>0</v>
      </c>
      <c r="O70" s="114">
        <f t="shared" si="32"/>
        <v>0</v>
      </c>
    </row>
    <row r="71" spans="2:15" ht="20.100000000000001" customHeight="1" x14ac:dyDescent="0.25">
      <c r="B71" s="121" t="s">
        <v>39</v>
      </c>
      <c r="C71" s="122">
        <v>0</v>
      </c>
      <c r="D71" s="122">
        <v>0</v>
      </c>
      <c r="E71" s="122">
        <v>0</v>
      </c>
      <c r="F71" s="122">
        <v>0</v>
      </c>
      <c r="G71" s="122">
        <v>0</v>
      </c>
      <c r="H71" s="122">
        <v>0</v>
      </c>
      <c r="I71" s="122">
        <v>0</v>
      </c>
      <c r="J71" s="122">
        <v>0</v>
      </c>
      <c r="K71" s="122">
        <v>0</v>
      </c>
      <c r="L71" s="122">
        <v>0</v>
      </c>
      <c r="M71" s="122">
        <v>0</v>
      </c>
      <c r="N71" s="122">
        <v>0</v>
      </c>
      <c r="O71" s="114">
        <f t="shared" si="32"/>
        <v>0</v>
      </c>
    </row>
    <row r="72" spans="2:15" ht="20.100000000000001" customHeight="1" x14ac:dyDescent="0.25">
      <c r="B72" s="115" t="s">
        <v>99</v>
      </c>
      <c r="C72" s="114">
        <f t="shared" ref="C72:N72" si="33">SUM(C67:C71)</f>
        <v>0</v>
      </c>
      <c r="D72" s="114">
        <f t="shared" si="33"/>
        <v>0</v>
      </c>
      <c r="E72" s="114">
        <f t="shared" si="33"/>
        <v>0</v>
      </c>
      <c r="F72" s="114">
        <f t="shared" si="33"/>
        <v>0</v>
      </c>
      <c r="G72" s="114">
        <f t="shared" si="33"/>
        <v>0</v>
      </c>
      <c r="H72" s="114">
        <f t="shared" si="33"/>
        <v>0</v>
      </c>
      <c r="I72" s="114">
        <f t="shared" si="33"/>
        <v>0</v>
      </c>
      <c r="J72" s="114">
        <f t="shared" si="33"/>
        <v>0</v>
      </c>
      <c r="K72" s="114">
        <f t="shared" si="33"/>
        <v>0</v>
      </c>
      <c r="L72" s="114">
        <f t="shared" si="33"/>
        <v>0</v>
      </c>
      <c r="M72" s="114">
        <f t="shared" si="33"/>
        <v>0</v>
      </c>
      <c r="N72" s="114">
        <f t="shared" si="33"/>
        <v>0</v>
      </c>
      <c r="O72" s="114">
        <f t="shared" si="32"/>
        <v>0</v>
      </c>
    </row>
    <row r="73" spans="2:15" ht="20.100000000000001" customHeight="1" x14ac:dyDescent="0.25">
      <c r="B73" s="276" t="s">
        <v>115</v>
      </c>
      <c r="C73" s="276"/>
      <c r="D73" s="276"/>
      <c r="E73" s="276"/>
      <c r="F73" s="276"/>
      <c r="G73" s="276"/>
      <c r="H73" s="276"/>
      <c r="I73" s="276"/>
      <c r="J73" s="276"/>
      <c r="K73" s="276"/>
      <c r="L73" s="276"/>
      <c r="M73" s="276"/>
      <c r="N73" s="276"/>
      <c r="O73" s="276"/>
    </row>
    <row r="74" spans="2:15" ht="20.100000000000001" customHeight="1" x14ac:dyDescent="0.25">
      <c r="B74" s="112" t="s">
        <v>82</v>
      </c>
      <c r="C74" s="112" t="s">
        <v>83</v>
      </c>
      <c r="D74" s="112" t="s">
        <v>84</v>
      </c>
      <c r="E74" s="112" t="s">
        <v>85</v>
      </c>
      <c r="F74" s="112" t="s">
        <v>86</v>
      </c>
      <c r="G74" s="112" t="s">
        <v>87</v>
      </c>
      <c r="H74" s="112" t="s">
        <v>88</v>
      </c>
      <c r="I74" s="112" t="s">
        <v>89</v>
      </c>
      <c r="J74" s="112" t="s">
        <v>90</v>
      </c>
      <c r="K74" s="112" t="s">
        <v>91</v>
      </c>
      <c r="L74" s="112" t="s">
        <v>92</v>
      </c>
      <c r="M74" s="112" t="s">
        <v>93</v>
      </c>
      <c r="N74" s="112" t="s">
        <v>94</v>
      </c>
      <c r="O74" s="112" t="s">
        <v>95</v>
      </c>
    </row>
    <row r="75" spans="2:15" ht="20.100000000000001" customHeight="1" x14ac:dyDescent="0.25">
      <c r="B75" s="19" t="s">
        <v>102</v>
      </c>
      <c r="C75" s="116">
        <f>IFERROR(C5+C19+C33+C47+C61,0)</f>
        <v>0</v>
      </c>
      <c r="D75" s="116">
        <f t="shared" ref="D75:N75" si="34">IFERROR(D5+D19+D33+D47+D61,0)</f>
        <v>0</v>
      </c>
      <c r="E75" s="116">
        <f t="shared" si="34"/>
        <v>0</v>
      </c>
      <c r="F75" s="116">
        <f t="shared" si="34"/>
        <v>0</v>
      </c>
      <c r="G75" s="116">
        <f t="shared" si="34"/>
        <v>0</v>
      </c>
      <c r="H75" s="116">
        <f t="shared" si="34"/>
        <v>0</v>
      </c>
      <c r="I75" s="116">
        <f t="shared" si="34"/>
        <v>0</v>
      </c>
      <c r="J75" s="116">
        <f t="shared" si="34"/>
        <v>0</v>
      </c>
      <c r="K75" s="116">
        <f t="shared" si="34"/>
        <v>0</v>
      </c>
      <c r="L75" s="116">
        <f t="shared" si="34"/>
        <v>0</v>
      </c>
      <c r="M75" s="116">
        <f t="shared" si="34"/>
        <v>0</v>
      </c>
      <c r="N75" s="116">
        <f t="shared" si="34"/>
        <v>0</v>
      </c>
      <c r="O75" s="119">
        <f>SUM(C75:N75)</f>
        <v>0</v>
      </c>
    </row>
    <row r="76" spans="2:15" ht="20.100000000000001" customHeight="1" x14ac:dyDescent="0.25">
      <c r="B76" s="19" t="s">
        <v>103</v>
      </c>
      <c r="C76" s="116">
        <f t="shared" ref="C76:N77" si="35">IFERROR(C6+C20+C34+C48+C62,0)</f>
        <v>134725</v>
      </c>
      <c r="D76" s="116">
        <f t="shared" si="35"/>
        <v>108391</v>
      </c>
      <c r="E76" s="116">
        <f t="shared" si="35"/>
        <v>133613</v>
      </c>
      <c r="F76" s="116">
        <f t="shared" si="35"/>
        <v>120356</v>
      </c>
      <c r="G76" s="116">
        <f t="shared" si="35"/>
        <v>119059</v>
      </c>
      <c r="H76" s="116">
        <f t="shared" si="35"/>
        <v>104241</v>
      </c>
      <c r="I76" s="116">
        <f t="shared" si="35"/>
        <v>123748</v>
      </c>
      <c r="J76" s="116">
        <f t="shared" si="35"/>
        <v>102602</v>
      </c>
      <c r="K76" s="116">
        <f t="shared" si="35"/>
        <v>109759</v>
      </c>
      <c r="L76" s="116">
        <f t="shared" si="35"/>
        <v>115659</v>
      </c>
      <c r="M76" s="116">
        <f t="shared" si="35"/>
        <v>110531</v>
      </c>
      <c r="N76" s="116">
        <f t="shared" si="35"/>
        <v>109533</v>
      </c>
      <c r="O76" s="119">
        <f>SUM(C76:N76)</f>
        <v>1392217</v>
      </c>
    </row>
    <row r="77" spans="2:15" ht="20.100000000000001" customHeight="1" x14ac:dyDescent="0.25">
      <c r="B77" s="19" t="s">
        <v>104</v>
      </c>
      <c r="C77" s="116">
        <f t="shared" si="35"/>
        <v>0</v>
      </c>
      <c r="D77" s="116">
        <f t="shared" si="35"/>
        <v>0</v>
      </c>
      <c r="E77" s="116">
        <f t="shared" si="35"/>
        <v>0</v>
      </c>
      <c r="F77" s="116">
        <f t="shared" si="35"/>
        <v>0</v>
      </c>
      <c r="G77" s="116">
        <f t="shared" si="35"/>
        <v>0</v>
      </c>
      <c r="H77" s="116">
        <f t="shared" si="35"/>
        <v>0</v>
      </c>
      <c r="I77" s="116">
        <f t="shared" si="35"/>
        <v>0</v>
      </c>
      <c r="J77" s="116">
        <f t="shared" si="35"/>
        <v>0</v>
      </c>
      <c r="K77" s="116">
        <f t="shared" si="35"/>
        <v>0</v>
      </c>
      <c r="L77" s="116">
        <f t="shared" si="35"/>
        <v>0</v>
      </c>
      <c r="M77" s="116">
        <f t="shared" si="35"/>
        <v>0</v>
      </c>
      <c r="N77" s="116">
        <f t="shared" si="35"/>
        <v>0</v>
      </c>
      <c r="O77" s="119">
        <f>SUM(C77:N77)</f>
        <v>0</v>
      </c>
    </row>
    <row r="78" spans="2:15" ht="20.100000000000001" customHeight="1" x14ac:dyDescent="0.25">
      <c r="B78" s="118" t="s">
        <v>99</v>
      </c>
      <c r="C78" s="119">
        <f t="shared" ref="C78:N78" si="36">SUM(C75:C77)</f>
        <v>134725</v>
      </c>
      <c r="D78" s="119">
        <f t="shared" si="36"/>
        <v>108391</v>
      </c>
      <c r="E78" s="119">
        <f t="shared" si="36"/>
        <v>133613</v>
      </c>
      <c r="F78" s="119">
        <f t="shared" si="36"/>
        <v>120356</v>
      </c>
      <c r="G78" s="119">
        <f t="shared" si="36"/>
        <v>119059</v>
      </c>
      <c r="H78" s="119">
        <f t="shared" si="36"/>
        <v>104241</v>
      </c>
      <c r="I78" s="119">
        <f t="shared" si="36"/>
        <v>123748</v>
      </c>
      <c r="J78" s="119">
        <f t="shared" si="36"/>
        <v>102602</v>
      </c>
      <c r="K78" s="119">
        <f t="shared" si="36"/>
        <v>109759</v>
      </c>
      <c r="L78" s="119">
        <f t="shared" si="36"/>
        <v>115659</v>
      </c>
      <c r="M78" s="119">
        <f t="shared" si="36"/>
        <v>110531</v>
      </c>
      <c r="N78" s="119">
        <f t="shared" si="36"/>
        <v>109533</v>
      </c>
      <c r="O78" s="119">
        <f>SUM(C78:N78)</f>
        <v>1392217</v>
      </c>
    </row>
    <row r="79" spans="2:15" ht="20.100000000000001" customHeight="1" x14ac:dyDescent="0.25">
      <c r="B79" s="276" t="s">
        <v>116</v>
      </c>
      <c r="C79" s="276"/>
      <c r="D79" s="276"/>
      <c r="E79" s="276"/>
      <c r="F79" s="276"/>
      <c r="G79" s="276"/>
      <c r="H79" s="276"/>
      <c r="I79" s="276"/>
      <c r="J79" s="276"/>
      <c r="K79" s="276"/>
      <c r="L79" s="276"/>
      <c r="M79" s="276"/>
      <c r="N79" s="276"/>
      <c r="O79" s="276"/>
    </row>
    <row r="80" spans="2:15" ht="20.100000000000001" customHeight="1" x14ac:dyDescent="0.25">
      <c r="B80" s="112" t="s">
        <v>82</v>
      </c>
      <c r="C80" s="112" t="s">
        <v>83</v>
      </c>
      <c r="D80" s="112" t="s">
        <v>84</v>
      </c>
      <c r="E80" s="112" t="s">
        <v>85</v>
      </c>
      <c r="F80" s="112" t="s">
        <v>86</v>
      </c>
      <c r="G80" s="112" t="s">
        <v>87</v>
      </c>
      <c r="H80" s="112" t="s">
        <v>88</v>
      </c>
      <c r="I80" s="112" t="s">
        <v>89</v>
      </c>
      <c r="J80" s="112" t="s">
        <v>90</v>
      </c>
      <c r="K80" s="112" t="s">
        <v>91</v>
      </c>
      <c r="L80" s="112" t="s">
        <v>92</v>
      </c>
      <c r="M80" s="112" t="s">
        <v>93</v>
      </c>
      <c r="N80" s="112" t="s">
        <v>94</v>
      </c>
      <c r="O80" s="112" t="s">
        <v>95</v>
      </c>
    </row>
    <row r="81" spans="2:15" ht="20.100000000000001" customHeight="1" x14ac:dyDescent="0.25">
      <c r="B81" s="121" t="s">
        <v>97</v>
      </c>
      <c r="C81" s="122">
        <f>IFERROR(C11+C25+C39+C53+C67,0)</f>
        <v>770.62699999999995</v>
      </c>
      <c r="D81" s="122">
        <f t="shared" ref="D81:N81" si="37">IFERROR(D11+D25+D39+D53+D67,0)</f>
        <v>619.99652000000003</v>
      </c>
      <c r="E81" s="122">
        <f t="shared" si="37"/>
        <v>764.26635999999996</v>
      </c>
      <c r="F81" s="122">
        <f t="shared" si="37"/>
        <v>688.43631999999991</v>
      </c>
      <c r="G81" s="122">
        <f t="shared" si="37"/>
        <v>681.01747999999998</v>
      </c>
      <c r="H81" s="122">
        <f t="shared" si="37"/>
        <v>596.25851999999998</v>
      </c>
      <c r="I81" s="122">
        <f t="shared" si="37"/>
        <v>707.83856000000003</v>
      </c>
      <c r="J81" s="122">
        <f t="shared" si="37"/>
        <v>586.88343999999995</v>
      </c>
      <c r="K81" s="122">
        <f t="shared" si="37"/>
        <v>627.82147999999995</v>
      </c>
      <c r="L81" s="122">
        <f t="shared" si="37"/>
        <v>661.56948</v>
      </c>
      <c r="M81" s="122">
        <f t="shared" si="37"/>
        <v>632.23731999999995</v>
      </c>
      <c r="N81" s="122">
        <f t="shared" si="37"/>
        <v>626.52876000000003</v>
      </c>
      <c r="O81" s="114">
        <f t="shared" ref="O81:O86" si="38">SUM(C81:N81)</f>
        <v>7963.4812400000001</v>
      </c>
    </row>
    <row r="82" spans="2:15" ht="20.100000000000001" customHeight="1" x14ac:dyDescent="0.25">
      <c r="B82" s="121" t="s">
        <v>98</v>
      </c>
      <c r="C82" s="122">
        <f t="shared" ref="C82:N85" si="39">IFERROR(C12+C26+C40+C54+C68,0)</f>
        <v>3556.74</v>
      </c>
      <c r="D82" s="122">
        <f t="shared" si="39"/>
        <v>2861.5223999999998</v>
      </c>
      <c r="E82" s="122">
        <f t="shared" si="39"/>
        <v>3527.3831999999998</v>
      </c>
      <c r="F82" s="122">
        <f t="shared" si="39"/>
        <v>3177.3984</v>
      </c>
      <c r="G82" s="122">
        <f t="shared" si="39"/>
        <v>3143.1576</v>
      </c>
      <c r="H82" s="122">
        <f t="shared" si="39"/>
        <v>2751.9623999999999</v>
      </c>
      <c r="I82" s="122">
        <f t="shared" si="39"/>
        <v>3266.9472000000001</v>
      </c>
      <c r="J82" s="122">
        <f t="shared" si="39"/>
        <v>2708.6927999999998</v>
      </c>
      <c r="K82" s="122">
        <f t="shared" si="39"/>
        <v>2897.6376</v>
      </c>
      <c r="L82" s="122">
        <f t="shared" si="39"/>
        <v>3053.3975999999998</v>
      </c>
      <c r="M82" s="122">
        <f t="shared" si="39"/>
        <v>2918.0183999999999</v>
      </c>
      <c r="N82" s="122">
        <f t="shared" si="39"/>
        <v>2891.6712000000002</v>
      </c>
      <c r="O82" s="114">
        <f t="shared" si="38"/>
        <v>36754.528799999993</v>
      </c>
    </row>
    <row r="83" spans="2:15" ht="20.100000000000001" customHeight="1" x14ac:dyDescent="0.25">
      <c r="B83" s="121" t="s">
        <v>37</v>
      </c>
      <c r="C83" s="122">
        <f t="shared" si="39"/>
        <v>16167</v>
      </c>
      <c r="D83" s="122">
        <f t="shared" si="39"/>
        <v>13006.92</v>
      </c>
      <c r="E83" s="122">
        <f t="shared" si="39"/>
        <v>16033.56</v>
      </c>
      <c r="F83" s="122">
        <f t="shared" si="39"/>
        <v>14442.72</v>
      </c>
      <c r="G83" s="122">
        <f t="shared" si="39"/>
        <v>14287.08</v>
      </c>
      <c r="H83" s="122">
        <f t="shared" si="39"/>
        <v>12508.92</v>
      </c>
      <c r="I83" s="122">
        <f t="shared" si="39"/>
        <v>14849.76</v>
      </c>
      <c r="J83" s="122">
        <f t="shared" si="39"/>
        <v>12312.24</v>
      </c>
      <c r="K83" s="122">
        <f t="shared" si="39"/>
        <v>13171.08</v>
      </c>
      <c r="L83" s="122">
        <f t="shared" si="39"/>
        <v>13879.08</v>
      </c>
      <c r="M83" s="122">
        <f t="shared" si="39"/>
        <v>13263.72</v>
      </c>
      <c r="N83" s="122">
        <f t="shared" si="39"/>
        <v>13143.96</v>
      </c>
      <c r="O83" s="114">
        <f t="shared" si="38"/>
        <v>167066.03999999998</v>
      </c>
    </row>
    <row r="84" spans="2:15" ht="20.100000000000001" customHeight="1" x14ac:dyDescent="0.25">
      <c r="B84" s="121" t="s">
        <v>38</v>
      </c>
      <c r="C84" s="122">
        <f t="shared" si="39"/>
        <v>0</v>
      </c>
      <c r="D84" s="122">
        <f t="shared" si="39"/>
        <v>0</v>
      </c>
      <c r="E84" s="122">
        <f t="shared" si="39"/>
        <v>0</v>
      </c>
      <c r="F84" s="122">
        <f t="shared" si="39"/>
        <v>0</v>
      </c>
      <c r="G84" s="122">
        <f t="shared" si="39"/>
        <v>0</v>
      </c>
      <c r="H84" s="122">
        <f t="shared" si="39"/>
        <v>0</v>
      </c>
      <c r="I84" s="122">
        <f t="shared" si="39"/>
        <v>0</v>
      </c>
      <c r="J84" s="122">
        <f t="shared" si="39"/>
        <v>0</v>
      </c>
      <c r="K84" s="122">
        <f t="shared" si="39"/>
        <v>0</v>
      </c>
      <c r="L84" s="122">
        <f t="shared" si="39"/>
        <v>0</v>
      </c>
      <c r="M84" s="122">
        <f t="shared" si="39"/>
        <v>0</v>
      </c>
      <c r="N84" s="122">
        <f t="shared" si="39"/>
        <v>0</v>
      </c>
      <c r="O84" s="114">
        <f t="shared" si="38"/>
        <v>0</v>
      </c>
    </row>
    <row r="85" spans="2:15" ht="20.100000000000001" customHeight="1" x14ac:dyDescent="0.25">
      <c r="B85" s="121" t="s">
        <v>39</v>
      </c>
      <c r="C85" s="122">
        <f t="shared" si="39"/>
        <v>0</v>
      </c>
      <c r="D85" s="122">
        <f t="shared" si="39"/>
        <v>0</v>
      </c>
      <c r="E85" s="122">
        <f t="shared" si="39"/>
        <v>0</v>
      </c>
      <c r="F85" s="122">
        <f t="shared" si="39"/>
        <v>0</v>
      </c>
      <c r="G85" s="122">
        <f t="shared" si="39"/>
        <v>0</v>
      </c>
      <c r="H85" s="122">
        <f t="shared" si="39"/>
        <v>0</v>
      </c>
      <c r="I85" s="122">
        <f t="shared" si="39"/>
        <v>0</v>
      </c>
      <c r="J85" s="122">
        <f t="shared" si="39"/>
        <v>0</v>
      </c>
      <c r="K85" s="122">
        <f t="shared" si="39"/>
        <v>0</v>
      </c>
      <c r="L85" s="122">
        <f t="shared" si="39"/>
        <v>0</v>
      </c>
      <c r="M85" s="122">
        <f t="shared" si="39"/>
        <v>0</v>
      </c>
      <c r="N85" s="122">
        <f t="shared" si="39"/>
        <v>0</v>
      </c>
      <c r="O85" s="114">
        <f t="shared" si="38"/>
        <v>0</v>
      </c>
    </row>
    <row r="86" spans="2:15" ht="20.100000000000001" customHeight="1" x14ac:dyDescent="0.25">
      <c r="B86" s="115" t="s">
        <v>99</v>
      </c>
      <c r="C86" s="114">
        <f t="shared" ref="C86:N86" si="40">SUM(C81:C85)</f>
        <v>20494.366999999998</v>
      </c>
      <c r="D86" s="114">
        <f t="shared" si="40"/>
        <v>16488.438920000001</v>
      </c>
      <c r="E86" s="114">
        <f t="shared" si="40"/>
        <v>20325.209559999999</v>
      </c>
      <c r="F86" s="114">
        <f t="shared" si="40"/>
        <v>18308.55472</v>
      </c>
      <c r="G86" s="114">
        <f t="shared" si="40"/>
        <v>18111.255079999999</v>
      </c>
      <c r="H86" s="114">
        <f t="shared" si="40"/>
        <v>15857.14092</v>
      </c>
      <c r="I86" s="114">
        <f t="shared" si="40"/>
        <v>18824.545760000001</v>
      </c>
      <c r="J86" s="114">
        <f t="shared" si="40"/>
        <v>15607.81624</v>
      </c>
      <c r="K86" s="114">
        <f t="shared" si="40"/>
        <v>16696.539079999999</v>
      </c>
      <c r="L86" s="114">
        <f t="shared" si="40"/>
        <v>17594.04708</v>
      </c>
      <c r="M86" s="114">
        <f t="shared" si="40"/>
        <v>16813.975719999999</v>
      </c>
      <c r="N86" s="114">
        <f t="shared" si="40"/>
        <v>16662.159960000001</v>
      </c>
      <c r="O86" s="114">
        <f t="shared" si="38"/>
        <v>211784.05003999994</v>
      </c>
    </row>
  </sheetData>
  <mergeCells count="3">
    <mergeCell ref="B2:C2"/>
    <mergeCell ref="B73:O73"/>
    <mergeCell ref="B79:O79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7">
    <tabColor rgb="FFFFC000"/>
  </sheetPr>
  <dimension ref="A1:AD86"/>
  <sheetViews>
    <sheetView showGridLines="0" workbookViewId="0">
      <selection activeCell="C13" sqref="C13"/>
    </sheetView>
  </sheetViews>
  <sheetFormatPr defaultColWidth="20.7109375" defaultRowHeight="20.100000000000001" customHeight="1" x14ac:dyDescent="0.25"/>
  <cols>
    <col min="1" max="1" width="6.7109375" style="19" customWidth="1"/>
    <col min="2" max="15" width="12.7109375" style="19" customWidth="1"/>
    <col min="16" max="16" width="5.7109375" style="19" customWidth="1"/>
    <col min="17" max="33" width="12.7109375" style="19" customWidth="1"/>
    <col min="34" max="16384" width="20.7109375" style="19"/>
  </cols>
  <sheetData>
    <row r="1" spans="1:30" s="20" customFormat="1" ht="20.100000000000001" customHeight="1" x14ac:dyDescent="0.25"/>
    <row r="2" spans="1:30" s="20" customFormat="1" ht="20.100000000000001" customHeight="1" x14ac:dyDescent="0.25">
      <c r="B2" s="275" t="s">
        <v>0</v>
      </c>
      <c r="C2" s="275"/>
    </row>
    <row r="3" spans="1:30" ht="20.100000000000001" customHeight="1" x14ac:dyDescent="0.2">
      <c r="B3" s="120" t="s">
        <v>109</v>
      </c>
      <c r="Q3" s="19" t="b">
        <f>'BH (1)'!C5</f>
        <v>0</v>
      </c>
    </row>
    <row r="4" spans="1:30" ht="20.100000000000001" customHeight="1" x14ac:dyDescent="0.25">
      <c r="B4" s="112" t="s">
        <v>82</v>
      </c>
      <c r="C4" s="112" t="s">
        <v>83</v>
      </c>
      <c r="D4" s="112" t="s">
        <v>84</v>
      </c>
      <c r="E4" s="112" t="s">
        <v>85</v>
      </c>
      <c r="F4" s="112" t="s">
        <v>86</v>
      </c>
      <c r="G4" s="112" t="s">
        <v>87</v>
      </c>
      <c r="H4" s="112" t="s">
        <v>88</v>
      </c>
      <c r="I4" s="112" t="s">
        <v>89</v>
      </c>
      <c r="J4" s="112" t="s">
        <v>90</v>
      </c>
      <c r="K4" s="112" t="s">
        <v>91</v>
      </c>
      <c r="L4" s="112" t="s">
        <v>92</v>
      </c>
      <c r="M4" s="112" t="s">
        <v>93</v>
      </c>
      <c r="N4" s="112" t="s">
        <v>94</v>
      </c>
      <c r="O4" s="112" t="s">
        <v>95</v>
      </c>
      <c r="Q4" s="112" t="s">
        <v>82</v>
      </c>
      <c r="R4" s="112" t="s">
        <v>83</v>
      </c>
      <c r="S4" s="112" t="s">
        <v>84</v>
      </c>
      <c r="T4" s="112" t="s">
        <v>85</v>
      </c>
      <c r="U4" s="112" t="s">
        <v>86</v>
      </c>
      <c r="V4" s="112" t="s">
        <v>87</v>
      </c>
      <c r="W4" s="112" t="s">
        <v>88</v>
      </c>
      <c r="X4" s="112" t="s">
        <v>89</v>
      </c>
      <c r="Y4" s="112" t="s">
        <v>90</v>
      </c>
      <c r="Z4" s="112" t="s">
        <v>91</v>
      </c>
      <c r="AA4" s="112" t="s">
        <v>92</v>
      </c>
      <c r="AB4" s="112" t="s">
        <v>93</v>
      </c>
      <c r="AC4" s="112" t="s">
        <v>94</v>
      </c>
      <c r="AD4" s="112" t="s">
        <v>95</v>
      </c>
    </row>
    <row r="5" spans="1:30" ht="20.100000000000001" customHeight="1" x14ac:dyDescent="0.25">
      <c r="B5" s="19" t="s">
        <v>102</v>
      </c>
      <c r="C5" s="116">
        <f>'Fat1'!D5</f>
        <v>0</v>
      </c>
      <c r="D5" s="116">
        <f>'Fat1'!E5</f>
        <v>0</v>
      </c>
      <c r="E5" s="116">
        <f>'Fat1'!F5</f>
        <v>0</v>
      </c>
      <c r="F5" s="116">
        <f>'Fat1'!G5</f>
        <v>0</v>
      </c>
      <c r="G5" s="116">
        <f>'Fat1'!H5</f>
        <v>0</v>
      </c>
      <c r="H5" s="116">
        <f>'Fat1'!I5</f>
        <v>0</v>
      </c>
      <c r="I5" s="116">
        <f>'Fat1'!J5</f>
        <v>0</v>
      </c>
      <c r="J5" s="116">
        <f>'Fat1'!K5</f>
        <v>0</v>
      </c>
      <c r="K5" s="116">
        <f>'Fat1'!L5</f>
        <v>0</v>
      </c>
      <c r="L5" s="116">
        <f>'Fat1'!M5</f>
        <v>0</v>
      </c>
      <c r="M5" s="116">
        <f>'Fat1'!N5</f>
        <v>0</v>
      </c>
      <c r="N5" s="116">
        <f>'Fat1'!O5</f>
        <v>0</v>
      </c>
      <c r="O5" s="119">
        <f>SUM(C5:N5)</f>
        <v>0</v>
      </c>
      <c r="Q5" s="19" t="s">
        <v>97</v>
      </c>
      <c r="R5" s="116">
        <f>IFERROR(Base!D5*$A$11,0)</f>
        <v>0</v>
      </c>
      <c r="S5" s="116">
        <f>IFERROR(Base!E5*$A$11,0)</f>
        <v>0</v>
      </c>
      <c r="T5" s="116">
        <f>IFERROR(Base!F5*$A$11,0)</f>
        <v>0</v>
      </c>
      <c r="U5" s="116">
        <f>IFERROR(Base!G5*$A$11,0)</f>
        <v>0</v>
      </c>
      <c r="V5" s="116">
        <f>IFERROR(Base!H5*$A$11,0)</f>
        <v>0</v>
      </c>
      <c r="W5" s="116">
        <f>IFERROR(Base!I5*$A$11,0)</f>
        <v>0</v>
      </c>
      <c r="X5" s="116">
        <f>IFERROR(Base!J5*$A$11,0)</f>
        <v>0</v>
      </c>
      <c r="Y5" s="116">
        <f>IFERROR(Base!K5*$A$11,0)</f>
        <v>0</v>
      </c>
      <c r="Z5" s="116">
        <f>IFERROR(Base!L5*$A$11,0)</f>
        <v>0</v>
      </c>
      <c r="AA5" s="116">
        <f>IFERROR(Base!M5*$A$11,0)</f>
        <v>0</v>
      </c>
      <c r="AB5" s="116">
        <f>IFERROR(Base!N5*$A$11,0)</f>
        <v>0</v>
      </c>
      <c r="AC5" s="116">
        <f>IFERROR(Base!O5*$A$11,0)</f>
        <v>0</v>
      </c>
      <c r="AD5" s="119">
        <f>SUM(R5:AC5)</f>
        <v>0</v>
      </c>
    </row>
    <row r="6" spans="1:30" ht="20.100000000000001" customHeight="1" x14ac:dyDescent="0.25">
      <c r="B6" s="19" t="s">
        <v>103</v>
      </c>
      <c r="C6" s="116">
        <f>'Fat1'!D6</f>
        <v>134725</v>
      </c>
      <c r="D6" s="116">
        <f>'Fat1'!E6</f>
        <v>108391</v>
      </c>
      <c r="E6" s="116">
        <f>'Fat1'!F6</f>
        <v>133613</v>
      </c>
      <c r="F6" s="116">
        <f>'Fat1'!G6</f>
        <v>120356</v>
      </c>
      <c r="G6" s="116">
        <f>'Fat1'!H6</f>
        <v>119059</v>
      </c>
      <c r="H6" s="116">
        <f>'Fat1'!I6</f>
        <v>104241</v>
      </c>
      <c r="I6" s="116">
        <f>'Fat1'!J6</f>
        <v>123748</v>
      </c>
      <c r="J6" s="116">
        <f>'Fat1'!K6</f>
        <v>102602</v>
      </c>
      <c r="K6" s="116">
        <f>'Fat1'!L6</f>
        <v>109759</v>
      </c>
      <c r="L6" s="116">
        <f>'Fat1'!M6</f>
        <v>115659</v>
      </c>
      <c r="M6" s="116">
        <f>'Fat1'!N6</f>
        <v>110531</v>
      </c>
      <c r="N6" s="116">
        <f>'Fat1'!O6</f>
        <v>109533</v>
      </c>
      <c r="O6" s="119">
        <f>SUM(C6:N6)</f>
        <v>1392217</v>
      </c>
      <c r="Q6" s="19" t="s">
        <v>98</v>
      </c>
      <c r="R6" s="116">
        <f>IFERROR(Base!D5*$A$12,0)</f>
        <v>0</v>
      </c>
      <c r="S6" s="116">
        <f>IFERROR(Base!E5*$A$12,0)</f>
        <v>0</v>
      </c>
      <c r="T6" s="116">
        <f>IFERROR(Base!F5*$A$12,0)</f>
        <v>0</v>
      </c>
      <c r="U6" s="116">
        <f>IFERROR(Base!G5*$A$12,0)</f>
        <v>0</v>
      </c>
      <c r="V6" s="116">
        <f>IFERROR(Base!H5*$A$12,0)</f>
        <v>0</v>
      </c>
      <c r="W6" s="116">
        <f>IFERROR(Base!I5*$A$12,0)</f>
        <v>0</v>
      </c>
      <c r="X6" s="116">
        <f>IFERROR(Base!J5*$A$12,0)</f>
        <v>0</v>
      </c>
      <c r="Y6" s="116">
        <f>IFERROR(Base!K5*$A$12,0)</f>
        <v>0</v>
      </c>
      <c r="Z6" s="116">
        <f>IFERROR(Base!L5*$A$12,0)</f>
        <v>0</v>
      </c>
      <c r="AA6" s="116">
        <f>IFERROR(Base!M5*$A$12,0)</f>
        <v>0</v>
      </c>
      <c r="AB6" s="116">
        <f>IFERROR(Base!N5*$A$12,0)</f>
        <v>0</v>
      </c>
      <c r="AC6" s="116">
        <f>IFERROR(Base!O5*$A$12,0)</f>
        <v>0</v>
      </c>
      <c r="AD6" s="119">
        <f>SUM(R6:AC6)</f>
        <v>0</v>
      </c>
    </row>
    <row r="7" spans="1:30" ht="20.100000000000001" customHeight="1" x14ac:dyDescent="0.25">
      <c r="B7" s="19" t="s">
        <v>104</v>
      </c>
      <c r="C7" s="116">
        <f>'Fat1'!D7</f>
        <v>0</v>
      </c>
      <c r="D7" s="116">
        <f>'Fat1'!E7</f>
        <v>0</v>
      </c>
      <c r="E7" s="116">
        <f>'Fat1'!F7</f>
        <v>0</v>
      </c>
      <c r="F7" s="116">
        <f>'Fat1'!G7</f>
        <v>0</v>
      </c>
      <c r="G7" s="116">
        <f>'Fat1'!H7</f>
        <v>0</v>
      </c>
      <c r="H7" s="116">
        <f>'Fat1'!I7</f>
        <v>0</v>
      </c>
      <c r="I7" s="116">
        <f>'Fat1'!J7</f>
        <v>0</v>
      </c>
      <c r="J7" s="116">
        <f>'Fat1'!K7</f>
        <v>0</v>
      </c>
      <c r="K7" s="116">
        <f>'Fat1'!L7</f>
        <v>0</v>
      </c>
      <c r="L7" s="116">
        <f>'Fat1'!M7</f>
        <v>0</v>
      </c>
      <c r="M7" s="116">
        <f>'Fat1'!N7</f>
        <v>0</v>
      </c>
      <c r="N7" s="116">
        <f>'Fat1'!O7</f>
        <v>0</v>
      </c>
      <c r="O7" s="119">
        <f>SUM(C7:N7)</f>
        <v>0</v>
      </c>
      <c r="Q7" s="118" t="s">
        <v>99</v>
      </c>
      <c r="R7" s="119">
        <f>SUM(R5:R6)</f>
        <v>0</v>
      </c>
      <c r="S7" s="119">
        <f t="shared" ref="S7:AC7" si="0">SUM(S5:S6)</f>
        <v>0</v>
      </c>
      <c r="T7" s="119">
        <f t="shared" si="0"/>
        <v>0</v>
      </c>
      <c r="U7" s="119">
        <f t="shared" si="0"/>
        <v>0</v>
      </c>
      <c r="V7" s="119">
        <f t="shared" si="0"/>
        <v>0</v>
      </c>
      <c r="W7" s="119">
        <f t="shared" si="0"/>
        <v>0</v>
      </c>
      <c r="X7" s="119">
        <f t="shared" si="0"/>
        <v>0</v>
      </c>
      <c r="Y7" s="119">
        <f t="shared" si="0"/>
        <v>0</v>
      </c>
      <c r="Z7" s="119">
        <f t="shared" si="0"/>
        <v>0</v>
      </c>
      <c r="AA7" s="119">
        <f t="shared" si="0"/>
        <v>0</v>
      </c>
      <c r="AB7" s="119">
        <f t="shared" si="0"/>
        <v>0</v>
      </c>
      <c r="AC7" s="119">
        <f t="shared" si="0"/>
        <v>0</v>
      </c>
      <c r="AD7" s="119">
        <f>SUM(R7:AC7)</f>
        <v>0</v>
      </c>
    </row>
    <row r="8" spans="1:30" ht="20.100000000000001" customHeight="1" x14ac:dyDescent="0.25">
      <c r="B8" s="118" t="s">
        <v>99</v>
      </c>
      <c r="C8" s="119">
        <f t="shared" ref="C8:N8" si="1">SUM(C5:C7)</f>
        <v>134725</v>
      </c>
      <c r="D8" s="119">
        <f t="shared" si="1"/>
        <v>108391</v>
      </c>
      <c r="E8" s="119">
        <f t="shared" si="1"/>
        <v>133613</v>
      </c>
      <c r="F8" s="119">
        <f t="shared" si="1"/>
        <v>120356</v>
      </c>
      <c r="G8" s="119">
        <f t="shared" si="1"/>
        <v>119059</v>
      </c>
      <c r="H8" s="119">
        <f t="shared" si="1"/>
        <v>104241</v>
      </c>
      <c r="I8" s="119">
        <f t="shared" si="1"/>
        <v>123748</v>
      </c>
      <c r="J8" s="119">
        <f t="shared" si="1"/>
        <v>102602</v>
      </c>
      <c r="K8" s="119">
        <f t="shared" si="1"/>
        <v>109759</v>
      </c>
      <c r="L8" s="119">
        <f t="shared" si="1"/>
        <v>115659</v>
      </c>
      <c r="M8" s="119">
        <f t="shared" si="1"/>
        <v>110531</v>
      </c>
      <c r="N8" s="119">
        <f t="shared" si="1"/>
        <v>109533</v>
      </c>
      <c r="O8" s="119">
        <f>SUM(C8:N8)</f>
        <v>1392217</v>
      </c>
      <c r="Q8" s="117" t="s">
        <v>37</v>
      </c>
    </row>
    <row r="9" spans="1:30" ht="20.100000000000001" customHeight="1" x14ac:dyDescent="0.25">
      <c r="Q9" s="112" t="s">
        <v>82</v>
      </c>
      <c r="R9" s="112" t="s">
        <v>83</v>
      </c>
      <c r="S9" s="112" t="s">
        <v>84</v>
      </c>
      <c r="T9" s="112" t="s">
        <v>85</v>
      </c>
      <c r="U9" s="112" t="s">
        <v>86</v>
      </c>
      <c r="V9" s="112" t="s">
        <v>87</v>
      </c>
      <c r="W9" s="112" t="s">
        <v>88</v>
      </c>
      <c r="X9" s="112" t="s">
        <v>89</v>
      </c>
      <c r="Y9" s="112" t="s">
        <v>90</v>
      </c>
      <c r="Z9" s="112" t="s">
        <v>91</v>
      </c>
      <c r="AA9" s="112" t="s">
        <v>92</v>
      </c>
      <c r="AB9" s="112" t="s">
        <v>93</v>
      </c>
      <c r="AC9" s="112" t="s">
        <v>94</v>
      </c>
      <c r="AD9" s="112" t="s">
        <v>95</v>
      </c>
    </row>
    <row r="10" spans="1:30" ht="20.100000000000001" customHeight="1" x14ac:dyDescent="0.25">
      <c r="A10" s="124" t="s">
        <v>110</v>
      </c>
      <c r="B10" s="112" t="s">
        <v>82</v>
      </c>
      <c r="C10" s="112" t="s">
        <v>83</v>
      </c>
      <c r="D10" s="112" t="s">
        <v>84</v>
      </c>
      <c r="E10" s="112" t="s">
        <v>85</v>
      </c>
      <c r="F10" s="112" t="s">
        <v>86</v>
      </c>
      <c r="G10" s="112" t="s">
        <v>87</v>
      </c>
      <c r="H10" s="112" t="s">
        <v>88</v>
      </c>
      <c r="I10" s="112" t="s">
        <v>89</v>
      </c>
      <c r="J10" s="112" t="s">
        <v>90</v>
      </c>
      <c r="K10" s="112" t="s">
        <v>91</v>
      </c>
      <c r="L10" s="112" t="s">
        <v>92</v>
      </c>
      <c r="M10" s="112" t="s">
        <v>93</v>
      </c>
      <c r="N10" s="112" t="s">
        <v>94</v>
      </c>
      <c r="O10" s="112" t="s">
        <v>95</v>
      </c>
      <c r="Q10" s="113">
        <f>Base!C8</f>
        <v>0</v>
      </c>
      <c r="R10" s="84">
        <f>IFERROR(Base!D8*$Q10,0)</f>
        <v>0</v>
      </c>
      <c r="S10" s="84">
        <f>IFERROR(Base!E8*$Q10,0)</f>
        <v>0</v>
      </c>
      <c r="T10" s="84">
        <f>IFERROR(Base!F8*$Q10,0)</f>
        <v>0</v>
      </c>
      <c r="U10" s="84">
        <f>IFERROR(Base!G8*$Q10,0)</f>
        <v>0</v>
      </c>
      <c r="V10" s="84">
        <f>IFERROR(Base!H8*$Q10,0)</f>
        <v>0</v>
      </c>
      <c r="W10" s="84">
        <f>IFERROR(Base!I8*$Q10,0)</f>
        <v>0</v>
      </c>
      <c r="X10" s="84">
        <f>IFERROR(Base!J8*$Q10,0)</f>
        <v>0</v>
      </c>
      <c r="Y10" s="84">
        <f>IFERROR(Base!K8*$Q10,0)</f>
        <v>0</v>
      </c>
      <c r="Z10" s="84">
        <f>IFERROR(Base!L8*$Q10,0)</f>
        <v>0</v>
      </c>
      <c r="AA10" s="84">
        <f>IFERROR(Base!M8*$Q10,0)</f>
        <v>0</v>
      </c>
      <c r="AB10" s="84">
        <f>IFERROR(Base!N8*$Q10,0)</f>
        <v>0</v>
      </c>
      <c r="AC10" s="84">
        <f>IFERROR(Base!O8*$Q10,0)</f>
        <v>0</v>
      </c>
      <c r="AD10" s="114">
        <f t="shared" ref="AD10:AD22" si="2">SUM(R10:AC10)</f>
        <v>0</v>
      </c>
    </row>
    <row r="11" spans="1:30" ht="20.100000000000001" customHeight="1" x14ac:dyDescent="0.25">
      <c r="A11" s="123">
        <f>TabP!F5</f>
        <v>6.4999999999999997E-3</v>
      </c>
      <c r="B11" s="130" t="s">
        <v>97</v>
      </c>
      <c r="C11" s="129">
        <f>IFERROR((C8-C13)*$A$11,0)</f>
        <v>770.62699999999995</v>
      </c>
      <c r="D11" s="129">
        <f t="shared" ref="D11:N11" si="3">IFERROR((D8-D13)*$A$11,0)</f>
        <v>619.99652000000003</v>
      </c>
      <c r="E11" s="129">
        <f t="shared" si="3"/>
        <v>764.26635999999996</v>
      </c>
      <c r="F11" s="129">
        <f t="shared" si="3"/>
        <v>688.43631999999991</v>
      </c>
      <c r="G11" s="129">
        <f t="shared" si="3"/>
        <v>681.01747999999998</v>
      </c>
      <c r="H11" s="129">
        <f t="shared" si="3"/>
        <v>596.25851999999998</v>
      </c>
      <c r="I11" s="129">
        <f t="shared" si="3"/>
        <v>707.83856000000003</v>
      </c>
      <c r="J11" s="129">
        <f t="shared" si="3"/>
        <v>586.88343999999995</v>
      </c>
      <c r="K11" s="129">
        <f t="shared" si="3"/>
        <v>627.82147999999995</v>
      </c>
      <c r="L11" s="129">
        <f t="shared" si="3"/>
        <v>661.56948</v>
      </c>
      <c r="M11" s="129">
        <f t="shared" si="3"/>
        <v>632.23731999999995</v>
      </c>
      <c r="N11" s="129">
        <f t="shared" si="3"/>
        <v>626.52876000000003</v>
      </c>
      <c r="O11" s="131">
        <f t="shared" ref="O11:O16" si="4">SUM(C11:N11)</f>
        <v>7963.4812400000001</v>
      </c>
      <c r="Q11" s="113">
        <f>Base!C9</f>
        <v>0.04</v>
      </c>
      <c r="R11" s="84">
        <f>IFERROR(Base!D9*$Q11,0)</f>
        <v>0</v>
      </c>
      <c r="S11" s="84">
        <f>IFERROR(Base!E9*$Q11,0)</f>
        <v>0</v>
      </c>
      <c r="T11" s="84">
        <f>IFERROR(Base!F9*$Q11,0)</f>
        <v>0</v>
      </c>
      <c r="U11" s="84">
        <f>IFERROR(Base!G9*$Q11,0)</f>
        <v>0</v>
      </c>
      <c r="V11" s="84">
        <f>IFERROR(Base!H9*$Q11,0)</f>
        <v>0</v>
      </c>
      <c r="W11" s="84">
        <f>IFERROR(Base!I9*$Q11,0)</f>
        <v>0</v>
      </c>
      <c r="X11" s="84">
        <f>IFERROR(Base!J9*$Q11,0)</f>
        <v>0</v>
      </c>
      <c r="Y11" s="84">
        <f>IFERROR(Base!K9*$Q11,0)</f>
        <v>0</v>
      </c>
      <c r="Z11" s="84">
        <f>IFERROR(Base!L9*$Q11,0)</f>
        <v>0</v>
      </c>
      <c r="AA11" s="84">
        <f>IFERROR(Base!M9*$Q11,0)</f>
        <v>0</v>
      </c>
      <c r="AB11" s="84">
        <f>IFERROR(Base!N9*$Q11,0)</f>
        <v>0</v>
      </c>
      <c r="AC11" s="84">
        <f>IFERROR(Base!O9*$Q11,0)</f>
        <v>0</v>
      </c>
      <c r="AD11" s="114">
        <f t="shared" si="2"/>
        <v>0</v>
      </c>
    </row>
    <row r="12" spans="1:30" ht="20.100000000000001" customHeight="1" x14ac:dyDescent="0.25">
      <c r="A12" s="123">
        <f>TabP!F6</f>
        <v>0.03</v>
      </c>
      <c r="B12" s="130" t="s">
        <v>98</v>
      </c>
      <c r="C12" s="129">
        <f>IFERROR((C8-C13)*$A$12,0)</f>
        <v>3556.74</v>
      </c>
      <c r="D12" s="129">
        <f t="shared" ref="D12:N12" si="5">IFERROR((D8-D13)*$A$12,0)</f>
        <v>2861.5223999999998</v>
      </c>
      <c r="E12" s="129">
        <f t="shared" si="5"/>
        <v>3527.3831999999998</v>
      </c>
      <c r="F12" s="129">
        <f t="shared" si="5"/>
        <v>3177.3984</v>
      </c>
      <c r="G12" s="129">
        <f t="shared" si="5"/>
        <v>3143.1576</v>
      </c>
      <c r="H12" s="129">
        <f t="shared" si="5"/>
        <v>2751.9623999999999</v>
      </c>
      <c r="I12" s="129">
        <f t="shared" si="5"/>
        <v>3266.9472000000001</v>
      </c>
      <c r="J12" s="129">
        <f t="shared" si="5"/>
        <v>2708.6927999999998</v>
      </c>
      <c r="K12" s="129">
        <f t="shared" si="5"/>
        <v>2897.6376</v>
      </c>
      <c r="L12" s="129">
        <f t="shared" si="5"/>
        <v>3053.3975999999998</v>
      </c>
      <c r="M12" s="129">
        <f t="shared" si="5"/>
        <v>2918.0183999999999</v>
      </c>
      <c r="N12" s="129">
        <f t="shared" si="5"/>
        <v>2891.6712000000002</v>
      </c>
      <c r="O12" s="131">
        <f t="shared" si="4"/>
        <v>36754.528799999993</v>
      </c>
      <c r="Q12" s="113">
        <f>Base!C10</f>
        <v>7.0000000000000007E-2</v>
      </c>
      <c r="R12" s="84">
        <f>IFERROR(Base!D10*$Q12,0)</f>
        <v>0</v>
      </c>
      <c r="S12" s="84">
        <f>IFERROR(Base!E10*$Q12,0)</f>
        <v>0</v>
      </c>
      <c r="T12" s="84">
        <f>IFERROR(Base!F10*$Q12,0)</f>
        <v>0</v>
      </c>
      <c r="U12" s="84">
        <f>IFERROR(Base!G10*$Q12,0)</f>
        <v>0</v>
      </c>
      <c r="V12" s="84">
        <f>IFERROR(Base!H10*$Q12,0)</f>
        <v>0</v>
      </c>
      <c r="W12" s="84">
        <f>IFERROR(Base!I10*$Q12,0)</f>
        <v>0</v>
      </c>
      <c r="X12" s="84">
        <f>IFERROR(Base!J10*$Q12,0)</f>
        <v>0</v>
      </c>
      <c r="Y12" s="84">
        <f>IFERROR(Base!K10*$Q12,0)</f>
        <v>0</v>
      </c>
      <c r="Z12" s="84">
        <f>IFERROR(Base!L10*$Q12,0)</f>
        <v>0</v>
      </c>
      <c r="AA12" s="84">
        <f>IFERROR(Base!M10*$Q12,0)</f>
        <v>0</v>
      </c>
      <c r="AB12" s="84">
        <f>IFERROR(Base!N10*$Q12,0)</f>
        <v>0</v>
      </c>
      <c r="AC12" s="84">
        <f>IFERROR(Base!O10*$Q12,0)</f>
        <v>0</v>
      </c>
      <c r="AD12" s="114">
        <f t="shared" si="2"/>
        <v>0</v>
      </c>
    </row>
    <row r="13" spans="1:30" ht="20.100000000000001" customHeight="1" x14ac:dyDescent="0.25">
      <c r="A13" s="123">
        <f>TabP!F7</f>
        <v>0.12</v>
      </c>
      <c r="B13" s="130" t="s">
        <v>37</v>
      </c>
      <c r="C13" s="129">
        <f>IFERROR(SUM(C5:C6)*$A$13,0)</f>
        <v>16167</v>
      </c>
      <c r="D13" s="129">
        <f t="shared" ref="D13:N13" si="6">IFERROR(SUM(D5:D6)*$A$13,0)</f>
        <v>13006.92</v>
      </c>
      <c r="E13" s="129">
        <f>IFERROR(SUM(E5:E6)*$A$13,0)</f>
        <v>16033.56</v>
      </c>
      <c r="F13" s="129">
        <f t="shared" si="6"/>
        <v>14442.72</v>
      </c>
      <c r="G13" s="129">
        <f t="shared" si="6"/>
        <v>14287.08</v>
      </c>
      <c r="H13" s="129">
        <f t="shared" si="6"/>
        <v>12508.92</v>
      </c>
      <c r="I13" s="129">
        <f t="shared" si="6"/>
        <v>14849.76</v>
      </c>
      <c r="J13" s="129">
        <f t="shared" si="6"/>
        <v>12312.24</v>
      </c>
      <c r="K13" s="129">
        <f t="shared" si="6"/>
        <v>13171.08</v>
      </c>
      <c r="L13" s="129">
        <f t="shared" si="6"/>
        <v>13879.08</v>
      </c>
      <c r="M13" s="129">
        <f t="shared" si="6"/>
        <v>13263.72</v>
      </c>
      <c r="N13" s="129">
        <f t="shared" si="6"/>
        <v>13143.96</v>
      </c>
      <c r="O13" s="131">
        <f t="shared" si="4"/>
        <v>167066.03999999998</v>
      </c>
      <c r="Q13" s="113">
        <f>Base!C11</f>
        <v>0.12</v>
      </c>
      <c r="R13" s="84">
        <f>IFERROR(Base!D11*$Q13,0)</f>
        <v>0</v>
      </c>
      <c r="S13" s="84">
        <f>IFERROR(Base!E11*$Q13,0)</f>
        <v>0</v>
      </c>
      <c r="T13" s="84">
        <f>IFERROR(Base!F11*$Q13,0)</f>
        <v>0</v>
      </c>
      <c r="U13" s="84">
        <f>IFERROR(Base!G11*$Q13,0)</f>
        <v>0</v>
      </c>
      <c r="V13" s="84">
        <f>IFERROR(Base!H11*$Q13,0)</f>
        <v>0</v>
      </c>
      <c r="W13" s="84">
        <f>IFERROR(Base!I11*$Q13,0)</f>
        <v>0</v>
      </c>
      <c r="X13" s="84">
        <f>IFERROR(Base!J11*$Q13,0)</f>
        <v>0</v>
      </c>
      <c r="Y13" s="84">
        <f>IFERROR(Base!K11*$Q13,0)</f>
        <v>0</v>
      </c>
      <c r="Z13" s="84">
        <f>IFERROR(Base!L11*$Q13,0)</f>
        <v>0</v>
      </c>
      <c r="AA13" s="84">
        <f>IFERROR(Base!M11*$Q13,0)</f>
        <v>0</v>
      </c>
      <c r="AB13" s="84">
        <f>IFERROR(Base!N11*$Q13,0)</f>
        <v>0</v>
      </c>
      <c r="AC13" s="84">
        <f>IFERROR(Base!O11*$Q13,0)</f>
        <v>0</v>
      </c>
      <c r="AD13" s="114">
        <f t="shared" si="2"/>
        <v>0</v>
      </c>
    </row>
    <row r="14" spans="1:30" ht="20.100000000000001" customHeight="1" x14ac:dyDescent="0.25">
      <c r="A14" s="123">
        <f>TabP!F8</f>
        <v>0.03</v>
      </c>
      <c r="B14" s="130" t="s">
        <v>38</v>
      </c>
      <c r="C14" s="129">
        <f>IFERROR(C5*$A$14,0)</f>
        <v>0</v>
      </c>
      <c r="D14" s="129">
        <f t="shared" ref="D14:N14" si="7">IFERROR(D5*$A$14,0)</f>
        <v>0</v>
      </c>
      <c r="E14" s="129">
        <f t="shared" si="7"/>
        <v>0</v>
      </c>
      <c r="F14" s="129">
        <f t="shared" si="7"/>
        <v>0</v>
      </c>
      <c r="G14" s="129">
        <f t="shared" si="7"/>
        <v>0</v>
      </c>
      <c r="H14" s="129">
        <f t="shared" si="7"/>
        <v>0</v>
      </c>
      <c r="I14" s="129">
        <f t="shared" si="7"/>
        <v>0</v>
      </c>
      <c r="J14" s="129">
        <f t="shared" si="7"/>
        <v>0</v>
      </c>
      <c r="K14" s="129">
        <f t="shared" si="7"/>
        <v>0</v>
      </c>
      <c r="L14" s="129">
        <f t="shared" si="7"/>
        <v>0</v>
      </c>
      <c r="M14" s="129">
        <f t="shared" si="7"/>
        <v>0</v>
      </c>
      <c r="N14" s="129">
        <f t="shared" si="7"/>
        <v>0</v>
      </c>
      <c r="O14" s="131">
        <f t="shared" si="4"/>
        <v>0</v>
      </c>
      <c r="Q14" s="113">
        <f>Base!C12</f>
        <v>0.15</v>
      </c>
      <c r="R14" s="84">
        <f>IFERROR(Base!D12*$Q14,0)</f>
        <v>0</v>
      </c>
      <c r="S14" s="84">
        <f>IFERROR(Base!E12*$Q14,0)</f>
        <v>0</v>
      </c>
      <c r="T14" s="84">
        <f>IFERROR(Base!F12*$Q14,0)</f>
        <v>0</v>
      </c>
      <c r="U14" s="84">
        <f>IFERROR(Base!G12*$Q14,0)</f>
        <v>0</v>
      </c>
      <c r="V14" s="84">
        <f>IFERROR(Base!H12*$Q14,0)</f>
        <v>0</v>
      </c>
      <c r="W14" s="84">
        <f>IFERROR(Base!I12*$Q14,0)</f>
        <v>0</v>
      </c>
      <c r="X14" s="84">
        <f>IFERROR(Base!J12*$Q14,0)</f>
        <v>0</v>
      </c>
      <c r="Y14" s="84">
        <f>IFERROR(Base!K12*$Q14,0)</f>
        <v>0</v>
      </c>
      <c r="Z14" s="84">
        <f>IFERROR(Base!L12*$Q14,0)</f>
        <v>0</v>
      </c>
      <c r="AA14" s="84">
        <f>IFERROR(Base!M12*$Q14,0)</f>
        <v>0</v>
      </c>
      <c r="AB14" s="84">
        <f>IFERROR(Base!N12*$Q14,0)</f>
        <v>0</v>
      </c>
      <c r="AC14" s="84">
        <f>IFERROR(Base!O12*$Q14,0)</f>
        <v>0</v>
      </c>
      <c r="AD14" s="114">
        <f t="shared" si="2"/>
        <v>0</v>
      </c>
    </row>
    <row r="15" spans="1:30" ht="20.100000000000001" customHeight="1" x14ac:dyDescent="0.25">
      <c r="A15" s="123">
        <f>TabP!F9</f>
        <v>0.03</v>
      </c>
      <c r="B15" s="130" t="s">
        <v>39</v>
      </c>
      <c r="C15" s="129">
        <f>IFERROR(C7*$A$15,0)</f>
        <v>0</v>
      </c>
      <c r="D15" s="129">
        <f t="shared" ref="D15:N15" si="8">IFERROR(D7*$A$15,0)</f>
        <v>0</v>
      </c>
      <c r="E15" s="129">
        <f t="shared" si="8"/>
        <v>0</v>
      </c>
      <c r="F15" s="129">
        <f t="shared" si="8"/>
        <v>0</v>
      </c>
      <c r="G15" s="129">
        <f t="shared" si="8"/>
        <v>0</v>
      </c>
      <c r="H15" s="129">
        <f t="shared" si="8"/>
        <v>0</v>
      </c>
      <c r="I15" s="129">
        <f t="shared" si="8"/>
        <v>0</v>
      </c>
      <c r="J15" s="129">
        <f t="shared" si="8"/>
        <v>0</v>
      </c>
      <c r="K15" s="129">
        <f t="shared" si="8"/>
        <v>0</v>
      </c>
      <c r="L15" s="129">
        <f t="shared" si="8"/>
        <v>0</v>
      </c>
      <c r="M15" s="129">
        <f t="shared" si="8"/>
        <v>0</v>
      </c>
      <c r="N15" s="129">
        <f t="shared" si="8"/>
        <v>0</v>
      </c>
      <c r="O15" s="131">
        <f t="shared" si="4"/>
        <v>0</v>
      </c>
      <c r="Q15" s="113">
        <f>Base!C13</f>
        <v>0.18</v>
      </c>
      <c r="R15" s="84">
        <f>IFERROR(Base!D13*$Q15,0)</f>
        <v>0</v>
      </c>
      <c r="S15" s="84">
        <f>IFERROR(Base!E13*$Q15,0)</f>
        <v>0</v>
      </c>
      <c r="T15" s="84">
        <f>IFERROR(Base!F13*$Q15,0)</f>
        <v>0</v>
      </c>
      <c r="U15" s="84">
        <f>IFERROR(Base!G13*$Q15,0)</f>
        <v>0</v>
      </c>
      <c r="V15" s="84">
        <f>IFERROR(Base!H13*$Q15,0)</f>
        <v>0</v>
      </c>
      <c r="W15" s="84">
        <f>IFERROR(Base!I13*$Q15,0)</f>
        <v>0</v>
      </c>
      <c r="X15" s="84">
        <f>IFERROR(Base!J13*$Q15,0)</f>
        <v>0</v>
      </c>
      <c r="Y15" s="84">
        <f>IFERROR(Base!K13*$Q15,0)</f>
        <v>0</v>
      </c>
      <c r="Z15" s="84">
        <f>IFERROR(Base!L13*$Q15,0)</f>
        <v>0</v>
      </c>
      <c r="AA15" s="84">
        <f>IFERROR(Base!M13*$Q15,0)</f>
        <v>0</v>
      </c>
      <c r="AB15" s="84">
        <f>IFERROR(Base!N13*$Q15,0)</f>
        <v>0</v>
      </c>
      <c r="AC15" s="84">
        <f>IFERROR(Base!O13*$Q15,0)</f>
        <v>0</v>
      </c>
      <c r="AD15" s="114">
        <f t="shared" si="2"/>
        <v>0</v>
      </c>
    </row>
    <row r="16" spans="1:30" ht="20.100000000000001" customHeight="1" x14ac:dyDescent="0.25">
      <c r="A16" s="123">
        <f>SUM(A11:A15)</f>
        <v>0.2165</v>
      </c>
      <c r="B16" s="115" t="s">
        <v>99</v>
      </c>
      <c r="C16" s="114">
        <f>SUM(C11:C15)</f>
        <v>20494.366999999998</v>
      </c>
      <c r="D16" s="114">
        <f>SUM(D11:D15)</f>
        <v>16488.438920000001</v>
      </c>
      <c r="E16" s="114">
        <f t="shared" ref="E16:N16" si="9">SUM(E11:E15)</f>
        <v>20325.209559999999</v>
      </c>
      <c r="F16" s="114">
        <f t="shared" si="9"/>
        <v>18308.55472</v>
      </c>
      <c r="G16" s="114">
        <f t="shared" si="9"/>
        <v>18111.255079999999</v>
      </c>
      <c r="H16" s="114">
        <f t="shared" si="9"/>
        <v>15857.14092</v>
      </c>
      <c r="I16" s="114">
        <f t="shared" si="9"/>
        <v>18824.545760000001</v>
      </c>
      <c r="J16" s="114">
        <f t="shared" si="9"/>
        <v>15607.81624</v>
      </c>
      <c r="K16" s="114">
        <f t="shared" si="9"/>
        <v>16696.539079999999</v>
      </c>
      <c r="L16" s="114">
        <f t="shared" si="9"/>
        <v>17594.04708</v>
      </c>
      <c r="M16" s="114">
        <f t="shared" si="9"/>
        <v>16813.975719999999</v>
      </c>
      <c r="N16" s="114">
        <f t="shared" si="9"/>
        <v>16662.159960000001</v>
      </c>
      <c r="O16" s="114">
        <f t="shared" si="4"/>
        <v>211784.05003999994</v>
      </c>
      <c r="Q16" s="113" t="str">
        <f>Base!C14</f>
        <v/>
      </c>
      <c r="R16" s="84">
        <f>IFERROR(Base!D14*$Q16,0)</f>
        <v>0</v>
      </c>
      <c r="S16" s="84">
        <f>IFERROR(Base!E14*$Q16,0)</f>
        <v>0</v>
      </c>
      <c r="T16" s="84">
        <f>IFERROR(Base!F14*$Q16,0)</f>
        <v>0</v>
      </c>
      <c r="U16" s="84">
        <f>IFERROR(Base!G14*$Q16,0)</f>
        <v>0</v>
      </c>
      <c r="V16" s="84">
        <f>IFERROR(Base!H14*$Q16,0)</f>
        <v>0</v>
      </c>
      <c r="W16" s="84">
        <f>IFERROR(Base!I14*$Q16,0)</f>
        <v>0</v>
      </c>
      <c r="X16" s="84">
        <f>IFERROR(Base!J14*$Q16,0)</f>
        <v>0</v>
      </c>
      <c r="Y16" s="84">
        <f>IFERROR(Base!K14*$Q16,0)</f>
        <v>0</v>
      </c>
      <c r="Z16" s="84">
        <f>IFERROR(Base!L14*$Q16,0)</f>
        <v>0</v>
      </c>
      <c r="AA16" s="84">
        <f>IFERROR(Base!M14*$Q16,0)</f>
        <v>0</v>
      </c>
      <c r="AB16" s="84">
        <f>IFERROR(Base!N14*$Q16,0)</f>
        <v>0</v>
      </c>
      <c r="AC16" s="84">
        <f>IFERROR(Base!O14*$Q16,0)</f>
        <v>0</v>
      </c>
      <c r="AD16" s="114">
        <f t="shared" si="2"/>
        <v>0</v>
      </c>
    </row>
    <row r="17" spans="1:30" ht="20.100000000000001" customHeight="1" x14ac:dyDescent="0.2">
      <c r="B17" s="120" t="s">
        <v>111</v>
      </c>
      <c r="Q17" s="113" t="str">
        <f>Base!C15</f>
        <v/>
      </c>
      <c r="R17" s="84">
        <f>IFERROR(Base!D15*$Q17,0)</f>
        <v>0</v>
      </c>
      <c r="S17" s="84">
        <f>IFERROR(Base!E15*$Q17,0)</f>
        <v>0</v>
      </c>
      <c r="T17" s="84">
        <f>IFERROR(Base!F15*$Q17,0)</f>
        <v>0</v>
      </c>
      <c r="U17" s="84">
        <f>IFERROR(Base!G15*$Q17,0)</f>
        <v>0</v>
      </c>
      <c r="V17" s="84">
        <f>IFERROR(Base!H15*$Q17,0)</f>
        <v>0</v>
      </c>
      <c r="W17" s="84">
        <f>IFERROR(Base!I15*$Q17,0)</f>
        <v>0</v>
      </c>
      <c r="X17" s="84">
        <f>IFERROR(Base!J15*$Q17,0)</f>
        <v>0</v>
      </c>
      <c r="Y17" s="84">
        <f>IFERROR(Base!K15*$Q17,0)</f>
        <v>0</v>
      </c>
      <c r="Z17" s="84">
        <f>IFERROR(Base!L15*$Q17,0)</f>
        <v>0</v>
      </c>
      <c r="AA17" s="84">
        <f>IFERROR(Base!M15*$Q17,0)</f>
        <v>0</v>
      </c>
      <c r="AB17" s="84">
        <f>IFERROR(Base!N15*$Q17,0)</f>
        <v>0</v>
      </c>
      <c r="AC17" s="84">
        <f>IFERROR(Base!O15*$Q17,0)</f>
        <v>0</v>
      </c>
      <c r="AD17" s="114">
        <f t="shared" si="2"/>
        <v>0</v>
      </c>
    </row>
    <row r="18" spans="1:30" ht="20.100000000000001" customHeight="1" x14ac:dyDescent="0.25">
      <c r="B18" s="112" t="s">
        <v>82</v>
      </c>
      <c r="C18" s="112" t="s">
        <v>83</v>
      </c>
      <c r="D18" s="112" t="s">
        <v>84</v>
      </c>
      <c r="E18" s="112" t="s">
        <v>85</v>
      </c>
      <c r="F18" s="112" t="s">
        <v>86</v>
      </c>
      <c r="G18" s="112" t="s">
        <v>87</v>
      </c>
      <c r="H18" s="112" t="s">
        <v>88</v>
      </c>
      <c r="I18" s="112" t="s">
        <v>89</v>
      </c>
      <c r="J18" s="112" t="s">
        <v>90</v>
      </c>
      <c r="K18" s="112" t="s">
        <v>91</v>
      </c>
      <c r="L18" s="112" t="s">
        <v>92</v>
      </c>
      <c r="M18" s="112" t="s">
        <v>93</v>
      </c>
      <c r="N18" s="112" t="s">
        <v>94</v>
      </c>
      <c r="O18" s="112" t="s">
        <v>95</v>
      </c>
      <c r="Q18" s="113" t="str">
        <f>Base!C16</f>
        <v/>
      </c>
      <c r="R18" s="84">
        <f>IFERROR(Base!D16*$Q18,0)</f>
        <v>0</v>
      </c>
      <c r="S18" s="84">
        <f>IFERROR(Base!E16*$Q18,0)</f>
        <v>0</v>
      </c>
      <c r="T18" s="84">
        <f>IFERROR(Base!F16*$Q18,0)</f>
        <v>0</v>
      </c>
      <c r="U18" s="84">
        <f>IFERROR(Base!G16*$Q18,0)</f>
        <v>0</v>
      </c>
      <c r="V18" s="84">
        <f>IFERROR(Base!H16*$Q18,0)</f>
        <v>0</v>
      </c>
      <c r="W18" s="84">
        <f>IFERROR(Base!I16*$Q18,0)</f>
        <v>0</v>
      </c>
      <c r="X18" s="84">
        <f>IFERROR(Base!J16*$Q18,0)</f>
        <v>0</v>
      </c>
      <c r="Y18" s="84">
        <f>IFERROR(Base!K16*$Q18,0)</f>
        <v>0</v>
      </c>
      <c r="Z18" s="84">
        <f>IFERROR(Base!L16*$Q18,0)</f>
        <v>0</v>
      </c>
      <c r="AA18" s="84">
        <f>IFERROR(Base!M16*$Q18,0)</f>
        <v>0</v>
      </c>
      <c r="AB18" s="84">
        <f>IFERROR(Base!N16*$Q18,0)</f>
        <v>0</v>
      </c>
      <c r="AC18" s="84">
        <f>IFERROR(Base!O16*$Q18,0)</f>
        <v>0</v>
      </c>
      <c r="AD18" s="114">
        <f t="shared" si="2"/>
        <v>0</v>
      </c>
    </row>
    <row r="19" spans="1:30" ht="20.100000000000001" customHeight="1" x14ac:dyDescent="0.25">
      <c r="B19" s="19" t="s">
        <v>102</v>
      </c>
      <c r="C19" s="116">
        <f>'Fat2'!D5</f>
        <v>0</v>
      </c>
      <c r="D19" s="116">
        <f>'Fat2'!E5</f>
        <v>0</v>
      </c>
      <c r="E19" s="116">
        <f>'Fat2'!F5</f>
        <v>0</v>
      </c>
      <c r="F19" s="116">
        <f>'Fat2'!G5</f>
        <v>0</v>
      </c>
      <c r="G19" s="116">
        <f>'Fat2'!H5</f>
        <v>0</v>
      </c>
      <c r="H19" s="116">
        <f>'Fat2'!I5</f>
        <v>0</v>
      </c>
      <c r="I19" s="116">
        <f>'Fat2'!J5</f>
        <v>0</v>
      </c>
      <c r="J19" s="116">
        <f>'Fat2'!K5</f>
        <v>0</v>
      </c>
      <c r="K19" s="116">
        <f>'Fat2'!L5</f>
        <v>0</v>
      </c>
      <c r="L19" s="116">
        <f>'Fat2'!M5</f>
        <v>0</v>
      </c>
      <c r="M19" s="116">
        <f>'Fat2'!N5</f>
        <v>0</v>
      </c>
      <c r="N19" s="116">
        <f>'Fat2'!O5</f>
        <v>0</v>
      </c>
      <c r="O19" s="119">
        <f>SUM(C19:N19)</f>
        <v>0</v>
      </c>
      <c r="Q19" s="113" t="str">
        <f>Base!C17</f>
        <v/>
      </c>
      <c r="R19" s="84">
        <f>IFERROR(Base!D17*$Q19,0)</f>
        <v>0</v>
      </c>
      <c r="S19" s="84">
        <f>IFERROR(Base!E17*$Q19,0)</f>
        <v>0</v>
      </c>
      <c r="T19" s="84">
        <f>IFERROR(Base!F17*$Q19,0)</f>
        <v>0</v>
      </c>
      <c r="U19" s="84">
        <f>IFERROR(Base!G17*$Q19,0)</f>
        <v>0</v>
      </c>
      <c r="V19" s="84">
        <f>IFERROR(Base!H17*$Q19,0)</f>
        <v>0</v>
      </c>
      <c r="W19" s="84">
        <f>IFERROR(Base!I17*$Q19,0)</f>
        <v>0</v>
      </c>
      <c r="X19" s="84">
        <f>IFERROR(Base!J17*$Q19,0)</f>
        <v>0</v>
      </c>
      <c r="Y19" s="84">
        <f>IFERROR(Base!K17*$Q19,0)</f>
        <v>0</v>
      </c>
      <c r="Z19" s="84">
        <f>IFERROR(Base!L17*$Q19,0)</f>
        <v>0</v>
      </c>
      <c r="AA19" s="84">
        <f>IFERROR(Base!M17*$Q19,0)</f>
        <v>0</v>
      </c>
      <c r="AB19" s="84">
        <f>IFERROR(Base!N17*$Q19,0)</f>
        <v>0</v>
      </c>
      <c r="AC19" s="84">
        <f>IFERROR(Base!O17*$Q19,0)</f>
        <v>0</v>
      </c>
      <c r="AD19" s="114">
        <f t="shared" si="2"/>
        <v>0</v>
      </c>
    </row>
    <row r="20" spans="1:30" ht="20.100000000000001" customHeight="1" x14ac:dyDescent="0.25">
      <c r="B20" s="19" t="s">
        <v>103</v>
      </c>
      <c r="C20" s="116">
        <f>'Fat2'!D6</f>
        <v>0</v>
      </c>
      <c r="D20" s="116">
        <f>'Fat2'!E6</f>
        <v>0</v>
      </c>
      <c r="E20" s="116">
        <f>'Fat2'!F6</f>
        <v>0</v>
      </c>
      <c r="F20" s="116">
        <f>'Fat2'!G6</f>
        <v>0</v>
      </c>
      <c r="G20" s="116">
        <f>'Fat2'!H6</f>
        <v>0</v>
      </c>
      <c r="H20" s="116">
        <f>'Fat2'!I6</f>
        <v>0</v>
      </c>
      <c r="I20" s="116">
        <f>'Fat2'!J6</f>
        <v>0</v>
      </c>
      <c r="J20" s="116">
        <f>'Fat2'!K6</f>
        <v>0</v>
      </c>
      <c r="K20" s="116">
        <f>'Fat2'!L6</f>
        <v>0</v>
      </c>
      <c r="L20" s="116">
        <f>'Fat2'!M6</f>
        <v>0</v>
      </c>
      <c r="M20" s="116">
        <f>'Fat2'!N6</f>
        <v>0</v>
      </c>
      <c r="N20" s="116">
        <f>'Fat2'!O6</f>
        <v>0</v>
      </c>
      <c r="O20" s="119">
        <f>SUM(C20:N20)</f>
        <v>0</v>
      </c>
      <c r="Q20" s="113" t="str">
        <f>Base!C18</f>
        <v/>
      </c>
      <c r="R20" s="84">
        <f>IFERROR(Base!D18*$Q20,0)</f>
        <v>0</v>
      </c>
      <c r="S20" s="84">
        <f>IFERROR(Base!E18*$Q20,0)</f>
        <v>0</v>
      </c>
      <c r="T20" s="84">
        <f>IFERROR(Base!F18*$Q20,0)</f>
        <v>0</v>
      </c>
      <c r="U20" s="84">
        <f>IFERROR(Base!G18*$Q20,0)</f>
        <v>0</v>
      </c>
      <c r="V20" s="84">
        <f>IFERROR(Base!H18*$Q20,0)</f>
        <v>0</v>
      </c>
      <c r="W20" s="84">
        <f>IFERROR(Base!I18*$Q20,0)</f>
        <v>0</v>
      </c>
      <c r="X20" s="84">
        <f>IFERROR(Base!J18*$Q20,0)</f>
        <v>0</v>
      </c>
      <c r="Y20" s="84">
        <f>IFERROR(Base!K18*$Q20,0)</f>
        <v>0</v>
      </c>
      <c r="Z20" s="84">
        <f>IFERROR(Base!L18*$Q20,0)</f>
        <v>0</v>
      </c>
      <c r="AA20" s="84">
        <f>IFERROR(Base!M18*$Q20,0)</f>
        <v>0</v>
      </c>
      <c r="AB20" s="84">
        <f>IFERROR(Base!N18*$Q20,0)</f>
        <v>0</v>
      </c>
      <c r="AC20" s="84">
        <f>IFERROR(Base!O18*$Q20,0)</f>
        <v>0</v>
      </c>
      <c r="AD20" s="114">
        <f t="shared" si="2"/>
        <v>0</v>
      </c>
    </row>
    <row r="21" spans="1:30" ht="20.100000000000001" customHeight="1" x14ac:dyDescent="0.25">
      <c r="B21" s="19" t="s">
        <v>104</v>
      </c>
      <c r="C21" s="116">
        <f>'Fat2'!D7</f>
        <v>0</v>
      </c>
      <c r="D21" s="116">
        <f>'Fat2'!E7</f>
        <v>0</v>
      </c>
      <c r="E21" s="116">
        <f>'Fat2'!F7</f>
        <v>0</v>
      </c>
      <c r="F21" s="116">
        <f>'Fat2'!G7</f>
        <v>0</v>
      </c>
      <c r="G21" s="116">
        <f>'Fat2'!H7</f>
        <v>0</v>
      </c>
      <c r="H21" s="116">
        <f>'Fat2'!I7</f>
        <v>0</v>
      </c>
      <c r="I21" s="116">
        <f>'Fat2'!J7</f>
        <v>0</v>
      </c>
      <c r="J21" s="116">
        <f>'Fat2'!K7</f>
        <v>0</v>
      </c>
      <c r="K21" s="116">
        <f>'Fat2'!L7</f>
        <v>0</v>
      </c>
      <c r="L21" s="116">
        <f>'Fat2'!M7</f>
        <v>0</v>
      </c>
      <c r="M21" s="116">
        <f>'Fat2'!N7</f>
        <v>0</v>
      </c>
      <c r="N21" s="116">
        <f>'Fat2'!O7</f>
        <v>0</v>
      </c>
      <c r="O21" s="119">
        <f>SUM(C21:N21)</f>
        <v>0</v>
      </c>
      <c r="Q21" s="113" t="str">
        <f>Base!C19</f>
        <v/>
      </c>
      <c r="R21" s="84">
        <f>IFERROR(Base!D19*$Q21,0)</f>
        <v>0</v>
      </c>
      <c r="S21" s="84">
        <f>IFERROR(Base!E19*$Q21,0)</f>
        <v>0</v>
      </c>
      <c r="T21" s="84">
        <f>IFERROR(Base!F19*$Q21,0)</f>
        <v>0</v>
      </c>
      <c r="U21" s="84">
        <f>IFERROR(Base!G19*$Q21,0)</f>
        <v>0</v>
      </c>
      <c r="V21" s="84">
        <f>IFERROR(Base!H19*$Q21,0)</f>
        <v>0</v>
      </c>
      <c r="W21" s="84">
        <f>IFERROR(Base!I19*$Q21,0)</f>
        <v>0</v>
      </c>
      <c r="X21" s="84">
        <f>IFERROR(Base!J19*$Q21,0)</f>
        <v>0</v>
      </c>
      <c r="Y21" s="84">
        <f>IFERROR(Base!K19*$Q21,0)</f>
        <v>0</v>
      </c>
      <c r="Z21" s="84">
        <f>IFERROR(Base!L19*$Q21,0)</f>
        <v>0</v>
      </c>
      <c r="AA21" s="84">
        <f>IFERROR(Base!M19*$Q21,0)</f>
        <v>0</v>
      </c>
      <c r="AB21" s="84">
        <f>IFERROR(Base!N19*$Q21,0)</f>
        <v>0</v>
      </c>
      <c r="AC21" s="84">
        <f>IFERROR(Base!O19*$Q21,0)</f>
        <v>0</v>
      </c>
      <c r="AD21" s="114">
        <f t="shared" si="2"/>
        <v>0</v>
      </c>
    </row>
    <row r="22" spans="1:30" ht="20.100000000000001" customHeight="1" x14ac:dyDescent="0.25">
      <c r="B22" s="118" t="s">
        <v>99</v>
      </c>
      <c r="C22" s="119">
        <f t="shared" ref="C22:N22" si="10">SUM(C19:C21)</f>
        <v>0</v>
      </c>
      <c r="D22" s="119">
        <f t="shared" si="10"/>
        <v>0</v>
      </c>
      <c r="E22" s="119">
        <f t="shared" si="10"/>
        <v>0</v>
      </c>
      <c r="F22" s="119">
        <f t="shared" si="10"/>
        <v>0</v>
      </c>
      <c r="G22" s="119">
        <f t="shared" si="10"/>
        <v>0</v>
      </c>
      <c r="H22" s="119">
        <f t="shared" si="10"/>
        <v>0</v>
      </c>
      <c r="I22" s="119">
        <f t="shared" si="10"/>
        <v>0</v>
      </c>
      <c r="J22" s="119">
        <f t="shared" si="10"/>
        <v>0</v>
      </c>
      <c r="K22" s="119">
        <f t="shared" si="10"/>
        <v>0</v>
      </c>
      <c r="L22" s="119">
        <f t="shared" si="10"/>
        <v>0</v>
      </c>
      <c r="M22" s="119">
        <f t="shared" si="10"/>
        <v>0</v>
      </c>
      <c r="N22" s="119">
        <f t="shared" si="10"/>
        <v>0</v>
      </c>
      <c r="O22" s="119">
        <f>SUM(C22:N22)</f>
        <v>0</v>
      </c>
      <c r="Q22" s="113" t="str">
        <f>Base!C20</f>
        <v/>
      </c>
      <c r="R22" s="84">
        <f>IFERROR(Base!D20*$Q22,0)</f>
        <v>0</v>
      </c>
      <c r="S22" s="84">
        <f>IFERROR(Base!E20*$Q22,0)</f>
        <v>0</v>
      </c>
      <c r="T22" s="84">
        <f>IFERROR(Base!F20*$Q22,0)</f>
        <v>0</v>
      </c>
      <c r="U22" s="84">
        <f>IFERROR(Base!G20*$Q22,0)</f>
        <v>0</v>
      </c>
      <c r="V22" s="84">
        <f>IFERROR(Base!H20*$Q22,0)</f>
        <v>0</v>
      </c>
      <c r="W22" s="84">
        <f>IFERROR(Base!I20*$Q22,0)</f>
        <v>0</v>
      </c>
      <c r="X22" s="84">
        <f>IFERROR(Base!J20*$Q22,0)</f>
        <v>0</v>
      </c>
      <c r="Y22" s="84">
        <f>IFERROR(Base!K20*$Q22,0)</f>
        <v>0</v>
      </c>
      <c r="Z22" s="84">
        <f>IFERROR(Base!L20*$Q22,0)</f>
        <v>0</v>
      </c>
      <c r="AA22" s="84">
        <f>IFERROR(Base!M20*$Q22,0)</f>
        <v>0</v>
      </c>
      <c r="AB22" s="84">
        <f>IFERROR(Base!N20*$Q22,0)</f>
        <v>0</v>
      </c>
      <c r="AC22" s="84">
        <f>IFERROR(Base!O20*$Q22,0)</f>
        <v>0</v>
      </c>
      <c r="AD22" s="114">
        <f t="shared" si="2"/>
        <v>0</v>
      </c>
    </row>
    <row r="23" spans="1:30" ht="20.100000000000001" customHeight="1" x14ac:dyDescent="0.25">
      <c r="Q23" s="115" t="s">
        <v>99</v>
      </c>
      <c r="R23" s="114">
        <f t="shared" ref="R23:AC23" si="11">SUM(R10:R22)</f>
        <v>0</v>
      </c>
      <c r="S23" s="114">
        <f t="shared" si="11"/>
        <v>0</v>
      </c>
      <c r="T23" s="114">
        <f t="shared" si="11"/>
        <v>0</v>
      </c>
      <c r="U23" s="114">
        <f t="shared" si="11"/>
        <v>0</v>
      </c>
      <c r="V23" s="114">
        <f t="shared" si="11"/>
        <v>0</v>
      </c>
      <c r="W23" s="114">
        <f t="shared" si="11"/>
        <v>0</v>
      </c>
      <c r="X23" s="114">
        <f t="shared" si="11"/>
        <v>0</v>
      </c>
      <c r="Y23" s="114">
        <f t="shared" si="11"/>
        <v>0</v>
      </c>
      <c r="Z23" s="114">
        <f t="shared" si="11"/>
        <v>0</v>
      </c>
      <c r="AA23" s="114">
        <f t="shared" si="11"/>
        <v>0</v>
      </c>
      <c r="AB23" s="114">
        <f t="shared" si="11"/>
        <v>0</v>
      </c>
      <c r="AC23" s="114">
        <f t="shared" si="11"/>
        <v>0</v>
      </c>
      <c r="AD23" s="114">
        <f>SUM(R23:AC23)</f>
        <v>0</v>
      </c>
    </row>
    <row r="24" spans="1:30" ht="20.100000000000001" customHeight="1" x14ac:dyDescent="0.25">
      <c r="A24" s="124"/>
      <c r="B24" s="112" t="s">
        <v>82</v>
      </c>
      <c r="C24" s="112" t="s">
        <v>83</v>
      </c>
      <c r="D24" s="112" t="s">
        <v>84</v>
      </c>
      <c r="E24" s="112" t="s">
        <v>85</v>
      </c>
      <c r="F24" s="112" t="s">
        <v>86</v>
      </c>
      <c r="G24" s="112" t="s">
        <v>87</v>
      </c>
      <c r="H24" s="112" t="s">
        <v>88</v>
      </c>
      <c r="I24" s="112" t="s">
        <v>89</v>
      </c>
      <c r="J24" s="112" t="s">
        <v>90</v>
      </c>
      <c r="K24" s="112" t="s">
        <v>91</v>
      </c>
      <c r="L24" s="112" t="s">
        <v>92</v>
      </c>
      <c r="M24" s="112" t="s">
        <v>93</v>
      </c>
      <c r="N24" s="112" t="s">
        <v>94</v>
      </c>
      <c r="O24" s="112" t="s">
        <v>95</v>
      </c>
      <c r="Q24" s="117" t="s">
        <v>38</v>
      </c>
    </row>
    <row r="25" spans="1:30" ht="20.100000000000001" customHeight="1" x14ac:dyDescent="0.25">
      <c r="A25" s="123"/>
      <c r="B25" s="121" t="s">
        <v>97</v>
      </c>
      <c r="C25" s="122">
        <v>0</v>
      </c>
      <c r="D25" s="122">
        <v>0</v>
      </c>
      <c r="E25" s="122">
        <v>0</v>
      </c>
      <c r="F25" s="122">
        <v>0</v>
      </c>
      <c r="G25" s="122">
        <v>0</v>
      </c>
      <c r="H25" s="122">
        <v>0</v>
      </c>
      <c r="I25" s="122">
        <v>0</v>
      </c>
      <c r="J25" s="122">
        <v>0</v>
      </c>
      <c r="K25" s="122">
        <v>0</v>
      </c>
      <c r="L25" s="122">
        <v>0</v>
      </c>
      <c r="M25" s="122">
        <v>0</v>
      </c>
      <c r="N25" s="122">
        <v>0</v>
      </c>
      <c r="O25" s="114">
        <f t="shared" ref="O25:O30" si="12">SUM(C25:N25)</f>
        <v>0</v>
      </c>
      <c r="Q25" s="112" t="s">
        <v>82</v>
      </c>
      <c r="R25" s="112" t="s">
        <v>83</v>
      </c>
      <c r="S25" s="112" t="s">
        <v>84</v>
      </c>
      <c r="T25" s="112" t="s">
        <v>85</v>
      </c>
      <c r="U25" s="112" t="s">
        <v>86</v>
      </c>
      <c r="V25" s="112" t="s">
        <v>87</v>
      </c>
      <c r="W25" s="112" t="s">
        <v>88</v>
      </c>
      <c r="X25" s="112" t="s">
        <v>89</v>
      </c>
      <c r="Y25" s="112" t="s">
        <v>90</v>
      </c>
      <c r="Z25" s="112" t="s">
        <v>91</v>
      </c>
      <c r="AA25" s="112" t="s">
        <v>92</v>
      </c>
      <c r="AB25" s="112" t="s">
        <v>93</v>
      </c>
      <c r="AC25" s="112" t="s">
        <v>94</v>
      </c>
      <c r="AD25" s="112" t="s">
        <v>95</v>
      </c>
    </row>
    <row r="26" spans="1:30" ht="20.100000000000001" customHeight="1" x14ac:dyDescent="0.25">
      <c r="A26" s="123"/>
      <c r="B26" s="121" t="s">
        <v>98</v>
      </c>
      <c r="C26" s="122">
        <v>0</v>
      </c>
      <c r="D26" s="122">
        <v>0</v>
      </c>
      <c r="E26" s="122">
        <v>0</v>
      </c>
      <c r="F26" s="122">
        <v>0</v>
      </c>
      <c r="G26" s="122">
        <v>0</v>
      </c>
      <c r="H26" s="122">
        <v>0</v>
      </c>
      <c r="I26" s="122">
        <v>0</v>
      </c>
      <c r="J26" s="122">
        <v>0</v>
      </c>
      <c r="K26" s="122">
        <v>0</v>
      </c>
      <c r="L26" s="122">
        <v>0</v>
      </c>
      <c r="M26" s="122">
        <v>0</v>
      </c>
      <c r="N26" s="122">
        <v>0</v>
      </c>
      <c r="O26" s="114">
        <f t="shared" si="12"/>
        <v>0</v>
      </c>
      <c r="Q26" s="113">
        <f>Base!C24</f>
        <v>0</v>
      </c>
      <c r="R26" s="84">
        <f>IFERROR(Base!D24*$Q26,0)</f>
        <v>0</v>
      </c>
      <c r="S26" s="84">
        <f>IFERROR(Base!E24*$Q26,0)</f>
        <v>0</v>
      </c>
      <c r="T26" s="84">
        <f>IFERROR(Base!F24*$Q26,0)</f>
        <v>0</v>
      </c>
      <c r="U26" s="84">
        <f>IFERROR(Base!G24*$Q26,0)</f>
        <v>0</v>
      </c>
      <c r="V26" s="84">
        <f>IFERROR(Base!H24*$Q26,0)</f>
        <v>0</v>
      </c>
      <c r="W26" s="84">
        <f>IFERROR(Base!I24*$Q26,0)</f>
        <v>0</v>
      </c>
      <c r="X26" s="84">
        <f>IFERROR(Base!J24*$Q26,0)</f>
        <v>0</v>
      </c>
      <c r="Y26" s="84">
        <f>IFERROR(Base!K24*$Q26,0)</f>
        <v>0</v>
      </c>
      <c r="Z26" s="84">
        <f>IFERROR(Base!L24*$Q26,0)</f>
        <v>0</v>
      </c>
      <c r="AA26" s="84">
        <f>IFERROR(Base!M24*$Q26,0)</f>
        <v>0</v>
      </c>
      <c r="AB26" s="84">
        <f>IFERROR(Base!N24*$Q26,0)</f>
        <v>0</v>
      </c>
      <c r="AC26" s="84">
        <f>IFERROR(Base!O24*$Q26,0)</f>
        <v>0</v>
      </c>
      <c r="AD26" s="114">
        <f t="shared" ref="AD26:AD38" si="13">SUM(R26:AC26)</f>
        <v>0</v>
      </c>
    </row>
    <row r="27" spans="1:30" ht="20.100000000000001" customHeight="1" x14ac:dyDescent="0.25">
      <c r="A27" s="123"/>
      <c r="B27" s="130" t="s">
        <v>37</v>
      </c>
      <c r="C27" s="129">
        <f>IFERROR(SUM(C19:C20)*$A$13,0)</f>
        <v>0</v>
      </c>
      <c r="D27" s="129">
        <f>IFERROR(SUM(D19:D20)*$A$13,0)</f>
        <v>0</v>
      </c>
      <c r="E27" s="129">
        <f>IFERROR(SUM(E19:E20)*$A$13,0)</f>
        <v>0</v>
      </c>
      <c r="F27" s="129">
        <f t="shared" ref="F27:N27" si="14">IFERROR(SUM(F19:F20)*$A$13,0)</f>
        <v>0</v>
      </c>
      <c r="G27" s="129">
        <f t="shared" si="14"/>
        <v>0</v>
      </c>
      <c r="H27" s="129">
        <f t="shared" si="14"/>
        <v>0</v>
      </c>
      <c r="I27" s="129">
        <f t="shared" si="14"/>
        <v>0</v>
      </c>
      <c r="J27" s="129">
        <f t="shared" si="14"/>
        <v>0</v>
      </c>
      <c r="K27" s="129">
        <f t="shared" si="14"/>
        <v>0</v>
      </c>
      <c r="L27" s="129">
        <f t="shared" si="14"/>
        <v>0</v>
      </c>
      <c r="M27" s="129">
        <f t="shared" si="14"/>
        <v>0</v>
      </c>
      <c r="N27" s="129">
        <f t="shared" si="14"/>
        <v>0</v>
      </c>
      <c r="O27" s="131">
        <f t="shared" si="12"/>
        <v>0</v>
      </c>
      <c r="Q27" s="113">
        <f>Base!C25</f>
        <v>0.01</v>
      </c>
      <c r="R27" s="84">
        <f>IFERROR(Base!D25*$Q27,0)</f>
        <v>0</v>
      </c>
      <c r="S27" s="84">
        <f>IFERROR(Base!E25*$Q27,0)</f>
        <v>0</v>
      </c>
      <c r="T27" s="84">
        <f>IFERROR(Base!F25*$Q27,0)</f>
        <v>0</v>
      </c>
      <c r="U27" s="84">
        <f>IFERROR(Base!G25*$Q27,0)</f>
        <v>0</v>
      </c>
      <c r="V27" s="84">
        <f>IFERROR(Base!H25*$Q27,0)</f>
        <v>0</v>
      </c>
      <c r="W27" s="84">
        <f>IFERROR(Base!I25*$Q27,0)</f>
        <v>0</v>
      </c>
      <c r="X27" s="84">
        <f>IFERROR(Base!J25*$Q27,0)</f>
        <v>0</v>
      </c>
      <c r="Y27" s="84">
        <f>IFERROR(Base!K25*$Q27,0)</f>
        <v>0</v>
      </c>
      <c r="Z27" s="84">
        <f>IFERROR(Base!L25*$Q27,0)</f>
        <v>0</v>
      </c>
      <c r="AA27" s="84">
        <f>IFERROR(Base!M25*$Q27,0)</f>
        <v>0</v>
      </c>
      <c r="AB27" s="84">
        <f>IFERROR(Base!N25*$Q27,0)</f>
        <v>0</v>
      </c>
      <c r="AC27" s="84">
        <f>IFERROR(Base!O25*$Q27,0)</f>
        <v>0</v>
      </c>
      <c r="AD27" s="114">
        <f t="shared" si="13"/>
        <v>0</v>
      </c>
    </row>
    <row r="28" spans="1:30" ht="20.100000000000001" customHeight="1" x14ac:dyDescent="0.25">
      <c r="A28" s="123"/>
      <c r="B28" s="130" t="s">
        <v>38</v>
      </c>
      <c r="C28" s="129">
        <f>IFERROR(C19*$A$14,0)</f>
        <v>0</v>
      </c>
      <c r="D28" s="129">
        <f t="shared" ref="D28:N28" si="15">IFERROR(D19*$A$14,0)</f>
        <v>0</v>
      </c>
      <c r="E28" s="129">
        <f t="shared" si="15"/>
        <v>0</v>
      </c>
      <c r="F28" s="129">
        <f t="shared" si="15"/>
        <v>0</v>
      </c>
      <c r="G28" s="129">
        <f t="shared" si="15"/>
        <v>0</v>
      </c>
      <c r="H28" s="129">
        <f t="shared" si="15"/>
        <v>0</v>
      </c>
      <c r="I28" s="129">
        <f t="shared" si="15"/>
        <v>0</v>
      </c>
      <c r="J28" s="129">
        <f t="shared" si="15"/>
        <v>0</v>
      </c>
      <c r="K28" s="129">
        <f t="shared" si="15"/>
        <v>0</v>
      </c>
      <c r="L28" s="129">
        <f t="shared" si="15"/>
        <v>0</v>
      </c>
      <c r="M28" s="129">
        <f t="shared" si="15"/>
        <v>0</v>
      </c>
      <c r="N28" s="129">
        <f t="shared" si="15"/>
        <v>0</v>
      </c>
      <c r="O28" s="131">
        <f t="shared" si="12"/>
        <v>0</v>
      </c>
      <c r="Q28" s="113">
        <f>Base!C26</f>
        <v>0.02</v>
      </c>
      <c r="R28" s="84">
        <f>IFERROR(Base!D26*$Q28,0)</f>
        <v>0</v>
      </c>
      <c r="S28" s="84">
        <f>IFERROR(Base!E26*$Q28,0)</f>
        <v>0</v>
      </c>
      <c r="T28" s="84">
        <f>IFERROR(Base!F26*$Q28,0)</f>
        <v>0</v>
      </c>
      <c r="U28" s="84">
        <f>IFERROR(Base!G26*$Q28,0)</f>
        <v>0</v>
      </c>
      <c r="V28" s="84">
        <f>IFERROR(Base!H26*$Q28,0)</f>
        <v>0</v>
      </c>
      <c r="W28" s="84">
        <f>IFERROR(Base!I26*$Q28,0)</f>
        <v>0</v>
      </c>
      <c r="X28" s="84">
        <f>IFERROR(Base!J26*$Q28,0)</f>
        <v>0</v>
      </c>
      <c r="Y28" s="84">
        <f>IFERROR(Base!K26*$Q28,0)</f>
        <v>0</v>
      </c>
      <c r="Z28" s="84">
        <f>IFERROR(Base!L26*$Q28,0)</f>
        <v>0</v>
      </c>
      <c r="AA28" s="84">
        <f>IFERROR(Base!M26*$Q28,0)</f>
        <v>0</v>
      </c>
      <c r="AB28" s="84">
        <f>IFERROR(Base!N26*$Q28,0)</f>
        <v>0</v>
      </c>
      <c r="AC28" s="84">
        <f>IFERROR(Base!O26*$Q28,0)</f>
        <v>0</v>
      </c>
      <c r="AD28" s="114">
        <f t="shared" si="13"/>
        <v>0</v>
      </c>
    </row>
    <row r="29" spans="1:30" ht="20.100000000000001" customHeight="1" x14ac:dyDescent="0.25">
      <c r="A29" s="123"/>
      <c r="B29" s="130" t="s">
        <v>39</v>
      </c>
      <c r="C29" s="129">
        <f>IFERROR(C21*$A$15,0)</f>
        <v>0</v>
      </c>
      <c r="D29" s="129">
        <f t="shared" ref="D29:N29" si="16">IFERROR(D21*$A$15,0)</f>
        <v>0</v>
      </c>
      <c r="E29" s="129">
        <f t="shared" si="16"/>
        <v>0</v>
      </c>
      <c r="F29" s="129">
        <f t="shared" si="16"/>
        <v>0</v>
      </c>
      <c r="G29" s="129">
        <f t="shared" si="16"/>
        <v>0</v>
      </c>
      <c r="H29" s="129">
        <f t="shared" si="16"/>
        <v>0</v>
      </c>
      <c r="I29" s="129">
        <f t="shared" si="16"/>
        <v>0</v>
      </c>
      <c r="J29" s="129">
        <f t="shared" si="16"/>
        <v>0</v>
      </c>
      <c r="K29" s="129">
        <f t="shared" si="16"/>
        <v>0</v>
      </c>
      <c r="L29" s="129">
        <f t="shared" si="16"/>
        <v>0</v>
      </c>
      <c r="M29" s="129">
        <f t="shared" si="16"/>
        <v>0</v>
      </c>
      <c r="N29" s="129">
        <f t="shared" si="16"/>
        <v>0</v>
      </c>
      <c r="O29" s="131">
        <f t="shared" si="12"/>
        <v>0</v>
      </c>
      <c r="Q29" s="113">
        <f>Base!C27</f>
        <v>0.03</v>
      </c>
      <c r="R29" s="84">
        <f>IFERROR(Base!D27*$Q29,0)</f>
        <v>0</v>
      </c>
      <c r="S29" s="84">
        <f>IFERROR(Base!E27*$Q29,0)</f>
        <v>0</v>
      </c>
      <c r="T29" s="84">
        <f>IFERROR(Base!F27*$Q29,0)</f>
        <v>0</v>
      </c>
      <c r="U29" s="84">
        <f>IFERROR(Base!G27*$Q29,0)</f>
        <v>0</v>
      </c>
      <c r="V29" s="84">
        <f>IFERROR(Base!H27*$Q29,0)</f>
        <v>0</v>
      </c>
      <c r="W29" s="84">
        <f>IFERROR(Base!I27*$Q29,0)</f>
        <v>0</v>
      </c>
      <c r="X29" s="84">
        <f>IFERROR(Base!J27*$Q29,0)</f>
        <v>0</v>
      </c>
      <c r="Y29" s="84">
        <f>IFERROR(Base!K27*$Q29,0)</f>
        <v>0</v>
      </c>
      <c r="Z29" s="84">
        <f>IFERROR(Base!L27*$Q29,0)</f>
        <v>0</v>
      </c>
      <c r="AA29" s="84">
        <f>IFERROR(Base!M27*$Q29,0)</f>
        <v>0</v>
      </c>
      <c r="AB29" s="84">
        <f>IFERROR(Base!N27*$Q29,0)</f>
        <v>0</v>
      </c>
      <c r="AC29" s="84">
        <f>IFERROR(Base!O27*$Q29,0)</f>
        <v>0</v>
      </c>
      <c r="AD29" s="114">
        <f t="shared" si="13"/>
        <v>0</v>
      </c>
    </row>
    <row r="30" spans="1:30" ht="20.100000000000001" customHeight="1" x14ac:dyDescent="0.25">
      <c r="A30" s="123"/>
      <c r="B30" s="115" t="s">
        <v>99</v>
      </c>
      <c r="C30" s="114">
        <f>SUM(C25:C29)</f>
        <v>0</v>
      </c>
      <c r="D30" s="114">
        <f>SUM(D25:D29)</f>
        <v>0</v>
      </c>
      <c r="E30" s="114">
        <f t="shared" ref="E30:N30" si="17">SUM(E25:E29)</f>
        <v>0</v>
      </c>
      <c r="F30" s="114">
        <f t="shared" si="17"/>
        <v>0</v>
      </c>
      <c r="G30" s="114">
        <f t="shared" si="17"/>
        <v>0</v>
      </c>
      <c r="H30" s="114">
        <f t="shared" si="17"/>
        <v>0</v>
      </c>
      <c r="I30" s="114">
        <f t="shared" si="17"/>
        <v>0</v>
      </c>
      <c r="J30" s="114">
        <f t="shared" si="17"/>
        <v>0</v>
      </c>
      <c r="K30" s="114">
        <f t="shared" si="17"/>
        <v>0</v>
      </c>
      <c r="L30" s="114">
        <f t="shared" si="17"/>
        <v>0</v>
      </c>
      <c r="M30" s="114">
        <f t="shared" si="17"/>
        <v>0</v>
      </c>
      <c r="N30" s="114">
        <f t="shared" si="17"/>
        <v>0</v>
      </c>
      <c r="O30" s="114">
        <f t="shared" si="12"/>
        <v>0</v>
      </c>
      <c r="Q30" s="113">
        <f>Base!C28</f>
        <v>0.04</v>
      </c>
      <c r="R30" s="84">
        <f>IFERROR(Base!D28*$Q30,0)</f>
        <v>0</v>
      </c>
      <c r="S30" s="84">
        <f>IFERROR(Base!E28*$Q30,0)</f>
        <v>0</v>
      </c>
      <c r="T30" s="84">
        <f>IFERROR(Base!F28*$Q30,0)</f>
        <v>0</v>
      </c>
      <c r="U30" s="84">
        <f>IFERROR(Base!G28*$Q30,0)</f>
        <v>0</v>
      </c>
      <c r="V30" s="84">
        <f>IFERROR(Base!H28*$Q30,0)</f>
        <v>0</v>
      </c>
      <c r="W30" s="84">
        <f>IFERROR(Base!I28*$Q30,0)</f>
        <v>0</v>
      </c>
      <c r="X30" s="84">
        <f>IFERROR(Base!J28*$Q30,0)</f>
        <v>0</v>
      </c>
      <c r="Y30" s="84">
        <f>IFERROR(Base!K28*$Q30,0)</f>
        <v>0</v>
      </c>
      <c r="Z30" s="84">
        <f>IFERROR(Base!L28*$Q30,0)</f>
        <v>0</v>
      </c>
      <c r="AA30" s="84">
        <f>IFERROR(Base!M28*$Q30,0)</f>
        <v>0</v>
      </c>
      <c r="AB30" s="84">
        <f>IFERROR(Base!N28*$Q30,0)</f>
        <v>0</v>
      </c>
      <c r="AC30" s="84">
        <f>IFERROR(Base!O28*$Q30,0)</f>
        <v>0</v>
      </c>
      <c r="AD30" s="114">
        <f t="shared" si="13"/>
        <v>0</v>
      </c>
    </row>
    <row r="31" spans="1:30" ht="20.100000000000001" customHeight="1" x14ac:dyDescent="0.2">
      <c r="B31" s="120" t="s">
        <v>112</v>
      </c>
      <c r="Q31" s="113">
        <f>Base!C29</f>
        <v>0.05</v>
      </c>
      <c r="R31" s="84">
        <f>IFERROR(Base!D29*$Q31,0)</f>
        <v>0</v>
      </c>
      <c r="S31" s="84">
        <f>IFERROR(Base!E29*$Q31,0)</f>
        <v>0</v>
      </c>
      <c r="T31" s="84">
        <f>IFERROR(Base!F29*$Q31,0)</f>
        <v>0</v>
      </c>
      <c r="U31" s="84">
        <f>IFERROR(Base!G29*$Q31,0)</f>
        <v>0</v>
      </c>
      <c r="V31" s="84">
        <f>IFERROR(Base!H29*$Q31,0)</f>
        <v>0</v>
      </c>
      <c r="W31" s="84">
        <f>IFERROR(Base!I29*$Q31,0)</f>
        <v>0</v>
      </c>
      <c r="X31" s="84">
        <f>IFERROR(Base!J29*$Q31,0)</f>
        <v>0</v>
      </c>
      <c r="Y31" s="84">
        <f>IFERROR(Base!K29*$Q31,0)</f>
        <v>0</v>
      </c>
      <c r="Z31" s="84">
        <f>IFERROR(Base!L29*$Q31,0)</f>
        <v>0</v>
      </c>
      <c r="AA31" s="84">
        <f>IFERROR(Base!M29*$Q31,0)</f>
        <v>0</v>
      </c>
      <c r="AB31" s="84">
        <f>IFERROR(Base!N29*$Q31,0)</f>
        <v>0</v>
      </c>
      <c r="AC31" s="84">
        <f>IFERROR(Base!O29*$Q31,0)</f>
        <v>0</v>
      </c>
      <c r="AD31" s="114">
        <f t="shared" si="13"/>
        <v>0</v>
      </c>
    </row>
    <row r="32" spans="1:30" ht="20.100000000000001" customHeight="1" x14ac:dyDescent="0.25">
      <c r="B32" s="112" t="s">
        <v>82</v>
      </c>
      <c r="C32" s="112" t="s">
        <v>83</v>
      </c>
      <c r="D32" s="112" t="s">
        <v>84</v>
      </c>
      <c r="E32" s="112" t="s">
        <v>85</v>
      </c>
      <c r="F32" s="112" t="s">
        <v>86</v>
      </c>
      <c r="G32" s="112" t="s">
        <v>87</v>
      </c>
      <c r="H32" s="112" t="s">
        <v>88</v>
      </c>
      <c r="I32" s="112" t="s">
        <v>89</v>
      </c>
      <c r="J32" s="112" t="s">
        <v>90</v>
      </c>
      <c r="K32" s="112" t="s">
        <v>91</v>
      </c>
      <c r="L32" s="112" t="s">
        <v>92</v>
      </c>
      <c r="M32" s="112" t="s">
        <v>93</v>
      </c>
      <c r="N32" s="112" t="s">
        <v>94</v>
      </c>
      <c r="O32" s="112" t="s">
        <v>95</v>
      </c>
      <c r="Q32" s="113" t="str">
        <f>Base!C30</f>
        <v/>
      </c>
      <c r="R32" s="84">
        <f>IFERROR(Base!D30*$Q32,0)</f>
        <v>0</v>
      </c>
      <c r="S32" s="84">
        <f>IFERROR(Base!E30*$Q32,0)</f>
        <v>0</v>
      </c>
      <c r="T32" s="84">
        <f>IFERROR(Base!F30*$Q32,0)</f>
        <v>0</v>
      </c>
      <c r="U32" s="84">
        <f>IFERROR(Base!G30*$Q32,0)</f>
        <v>0</v>
      </c>
      <c r="V32" s="84">
        <f>IFERROR(Base!H30*$Q32,0)</f>
        <v>0</v>
      </c>
      <c r="W32" s="84">
        <f>IFERROR(Base!I30*$Q32,0)</f>
        <v>0</v>
      </c>
      <c r="X32" s="84">
        <f>IFERROR(Base!J30*$Q32,0)</f>
        <v>0</v>
      </c>
      <c r="Y32" s="84">
        <f>IFERROR(Base!K30*$Q32,0)</f>
        <v>0</v>
      </c>
      <c r="Z32" s="84">
        <f>IFERROR(Base!L30*$Q32,0)</f>
        <v>0</v>
      </c>
      <c r="AA32" s="84">
        <f>IFERROR(Base!M30*$Q32,0)</f>
        <v>0</v>
      </c>
      <c r="AB32" s="84">
        <f>IFERROR(Base!N30*$Q32,0)</f>
        <v>0</v>
      </c>
      <c r="AC32" s="84">
        <f>IFERROR(Base!O30*$Q32,0)</f>
        <v>0</v>
      </c>
      <c r="AD32" s="114">
        <f t="shared" si="13"/>
        <v>0</v>
      </c>
    </row>
    <row r="33" spans="2:30" ht="20.100000000000001" customHeight="1" x14ac:dyDescent="0.25">
      <c r="B33" s="19" t="s">
        <v>102</v>
      </c>
      <c r="C33" s="116">
        <f>'Fat3'!D5</f>
        <v>0</v>
      </c>
      <c r="D33" s="116">
        <f>'Fat3'!E5</f>
        <v>0</v>
      </c>
      <c r="E33" s="116">
        <f>'Fat3'!F5</f>
        <v>0</v>
      </c>
      <c r="F33" s="116">
        <f>'Fat3'!G5</f>
        <v>0</v>
      </c>
      <c r="G33" s="116">
        <f>'Fat3'!H5</f>
        <v>0</v>
      </c>
      <c r="H33" s="116">
        <f>'Fat3'!I5</f>
        <v>0</v>
      </c>
      <c r="I33" s="116">
        <f>'Fat3'!J5</f>
        <v>0</v>
      </c>
      <c r="J33" s="116">
        <f>'Fat3'!K5</f>
        <v>0</v>
      </c>
      <c r="K33" s="116">
        <f>'Fat3'!L5</f>
        <v>0</v>
      </c>
      <c r="L33" s="116">
        <f>'Fat3'!M5</f>
        <v>0</v>
      </c>
      <c r="M33" s="116">
        <f>'Fat3'!N5</f>
        <v>0</v>
      </c>
      <c r="N33" s="116">
        <f>'Fat3'!O5</f>
        <v>0</v>
      </c>
      <c r="O33" s="119">
        <f>SUM(C33:N33)</f>
        <v>0</v>
      </c>
      <c r="Q33" s="113" t="str">
        <f>Base!C31</f>
        <v/>
      </c>
      <c r="R33" s="84">
        <f>IFERROR(Base!D31*$Q33,0)</f>
        <v>0</v>
      </c>
      <c r="S33" s="84">
        <f>IFERROR(Base!E31*$Q33,0)</f>
        <v>0</v>
      </c>
      <c r="T33" s="84">
        <f>IFERROR(Base!F31*$Q33,0)</f>
        <v>0</v>
      </c>
      <c r="U33" s="84">
        <f>IFERROR(Base!G31*$Q33,0)</f>
        <v>0</v>
      </c>
      <c r="V33" s="84">
        <f>IFERROR(Base!H31*$Q33,0)</f>
        <v>0</v>
      </c>
      <c r="W33" s="84">
        <f>IFERROR(Base!I31*$Q33,0)</f>
        <v>0</v>
      </c>
      <c r="X33" s="84">
        <f>IFERROR(Base!J31*$Q33,0)</f>
        <v>0</v>
      </c>
      <c r="Y33" s="84">
        <f>IFERROR(Base!K31*$Q33,0)</f>
        <v>0</v>
      </c>
      <c r="Z33" s="84">
        <f>IFERROR(Base!L31*$Q33,0)</f>
        <v>0</v>
      </c>
      <c r="AA33" s="84">
        <f>IFERROR(Base!M31*$Q33,0)</f>
        <v>0</v>
      </c>
      <c r="AB33" s="84">
        <f>IFERROR(Base!N31*$Q33,0)</f>
        <v>0</v>
      </c>
      <c r="AC33" s="84">
        <f>IFERROR(Base!O31*$Q33,0)</f>
        <v>0</v>
      </c>
      <c r="AD33" s="114">
        <f t="shared" si="13"/>
        <v>0</v>
      </c>
    </row>
    <row r="34" spans="2:30" ht="20.100000000000001" customHeight="1" x14ac:dyDescent="0.25">
      <c r="B34" s="19" t="s">
        <v>103</v>
      </c>
      <c r="C34" s="116">
        <f>'Fat3'!D6</f>
        <v>0</v>
      </c>
      <c r="D34" s="116">
        <f>'Fat3'!E6</f>
        <v>0</v>
      </c>
      <c r="E34" s="116">
        <f>'Fat3'!F6</f>
        <v>0</v>
      </c>
      <c r="F34" s="116">
        <f>'Fat3'!G6</f>
        <v>0</v>
      </c>
      <c r="G34" s="116">
        <f>'Fat3'!H6</f>
        <v>0</v>
      </c>
      <c r="H34" s="116">
        <f>'Fat3'!I6</f>
        <v>0</v>
      </c>
      <c r="I34" s="116">
        <f>'Fat3'!J6</f>
        <v>0</v>
      </c>
      <c r="J34" s="116">
        <f>'Fat3'!K6</f>
        <v>0</v>
      </c>
      <c r="K34" s="116">
        <f>'Fat3'!L6</f>
        <v>0</v>
      </c>
      <c r="L34" s="116">
        <f>'Fat3'!M6</f>
        <v>0</v>
      </c>
      <c r="M34" s="116">
        <f>'Fat3'!N6</f>
        <v>0</v>
      </c>
      <c r="N34" s="116">
        <f>'Fat3'!O6</f>
        <v>0</v>
      </c>
      <c r="O34" s="119">
        <f>SUM(C34:N34)</f>
        <v>0</v>
      </c>
      <c r="Q34" s="113" t="str">
        <f>Base!C32</f>
        <v/>
      </c>
      <c r="R34" s="84">
        <f>IFERROR(Base!D32*$Q34,0)</f>
        <v>0</v>
      </c>
      <c r="S34" s="84">
        <f>IFERROR(Base!E32*$Q34,0)</f>
        <v>0</v>
      </c>
      <c r="T34" s="84">
        <f>IFERROR(Base!F32*$Q34,0)</f>
        <v>0</v>
      </c>
      <c r="U34" s="84">
        <f>IFERROR(Base!G32*$Q34,0)</f>
        <v>0</v>
      </c>
      <c r="V34" s="84">
        <f>IFERROR(Base!H32*$Q34,0)</f>
        <v>0</v>
      </c>
      <c r="W34" s="84">
        <f>IFERROR(Base!I32*$Q34,0)</f>
        <v>0</v>
      </c>
      <c r="X34" s="84">
        <f>IFERROR(Base!J32*$Q34,0)</f>
        <v>0</v>
      </c>
      <c r="Y34" s="84">
        <f>IFERROR(Base!K32*$Q34,0)</f>
        <v>0</v>
      </c>
      <c r="Z34" s="84">
        <f>IFERROR(Base!L32*$Q34,0)</f>
        <v>0</v>
      </c>
      <c r="AA34" s="84">
        <f>IFERROR(Base!M32*$Q34,0)</f>
        <v>0</v>
      </c>
      <c r="AB34" s="84">
        <f>IFERROR(Base!N32*$Q34,0)</f>
        <v>0</v>
      </c>
      <c r="AC34" s="84">
        <f>IFERROR(Base!O32*$Q34,0)</f>
        <v>0</v>
      </c>
      <c r="AD34" s="114">
        <f t="shared" si="13"/>
        <v>0</v>
      </c>
    </row>
    <row r="35" spans="2:30" ht="20.100000000000001" customHeight="1" x14ac:dyDescent="0.25">
      <c r="B35" s="19" t="s">
        <v>104</v>
      </c>
      <c r="C35" s="116">
        <f>'Fat3'!D7</f>
        <v>0</v>
      </c>
      <c r="D35" s="116">
        <f>'Fat3'!E7</f>
        <v>0</v>
      </c>
      <c r="E35" s="116">
        <f>'Fat3'!F7</f>
        <v>0</v>
      </c>
      <c r="F35" s="116">
        <f>'Fat3'!G7</f>
        <v>0</v>
      </c>
      <c r="G35" s="116">
        <f>'Fat3'!H7</f>
        <v>0</v>
      </c>
      <c r="H35" s="116">
        <f>'Fat3'!I7</f>
        <v>0</v>
      </c>
      <c r="I35" s="116">
        <f>'Fat3'!J7</f>
        <v>0</v>
      </c>
      <c r="J35" s="116">
        <f>'Fat3'!K7</f>
        <v>0</v>
      </c>
      <c r="K35" s="116">
        <f>'Fat3'!L7</f>
        <v>0</v>
      </c>
      <c r="L35" s="116">
        <f>'Fat3'!M7</f>
        <v>0</v>
      </c>
      <c r="M35" s="116">
        <f>'Fat3'!N7</f>
        <v>0</v>
      </c>
      <c r="N35" s="116">
        <f>'Fat3'!O7</f>
        <v>0</v>
      </c>
      <c r="O35" s="119">
        <f>SUM(C35:N35)</f>
        <v>0</v>
      </c>
      <c r="Q35" s="113" t="str">
        <f>Base!C33</f>
        <v/>
      </c>
      <c r="R35" s="84">
        <f>IFERROR(Base!D33*$Q35,0)</f>
        <v>0</v>
      </c>
      <c r="S35" s="84">
        <f>IFERROR(Base!E33*$Q35,0)</f>
        <v>0</v>
      </c>
      <c r="T35" s="84">
        <f>IFERROR(Base!F33*$Q35,0)</f>
        <v>0</v>
      </c>
      <c r="U35" s="84">
        <f>IFERROR(Base!G33*$Q35,0)</f>
        <v>0</v>
      </c>
      <c r="V35" s="84">
        <f>IFERROR(Base!H33*$Q35,0)</f>
        <v>0</v>
      </c>
      <c r="W35" s="84">
        <f>IFERROR(Base!I33*$Q35,0)</f>
        <v>0</v>
      </c>
      <c r="X35" s="84">
        <f>IFERROR(Base!J33*$Q35,0)</f>
        <v>0</v>
      </c>
      <c r="Y35" s="84">
        <f>IFERROR(Base!K33*$Q35,0)</f>
        <v>0</v>
      </c>
      <c r="Z35" s="84">
        <f>IFERROR(Base!L33*$Q35,0)</f>
        <v>0</v>
      </c>
      <c r="AA35" s="84">
        <f>IFERROR(Base!M33*$Q35,0)</f>
        <v>0</v>
      </c>
      <c r="AB35" s="84">
        <f>IFERROR(Base!N33*$Q35,0)</f>
        <v>0</v>
      </c>
      <c r="AC35" s="84">
        <f>IFERROR(Base!O33*$Q35,0)</f>
        <v>0</v>
      </c>
      <c r="AD35" s="114">
        <f t="shared" si="13"/>
        <v>0</v>
      </c>
    </row>
    <row r="36" spans="2:30" ht="20.100000000000001" customHeight="1" x14ac:dyDescent="0.25">
      <c r="B36" s="118" t="s">
        <v>99</v>
      </c>
      <c r="C36" s="119">
        <f t="shared" ref="C36:N36" si="18">SUM(C33:C35)</f>
        <v>0</v>
      </c>
      <c r="D36" s="119">
        <f t="shared" si="18"/>
        <v>0</v>
      </c>
      <c r="E36" s="119">
        <f t="shared" si="18"/>
        <v>0</v>
      </c>
      <c r="F36" s="119">
        <f t="shared" si="18"/>
        <v>0</v>
      </c>
      <c r="G36" s="119">
        <f t="shared" si="18"/>
        <v>0</v>
      </c>
      <c r="H36" s="119">
        <f t="shared" si="18"/>
        <v>0</v>
      </c>
      <c r="I36" s="119">
        <f t="shared" si="18"/>
        <v>0</v>
      </c>
      <c r="J36" s="119">
        <f t="shared" si="18"/>
        <v>0</v>
      </c>
      <c r="K36" s="119">
        <f t="shared" si="18"/>
        <v>0</v>
      </c>
      <c r="L36" s="119">
        <f t="shared" si="18"/>
        <v>0</v>
      </c>
      <c r="M36" s="119">
        <f t="shared" si="18"/>
        <v>0</v>
      </c>
      <c r="N36" s="119">
        <f t="shared" si="18"/>
        <v>0</v>
      </c>
      <c r="O36" s="119">
        <f>SUM(C36:N36)</f>
        <v>0</v>
      </c>
      <c r="Q36" s="113" t="str">
        <f>Base!C34</f>
        <v/>
      </c>
      <c r="R36" s="84">
        <f>IFERROR(Base!D34*$Q36,0)</f>
        <v>0</v>
      </c>
      <c r="S36" s="84">
        <f>IFERROR(Base!E34*$Q36,0)</f>
        <v>0</v>
      </c>
      <c r="T36" s="84">
        <f>IFERROR(Base!F34*$Q36,0)</f>
        <v>0</v>
      </c>
      <c r="U36" s="84">
        <f>IFERROR(Base!G34*$Q36,0)</f>
        <v>0</v>
      </c>
      <c r="V36" s="84">
        <f>IFERROR(Base!H34*$Q36,0)</f>
        <v>0</v>
      </c>
      <c r="W36" s="84">
        <f>IFERROR(Base!I34*$Q36,0)</f>
        <v>0</v>
      </c>
      <c r="X36" s="84">
        <f>IFERROR(Base!J34*$Q36,0)</f>
        <v>0</v>
      </c>
      <c r="Y36" s="84">
        <f>IFERROR(Base!K34*$Q36,0)</f>
        <v>0</v>
      </c>
      <c r="Z36" s="84">
        <f>IFERROR(Base!L34*$Q36,0)</f>
        <v>0</v>
      </c>
      <c r="AA36" s="84">
        <f>IFERROR(Base!M34*$Q36,0)</f>
        <v>0</v>
      </c>
      <c r="AB36" s="84">
        <f>IFERROR(Base!N34*$Q36,0)</f>
        <v>0</v>
      </c>
      <c r="AC36" s="84">
        <f>IFERROR(Base!O34*$Q36,0)</f>
        <v>0</v>
      </c>
      <c r="AD36" s="114">
        <f t="shared" si="13"/>
        <v>0</v>
      </c>
    </row>
    <row r="37" spans="2:30" ht="20.100000000000001" customHeight="1" x14ac:dyDescent="0.25">
      <c r="Q37" s="113" t="str">
        <f>Base!C35</f>
        <v/>
      </c>
      <c r="R37" s="84">
        <f>IFERROR(Base!D35*$Q37,0)</f>
        <v>0</v>
      </c>
      <c r="S37" s="84">
        <f>IFERROR(Base!E35*$Q37,0)</f>
        <v>0</v>
      </c>
      <c r="T37" s="84">
        <f>IFERROR(Base!F35*$Q37,0)</f>
        <v>0</v>
      </c>
      <c r="U37" s="84">
        <f>IFERROR(Base!G35*$Q37,0)</f>
        <v>0</v>
      </c>
      <c r="V37" s="84">
        <f>IFERROR(Base!H35*$Q37,0)</f>
        <v>0</v>
      </c>
      <c r="W37" s="84">
        <f>IFERROR(Base!I35*$Q37,0)</f>
        <v>0</v>
      </c>
      <c r="X37" s="84">
        <f>IFERROR(Base!J35*$Q37,0)</f>
        <v>0</v>
      </c>
      <c r="Y37" s="84">
        <f>IFERROR(Base!K35*$Q37,0)</f>
        <v>0</v>
      </c>
      <c r="Z37" s="84">
        <f>IFERROR(Base!L35*$Q37,0)</f>
        <v>0</v>
      </c>
      <c r="AA37" s="84">
        <f>IFERROR(Base!M35*$Q37,0)</f>
        <v>0</v>
      </c>
      <c r="AB37" s="84">
        <f>IFERROR(Base!N35*$Q37,0)</f>
        <v>0</v>
      </c>
      <c r="AC37" s="84">
        <f>IFERROR(Base!O35*$Q37,0)</f>
        <v>0</v>
      </c>
      <c r="AD37" s="114">
        <f t="shared" si="13"/>
        <v>0</v>
      </c>
    </row>
    <row r="38" spans="2:30" ht="20.100000000000001" customHeight="1" x14ac:dyDescent="0.25">
      <c r="B38" s="112" t="s">
        <v>82</v>
      </c>
      <c r="C38" s="112" t="s">
        <v>83</v>
      </c>
      <c r="D38" s="112" t="s">
        <v>84</v>
      </c>
      <c r="E38" s="112" t="s">
        <v>85</v>
      </c>
      <c r="F38" s="112" t="s">
        <v>86</v>
      </c>
      <c r="G38" s="112" t="s">
        <v>87</v>
      </c>
      <c r="H38" s="112" t="s">
        <v>88</v>
      </c>
      <c r="I38" s="112" t="s">
        <v>89</v>
      </c>
      <c r="J38" s="112" t="s">
        <v>90</v>
      </c>
      <c r="K38" s="112" t="s">
        <v>91</v>
      </c>
      <c r="L38" s="112" t="s">
        <v>92</v>
      </c>
      <c r="M38" s="112" t="s">
        <v>93</v>
      </c>
      <c r="N38" s="112" t="s">
        <v>94</v>
      </c>
      <c r="O38" s="112" t="s">
        <v>95</v>
      </c>
      <c r="Q38" s="113" t="str">
        <f>Base!C36</f>
        <v/>
      </c>
      <c r="R38" s="84">
        <f>IFERROR(Base!D36*$Q38,0)</f>
        <v>0</v>
      </c>
      <c r="S38" s="84">
        <f>IFERROR(Base!E36*$Q38,0)</f>
        <v>0</v>
      </c>
      <c r="T38" s="84">
        <f>IFERROR(Base!F36*$Q38,0)</f>
        <v>0</v>
      </c>
      <c r="U38" s="84">
        <f>IFERROR(Base!G36*$Q38,0)</f>
        <v>0</v>
      </c>
      <c r="V38" s="84">
        <f>IFERROR(Base!H36*$Q38,0)</f>
        <v>0</v>
      </c>
      <c r="W38" s="84">
        <f>IFERROR(Base!I36*$Q38,0)</f>
        <v>0</v>
      </c>
      <c r="X38" s="84">
        <f>IFERROR(Base!J36*$Q38,0)</f>
        <v>0</v>
      </c>
      <c r="Y38" s="84">
        <f>IFERROR(Base!K36*$Q38,0)</f>
        <v>0</v>
      </c>
      <c r="Z38" s="84">
        <f>IFERROR(Base!L36*$Q38,0)</f>
        <v>0</v>
      </c>
      <c r="AA38" s="84">
        <f>IFERROR(Base!M36*$Q38,0)</f>
        <v>0</v>
      </c>
      <c r="AB38" s="84">
        <f>IFERROR(Base!N36*$Q38,0)</f>
        <v>0</v>
      </c>
      <c r="AC38" s="84">
        <f>IFERROR(Base!O36*$Q38,0)</f>
        <v>0</v>
      </c>
      <c r="AD38" s="114">
        <f t="shared" si="13"/>
        <v>0</v>
      </c>
    </row>
    <row r="39" spans="2:30" ht="20.100000000000001" customHeight="1" x14ac:dyDescent="0.25">
      <c r="B39" s="130" t="s">
        <v>97</v>
      </c>
      <c r="C39" s="129">
        <f>IFERROR(C36*$A$11,0)</f>
        <v>0</v>
      </c>
      <c r="D39" s="129">
        <f t="shared" ref="D39:N39" si="19">IFERROR(D36*$A$11,0)</f>
        <v>0</v>
      </c>
      <c r="E39" s="129">
        <f t="shared" si="19"/>
        <v>0</v>
      </c>
      <c r="F39" s="129">
        <f t="shared" si="19"/>
        <v>0</v>
      </c>
      <c r="G39" s="129">
        <f t="shared" si="19"/>
        <v>0</v>
      </c>
      <c r="H39" s="129">
        <f t="shared" si="19"/>
        <v>0</v>
      </c>
      <c r="I39" s="129">
        <f t="shared" si="19"/>
        <v>0</v>
      </c>
      <c r="J39" s="129">
        <f t="shared" si="19"/>
        <v>0</v>
      </c>
      <c r="K39" s="129">
        <f t="shared" si="19"/>
        <v>0</v>
      </c>
      <c r="L39" s="129">
        <f t="shared" si="19"/>
        <v>0</v>
      </c>
      <c r="M39" s="129">
        <f t="shared" si="19"/>
        <v>0</v>
      </c>
      <c r="N39" s="129">
        <f t="shared" si="19"/>
        <v>0</v>
      </c>
      <c r="O39" s="131">
        <f t="shared" ref="O39:O44" si="20">SUM(C39:N39)</f>
        <v>0</v>
      </c>
      <c r="Q39" s="115" t="s">
        <v>99</v>
      </c>
      <c r="R39" s="114">
        <f t="shared" ref="R39:AC39" si="21">SUM(R26:R38)</f>
        <v>0</v>
      </c>
      <c r="S39" s="114">
        <f t="shared" si="21"/>
        <v>0</v>
      </c>
      <c r="T39" s="114">
        <f t="shared" si="21"/>
        <v>0</v>
      </c>
      <c r="U39" s="114">
        <f t="shared" si="21"/>
        <v>0</v>
      </c>
      <c r="V39" s="114">
        <f t="shared" si="21"/>
        <v>0</v>
      </c>
      <c r="W39" s="114">
        <f t="shared" si="21"/>
        <v>0</v>
      </c>
      <c r="X39" s="114">
        <f t="shared" si="21"/>
        <v>0</v>
      </c>
      <c r="Y39" s="114">
        <f t="shared" si="21"/>
        <v>0</v>
      </c>
      <c r="Z39" s="114">
        <f t="shared" si="21"/>
        <v>0</v>
      </c>
      <c r="AA39" s="114">
        <f t="shared" si="21"/>
        <v>0</v>
      </c>
      <c r="AB39" s="114">
        <f t="shared" si="21"/>
        <v>0</v>
      </c>
      <c r="AC39" s="114">
        <f t="shared" si="21"/>
        <v>0</v>
      </c>
      <c r="AD39" s="114">
        <f>SUM(R39:AC39)</f>
        <v>0</v>
      </c>
    </row>
    <row r="40" spans="2:30" ht="20.100000000000001" customHeight="1" x14ac:dyDescent="0.25">
      <c r="B40" s="130" t="s">
        <v>98</v>
      </c>
      <c r="C40" s="129">
        <f>IFERROR(C36*$A$12,0)</f>
        <v>0</v>
      </c>
      <c r="D40" s="129">
        <f t="shared" ref="D40:N40" si="22">IFERROR(D36*$A$12,0)</f>
        <v>0</v>
      </c>
      <c r="E40" s="129">
        <f t="shared" si="22"/>
        <v>0</v>
      </c>
      <c r="F40" s="129">
        <f t="shared" si="22"/>
        <v>0</v>
      </c>
      <c r="G40" s="129">
        <f t="shared" si="22"/>
        <v>0</v>
      </c>
      <c r="H40" s="129">
        <f t="shared" si="22"/>
        <v>0</v>
      </c>
      <c r="I40" s="129">
        <f t="shared" si="22"/>
        <v>0</v>
      </c>
      <c r="J40" s="129">
        <f t="shared" si="22"/>
        <v>0</v>
      </c>
      <c r="K40" s="129">
        <f t="shared" si="22"/>
        <v>0</v>
      </c>
      <c r="L40" s="129">
        <f t="shared" si="22"/>
        <v>0</v>
      </c>
      <c r="M40" s="129">
        <f t="shared" si="22"/>
        <v>0</v>
      </c>
      <c r="N40" s="129">
        <f t="shared" si="22"/>
        <v>0</v>
      </c>
      <c r="O40" s="131">
        <f t="shared" si="20"/>
        <v>0</v>
      </c>
      <c r="Q40" s="117" t="s">
        <v>39</v>
      </c>
    </row>
    <row r="41" spans="2:30" ht="20.100000000000001" customHeight="1" x14ac:dyDescent="0.25">
      <c r="B41" s="121" t="s">
        <v>37</v>
      </c>
      <c r="C41" s="122">
        <v>0</v>
      </c>
      <c r="D41" s="122">
        <v>0</v>
      </c>
      <c r="E41" s="122">
        <v>0</v>
      </c>
      <c r="F41" s="122">
        <v>0</v>
      </c>
      <c r="G41" s="122">
        <v>0</v>
      </c>
      <c r="H41" s="122">
        <v>0</v>
      </c>
      <c r="I41" s="122">
        <v>0</v>
      </c>
      <c r="J41" s="122">
        <v>0</v>
      </c>
      <c r="K41" s="122">
        <v>0</v>
      </c>
      <c r="L41" s="122">
        <v>0</v>
      </c>
      <c r="M41" s="122">
        <v>0</v>
      </c>
      <c r="N41" s="122">
        <v>0</v>
      </c>
      <c r="O41" s="114">
        <f t="shared" si="20"/>
        <v>0</v>
      </c>
      <c r="Q41" s="112" t="s">
        <v>82</v>
      </c>
      <c r="R41" s="112" t="s">
        <v>83</v>
      </c>
      <c r="S41" s="112" t="s">
        <v>84</v>
      </c>
      <c r="T41" s="112" t="s">
        <v>85</v>
      </c>
      <c r="U41" s="112" t="s">
        <v>86</v>
      </c>
      <c r="V41" s="112" t="s">
        <v>87</v>
      </c>
      <c r="W41" s="112" t="s">
        <v>88</v>
      </c>
      <c r="X41" s="112" t="s">
        <v>89</v>
      </c>
      <c r="Y41" s="112" t="s">
        <v>90</v>
      </c>
      <c r="Z41" s="112" t="s">
        <v>91</v>
      </c>
      <c r="AA41" s="112" t="s">
        <v>92</v>
      </c>
      <c r="AB41" s="112" t="s">
        <v>93</v>
      </c>
      <c r="AC41" s="112" t="s">
        <v>94</v>
      </c>
      <c r="AD41" s="112" t="s">
        <v>95</v>
      </c>
    </row>
    <row r="42" spans="2:30" ht="20.100000000000001" customHeight="1" x14ac:dyDescent="0.25">
      <c r="B42" s="130" t="s">
        <v>38</v>
      </c>
      <c r="C42" s="129">
        <f>IFERROR(C33*$A$14,0)</f>
        <v>0</v>
      </c>
      <c r="D42" s="129">
        <f t="shared" ref="D42:N42" si="23">IFERROR(D33*$A$14,0)</f>
        <v>0</v>
      </c>
      <c r="E42" s="129">
        <f t="shared" si="23"/>
        <v>0</v>
      </c>
      <c r="F42" s="129">
        <f t="shared" si="23"/>
        <v>0</v>
      </c>
      <c r="G42" s="129">
        <f t="shared" si="23"/>
        <v>0</v>
      </c>
      <c r="H42" s="129">
        <f t="shared" si="23"/>
        <v>0</v>
      </c>
      <c r="I42" s="129">
        <f t="shared" si="23"/>
        <v>0</v>
      </c>
      <c r="J42" s="129">
        <f t="shared" si="23"/>
        <v>0</v>
      </c>
      <c r="K42" s="129">
        <f t="shared" si="23"/>
        <v>0</v>
      </c>
      <c r="L42" s="129">
        <f t="shared" si="23"/>
        <v>0</v>
      </c>
      <c r="M42" s="129">
        <f t="shared" si="23"/>
        <v>0</v>
      </c>
      <c r="N42" s="129">
        <f t="shared" si="23"/>
        <v>0</v>
      </c>
      <c r="O42" s="131">
        <f t="shared" si="20"/>
        <v>0</v>
      </c>
      <c r="Q42" s="113">
        <f>Base!C40</f>
        <v>0</v>
      </c>
      <c r="R42" s="84">
        <f>IFERROR(Base!D40*$Q42,0)</f>
        <v>0</v>
      </c>
      <c r="S42" s="84">
        <f>IFERROR(Base!E40*$Q42,0)</f>
        <v>0</v>
      </c>
      <c r="T42" s="84">
        <f>IFERROR(Base!F40*$Q42,0)</f>
        <v>0</v>
      </c>
      <c r="U42" s="84">
        <f>IFERROR(Base!G40*$Q42,0)</f>
        <v>0</v>
      </c>
      <c r="V42" s="84">
        <f>IFERROR(Base!H40*$Q42,0)</f>
        <v>0</v>
      </c>
      <c r="W42" s="84">
        <f>IFERROR(Base!I40*$Q42,0)</f>
        <v>0</v>
      </c>
      <c r="X42" s="84">
        <f>IFERROR(Base!J40*$Q42,0)</f>
        <v>0</v>
      </c>
      <c r="Y42" s="84">
        <f>IFERROR(Base!K40*$Q42,0)</f>
        <v>0</v>
      </c>
      <c r="Z42" s="84">
        <f>IFERROR(Base!L40*$Q42,0)</f>
        <v>0</v>
      </c>
      <c r="AA42" s="84">
        <f>IFERROR(Base!M40*$Q42,0)</f>
        <v>0</v>
      </c>
      <c r="AB42" s="84">
        <f>IFERROR(Base!N40*$Q42,0)</f>
        <v>0</v>
      </c>
      <c r="AC42" s="84">
        <f>IFERROR(Base!O40*$Q42,0)</f>
        <v>0</v>
      </c>
      <c r="AD42" s="114">
        <f t="shared" ref="AD42:AD54" si="24">SUM(R42:AC42)</f>
        <v>0</v>
      </c>
    </row>
    <row r="43" spans="2:30" ht="20.100000000000001" customHeight="1" x14ac:dyDescent="0.25">
      <c r="B43" s="121" t="s">
        <v>39</v>
      </c>
      <c r="C43" s="122">
        <v>0</v>
      </c>
      <c r="D43" s="122">
        <v>0</v>
      </c>
      <c r="E43" s="122">
        <v>0</v>
      </c>
      <c r="F43" s="122">
        <v>0</v>
      </c>
      <c r="G43" s="122">
        <v>0</v>
      </c>
      <c r="H43" s="122">
        <v>0</v>
      </c>
      <c r="I43" s="122">
        <v>0</v>
      </c>
      <c r="J43" s="122">
        <v>0</v>
      </c>
      <c r="K43" s="122">
        <v>0</v>
      </c>
      <c r="L43" s="122">
        <v>0</v>
      </c>
      <c r="M43" s="122">
        <v>0</v>
      </c>
      <c r="N43" s="122">
        <v>0</v>
      </c>
      <c r="O43" s="114">
        <f t="shared" si="20"/>
        <v>0</v>
      </c>
      <c r="Q43" s="113">
        <f>Base!C41</f>
        <v>0.01</v>
      </c>
      <c r="R43" s="84">
        <f>IFERROR(Base!D41*$Q43,0)</f>
        <v>0</v>
      </c>
      <c r="S43" s="84">
        <f>IFERROR(Base!E41*$Q43,0)</f>
        <v>0</v>
      </c>
      <c r="T43" s="84">
        <f>IFERROR(Base!F41*$Q43,0)</f>
        <v>0</v>
      </c>
      <c r="U43" s="84">
        <f>IFERROR(Base!G41*$Q43,0)</f>
        <v>0</v>
      </c>
      <c r="V43" s="84">
        <f>IFERROR(Base!H41*$Q43,0)</f>
        <v>0</v>
      </c>
      <c r="W43" s="84">
        <f>IFERROR(Base!I41*$Q43,0)</f>
        <v>0</v>
      </c>
      <c r="X43" s="84">
        <f>IFERROR(Base!J41*$Q43,0)</f>
        <v>0</v>
      </c>
      <c r="Y43" s="84">
        <f>IFERROR(Base!K41*$Q43,0)</f>
        <v>0</v>
      </c>
      <c r="Z43" s="84">
        <f>IFERROR(Base!L41*$Q43,0)</f>
        <v>0</v>
      </c>
      <c r="AA43" s="84">
        <f>IFERROR(Base!M41*$Q43,0)</f>
        <v>0</v>
      </c>
      <c r="AB43" s="84">
        <f>IFERROR(Base!N41*$Q43,0)</f>
        <v>0</v>
      </c>
      <c r="AC43" s="84">
        <f>IFERROR(Base!O41*$Q43,0)</f>
        <v>0</v>
      </c>
      <c r="AD43" s="114">
        <f t="shared" si="24"/>
        <v>0</v>
      </c>
    </row>
    <row r="44" spans="2:30" ht="20.100000000000001" customHeight="1" x14ac:dyDescent="0.25">
      <c r="B44" s="115" t="s">
        <v>99</v>
      </c>
      <c r="C44" s="114">
        <f>SUM(C39:C43)</f>
        <v>0</v>
      </c>
      <c r="D44" s="114">
        <f>SUM(D39:D43)</f>
        <v>0</v>
      </c>
      <c r="E44" s="114">
        <f t="shared" ref="E44:N44" si="25">SUM(E39:E43)</f>
        <v>0</v>
      </c>
      <c r="F44" s="114">
        <f t="shared" si="25"/>
        <v>0</v>
      </c>
      <c r="G44" s="114">
        <f t="shared" si="25"/>
        <v>0</v>
      </c>
      <c r="H44" s="114">
        <f t="shared" si="25"/>
        <v>0</v>
      </c>
      <c r="I44" s="114">
        <f t="shared" si="25"/>
        <v>0</v>
      </c>
      <c r="J44" s="114">
        <f t="shared" si="25"/>
        <v>0</v>
      </c>
      <c r="K44" s="114">
        <f t="shared" si="25"/>
        <v>0</v>
      </c>
      <c r="L44" s="114">
        <f t="shared" si="25"/>
        <v>0</v>
      </c>
      <c r="M44" s="114">
        <f t="shared" si="25"/>
        <v>0</v>
      </c>
      <c r="N44" s="114">
        <f t="shared" si="25"/>
        <v>0</v>
      </c>
      <c r="O44" s="114">
        <f t="shared" si="20"/>
        <v>0</v>
      </c>
      <c r="Q44" s="113">
        <f>Base!C42</f>
        <v>0.02</v>
      </c>
      <c r="R44" s="84">
        <f>IFERROR(Base!D42*$Q44,0)</f>
        <v>0</v>
      </c>
      <c r="S44" s="84">
        <f>IFERROR(Base!E42*$Q44,0)</f>
        <v>0</v>
      </c>
      <c r="T44" s="84">
        <f>IFERROR(Base!F42*$Q44,0)</f>
        <v>0</v>
      </c>
      <c r="U44" s="84">
        <f>IFERROR(Base!G42*$Q44,0)</f>
        <v>0</v>
      </c>
      <c r="V44" s="84">
        <f>IFERROR(Base!H42*$Q44,0)</f>
        <v>0</v>
      </c>
      <c r="W44" s="84">
        <f>IFERROR(Base!I42*$Q44,0)</f>
        <v>0</v>
      </c>
      <c r="X44" s="84">
        <f>IFERROR(Base!J42*$Q44,0)</f>
        <v>0</v>
      </c>
      <c r="Y44" s="84">
        <f>IFERROR(Base!K42*$Q44,0)</f>
        <v>0</v>
      </c>
      <c r="Z44" s="84">
        <f>IFERROR(Base!L42*$Q44,0)</f>
        <v>0</v>
      </c>
      <c r="AA44" s="84">
        <f>IFERROR(Base!M42*$Q44,0)</f>
        <v>0</v>
      </c>
      <c r="AB44" s="84">
        <f>IFERROR(Base!N42*$Q44,0)</f>
        <v>0</v>
      </c>
      <c r="AC44" s="84">
        <f>IFERROR(Base!O42*$Q44,0)</f>
        <v>0</v>
      </c>
      <c r="AD44" s="114">
        <f t="shared" si="24"/>
        <v>0</v>
      </c>
    </row>
    <row r="45" spans="2:30" ht="20.100000000000001" customHeight="1" x14ac:dyDescent="0.2">
      <c r="B45" s="120" t="s">
        <v>113</v>
      </c>
      <c r="Q45" s="113">
        <f>Base!C43</f>
        <v>0.03</v>
      </c>
      <c r="R45" s="84">
        <f>IFERROR(Base!D43*$Q45,0)</f>
        <v>0</v>
      </c>
      <c r="S45" s="84">
        <f>IFERROR(Base!E43*$Q45,0)</f>
        <v>0</v>
      </c>
      <c r="T45" s="84">
        <f>IFERROR(Base!F43*$Q45,0)</f>
        <v>0</v>
      </c>
      <c r="U45" s="84">
        <f>IFERROR(Base!G43*$Q45,0)</f>
        <v>0</v>
      </c>
      <c r="V45" s="84">
        <f>IFERROR(Base!H43*$Q45,0)</f>
        <v>0</v>
      </c>
      <c r="W45" s="84">
        <f>IFERROR(Base!I43*$Q45,0)</f>
        <v>0</v>
      </c>
      <c r="X45" s="84">
        <f>IFERROR(Base!J43*$Q45,0)</f>
        <v>0</v>
      </c>
      <c r="Y45" s="84">
        <f>IFERROR(Base!K43*$Q45,0)</f>
        <v>0</v>
      </c>
      <c r="Z45" s="84">
        <f>IFERROR(Base!L43*$Q45,0)</f>
        <v>0</v>
      </c>
      <c r="AA45" s="84">
        <f>IFERROR(Base!M43*$Q45,0)</f>
        <v>0</v>
      </c>
      <c r="AB45" s="84">
        <f>IFERROR(Base!N43*$Q45,0)</f>
        <v>0</v>
      </c>
      <c r="AC45" s="84">
        <f>IFERROR(Base!O43*$Q45,0)</f>
        <v>0</v>
      </c>
      <c r="AD45" s="114">
        <f t="shared" si="24"/>
        <v>0</v>
      </c>
    </row>
    <row r="46" spans="2:30" ht="20.100000000000001" customHeight="1" x14ac:dyDescent="0.25">
      <c r="B46" s="112" t="s">
        <v>82</v>
      </c>
      <c r="C46" s="112" t="s">
        <v>83</v>
      </c>
      <c r="D46" s="112" t="s">
        <v>84</v>
      </c>
      <c r="E46" s="112" t="s">
        <v>85</v>
      </c>
      <c r="F46" s="112" t="s">
        <v>86</v>
      </c>
      <c r="G46" s="112" t="s">
        <v>87</v>
      </c>
      <c r="H46" s="112" t="s">
        <v>88</v>
      </c>
      <c r="I46" s="112" t="s">
        <v>89</v>
      </c>
      <c r="J46" s="112" t="s">
        <v>90</v>
      </c>
      <c r="K46" s="112" t="s">
        <v>91</v>
      </c>
      <c r="L46" s="112" t="s">
        <v>92</v>
      </c>
      <c r="M46" s="112" t="s">
        <v>93</v>
      </c>
      <c r="N46" s="112" t="s">
        <v>94</v>
      </c>
      <c r="O46" s="112" t="s">
        <v>95</v>
      </c>
      <c r="Q46" s="113">
        <f>Base!C44</f>
        <v>0.04</v>
      </c>
      <c r="R46" s="84">
        <f>IFERROR(Base!D44*$Q46,0)</f>
        <v>0</v>
      </c>
      <c r="S46" s="84">
        <f>IFERROR(Base!E44*$Q46,0)</f>
        <v>0</v>
      </c>
      <c r="T46" s="84">
        <f>IFERROR(Base!F44*$Q46,0)</f>
        <v>0</v>
      </c>
      <c r="U46" s="84">
        <f>IFERROR(Base!G44*$Q46,0)</f>
        <v>0</v>
      </c>
      <c r="V46" s="84">
        <f>IFERROR(Base!H44*$Q46,0)</f>
        <v>0</v>
      </c>
      <c r="W46" s="84">
        <f>IFERROR(Base!I44*$Q46,0)</f>
        <v>0</v>
      </c>
      <c r="X46" s="84">
        <f>IFERROR(Base!J44*$Q46,0)</f>
        <v>0</v>
      </c>
      <c r="Y46" s="84">
        <f>IFERROR(Base!K44*$Q46,0)</f>
        <v>0</v>
      </c>
      <c r="Z46" s="84">
        <f>IFERROR(Base!L44*$Q46,0)</f>
        <v>0</v>
      </c>
      <c r="AA46" s="84">
        <f>IFERROR(Base!M44*$Q46,0)</f>
        <v>0</v>
      </c>
      <c r="AB46" s="84">
        <f>IFERROR(Base!N44*$Q46,0)</f>
        <v>0</v>
      </c>
      <c r="AC46" s="84">
        <f>IFERROR(Base!O44*$Q46,0)</f>
        <v>0</v>
      </c>
      <c r="AD46" s="114">
        <f t="shared" si="24"/>
        <v>0</v>
      </c>
    </row>
    <row r="47" spans="2:30" ht="20.100000000000001" customHeight="1" x14ac:dyDescent="0.25">
      <c r="B47" s="19" t="s">
        <v>102</v>
      </c>
      <c r="C47" s="116">
        <f>'Fat4'!D5</f>
        <v>0</v>
      </c>
      <c r="D47" s="116">
        <f>'Fat4'!E5</f>
        <v>0</v>
      </c>
      <c r="E47" s="116">
        <f>'Fat4'!F5</f>
        <v>0</v>
      </c>
      <c r="F47" s="116">
        <f>'Fat4'!G5</f>
        <v>0</v>
      </c>
      <c r="G47" s="116">
        <f>'Fat4'!H5</f>
        <v>0</v>
      </c>
      <c r="H47" s="116">
        <f>'Fat4'!I5</f>
        <v>0</v>
      </c>
      <c r="I47" s="116">
        <f>'Fat4'!J5</f>
        <v>0</v>
      </c>
      <c r="J47" s="116">
        <f>'Fat4'!K5</f>
        <v>0</v>
      </c>
      <c r="K47" s="116">
        <f>'Fat4'!L5</f>
        <v>0</v>
      </c>
      <c r="L47" s="116">
        <f>'Fat4'!M5</f>
        <v>0</v>
      </c>
      <c r="M47" s="116">
        <f>'Fat4'!N5</f>
        <v>0</v>
      </c>
      <c r="N47" s="116">
        <f>'Fat4'!O5</f>
        <v>0</v>
      </c>
      <c r="O47" s="119">
        <f>SUM(C47:N47)</f>
        <v>0</v>
      </c>
      <c r="Q47" s="113">
        <f>Base!C45</f>
        <v>0.05</v>
      </c>
      <c r="R47" s="84">
        <f>IFERROR(Base!D45*$Q47,0)</f>
        <v>0</v>
      </c>
      <c r="S47" s="84">
        <f>IFERROR(Base!E45*$Q47,0)</f>
        <v>0</v>
      </c>
      <c r="T47" s="84">
        <f>IFERROR(Base!F45*$Q47,0)</f>
        <v>0</v>
      </c>
      <c r="U47" s="84">
        <f>IFERROR(Base!G45*$Q47,0)</f>
        <v>0</v>
      </c>
      <c r="V47" s="84">
        <f>IFERROR(Base!H45*$Q47,0)</f>
        <v>0</v>
      </c>
      <c r="W47" s="84">
        <f>IFERROR(Base!I45*$Q47,0)</f>
        <v>0</v>
      </c>
      <c r="X47" s="84">
        <f>IFERROR(Base!J45*$Q47,0)</f>
        <v>0</v>
      </c>
      <c r="Y47" s="84">
        <f>IFERROR(Base!K45*$Q47,0)</f>
        <v>0</v>
      </c>
      <c r="Z47" s="84">
        <f>IFERROR(Base!L45*$Q47,0)</f>
        <v>0</v>
      </c>
      <c r="AA47" s="84">
        <f>IFERROR(Base!M45*$Q47,0)</f>
        <v>0</v>
      </c>
      <c r="AB47" s="84">
        <f>IFERROR(Base!N45*$Q47,0)</f>
        <v>0</v>
      </c>
      <c r="AC47" s="84">
        <f>IFERROR(Base!O45*$Q47,0)</f>
        <v>0</v>
      </c>
      <c r="AD47" s="114">
        <f t="shared" si="24"/>
        <v>0</v>
      </c>
    </row>
    <row r="48" spans="2:30" ht="20.100000000000001" customHeight="1" x14ac:dyDescent="0.25">
      <c r="B48" s="19" t="s">
        <v>103</v>
      </c>
      <c r="C48" s="116">
        <f>'Fat4'!D6</f>
        <v>0</v>
      </c>
      <c r="D48" s="116">
        <f>'Fat4'!E6</f>
        <v>0</v>
      </c>
      <c r="E48" s="116">
        <f>'Fat4'!F6</f>
        <v>0</v>
      </c>
      <c r="F48" s="116">
        <f>'Fat4'!G6</f>
        <v>0</v>
      </c>
      <c r="G48" s="116">
        <f>'Fat4'!H6</f>
        <v>0</v>
      </c>
      <c r="H48" s="116">
        <f>'Fat4'!I6</f>
        <v>0</v>
      </c>
      <c r="I48" s="116">
        <f>'Fat4'!J6</f>
        <v>0</v>
      </c>
      <c r="J48" s="116">
        <f>'Fat4'!K6</f>
        <v>0</v>
      </c>
      <c r="K48" s="116">
        <f>'Fat4'!L6</f>
        <v>0</v>
      </c>
      <c r="L48" s="116">
        <f>'Fat4'!M6</f>
        <v>0</v>
      </c>
      <c r="M48" s="116">
        <f>'Fat4'!N6</f>
        <v>0</v>
      </c>
      <c r="N48" s="116">
        <f>'Fat4'!O6</f>
        <v>0</v>
      </c>
      <c r="O48" s="119">
        <f>SUM(C48:N48)</f>
        <v>0</v>
      </c>
      <c r="Q48" s="113" t="str">
        <f>Base!C46</f>
        <v/>
      </c>
      <c r="R48" s="84">
        <f>IFERROR(Base!D46*$Q48,0)</f>
        <v>0</v>
      </c>
      <c r="S48" s="84">
        <f>IFERROR(Base!E46*$Q48,0)</f>
        <v>0</v>
      </c>
      <c r="T48" s="84">
        <f>IFERROR(Base!F46*$Q48,0)</f>
        <v>0</v>
      </c>
      <c r="U48" s="84">
        <f>IFERROR(Base!G46*$Q48,0)</f>
        <v>0</v>
      </c>
      <c r="V48" s="84">
        <f>IFERROR(Base!H46*$Q48,0)</f>
        <v>0</v>
      </c>
      <c r="W48" s="84">
        <f>IFERROR(Base!I46*$Q48,0)</f>
        <v>0</v>
      </c>
      <c r="X48" s="84">
        <f>IFERROR(Base!J46*$Q48,0)</f>
        <v>0</v>
      </c>
      <c r="Y48" s="84">
        <f>IFERROR(Base!K46*$Q48,0)</f>
        <v>0</v>
      </c>
      <c r="Z48" s="84">
        <f>IFERROR(Base!L46*$Q48,0)</f>
        <v>0</v>
      </c>
      <c r="AA48" s="84">
        <f>IFERROR(Base!M46*$Q48,0)</f>
        <v>0</v>
      </c>
      <c r="AB48" s="84">
        <f>IFERROR(Base!N46*$Q48,0)</f>
        <v>0</v>
      </c>
      <c r="AC48" s="84">
        <f>IFERROR(Base!O46*$Q48,0)</f>
        <v>0</v>
      </c>
      <c r="AD48" s="114">
        <f t="shared" si="24"/>
        <v>0</v>
      </c>
    </row>
    <row r="49" spans="2:30" ht="20.100000000000001" customHeight="1" x14ac:dyDescent="0.25">
      <c r="B49" s="19" t="s">
        <v>104</v>
      </c>
      <c r="C49" s="116">
        <f>'Fat4'!D7</f>
        <v>0</v>
      </c>
      <c r="D49" s="116">
        <f>'Fat4'!E7</f>
        <v>0</v>
      </c>
      <c r="E49" s="116">
        <f>'Fat4'!F7</f>
        <v>0</v>
      </c>
      <c r="F49" s="116">
        <f>'Fat4'!G7</f>
        <v>0</v>
      </c>
      <c r="G49" s="116">
        <f>'Fat4'!H7</f>
        <v>0</v>
      </c>
      <c r="H49" s="116">
        <f>'Fat4'!I7</f>
        <v>0</v>
      </c>
      <c r="I49" s="116">
        <f>'Fat4'!J7</f>
        <v>0</v>
      </c>
      <c r="J49" s="116">
        <f>'Fat4'!K7</f>
        <v>0</v>
      </c>
      <c r="K49" s="116">
        <f>'Fat4'!L7</f>
        <v>0</v>
      </c>
      <c r="L49" s="116">
        <f>'Fat4'!M7</f>
        <v>0</v>
      </c>
      <c r="M49" s="116">
        <f>'Fat4'!N7</f>
        <v>0</v>
      </c>
      <c r="N49" s="116">
        <f>'Fat4'!O7</f>
        <v>0</v>
      </c>
      <c r="O49" s="119">
        <f>SUM(C49:N49)</f>
        <v>0</v>
      </c>
      <c r="Q49" s="113" t="str">
        <f>Base!C47</f>
        <v/>
      </c>
      <c r="R49" s="84">
        <f>IFERROR(Base!D47*$Q49,0)</f>
        <v>0</v>
      </c>
      <c r="S49" s="84">
        <f>IFERROR(Base!E47*$Q49,0)</f>
        <v>0</v>
      </c>
      <c r="T49" s="84">
        <f>IFERROR(Base!F47*$Q49,0)</f>
        <v>0</v>
      </c>
      <c r="U49" s="84">
        <f>IFERROR(Base!G47*$Q49,0)</f>
        <v>0</v>
      </c>
      <c r="V49" s="84">
        <f>IFERROR(Base!H47*$Q49,0)</f>
        <v>0</v>
      </c>
      <c r="W49" s="84">
        <f>IFERROR(Base!I47*$Q49,0)</f>
        <v>0</v>
      </c>
      <c r="X49" s="84">
        <f>IFERROR(Base!J47*$Q49,0)</f>
        <v>0</v>
      </c>
      <c r="Y49" s="84">
        <f>IFERROR(Base!K47*$Q49,0)</f>
        <v>0</v>
      </c>
      <c r="Z49" s="84">
        <f>IFERROR(Base!L47*$Q49,0)</f>
        <v>0</v>
      </c>
      <c r="AA49" s="84">
        <f>IFERROR(Base!M47*$Q49,0)</f>
        <v>0</v>
      </c>
      <c r="AB49" s="84">
        <f>IFERROR(Base!N47*$Q49,0)</f>
        <v>0</v>
      </c>
      <c r="AC49" s="84">
        <f>IFERROR(Base!O47*$Q49,0)</f>
        <v>0</v>
      </c>
      <c r="AD49" s="114">
        <f t="shared" si="24"/>
        <v>0</v>
      </c>
    </row>
    <row r="50" spans="2:30" ht="20.100000000000001" customHeight="1" x14ac:dyDescent="0.25">
      <c r="B50" s="118" t="s">
        <v>99</v>
      </c>
      <c r="C50" s="119">
        <f t="shared" ref="C50:N50" si="26">SUM(C47:C49)</f>
        <v>0</v>
      </c>
      <c r="D50" s="119">
        <f t="shared" si="26"/>
        <v>0</v>
      </c>
      <c r="E50" s="119">
        <f t="shared" si="26"/>
        <v>0</v>
      </c>
      <c r="F50" s="119">
        <f t="shared" si="26"/>
        <v>0</v>
      </c>
      <c r="G50" s="119">
        <f t="shared" si="26"/>
        <v>0</v>
      </c>
      <c r="H50" s="119">
        <f t="shared" si="26"/>
        <v>0</v>
      </c>
      <c r="I50" s="119">
        <f t="shared" si="26"/>
        <v>0</v>
      </c>
      <c r="J50" s="119">
        <f t="shared" si="26"/>
        <v>0</v>
      </c>
      <c r="K50" s="119">
        <f t="shared" si="26"/>
        <v>0</v>
      </c>
      <c r="L50" s="119">
        <f t="shared" si="26"/>
        <v>0</v>
      </c>
      <c r="M50" s="119">
        <f t="shared" si="26"/>
        <v>0</v>
      </c>
      <c r="N50" s="119">
        <f t="shared" si="26"/>
        <v>0</v>
      </c>
      <c r="O50" s="119">
        <f>SUM(C50:N50)</f>
        <v>0</v>
      </c>
      <c r="Q50" s="113" t="str">
        <f>Base!C48</f>
        <v/>
      </c>
      <c r="R50" s="84">
        <f>IFERROR(Base!D48*$Q50,0)</f>
        <v>0</v>
      </c>
      <c r="S50" s="84">
        <f>IFERROR(Base!E48*$Q50,0)</f>
        <v>0</v>
      </c>
      <c r="T50" s="84">
        <f>IFERROR(Base!F48*$Q50,0)</f>
        <v>0</v>
      </c>
      <c r="U50" s="84">
        <f>IFERROR(Base!G48*$Q50,0)</f>
        <v>0</v>
      </c>
      <c r="V50" s="84">
        <f>IFERROR(Base!H48*$Q50,0)</f>
        <v>0</v>
      </c>
      <c r="W50" s="84">
        <f>IFERROR(Base!I48*$Q50,0)</f>
        <v>0</v>
      </c>
      <c r="X50" s="84">
        <f>IFERROR(Base!J48*$Q50,0)</f>
        <v>0</v>
      </c>
      <c r="Y50" s="84">
        <f>IFERROR(Base!K48*$Q50,0)</f>
        <v>0</v>
      </c>
      <c r="Z50" s="84">
        <f>IFERROR(Base!L48*$Q50,0)</f>
        <v>0</v>
      </c>
      <c r="AA50" s="84">
        <f>IFERROR(Base!M48*$Q50,0)</f>
        <v>0</v>
      </c>
      <c r="AB50" s="84">
        <f>IFERROR(Base!N48*$Q50,0)</f>
        <v>0</v>
      </c>
      <c r="AC50" s="84">
        <f>IFERROR(Base!O48*$Q50,0)</f>
        <v>0</v>
      </c>
      <c r="AD50" s="114">
        <f t="shared" si="24"/>
        <v>0</v>
      </c>
    </row>
    <row r="51" spans="2:30" ht="20.100000000000001" customHeight="1" x14ac:dyDescent="0.25">
      <c r="Q51" s="113" t="str">
        <f>Base!C49</f>
        <v/>
      </c>
      <c r="R51" s="84">
        <f>IFERROR(Base!D49*$Q51,0)</f>
        <v>0</v>
      </c>
      <c r="S51" s="84">
        <f>IFERROR(Base!E49*$Q51,0)</f>
        <v>0</v>
      </c>
      <c r="T51" s="84">
        <f>IFERROR(Base!F49*$Q51,0)</f>
        <v>0</v>
      </c>
      <c r="U51" s="84">
        <f>IFERROR(Base!G49*$Q51,0)</f>
        <v>0</v>
      </c>
      <c r="V51" s="84">
        <f>IFERROR(Base!H49*$Q51,0)</f>
        <v>0</v>
      </c>
      <c r="W51" s="84">
        <f>IFERROR(Base!I49*$Q51,0)</f>
        <v>0</v>
      </c>
      <c r="X51" s="84">
        <f>IFERROR(Base!J49*$Q51,0)</f>
        <v>0</v>
      </c>
      <c r="Y51" s="84">
        <f>IFERROR(Base!K49*$Q51,0)</f>
        <v>0</v>
      </c>
      <c r="Z51" s="84">
        <f>IFERROR(Base!L49*$Q51,0)</f>
        <v>0</v>
      </c>
      <c r="AA51" s="84">
        <f>IFERROR(Base!M49*$Q51,0)</f>
        <v>0</v>
      </c>
      <c r="AB51" s="84">
        <f>IFERROR(Base!N49*$Q51,0)</f>
        <v>0</v>
      </c>
      <c r="AC51" s="84">
        <f>IFERROR(Base!O49*$Q51,0)</f>
        <v>0</v>
      </c>
      <c r="AD51" s="114">
        <f t="shared" si="24"/>
        <v>0</v>
      </c>
    </row>
    <row r="52" spans="2:30" ht="20.100000000000001" customHeight="1" x14ac:dyDescent="0.25">
      <c r="B52" s="112" t="s">
        <v>82</v>
      </c>
      <c r="C52" s="112" t="s">
        <v>83</v>
      </c>
      <c r="D52" s="112" t="s">
        <v>84</v>
      </c>
      <c r="E52" s="112" t="s">
        <v>85</v>
      </c>
      <c r="F52" s="112" t="s">
        <v>86</v>
      </c>
      <c r="G52" s="112" t="s">
        <v>87</v>
      </c>
      <c r="H52" s="112" t="s">
        <v>88</v>
      </c>
      <c r="I52" s="112" t="s">
        <v>89</v>
      </c>
      <c r="J52" s="112" t="s">
        <v>90</v>
      </c>
      <c r="K52" s="112" t="s">
        <v>91</v>
      </c>
      <c r="L52" s="112" t="s">
        <v>92</v>
      </c>
      <c r="M52" s="112" t="s">
        <v>93</v>
      </c>
      <c r="N52" s="112" t="s">
        <v>94</v>
      </c>
      <c r="O52" s="112" t="s">
        <v>95</v>
      </c>
      <c r="Q52" s="113" t="str">
        <f>Base!C50</f>
        <v/>
      </c>
      <c r="R52" s="84">
        <f>IFERROR(Base!D50*$Q52,0)</f>
        <v>0</v>
      </c>
      <c r="S52" s="84">
        <f>IFERROR(Base!E50*$Q52,0)</f>
        <v>0</v>
      </c>
      <c r="T52" s="84">
        <f>IFERROR(Base!F50*$Q52,0)</f>
        <v>0</v>
      </c>
      <c r="U52" s="84">
        <f>IFERROR(Base!G50*$Q52,0)</f>
        <v>0</v>
      </c>
      <c r="V52" s="84">
        <f>IFERROR(Base!H50*$Q52,0)</f>
        <v>0</v>
      </c>
      <c r="W52" s="84">
        <f>IFERROR(Base!I50*$Q52,0)</f>
        <v>0</v>
      </c>
      <c r="X52" s="84">
        <f>IFERROR(Base!J50*$Q52,0)</f>
        <v>0</v>
      </c>
      <c r="Y52" s="84">
        <f>IFERROR(Base!K50*$Q52,0)</f>
        <v>0</v>
      </c>
      <c r="Z52" s="84">
        <f>IFERROR(Base!L50*$Q52,0)</f>
        <v>0</v>
      </c>
      <c r="AA52" s="84">
        <f>IFERROR(Base!M50*$Q52,0)</f>
        <v>0</v>
      </c>
      <c r="AB52" s="84">
        <f>IFERROR(Base!N50*$Q52,0)</f>
        <v>0</v>
      </c>
      <c r="AC52" s="84">
        <f>IFERROR(Base!O50*$Q52,0)</f>
        <v>0</v>
      </c>
      <c r="AD52" s="114">
        <f t="shared" si="24"/>
        <v>0</v>
      </c>
    </row>
    <row r="53" spans="2:30" ht="20.100000000000001" customHeight="1" x14ac:dyDescent="0.25">
      <c r="B53" s="121" t="s">
        <v>97</v>
      </c>
      <c r="C53" s="122">
        <v>0</v>
      </c>
      <c r="D53" s="122">
        <v>0</v>
      </c>
      <c r="E53" s="122">
        <v>0</v>
      </c>
      <c r="F53" s="122">
        <v>0</v>
      </c>
      <c r="G53" s="122">
        <v>0</v>
      </c>
      <c r="H53" s="122">
        <v>0</v>
      </c>
      <c r="I53" s="122">
        <v>0</v>
      </c>
      <c r="J53" s="122">
        <v>0</v>
      </c>
      <c r="K53" s="122">
        <v>0</v>
      </c>
      <c r="L53" s="122">
        <v>0</v>
      </c>
      <c r="M53" s="122">
        <v>0</v>
      </c>
      <c r="N53" s="122">
        <v>0</v>
      </c>
      <c r="O53" s="114">
        <f t="shared" ref="O53:O58" si="27">SUM(C53:N53)</f>
        <v>0</v>
      </c>
      <c r="Q53" s="113" t="str">
        <f>Base!C51</f>
        <v/>
      </c>
      <c r="R53" s="84">
        <f>IFERROR(Base!D51*$Q53,0)</f>
        <v>0</v>
      </c>
      <c r="S53" s="84">
        <f>IFERROR(Base!E51*$Q53,0)</f>
        <v>0</v>
      </c>
      <c r="T53" s="84">
        <f>IFERROR(Base!F51*$Q53,0)</f>
        <v>0</v>
      </c>
      <c r="U53" s="84">
        <f>IFERROR(Base!G51*$Q53,0)</f>
        <v>0</v>
      </c>
      <c r="V53" s="84">
        <f>IFERROR(Base!H51*$Q53,0)</f>
        <v>0</v>
      </c>
      <c r="W53" s="84">
        <f>IFERROR(Base!I51*$Q53,0)</f>
        <v>0</v>
      </c>
      <c r="X53" s="84">
        <f>IFERROR(Base!J51*$Q53,0)</f>
        <v>0</v>
      </c>
      <c r="Y53" s="84">
        <f>IFERROR(Base!K51*$Q53,0)</f>
        <v>0</v>
      </c>
      <c r="Z53" s="84">
        <f>IFERROR(Base!L51*$Q53,0)</f>
        <v>0</v>
      </c>
      <c r="AA53" s="84">
        <f>IFERROR(Base!M51*$Q53,0)</f>
        <v>0</v>
      </c>
      <c r="AB53" s="84">
        <f>IFERROR(Base!N51*$Q53,0)</f>
        <v>0</v>
      </c>
      <c r="AC53" s="84">
        <f>IFERROR(Base!O51*$Q53,0)</f>
        <v>0</v>
      </c>
      <c r="AD53" s="114">
        <f t="shared" si="24"/>
        <v>0</v>
      </c>
    </row>
    <row r="54" spans="2:30" ht="20.100000000000001" customHeight="1" x14ac:dyDescent="0.25">
      <c r="B54" s="121" t="s">
        <v>98</v>
      </c>
      <c r="C54" s="122">
        <v>0</v>
      </c>
      <c r="D54" s="122">
        <v>0</v>
      </c>
      <c r="E54" s="122">
        <v>0</v>
      </c>
      <c r="F54" s="122">
        <v>0</v>
      </c>
      <c r="G54" s="122">
        <v>0</v>
      </c>
      <c r="H54" s="122">
        <v>0</v>
      </c>
      <c r="I54" s="122">
        <v>0</v>
      </c>
      <c r="J54" s="122">
        <v>0</v>
      </c>
      <c r="K54" s="122">
        <v>0</v>
      </c>
      <c r="L54" s="122">
        <v>0</v>
      </c>
      <c r="M54" s="122">
        <v>0</v>
      </c>
      <c r="N54" s="122">
        <v>0</v>
      </c>
      <c r="O54" s="114">
        <f t="shared" si="27"/>
        <v>0</v>
      </c>
      <c r="Q54" s="113" t="str">
        <f>Base!C52</f>
        <v/>
      </c>
      <c r="R54" s="84">
        <f>IFERROR(Base!D52*$Q54,0)</f>
        <v>0</v>
      </c>
      <c r="S54" s="84">
        <f>IFERROR(Base!E52*$Q54,0)</f>
        <v>0</v>
      </c>
      <c r="T54" s="84">
        <f>IFERROR(Base!F52*$Q54,0)</f>
        <v>0</v>
      </c>
      <c r="U54" s="84">
        <f>IFERROR(Base!G52*$Q54,0)</f>
        <v>0</v>
      </c>
      <c r="V54" s="84">
        <f>IFERROR(Base!H52*$Q54,0)</f>
        <v>0</v>
      </c>
      <c r="W54" s="84">
        <f>IFERROR(Base!I52*$Q54,0)</f>
        <v>0</v>
      </c>
      <c r="X54" s="84">
        <f>IFERROR(Base!J52*$Q54,0)</f>
        <v>0</v>
      </c>
      <c r="Y54" s="84">
        <f>IFERROR(Base!K52*$Q54,0)</f>
        <v>0</v>
      </c>
      <c r="Z54" s="84">
        <f>IFERROR(Base!L52*$Q54,0)</f>
        <v>0</v>
      </c>
      <c r="AA54" s="84">
        <f>IFERROR(Base!M52*$Q54,0)</f>
        <v>0</v>
      </c>
      <c r="AB54" s="84">
        <f>IFERROR(Base!N52*$Q54,0)</f>
        <v>0</v>
      </c>
      <c r="AC54" s="84">
        <f>IFERROR(Base!O52*$Q54,0)</f>
        <v>0</v>
      </c>
      <c r="AD54" s="114">
        <f t="shared" si="24"/>
        <v>0</v>
      </c>
    </row>
    <row r="55" spans="2:30" ht="20.100000000000001" customHeight="1" x14ac:dyDescent="0.25">
      <c r="B55" s="121" t="s">
        <v>37</v>
      </c>
      <c r="C55" s="122">
        <v>0</v>
      </c>
      <c r="D55" s="122">
        <v>0</v>
      </c>
      <c r="E55" s="122">
        <v>0</v>
      </c>
      <c r="F55" s="122">
        <v>0</v>
      </c>
      <c r="G55" s="122">
        <v>0</v>
      </c>
      <c r="H55" s="122">
        <v>0</v>
      </c>
      <c r="I55" s="122">
        <v>0</v>
      </c>
      <c r="J55" s="122">
        <v>0</v>
      </c>
      <c r="K55" s="122">
        <v>0</v>
      </c>
      <c r="L55" s="122">
        <v>0</v>
      </c>
      <c r="M55" s="122">
        <v>0</v>
      </c>
      <c r="N55" s="122">
        <v>0</v>
      </c>
      <c r="O55" s="114">
        <f t="shared" si="27"/>
        <v>0</v>
      </c>
      <c r="Q55" s="115" t="s">
        <v>99</v>
      </c>
      <c r="R55" s="114">
        <f t="shared" ref="R55:AC55" si="28">SUM(R42:R54)</f>
        <v>0</v>
      </c>
      <c r="S55" s="114">
        <f t="shared" si="28"/>
        <v>0</v>
      </c>
      <c r="T55" s="114">
        <f t="shared" si="28"/>
        <v>0</v>
      </c>
      <c r="U55" s="114">
        <f t="shared" si="28"/>
        <v>0</v>
      </c>
      <c r="V55" s="114">
        <f t="shared" si="28"/>
        <v>0</v>
      </c>
      <c r="W55" s="114">
        <f t="shared" si="28"/>
        <v>0</v>
      </c>
      <c r="X55" s="114">
        <f t="shared" si="28"/>
        <v>0</v>
      </c>
      <c r="Y55" s="114">
        <f t="shared" si="28"/>
        <v>0</v>
      </c>
      <c r="Z55" s="114">
        <f t="shared" si="28"/>
        <v>0</v>
      </c>
      <c r="AA55" s="114">
        <f t="shared" si="28"/>
        <v>0</v>
      </c>
      <c r="AB55" s="114">
        <f t="shared" si="28"/>
        <v>0</v>
      </c>
      <c r="AC55" s="114">
        <f t="shared" si="28"/>
        <v>0</v>
      </c>
      <c r="AD55" s="114">
        <f>SUM(R55:AC55)</f>
        <v>0</v>
      </c>
    </row>
    <row r="56" spans="2:30" ht="20.100000000000001" customHeight="1" x14ac:dyDescent="0.25">
      <c r="B56" s="130" t="s">
        <v>38</v>
      </c>
      <c r="C56" s="129">
        <f>IFERROR(C47*$A$14,0)</f>
        <v>0</v>
      </c>
      <c r="D56" s="129">
        <f t="shared" ref="D56:N56" si="29">IFERROR(D47*$A$14,0)</f>
        <v>0</v>
      </c>
      <c r="E56" s="129">
        <f t="shared" si="29"/>
        <v>0</v>
      </c>
      <c r="F56" s="129">
        <f t="shared" si="29"/>
        <v>0</v>
      </c>
      <c r="G56" s="129">
        <f t="shared" si="29"/>
        <v>0</v>
      </c>
      <c r="H56" s="129">
        <f t="shared" si="29"/>
        <v>0</v>
      </c>
      <c r="I56" s="129">
        <f t="shared" si="29"/>
        <v>0</v>
      </c>
      <c r="J56" s="129">
        <f t="shared" si="29"/>
        <v>0</v>
      </c>
      <c r="K56" s="129">
        <f t="shared" si="29"/>
        <v>0</v>
      </c>
      <c r="L56" s="129">
        <f t="shared" si="29"/>
        <v>0</v>
      </c>
      <c r="M56" s="129">
        <f t="shared" si="29"/>
        <v>0</v>
      </c>
      <c r="N56" s="129">
        <f t="shared" si="29"/>
        <v>0</v>
      </c>
      <c r="O56" s="131">
        <f t="shared" si="27"/>
        <v>0</v>
      </c>
    </row>
    <row r="57" spans="2:30" ht="20.100000000000001" customHeight="1" x14ac:dyDescent="0.25">
      <c r="B57" s="121" t="s">
        <v>39</v>
      </c>
      <c r="C57" s="122">
        <v>0</v>
      </c>
      <c r="D57" s="122">
        <v>0</v>
      </c>
      <c r="E57" s="122">
        <v>0</v>
      </c>
      <c r="F57" s="122">
        <v>0</v>
      </c>
      <c r="G57" s="122">
        <v>0</v>
      </c>
      <c r="H57" s="122">
        <v>0</v>
      </c>
      <c r="I57" s="122">
        <v>0</v>
      </c>
      <c r="J57" s="122">
        <v>0</v>
      </c>
      <c r="K57" s="122">
        <v>0</v>
      </c>
      <c r="L57" s="122">
        <v>0</v>
      </c>
      <c r="M57" s="122">
        <v>0</v>
      </c>
      <c r="N57" s="122">
        <v>0</v>
      </c>
      <c r="O57" s="114">
        <f t="shared" si="27"/>
        <v>0</v>
      </c>
    </row>
    <row r="58" spans="2:30" ht="20.100000000000001" customHeight="1" x14ac:dyDescent="0.25">
      <c r="B58" s="115" t="s">
        <v>99</v>
      </c>
      <c r="C58" s="114">
        <f>SUM(C53:C57)</f>
        <v>0</v>
      </c>
      <c r="D58" s="114">
        <f>SUM(D53:D57)</f>
        <v>0</v>
      </c>
      <c r="E58" s="114">
        <f t="shared" ref="E58:N58" si="30">SUM(E53:E57)</f>
        <v>0</v>
      </c>
      <c r="F58" s="114">
        <f t="shared" si="30"/>
        <v>0</v>
      </c>
      <c r="G58" s="114">
        <f t="shared" si="30"/>
        <v>0</v>
      </c>
      <c r="H58" s="114">
        <f t="shared" si="30"/>
        <v>0</v>
      </c>
      <c r="I58" s="114">
        <f t="shared" si="30"/>
        <v>0</v>
      </c>
      <c r="J58" s="114">
        <f t="shared" si="30"/>
        <v>0</v>
      </c>
      <c r="K58" s="114">
        <f t="shared" si="30"/>
        <v>0</v>
      </c>
      <c r="L58" s="114">
        <f t="shared" si="30"/>
        <v>0</v>
      </c>
      <c r="M58" s="114">
        <f t="shared" si="30"/>
        <v>0</v>
      </c>
      <c r="N58" s="114">
        <f t="shared" si="30"/>
        <v>0</v>
      </c>
      <c r="O58" s="114">
        <f t="shared" si="27"/>
        <v>0</v>
      </c>
    </row>
    <row r="59" spans="2:30" ht="20.100000000000001" customHeight="1" x14ac:dyDescent="0.2">
      <c r="B59" s="120" t="s">
        <v>114</v>
      </c>
    </row>
    <row r="60" spans="2:30" ht="20.100000000000001" customHeight="1" x14ac:dyDescent="0.25">
      <c r="B60" s="112" t="s">
        <v>82</v>
      </c>
      <c r="C60" s="112" t="s">
        <v>83</v>
      </c>
      <c r="D60" s="112" t="s">
        <v>84</v>
      </c>
      <c r="E60" s="112" t="s">
        <v>85</v>
      </c>
      <c r="F60" s="112" t="s">
        <v>86</v>
      </c>
      <c r="G60" s="112" t="s">
        <v>87</v>
      </c>
      <c r="H60" s="112" t="s">
        <v>88</v>
      </c>
      <c r="I60" s="112" t="s">
        <v>89</v>
      </c>
      <c r="J60" s="112" t="s">
        <v>90</v>
      </c>
      <c r="K60" s="112" t="s">
        <v>91</v>
      </c>
      <c r="L60" s="112" t="s">
        <v>92</v>
      </c>
      <c r="M60" s="112" t="s">
        <v>93</v>
      </c>
      <c r="N60" s="112" t="s">
        <v>94</v>
      </c>
      <c r="O60" s="112" t="s">
        <v>95</v>
      </c>
    </row>
    <row r="61" spans="2:30" ht="20.100000000000001" customHeight="1" x14ac:dyDescent="0.25">
      <c r="B61" s="19" t="s">
        <v>102</v>
      </c>
      <c r="C61" s="116">
        <f>'Fat5'!D5</f>
        <v>0</v>
      </c>
      <c r="D61" s="116">
        <f>'Fat5'!E5</f>
        <v>0</v>
      </c>
      <c r="E61" s="116">
        <f>'Fat5'!F5</f>
        <v>0</v>
      </c>
      <c r="F61" s="116">
        <f>'Fat5'!G5</f>
        <v>0</v>
      </c>
      <c r="G61" s="116">
        <f>'Fat5'!H5</f>
        <v>0</v>
      </c>
      <c r="H61" s="116">
        <f>'Fat5'!I5</f>
        <v>0</v>
      </c>
      <c r="I61" s="116">
        <f>'Fat5'!J5</f>
        <v>0</v>
      </c>
      <c r="J61" s="116">
        <f>'Fat5'!K5</f>
        <v>0</v>
      </c>
      <c r="K61" s="116">
        <f>'Fat5'!L5</f>
        <v>0</v>
      </c>
      <c r="L61" s="116">
        <f>'Fat5'!M5</f>
        <v>0</v>
      </c>
      <c r="M61" s="116">
        <f>'Fat5'!N5</f>
        <v>0</v>
      </c>
      <c r="N61" s="116">
        <f>'Fat5'!O5</f>
        <v>0</v>
      </c>
      <c r="O61" s="119">
        <f>SUM(C61:N61)</f>
        <v>0</v>
      </c>
    </row>
    <row r="62" spans="2:30" ht="20.100000000000001" customHeight="1" x14ac:dyDescent="0.25">
      <c r="B62" s="19" t="s">
        <v>103</v>
      </c>
      <c r="C62" s="116">
        <f>'Fat5'!D6</f>
        <v>0</v>
      </c>
      <c r="D62" s="116">
        <f>'Fat5'!E6</f>
        <v>0</v>
      </c>
      <c r="E62" s="116">
        <f>'Fat5'!F6</f>
        <v>0</v>
      </c>
      <c r="F62" s="116">
        <f>'Fat5'!G6</f>
        <v>0</v>
      </c>
      <c r="G62" s="116">
        <f>'Fat5'!H6</f>
        <v>0</v>
      </c>
      <c r="H62" s="116">
        <f>'Fat5'!I6</f>
        <v>0</v>
      </c>
      <c r="I62" s="116">
        <f>'Fat5'!J6</f>
        <v>0</v>
      </c>
      <c r="J62" s="116">
        <f>'Fat5'!K6</f>
        <v>0</v>
      </c>
      <c r="K62" s="116">
        <f>'Fat5'!L6</f>
        <v>0</v>
      </c>
      <c r="L62" s="116">
        <f>'Fat5'!M6</f>
        <v>0</v>
      </c>
      <c r="M62" s="116">
        <f>'Fat5'!N6</f>
        <v>0</v>
      </c>
      <c r="N62" s="116">
        <f>'Fat5'!O6</f>
        <v>0</v>
      </c>
      <c r="O62" s="119">
        <f>SUM(C62:N62)</f>
        <v>0</v>
      </c>
    </row>
    <row r="63" spans="2:30" ht="20.100000000000001" customHeight="1" x14ac:dyDescent="0.25">
      <c r="B63" s="19" t="s">
        <v>104</v>
      </c>
      <c r="C63" s="116">
        <f>'Fat5'!D7</f>
        <v>0</v>
      </c>
      <c r="D63" s="116">
        <f>'Fat5'!E7</f>
        <v>0</v>
      </c>
      <c r="E63" s="116">
        <f>'Fat5'!F7</f>
        <v>0</v>
      </c>
      <c r="F63" s="116">
        <f>'Fat5'!G7</f>
        <v>0</v>
      </c>
      <c r="G63" s="116">
        <f>'Fat5'!H7</f>
        <v>0</v>
      </c>
      <c r="H63" s="116">
        <f>'Fat5'!I7</f>
        <v>0</v>
      </c>
      <c r="I63" s="116">
        <f>'Fat5'!J7</f>
        <v>0</v>
      </c>
      <c r="J63" s="116">
        <f>'Fat5'!K7</f>
        <v>0</v>
      </c>
      <c r="K63" s="116">
        <f>'Fat5'!L7</f>
        <v>0</v>
      </c>
      <c r="L63" s="116">
        <f>'Fat5'!M7</f>
        <v>0</v>
      </c>
      <c r="M63" s="116">
        <f>'Fat5'!N7</f>
        <v>0</v>
      </c>
      <c r="N63" s="116">
        <f>'Fat5'!O7</f>
        <v>0</v>
      </c>
      <c r="O63" s="119">
        <f>SUM(C63:N63)</f>
        <v>0</v>
      </c>
    </row>
    <row r="64" spans="2:30" ht="20.100000000000001" customHeight="1" x14ac:dyDescent="0.25">
      <c r="B64" s="118" t="s">
        <v>99</v>
      </c>
      <c r="C64" s="119">
        <f t="shared" ref="C64:N64" si="31">SUM(C61:C63)</f>
        <v>0</v>
      </c>
      <c r="D64" s="119">
        <f t="shared" si="31"/>
        <v>0</v>
      </c>
      <c r="E64" s="119">
        <f t="shared" si="31"/>
        <v>0</v>
      </c>
      <c r="F64" s="119">
        <f t="shared" si="31"/>
        <v>0</v>
      </c>
      <c r="G64" s="119">
        <f t="shared" si="31"/>
        <v>0</v>
      </c>
      <c r="H64" s="119">
        <f t="shared" si="31"/>
        <v>0</v>
      </c>
      <c r="I64" s="119">
        <f t="shared" si="31"/>
        <v>0</v>
      </c>
      <c r="J64" s="119">
        <f t="shared" si="31"/>
        <v>0</v>
      </c>
      <c r="K64" s="119">
        <f t="shared" si="31"/>
        <v>0</v>
      </c>
      <c r="L64" s="119">
        <f t="shared" si="31"/>
        <v>0</v>
      </c>
      <c r="M64" s="119">
        <f t="shared" si="31"/>
        <v>0</v>
      </c>
      <c r="N64" s="119">
        <f t="shared" si="31"/>
        <v>0</v>
      </c>
      <c r="O64" s="119">
        <f>SUM(C64:N64)</f>
        <v>0</v>
      </c>
    </row>
    <row r="66" spans="2:15" ht="20.100000000000001" customHeight="1" x14ac:dyDescent="0.25">
      <c r="B66" s="112" t="s">
        <v>82</v>
      </c>
      <c r="C66" s="112" t="s">
        <v>83</v>
      </c>
      <c r="D66" s="112" t="s">
        <v>84</v>
      </c>
      <c r="E66" s="112" t="s">
        <v>85</v>
      </c>
      <c r="F66" s="112" t="s">
        <v>86</v>
      </c>
      <c r="G66" s="112" t="s">
        <v>87</v>
      </c>
      <c r="H66" s="112" t="s">
        <v>88</v>
      </c>
      <c r="I66" s="112" t="s">
        <v>89</v>
      </c>
      <c r="J66" s="112" t="s">
        <v>90</v>
      </c>
      <c r="K66" s="112" t="s">
        <v>91</v>
      </c>
      <c r="L66" s="112" t="s">
        <v>92</v>
      </c>
      <c r="M66" s="112" t="s">
        <v>93</v>
      </c>
      <c r="N66" s="112" t="s">
        <v>94</v>
      </c>
      <c r="O66" s="112" t="s">
        <v>95</v>
      </c>
    </row>
    <row r="67" spans="2:15" ht="20.100000000000001" customHeight="1" x14ac:dyDescent="0.25">
      <c r="B67" s="121" t="s">
        <v>97</v>
      </c>
      <c r="C67" s="122">
        <v>0</v>
      </c>
      <c r="D67" s="122">
        <v>0</v>
      </c>
      <c r="E67" s="122">
        <v>0</v>
      </c>
      <c r="F67" s="122">
        <v>0</v>
      </c>
      <c r="G67" s="122">
        <v>0</v>
      </c>
      <c r="H67" s="122">
        <v>0</v>
      </c>
      <c r="I67" s="122">
        <v>0</v>
      </c>
      <c r="J67" s="122">
        <v>0</v>
      </c>
      <c r="K67" s="122">
        <v>0</v>
      </c>
      <c r="L67" s="122">
        <v>0</v>
      </c>
      <c r="M67" s="122">
        <v>0</v>
      </c>
      <c r="N67" s="122">
        <v>0</v>
      </c>
      <c r="O67" s="114">
        <f t="shared" ref="O67:O72" si="32">SUM(C67:N67)</f>
        <v>0</v>
      </c>
    </row>
    <row r="68" spans="2:15" ht="20.100000000000001" customHeight="1" x14ac:dyDescent="0.25">
      <c r="B68" s="121" t="s">
        <v>98</v>
      </c>
      <c r="C68" s="122">
        <v>0</v>
      </c>
      <c r="D68" s="122">
        <v>0</v>
      </c>
      <c r="E68" s="122">
        <v>0</v>
      </c>
      <c r="F68" s="122">
        <v>0</v>
      </c>
      <c r="G68" s="122">
        <v>0</v>
      </c>
      <c r="H68" s="122">
        <v>0</v>
      </c>
      <c r="I68" s="122">
        <v>0</v>
      </c>
      <c r="J68" s="122">
        <v>0</v>
      </c>
      <c r="K68" s="122">
        <v>0</v>
      </c>
      <c r="L68" s="122">
        <v>0</v>
      </c>
      <c r="M68" s="122">
        <v>0</v>
      </c>
      <c r="N68" s="122">
        <v>0</v>
      </c>
      <c r="O68" s="114">
        <f t="shared" si="32"/>
        <v>0</v>
      </c>
    </row>
    <row r="69" spans="2:15" ht="20.100000000000001" customHeight="1" x14ac:dyDescent="0.25">
      <c r="B69" s="121" t="s">
        <v>37</v>
      </c>
      <c r="C69" s="122">
        <v>0</v>
      </c>
      <c r="D69" s="122">
        <v>0</v>
      </c>
      <c r="E69" s="122">
        <v>0</v>
      </c>
      <c r="F69" s="122">
        <v>0</v>
      </c>
      <c r="G69" s="122">
        <v>0</v>
      </c>
      <c r="H69" s="122">
        <v>0</v>
      </c>
      <c r="I69" s="122">
        <v>0</v>
      </c>
      <c r="J69" s="122">
        <v>0</v>
      </c>
      <c r="K69" s="122">
        <v>0</v>
      </c>
      <c r="L69" s="122">
        <v>0</v>
      </c>
      <c r="M69" s="122">
        <v>0</v>
      </c>
      <c r="N69" s="122">
        <v>0</v>
      </c>
      <c r="O69" s="114">
        <f t="shared" si="32"/>
        <v>0</v>
      </c>
    </row>
    <row r="70" spans="2:15" ht="20.100000000000001" customHeight="1" x14ac:dyDescent="0.25">
      <c r="B70" s="121" t="s">
        <v>38</v>
      </c>
      <c r="C70" s="122">
        <v>0</v>
      </c>
      <c r="D70" s="122">
        <v>0</v>
      </c>
      <c r="E70" s="122">
        <v>0</v>
      </c>
      <c r="F70" s="122">
        <v>0</v>
      </c>
      <c r="G70" s="122">
        <v>0</v>
      </c>
      <c r="H70" s="122">
        <v>0</v>
      </c>
      <c r="I70" s="122">
        <v>0</v>
      </c>
      <c r="J70" s="122">
        <v>0</v>
      </c>
      <c r="K70" s="122">
        <v>0</v>
      </c>
      <c r="L70" s="122">
        <v>0</v>
      </c>
      <c r="M70" s="122">
        <v>0</v>
      </c>
      <c r="N70" s="122">
        <v>0</v>
      </c>
      <c r="O70" s="114">
        <f t="shared" si="32"/>
        <v>0</v>
      </c>
    </row>
    <row r="71" spans="2:15" ht="20.100000000000001" customHeight="1" x14ac:dyDescent="0.25">
      <c r="B71" s="121" t="s">
        <v>39</v>
      </c>
      <c r="C71" s="122">
        <v>0</v>
      </c>
      <c r="D71" s="122">
        <v>0</v>
      </c>
      <c r="E71" s="122">
        <v>0</v>
      </c>
      <c r="F71" s="122">
        <v>0</v>
      </c>
      <c r="G71" s="122">
        <v>0</v>
      </c>
      <c r="H71" s="122">
        <v>0</v>
      </c>
      <c r="I71" s="122">
        <v>0</v>
      </c>
      <c r="J71" s="122">
        <v>0</v>
      </c>
      <c r="K71" s="122">
        <v>0</v>
      </c>
      <c r="L71" s="122">
        <v>0</v>
      </c>
      <c r="M71" s="122">
        <v>0</v>
      </c>
      <c r="N71" s="122">
        <v>0</v>
      </c>
      <c r="O71" s="114">
        <f t="shared" si="32"/>
        <v>0</v>
      </c>
    </row>
    <row r="72" spans="2:15" ht="20.100000000000001" customHeight="1" x14ac:dyDescent="0.25">
      <c r="B72" s="115" t="s">
        <v>99</v>
      </c>
      <c r="C72" s="114">
        <f>SUM(C67:C71)</f>
        <v>0</v>
      </c>
      <c r="D72" s="114">
        <f>SUM(D67:D71)</f>
        <v>0</v>
      </c>
      <c r="E72" s="114">
        <f t="shared" ref="E72:N72" si="33">SUM(E67:E71)</f>
        <v>0</v>
      </c>
      <c r="F72" s="114">
        <f t="shared" si="33"/>
        <v>0</v>
      </c>
      <c r="G72" s="114">
        <f t="shared" si="33"/>
        <v>0</v>
      </c>
      <c r="H72" s="114">
        <f t="shared" si="33"/>
        <v>0</v>
      </c>
      <c r="I72" s="114">
        <f t="shared" si="33"/>
        <v>0</v>
      </c>
      <c r="J72" s="114">
        <f t="shared" si="33"/>
        <v>0</v>
      </c>
      <c r="K72" s="114">
        <f t="shared" si="33"/>
        <v>0</v>
      </c>
      <c r="L72" s="114">
        <f t="shared" si="33"/>
        <v>0</v>
      </c>
      <c r="M72" s="114">
        <f t="shared" si="33"/>
        <v>0</v>
      </c>
      <c r="N72" s="114">
        <f t="shared" si="33"/>
        <v>0</v>
      </c>
      <c r="O72" s="114">
        <f t="shared" si="32"/>
        <v>0</v>
      </c>
    </row>
    <row r="73" spans="2:15" ht="20.100000000000001" customHeight="1" x14ac:dyDescent="0.25">
      <c r="B73" s="277" t="s">
        <v>115</v>
      </c>
      <c r="C73" s="277"/>
      <c r="D73" s="277"/>
      <c r="E73" s="277"/>
      <c r="F73" s="277"/>
      <c r="G73" s="277"/>
      <c r="H73" s="277"/>
      <c r="I73" s="277"/>
      <c r="J73" s="277"/>
      <c r="K73" s="277"/>
      <c r="L73" s="277"/>
      <c r="M73" s="277"/>
      <c r="N73" s="277"/>
      <c r="O73" s="277"/>
    </row>
    <row r="74" spans="2:15" ht="20.100000000000001" customHeight="1" x14ac:dyDescent="0.25">
      <c r="B74" s="112" t="s">
        <v>82</v>
      </c>
      <c r="C74" s="112" t="s">
        <v>83</v>
      </c>
      <c r="D74" s="112" t="s">
        <v>84</v>
      </c>
      <c r="E74" s="112" t="s">
        <v>85</v>
      </c>
      <c r="F74" s="112" t="s">
        <v>86</v>
      </c>
      <c r="G74" s="112" t="s">
        <v>87</v>
      </c>
      <c r="H74" s="112" t="s">
        <v>88</v>
      </c>
      <c r="I74" s="112" t="s">
        <v>89</v>
      </c>
      <c r="J74" s="112" t="s">
        <v>90</v>
      </c>
      <c r="K74" s="112" t="s">
        <v>91</v>
      </c>
      <c r="L74" s="112" t="s">
        <v>92</v>
      </c>
      <c r="M74" s="112" t="s">
        <v>93</v>
      </c>
      <c r="N74" s="112" t="s">
        <v>94</v>
      </c>
      <c r="O74" s="112" t="s">
        <v>95</v>
      </c>
    </row>
    <row r="75" spans="2:15" ht="20.100000000000001" customHeight="1" x14ac:dyDescent="0.25">
      <c r="B75" s="19" t="s">
        <v>102</v>
      </c>
      <c r="C75" s="116">
        <f>IFERROR(C5+C19+C33+C47+C61,0)</f>
        <v>0</v>
      </c>
      <c r="D75" s="116">
        <f t="shared" ref="D75:N75" si="34">IFERROR(D5+D19+D33+D47+D61,0)</f>
        <v>0</v>
      </c>
      <c r="E75" s="116">
        <f t="shared" si="34"/>
        <v>0</v>
      </c>
      <c r="F75" s="116">
        <f t="shared" si="34"/>
        <v>0</v>
      </c>
      <c r="G75" s="116">
        <f t="shared" si="34"/>
        <v>0</v>
      </c>
      <c r="H75" s="116">
        <f t="shared" si="34"/>
        <v>0</v>
      </c>
      <c r="I75" s="116">
        <f t="shared" si="34"/>
        <v>0</v>
      </c>
      <c r="J75" s="116">
        <f t="shared" si="34"/>
        <v>0</v>
      </c>
      <c r="K75" s="116">
        <f t="shared" si="34"/>
        <v>0</v>
      </c>
      <c r="L75" s="116">
        <f t="shared" si="34"/>
        <v>0</v>
      </c>
      <c r="M75" s="116">
        <f t="shared" si="34"/>
        <v>0</v>
      </c>
      <c r="N75" s="116">
        <f t="shared" si="34"/>
        <v>0</v>
      </c>
      <c r="O75" s="119">
        <f>SUM(C75:N75)</f>
        <v>0</v>
      </c>
    </row>
    <row r="76" spans="2:15" ht="20.100000000000001" customHeight="1" x14ac:dyDescent="0.25">
      <c r="B76" s="19" t="s">
        <v>103</v>
      </c>
      <c r="C76" s="116">
        <f t="shared" ref="C76:N77" si="35">IFERROR(C6+C20+C34+C48+C62,0)</f>
        <v>134725</v>
      </c>
      <c r="D76" s="116">
        <f t="shared" si="35"/>
        <v>108391</v>
      </c>
      <c r="E76" s="116">
        <f t="shared" si="35"/>
        <v>133613</v>
      </c>
      <c r="F76" s="116">
        <f t="shared" si="35"/>
        <v>120356</v>
      </c>
      <c r="G76" s="116">
        <f t="shared" si="35"/>
        <v>119059</v>
      </c>
      <c r="H76" s="116">
        <f t="shared" si="35"/>
        <v>104241</v>
      </c>
      <c r="I76" s="116">
        <f t="shared" si="35"/>
        <v>123748</v>
      </c>
      <c r="J76" s="116">
        <f t="shared" si="35"/>
        <v>102602</v>
      </c>
      <c r="K76" s="116">
        <f t="shared" si="35"/>
        <v>109759</v>
      </c>
      <c r="L76" s="116">
        <f t="shared" si="35"/>
        <v>115659</v>
      </c>
      <c r="M76" s="116">
        <f t="shared" si="35"/>
        <v>110531</v>
      </c>
      <c r="N76" s="116">
        <f t="shared" si="35"/>
        <v>109533</v>
      </c>
      <c r="O76" s="119">
        <f>SUM(C76:N76)</f>
        <v>1392217</v>
      </c>
    </row>
    <row r="77" spans="2:15" ht="20.100000000000001" customHeight="1" x14ac:dyDescent="0.25">
      <c r="B77" s="19" t="s">
        <v>104</v>
      </c>
      <c r="C77" s="116">
        <f t="shared" si="35"/>
        <v>0</v>
      </c>
      <c r="D77" s="116">
        <f t="shared" si="35"/>
        <v>0</v>
      </c>
      <c r="E77" s="116">
        <f t="shared" si="35"/>
        <v>0</v>
      </c>
      <c r="F77" s="116">
        <f t="shared" si="35"/>
        <v>0</v>
      </c>
      <c r="G77" s="116">
        <f t="shared" si="35"/>
        <v>0</v>
      </c>
      <c r="H77" s="116">
        <f t="shared" si="35"/>
        <v>0</v>
      </c>
      <c r="I77" s="116">
        <f t="shared" si="35"/>
        <v>0</v>
      </c>
      <c r="J77" s="116">
        <f t="shared" si="35"/>
        <v>0</v>
      </c>
      <c r="K77" s="116">
        <f t="shared" si="35"/>
        <v>0</v>
      </c>
      <c r="L77" s="116">
        <f t="shared" si="35"/>
        <v>0</v>
      </c>
      <c r="M77" s="116">
        <f t="shared" si="35"/>
        <v>0</v>
      </c>
      <c r="N77" s="116">
        <f t="shared" si="35"/>
        <v>0</v>
      </c>
      <c r="O77" s="119">
        <f>SUM(C77:N77)</f>
        <v>0</v>
      </c>
    </row>
    <row r="78" spans="2:15" ht="20.100000000000001" customHeight="1" x14ac:dyDescent="0.25">
      <c r="B78" s="118" t="s">
        <v>99</v>
      </c>
      <c r="C78" s="119">
        <f t="shared" ref="C78:N78" si="36">SUM(C75:C77)</f>
        <v>134725</v>
      </c>
      <c r="D78" s="119">
        <f t="shared" si="36"/>
        <v>108391</v>
      </c>
      <c r="E78" s="119">
        <f t="shared" si="36"/>
        <v>133613</v>
      </c>
      <c r="F78" s="119">
        <f t="shared" si="36"/>
        <v>120356</v>
      </c>
      <c r="G78" s="119">
        <f t="shared" si="36"/>
        <v>119059</v>
      </c>
      <c r="H78" s="119">
        <f t="shared" si="36"/>
        <v>104241</v>
      </c>
      <c r="I78" s="119">
        <f t="shared" si="36"/>
        <v>123748</v>
      </c>
      <c r="J78" s="119">
        <f t="shared" si="36"/>
        <v>102602</v>
      </c>
      <c r="K78" s="119">
        <f t="shared" si="36"/>
        <v>109759</v>
      </c>
      <c r="L78" s="119">
        <f t="shared" si="36"/>
        <v>115659</v>
      </c>
      <c r="M78" s="119">
        <f t="shared" si="36"/>
        <v>110531</v>
      </c>
      <c r="N78" s="119">
        <f t="shared" si="36"/>
        <v>109533</v>
      </c>
      <c r="O78" s="119">
        <f>SUM(C78:N78)</f>
        <v>1392217</v>
      </c>
    </row>
    <row r="79" spans="2:15" ht="20.100000000000001" customHeight="1" x14ac:dyDescent="0.25">
      <c r="B79" s="277" t="s">
        <v>117</v>
      </c>
      <c r="C79" s="277"/>
      <c r="D79" s="277"/>
      <c r="E79" s="277"/>
      <c r="F79" s="277"/>
      <c r="G79" s="277"/>
      <c r="H79" s="277"/>
      <c r="I79" s="277"/>
      <c r="J79" s="277"/>
      <c r="K79" s="277"/>
      <c r="L79" s="277"/>
      <c r="M79" s="277"/>
      <c r="N79" s="277"/>
      <c r="O79" s="277"/>
    </row>
    <row r="80" spans="2:15" ht="20.100000000000001" customHeight="1" x14ac:dyDescent="0.25">
      <c r="B80" s="112" t="s">
        <v>82</v>
      </c>
      <c r="C80" s="112" t="s">
        <v>83</v>
      </c>
      <c r="D80" s="112" t="s">
        <v>84</v>
      </c>
      <c r="E80" s="112" t="s">
        <v>85</v>
      </c>
      <c r="F80" s="112" t="s">
        <v>86</v>
      </c>
      <c r="G80" s="112" t="s">
        <v>87</v>
      </c>
      <c r="H80" s="112" t="s">
        <v>88</v>
      </c>
      <c r="I80" s="112" t="s">
        <v>89</v>
      </c>
      <c r="J80" s="112" t="s">
        <v>90</v>
      </c>
      <c r="K80" s="112" t="s">
        <v>91</v>
      </c>
      <c r="L80" s="112" t="s">
        <v>92</v>
      </c>
      <c r="M80" s="112" t="s">
        <v>93</v>
      </c>
      <c r="N80" s="112" t="s">
        <v>94</v>
      </c>
      <c r="O80" s="112" t="s">
        <v>95</v>
      </c>
    </row>
    <row r="81" spans="2:15" ht="20.100000000000001" customHeight="1" x14ac:dyDescent="0.25">
      <c r="B81" s="121" t="s">
        <v>97</v>
      </c>
      <c r="C81" s="122">
        <f>IFERROR(C11+C25+C39+C53+C67,0)</f>
        <v>770.62699999999995</v>
      </c>
      <c r="D81" s="122">
        <f t="shared" ref="D81:N81" si="37">IFERROR(D11+D25+D39+D53+D67,0)</f>
        <v>619.99652000000003</v>
      </c>
      <c r="E81" s="122">
        <f t="shared" si="37"/>
        <v>764.26635999999996</v>
      </c>
      <c r="F81" s="122">
        <f t="shared" si="37"/>
        <v>688.43631999999991</v>
      </c>
      <c r="G81" s="122">
        <f t="shared" si="37"/>
        <v>681.01747999999998</v>
      </c>
      <c r="H81" s="122">
        <f t="shared" si="37"/>
        <v>596.25851999999998</v>
      </c>
      <c r="I81" s="122">
        <f t="shared" si="37"/>
        <v>707.83856000000003</v>
      </c>
      <c r="J81" s="122">
        <f t="shared" si="37"/>
        <v>586.88343999999995</v>
      </c>
      <c r="K81" s="122">
        <f t="shared" si="37"/>
        <v>627.82147999999995</v>
      </c>
      <c r="L81" s="122">
        <f t="shared" si="37"/>
        <v>661.56948</v>
      </c>
      <c r="M81" s="122">
        <f t="shared" si="37"/>
        <v>632.23731999999995</v>
      </c>
      <c r="N81" s="122">
        <f t="shared" si="37"/>
        <v>626.52876000000003</v>
      </c>
      <c r="O81" s="114">
        <f t="shared" ref="O81:O86" si="38">SUM(C81:N81)</f>
        <v>7963.4812400000001</v>
      </c>
    </row>
    <row r="82" spans="2:15" ht="20.100000000000001" customHeight="1" x14ac:dyDescent="0.25">
      <c r="B82" s="121" t="s">
        <v>98</v>
      </c>
      <c r="C82" s="122">
        <f t="shared" ref="C82:N85" si="39">IFERROR(C12+C26+C40+C54+C68,0)</f>
        <v>3556.74</v>
      </c>
      <c r="D82" s="122">
        <f t="shared" si="39"/>
        <v>2861.5223999999998</v>
      </c>
      <c r="E82" s="122">
        <f t="shared" si="39"/>
        <v>3527.3831999999998</v>
      </c>
      <c r="F82" s="122">
        <f t="shared" si="39"/>
        <v>3177.3984</v>
      </c>
      <c r="G82" s="122">
        <f t="shared" si="39"/>
        <v>3143.1576</v>
      </c>
      <c r="H82" s="122">
        <f t="shared" si="39"/>
        <v>2751.9623999999999</v>
      </c>
      <c r="I82" s="122">
        <f t="shared" si="39"/>
        <v>3266.9472000000001</v>
      </c>
      <c r="J82" s="122">
        <f t="shared" si="39"/>
        <v>2708.6927999999998</v>
      </c>
      <c r="K82" s="122">
        <f t="shared" si="39"/>
        <v>2897.6376</v>
      </c>
      <c r="L82" s="122">
        <f t="shared" si="39"/>
        <v>3053.3975999999998</v>
      </c>
      <c r="M82" s="122">
        <f t="shared" si="39"/>
        <v>2918.0183999999999</v>
      </c>
      <c r="N82" s="122">
        <f t="shared" si="39"/>
        <v>2891.6712000000002</v>
      </c>
      <c r="O82" s="114">
        <f t="shared" si="38"/>
        <v>36754.528799999993</v>
      </c>
    </row>
    <row r="83" spans="2:15" ht="20.100000000000001" customHeight="1" x14ac:dyDescent="0.25">
      <c r="B83" s="121" t="s">
        <v>37</v>
      </c>
      <c r="C83" s="122">
        <f t="shared" si="39"/>
        <v>16167</v>
      </c>
      <c r="D83" s="122">
        <f t="shared" si="39"/>
        <v>13006.92</v>
      </c>
      <c r="E83" s="122">
        <f t="shared" si="39"/>
        <v>16033.56</v>
      </c>
      <c r="F83" s="122">
        <f t="shared" si="39"/>
        <v>14442.72</v>
      </c>
      <c r="G83" s="122">
        <f t="shared" si="39"/>
        <v>14287.08</v>
      </c>
      <c r="H83" s="122">
        <f t="shared" si="39"/>
        <v>12508.92</v>
      </c>
      <c r="I83" s="122">
        <f t="shared" si="39"/>
        <v>14849.76</v>
      </c>
      <c r="J83" s="122">
        <f t="shared" si="39"/>
        <v>12312.24</v>
      </c>
      <c r="K83" s="122">
        <f t="shared" si="39"/>
        <v>13171.08</v>
      </c>
      <c r="L83" s="122">
        <f t="shared" si="39"/>
        <v>13879.08</v>
      </c>
      <c r="M83" s="122">
        <f t="shared" si="39"/>
        <v>13263.72</v>
      </c>
      <c r="N83" s="122">
        <f t="shared" si="39"/>
        <v>13143.96</v>
      </c>
      <c r="O83" s="114">
        <f t="shared" si="38"/>
        <v>167066.03999999998</v>
      </c>
    </row>
    <row r="84" spans="2:15" ht="20.100000000000001" customHeight="1" x14ac:dyDescent="0.25">
      <c r="B84" s="121" t="s">
        <v>38</v>
      </c>
      <c r="C84" s="122">
        <f t="shared" si="39"/>
        <v>0</v>
      </c>
      <c r="D84" s="122">
        <f t="shared" si="39"/>
        <v>0</v>
      </c>
      <c r="E84" s="122">
        <f t="shared" si="39"/>
        <v>0</v>
      </c>
      <c r="F84" s="122">
        <f t="shared" si="39"/>
        <v>0</v>
      </c>
      <c r="G84" s="122">
        <f t="shared" si="39"/>
        <v>0</v>
      </c>
      <c r="H84" s="122">
        <f t="shared" si="39"/>
        <v>0</v>
      </c>
      <c r="I84" s="122">
        <f t="shared" si="39"/>
        <v>0</v>
      </c>
      <c r="J84" s="122">
        <f t="shared" si="39"/>
        <v>0</v>
      </c>
      <c r="K84" s="122">
        <f t="shared" si="39"/>
        <v>0</v>
      </c>
      <c r="L84" s="122">
        <f t="shared" si="39"/>
        <v>0</v>
      </c>
      <c r="M84" s="122">
        <f t="shared" si="39"/>
        <v>0</v>
      </c>
      <c r="N84" s="122">
        <f t="shared" si="39"/>
        <v>0</v>
      </c>
      <c r="O84" s="114">
        <f t="shared" si="38"/>
        <v>0</v>
      </c>
    </row>
    <row r="85" spans="2:15" ht="20.100000000000001" customHeight="1" x14ac:dyDescent="0.25">
      <c r="B85" s="121" t="s">
        <v>39</v>
      </c>
      <c r="C85" s="122">
        <f t="shared" si="39"/>
        <v>0</v>
      </c>
      <c r="D85" s="122">
        <f t="shared" si="39"/>
        <v>0</v>
      </c>
      <c r="E85" s="122">
        <f t="shared" si="39"/>
        <v>0</v>
      </c>
      <c r="F85" s="122">
        <f t="shared" si="39"/>
        <v>0</v>
      </c>
      <c r="G85" s="122">
        <f t="shared" si="39"/>
        <v>0</v>
      </c>
      <c r="H85" s="122">
        <f t="shared" si="39"/>
        <v>0</v>
      </c>
      <c r="I85" s="122">
        <f t="shared" si="39"/>
        <v>0</v>
      </c>
      <c r="J85" s="122">
        <f t="shared" si="39"/>
        <v>0</v>
      </c>
      <c r="K85" s="122">
        <f t="shared" si="39"/>
        <v>0</v>
      </c>
      <c r="L85" s="122">
        <f t="shared" si="39"/>
        <v>0</v>
      </c>
      <c r="M85" s="122">
        <f t="shared" si="39"/>
        <v>0</v>
      </c>
      <c r="N85" s="122">
        <f t="shared" si="39"/>
        <v>0</v>
      </c>
      <c r="O85" s="114">
        <f t="shared" si="38"/>
        <v>0</v>
      </c>
    </row>
    <row r="86" spans="2:15" ht="20.100000000000001" customHeight="1" x14ac:dyDescent="0.25">
      <c r="B86" s="115" t="s">
        <v>99</v>
      </c>
      <c r="C86" s="114">
        <f>SUM(C81:C85)</f>
        <v>20494.366999999998</v>
      </c>
      <c r="D86" s="114">
        <f>SUM(D81:D85)</f>
        <v>16488.438920000001</v>
      </c>
      <c r="E86" s="114">
        <f t="shared" ref="E86:N86" si="40">SUM(E81:E85)</f>
        <v>20325.209559999999</v>
      </c>
      <c r="F86" s="114">
        <f t="shared" si="40"/>
        <v>18308.55472</v>
      </c>
      <c r="G86" s="114">
        <f t="shared" si="40"/>
        <v>18111.255079999999</v>
      </c>
      <c r="H86" s="114">
        <f t="shared" si="40"/>
        <v>15857.14092</v>
      </c>
      <c r="I86" s="114">
        <f t="shared" si="40"/>
        <v>18824.545760000001</v>
      </c>
      <c r="J86" s="114">
        <f t="shared" si="40"/>
        <v>15607.81624</v>
      </c>
      <c r="K86" s="114">
        <f t="shared" si="40"/>
        <v>16696.539079999999</v>
      </c>
      <c r="L86" s="114">
        <f t="shared" si="40"/>
        <v>17594.04708</v>
      </c>
      <c r="M86" s="114">
        <f t="shared" si="40"/>
        <v>16813.975719999999</v>
      </c>
      <c r="N86" s="114">
        <f t="shared" si="40"/>
        <v>16662.159960000001</v>
      </c>
      <c r="O86" s="114">
        <f t="shared" si="38"/>
        <v>211784.05003999994</v>
      </c>
    </row>
  </sheetData>
  <mergeCells count="3">
    <mergeCell ref="B2:C2"/>
    <mergeCell ref="B73:O73"/>
    <mergeCell ref="B79:O79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>
    <tabColor theme="9"/>
  </sheetPr>
  <dimension ref="A1:AD209"/>
  <sheetViews>
    <sheetView showGridLines="0" topLeftCell="A103" workbookViewId="0">
      <selection activeCell="C121" sqref="C121"/>
    </sheetView>
  </sheetViews>
  <sheetFormatPr defaultColWidth="20.7109375" defaultRowHeight="20.100000000000001" customHeight="1" x14ac:dyDescent="0.25"/>
  <cols>
    <col min="1" max="1" width="11" style="19" customWidth="1"/>
    <col min="2" max="15" width="12.7109375" style="19" customWidth="1"/>
    <col min="16" max="16" width="5.7109375" style="19" customWidth="1"/>
    <col min="17" max="17" width="12.7109375" style="144" customWidth="1"/>
    <col min="18" max="30" width="12.7109375" style="19" customWidth="1"/>
    <col min="31" max="16384" width="20.7109375" style="19"/>
  </cols>
  <sheetData>
    <row r="1" spans="2:30" s="20" customFormat="1" ht="20.100000000000001" customHeight="1" x14ac:dyDescent="0.25">
      <c r="Q1" s="143"/>
    </row>
    <row r="2" spans="2:30" s="22" customFormat="1" ht="20.100000000000001" customHeight="1" x14ac:dyDescent="0.25">
      <c r="B2" s="279" t="s">
        <v>143</v>
      </c>
      <c r="C2" s="279"/>
      <c r="D2" s="279"/>
      <c r="E2" s="279"/>
      <c r="Q2" s="170"/>
    </row>
    <row r="4" spans="2:30" ht="20.100000000000001" customHeight="1" x14ac:dyDescent="0.25">
      <c r="B4" s="112" t="s">
        <v>82</v>
      </c>
      <c r="C4" s="112" t="s">
        <v>83</v>
      </c>
      <c r="D4" s="112" t="s">
        <v>84</v>
      </c>
      <c r="E4" s="112" t="s">
        <v>85</v>
      </c>
      <c r="F4" s="112" t="s">
        <v>86</v>
      </c>
      <c r="G4" s="112" t="s">
        <v>87</v>
      </c>
      <c r="H4" s="112" t="s">
        <v>88</v>
      </c>
      <c r="I4" s="112" t="s">
        <v>89</v>
      </c>
      <c r="J4" s="112" t="s">
        <v>90</v>
      </c>
      <c r="K4" s="112" t="s">
        <v>91</v>
      </c>
      <c r="L4" s="112" t="s">
        <v>92</v>
      </c>
      <c r="M4" s="112" t="s">
        <v>93</v>
      </c>
      <c r="N4" s="112" t="s">
        <v>94</v>
      </c>
      <c r="O4" s="132"/>
    </row>
    <row r="5" spans="2:30" ht="20.100000000000001" customHeight="1" x14ac:dyDescent="0.25">
      <c r="B5" s="19" t="s">
        <v>120</v>
      </c>
      <c r="C5" s="132">
        <f>Simp1!D11</f>
        <v>0</v>
      </c>
      <c r="D5" s="132">
        <f>Simp1!E11</f>
        <v>0</v>
      </c>
      <c r="E5" s="132">
        <f>Simp1!F11</f>
        <v>0</v>
      </c>
      <c r="F5" s="132">
        <f>Simp1!G11</f>
        <v>0</v>
      </c>
      <c r="G5" s="132">
        <f>Simp1!H11</f>
        <v>0</v>
      </c>
      <c r="H5" s="132">
        <f>Simp1!I11</f>
        <v>0</v>
      </c>
      <c r="I5" s="132">
        <f>Simp1!J11</f>
        <v>0</v>
      </c>
      <c r="J5" s="132">
        <f>Simp1!K11</f>
        <v>0</v>
      </c>
      <c r="K5" s="132">
        <f>Simp1!L11</f>
        <v>0</v>
      </c>
      <c r="L5" s="132">
        <f>Simp1!M11</f>
        <v>0</v>
      </c>
      <c r="M5" s="132">
        <f>Simp1!N11</f>
        <v>0</v>
      </c>
      <c r="N5" s="132">
        <f>Simp1!O11</f>
        <v>0</v>
      </c>
      <c r="O5" s="132"/>
    </row>
    <row r="7" spans="2:30" ht="20.100000000000001" customHeight="1" x14ac:dyDescent="0.2">
      <c r="B7" s="120" t="s">
        <v>109</v>
      </c>
    </row>
    <row r="8" spans="2:30" ht="20.100000000000001" customHeight="1" x14ac:dyDescent="0.25">
      <c r="B8" s="112" t="s">
        <v>82</v>
      </c>
      <c r="C8" s="112" t="s">
        <v>83</v>
      </c>
      <c r="D8" s="112" t="s">
        <v>84</v>
      </c>
      <c r="E8" s="112" t="s">
        <v>85</v>
      </c>
      <c r="F8" s="112" t="s">
        <v>86</v>
      </c>
      <c r="G8" s="112" t="s">
        <v>87</v>
      </c>
      <c r="H8" s="112" t="s">
        <v>88</v>
      </c>
      <c r="I8" s="112" t="s">
        <v>89</v>
      </c>
      <c r="J8" s="112" t="s">
        <v>90</v>
      </c>
      <c r="K8" s="112" t="s">
        <v>91</v>
      </c>
      <c r="L8" s="112" t="s">
        <v>92</v>
      </c>
      <c r="M8" s="112" t="s">
        <v>93</v>
      </c>
      <c r="N8" s="112" t="s">
        <v>94</v>
      </c>
      <c r="O8" s="112" t="s">
        <v>95</v>
      </c>
    </row>
    <row r="9" spans="2:30" ht="20.100000000000001" customHeight="1" x14ac:dyDescent="0.25">
      <c r="B9" s="19" t="s">
        <v>80</v>
      </c>
      <c r="C9" s="116">
        <f>Simp1!D5</f>
        <v>0</v>
      </c>
      <c r="D9" s="116">
        <f>Simp1!E5</f>
        <v>0</v>
      </c>
      <c r="E9" s="116">
        <f>Simp1!F5</f>
        <v>0</v>
      </c>
      <c r="F9" s="116">
        <f>Simp1!G5</f>
        <v>0</v>
      </c>
      <c r="G9" s="116">
        <f>Simp1!H5</f>
        <v>0</v>
      </c>
      <c r="H9" s="116">
        <f>Simp1!I5</f>
        <v>0</v>
      </c>
      <c r="I9" s="116">
        <f>Simp1!J5</f>
        <v>0</v>
      </c>
      <c r="J9" s="116">
        <f>Simp1!K5</f>
        <v>0</v>
      </c>
      <c r="K9" s="116">
        <f>Simp1!L5</f>
        <v>0</v>
      </c>
      <c r="L9" s="116">
        <f>Simp1!M5</f>
        <v>0</v>
      </c>
      <c r="M9" s="116">
        <f>Simp1!N5</f>
        <v>0</v>
      </c>
      <c r="N9" s="116">
        <f>Simp1!O5</f>
        <v>0</v>
      </c>
      <c r="O9" s="119">
        <f t="shared" ref="O9:O14" si="0">SUM(C9:N9)</f>
        <v>0</v>
      </c>
    </row>
    <row r="10" spans="2:30" ht="20.100000000000001" customHeight="1" x14ac:dyDescent="0.25">
      <c r="B10" s="19" t="s">
        <v>81</v>
      </c>
      <c r="C10" s="116">
        <f>Simp1!D6</f>
        <v>0</v>
      </c>
      <c r="D10" s="116">
        <f>Simp1!E6</f>
        <v>0</v>
      </c>
      <c r="E10" s="116">
        <f>Simp1!F6</f>
        <v>0</v>
      </c>
      <c r="F10" s="116">
        <f>Simp1!G6</f>
        <v>0</v>
      </c>
      <c r="G10" s="116">
        <f>Simp1!H6</f>
        <v>0</v>
      </c>
      <c r="H10" s="116">
        <f>Simp1!I6</f>
        <v>0</v>
      </c>
      <c r="I10" s="116">
        <f>Simp1!J6</f>
        <v>0</v>
      </c>
      <c r="J10" s="116">
        <f>Simp1!K6</f>
        <v>0</v>
      </c>
      <c r="K10" s="116">
        <f>Simp1!L6</f>
        <v>0</v>
      </c>
      <c r="L10" s="116">
        <f>Simp1!M6</f>
        <v>0</v>
      </c>
      <c r="M10" s="116">
        <f>Simp1!N6</f>
        <v>0</v>
      </c>
      <c r="N10" s="116">
        <f>Simp1!O6</f>
        <v>0</v>
      </c>
      <c r="O10" s="119">
        <f t="shared" si="0"/>
        <v>0</v>
      </c>
    </row>
    <row r="11" spans="2:30" ht="20.100000000000001" customHeight="1" x14ac:dyDescent="0.25">
      <c r="B11" s="19" t="s">
        <v>75</v>
      </c>
      <c r="C11" s="116">
        <f>Simp1!D7</f>
        <v>0</v>
      </c>
      <c r="D11" s="116">
        <f>Simp1!E7</f>
        <v>0</v>
      </c>
      <c r="E11" s="116">
        <f>Simp1!F7</f>
        <v>0</v>
      </c>
      <c r="F11" s="116">
        <f>Simp1!G7</f>
        <v>0</v>
      </c>
      <c r="G11" s="116">
        <f>Simp1!H7</f>
        <v>0</v>
      </c>
      <c r="H11" s="116">
        <f>Simp1!I7</f>
        <v>0</v>
      </c>
      <c r="I11" s="116">
        <f>Simp1!J7</f>
        <v>0</v>
      </c>
      <c r="J11" s="116">
        <f>Simp1!K7</f>
        <v>0</v>
      </c>
      <c r="K11" s="116">
        <f>Simp1!L7</f>
        <v>0</v>
      </c>
      <c r="L11" s="116">
        <f>Simp1!M7</f>
        <v>0</v>
      </c>
      <c r="M11" s="116">
        <f>Simp1!N7</f>
        <v>0</v>
      </c>
      <c r="N11" s="116">
        <f>Simp1!O7</f>
        <v>0</v>
      </c>
      <c r="O11" s="119">
        <f t="shared" si="0"/>
        <v>0</v>
      </c>
    </row>
    <row r="12" spans="2:30" ht="20.100000000000001" customHeight="1" x14ac:dyDescent="0.25">
      <c r="B12" s="19" t="s">
        <v>76</v>
      </c>
      <c r="C12" s="116">
        <f>Simp1!D8</f>
        <v>0</v>
      </c>
      <c r="D12" s="116">
        <f>Simp1!E8</f>
        <v>0</v>
      </c>
      <c r="E12" s="116">
        <f>Simp1!F8</f>
        <v>0</v>
      </c>
      <c r="F12" s="116">
        <f>Simp1!G8</f>
        <v>0</v>
      </c>
      <c r="G12" s="116">
        <f>Simp1!H8</f>
        <v>0</v>
      </c>
      <c r="H12" s="116">
        <f>Simp1!I8</f>
        <v>0</v>
      </c>
      <c r="I12" s="116">
        <f>Simp1!J8</f>
        <v>0</v>
      </c>
      <c r="J12" s="116">
        <f>Simp1!K8</f>
        <v>0</v>
      </c>
      <c r="K12" s="116">
        <f>Simp1!L8</f>
        <v>0</v>
      </c>
      <c r="L12" s="116">
        <f>Simp1!M8</f>
        <v>0</v>
      </c>
      <c r="M12" s="116">
        <f>Simp1!N8</f>
        <v>0</v>
      </c>
      <c r="N12" s="116">
        <f>Simp1!O8</f>
        <v>0</v>
      </c>
      <c r="O12" s="119">
        <f t="shared" si="0"/>
        <v>0</v>
      </c>
    </row>
    <row r="13" spans="2:30" ht="20.100000000000001" customHeight="1" x14ac:dyDescent="0.25">
      <c r="B13" s="19" t="s">
        <v>77</v>
      </c>
      <c r="C13" s="116">
        <f>Simp1!D9</f>
        <v>0</v>
      </c>
      <c r="D13" s="116">
        <f>Simp1!E9</f>
        <v>0</v>
      </c>
      <c r="E13" s="116">
        <f>Simp1!F9</f>
        <v>0</v>
      </c>
      <c r="F13" s="116">
        <f>Simp1!G9</f>
        <v>0</v>
      </c>
      <c r="G13" s="116">
        <f>Simp1!H9</f>
        <v>0</v>
      </c>
      <c r="H13" s="116">
        <f>Simp1!I9</f>
        <v>0</v>
      </c>
      <c r="I13" s="116">
        <f>Simp1!J9</f>
        <v>0</v>
      </c>
      <c r="J13" s="116">
        <f>Simp1!K9</f>
        <v>0</v>
      </c>
      <c r="K13" s="116">
        <f>Simp1!L9</f>
        <v>0</v>
      </c>
      <c r="L13" s="116">
        <f>Simp1!M9</f>
        <v>0</v>
      </c>
      <c r="M13" s="116">
        <f>Simp1!N9</f>
        <v>0</v>
      </c>
      <c r="N13" s="116">
        <f>Simp1!O9</f>
        <v>0</v>
      </c>
      <c r="O13" s="119">
        <f t="shared" si="0"/>
        <v>0</v>
      </c>
    </row>
    <row r="14" spans="2:30" ht="20.100000000000001" customHeight="1" x14ac:dyDescent="0.25">
      <c r="B14" s="118" t="s">
        <v>99</v>
      </c>
      <c r="C14" s="119">
        <f>SUM(C9:C13)</f>
        <v>0</v>
      </c>
      <c r="D14" s="119">
        <f t="shared" ref="D14:N14" si="1">SUM(D9:D13)</f>
        <v>0</v>
      </c>
      <c r="E14" s="119">
        <f t="shared" si="1"/>
        <v>0</v>
      </c>
      <c r="F14" s="119">
        <f t="shared" si="1"/>
        <v>0</v>
      </c>
      <c r="G14" s="119">
        <f t="shared" si="1"/>
        <v>0</v>
      </c>
      <c r="H14" s="119">
        <f t="shared" si="1"/>
        <v>0</v>
      </c>
      <c r="I14" s="119">
        <f t="shared" si="1"/>
        <v>0</v>
      </c>
      <c r="J14" s="119">
        <f t="shared" si="1"/>
        <v>0</v>
      </c>
      <c r="K14" s="119">
        <f t="shared" si="1"/>
        <v>0</v>
      </c>
      <c r="L14" s="119">
        <f t="shared" si="1"/>
        <v>0</v>
      </c>
      <c r="M14" s="119">
        <f t="shared" si="1"/>
        <v>0</v>
      </c>
      <c r="N14" s="119">
        <f t="shared" si="1"/>
        <v>0</v>
      </c>
      <c r="O14" s="119">
        <f t="shared" si="0"/>
        <v>0</v>
      </c>
    </row>
    <row r="16" spans="2:30" ht="20.100000000000001" customHeight="1" x14ac:dyDescent="0.25">
      <c r="B16" s="112" t="s">
        <v>82</v>
      </c>
      <c r="C16" s="112" t="s">
        <v>83</v>
      </c>
      <c r="D16" s="112" t="s">
        <v>84</v>
      </c>
      <c r="E16" s="112" t="s">
        <v>85</v>
      </c>
      <c r="F16" s="112" t="s">
        <v>86</v>
      </c>
      <c r="G16" s="112" t="s">
        <v>87</v>
      </c>
      <c r="H16" s="112" t="s">
        <v>88</v>
      </c>
      <c r="I16" s="112" t="s">
        <v>89</v>
      </c>
      <c r="J16" s="112" t="s">
        <v>90</v>
      </c>
      <c r="K16" s="112" t="s">
        <v>91</v>
      </c>
      <c r="L16" s="112" t="s">
        <v>92</v>
      </c>
      <c r="M16" s="112" t="s">
        <v>93</v>
      </c>
      <c r="N16" s="112" t="s">
        <v>94</v>
      </c>
      <c r="O16" s="112" t="s">
        <v>95</v>
      </c>
      <c r="Q16" s="145" t="s">
        <v>82</v>
      </c>
      <c r="R16" s="112" t="s">
        <v>83</v>
      </c>
      <c r="S16" s="112" t="s">
        <v>84</v>
      </c>
      <c r="T16" s="112" t="s">
        <v>85</v>
      </c>
      <c r="U16" s="112" t="s">
        <v>86</v>
      </c>
      <c r="V16" s="112" t="s">
        <v>87</v>
      </c>
      <c r="W16" s="112" t="s">
        <v>88</v>
      </c>
      <c r="X16" s="112" t="s">
        <v>89</v>
      </c>
      <c r="Y16" s="112" t="s">
        <v>90</v>
      </c>
      <c r="Z16" s="112" t="s">
        <v>91</v>
      </c>
      <c r="AA16" s="112" t="s">
        <v>92</v>
      </c>
      <c r="AB16" s="112" t="s">
        <v>93</v>
      </c>
      <c r="AC16" s="112" t="s">
        <v>94</v>
      </c>
      <c r="AD16" s="112" t="s">
        <v>95</v>
      </c>
    </row>
    <row r="17" spans="2:30" ht="20.100000000000001" customHeight="1" x14ac:dyDescent="0.25">
      <c r="B17" s="19" t="s">
        <v>80</v>
      </c>
      <c r="C17" s="132">
        <f>C9</f>
        <v>0</v>
      </c>
      <c r="D17" s="132">
        <f t="shared" ref="D17:N17" si="2">D9</f>
        <v>0</v>
      </c>
      <c r="E17" s="132">
        <f t="shared" si="2"/>
        <v>0</v>
      </c>
      <c r="F17" s="132">
        <f t="shared" si="2"/>
        <v>0</v>
      </c>
      <c r="G17" s="132">
        <f t="shared" si="2"/>
        <v>0</v>
      </c>
      <c r="H17" s="132">
        <f t="shared" si="2"/>
        <v>0</v>
      </c>
      <c r="I17" s="132">
        <f t="shared" si="2"/>
        <v>0</v>
      </c>
      <c r="J17" s="132">
        <f t="shared" si="2"/>
        <v>0</v>
      </c>
      <c r="K17" s="132">
        <f t="shared" si="2"/>
        <v>0</v>
      </c>
      <c r="L17" s="132">
        <f t="shared" si="2"/>
        <v>0</v>
      </c>
      <c r="M17" s="132">
        <f t="shared" si="2"/>
        <v>0</v>
      </c>
      <c r="N17" s="132">
        <f t="shared" si="2"/>
        <v>0</v>
      </c>
      <c r="O17" s="119">
        <f t="shared" ref="O17:O22" si="3">SUM(C17:N17)</f>
        <v>0</v>
      </c>
      <c r="Q17" s="144" t="s">
        <v>80</v>
      </c>
      <c r="R17" s="132">
        <f>C9</f>
        <v>0</v>
      </c>
      <c r="S17" s="132">
        <f t="shared" ref="S17:AC17" si="4">D9</f>
        <v>0</v>
      </c>
      <c r="T17" s="132">
        <f t="shared" si="4"/>
        <v>0</v>
      </c>
      <c r="U17" s="132">
        <f t="shared" si="4"/>
        <v>0</v>
      </c>
      <c r="V17" s="132">
        <f t="shared" si="4"/>
        <v>0</v>
      </c>
      <c r="W17" s="132">
        <f t="shared" si="4"/>
        <v>0</v>
      </c>
      <c r="X17" s="132">
        <f t="shared" si="4"/>
        <v>0</v>
      </c>
      <c r="Y17" s="132">
        <f t="shared" si="4"/>
        <v>0</v>
      </c>
      <c r="Z17" s="132">
        <f t="shared" si="4"/>
        <v>0</v>
      </c>
      <c r="AA17" s="132">
        <f t="shared" si="4"/>
        <v>0</v>
      </c>
      <c r="AB17" s="132">
        <f t="shared" si="4"/>
        <v>0</v>
      </c>
      <c r="AC17" s="132">
        <f t="shared" si="4"/>
        <v>0</v>
      </c>
      <c r="AD17" s="119">
        <f t="shared" ref="AD17:AD22" si="5">SUM(R17:AC17)</f>
        <v>0</v>
      </c>
    </row>
    <row r="18" spans="2:30" ht="20.100000000000001" customHeight="1" x14ac:dyDescent="0.25">
      <c r="B18" s="19" t="s">
        <v>121</v>
      </c>
      <c r="C18" s="133">
        <f>IF(C5&lt;=TabS!$G$5,TabS!$H$5,IF(C5&lt;=TabS!$G$6,TabS!$H$6,IF(C5&lt;=TabS!$G$7,TabS!$H$7,IF(C5&lt;=TabS!$G$8,TabS!$H$8,IF(C5&lt;=TabS!$G$9,TabS!$H$9,IF(C5&lt;=TabS!$G$10,TabS!$H$10))))))</f>
        <v>0.04</v>
      </c>
      <c r="D18" s="133">
        <f>IF(D5&lt;=TabS!$G$5,TabS!$H$5,IF(D5&lt;=TabS!$G$6,TabS!$H$6,IF(D5&lt;=TabS!$G$7,TabS!$H$7,IF(D5&lt;=TabS!$G$8,TabS!$H$8,IF(D5&lt;=TabS!$G$9,TabS!$H$9,IF(D5&lt;=TabS!$G$10,TabS!$H$10))))))</f>
        <v>0.04</v>
      </c>
      <c r="E18" s="133">
        <f>IF(E5&lt;=TabS!$G$5,TabS!$H$5,IF(E5&lt;=TabS!$G$6,TabS!$H$6,IF(E5&lt;=TabS!$G$7,TabS!$H$7,IF(E5&lt;=TabS!$G$8,TabS!$H$8,IF(E5&lt;=TabS!$G$9,TabS!$H$9,IF(E5&lt;=TabS!$G$10,TabS!$H$10))))))</f>
        <v>0.04</v>
      </c>
      <c r="F18" s="133">
        <f>IF(F5&lt;=TabS!$G$5,TabS!$H$5,IF(F5&lt;=TabS!$G$6,TabS!$H$6,IF(F5&lt;=TabS!$G$7,TabS!$H$7,IF(F5&lt;=TabS!$G$8,TabS!$H$8,IF(F5&lt;=TabS!$G$9,TabS!$H$9,IF(F5&lt;=TabS!$G$10,TabS!$H$10))))))</f>
        <v>0.04</v>
      </c>
      <c r="G18" s="133">
        <f>IF(G5&lt;=TabS!$G$5,TabS!$H$5,IF(G5&lt;=TabS!$G$6,TabS!$H$6,IF(G5&lt;=TabS!$G$7,TabS!$H$7,IF(G5&lt;=TabS!$G$8,TabS!$H$8,IF(G5&lt;=TabS!$G$9,TabS!$H$9,IF(G5&lt;=TabS!$G$10,TabS!$H$10))))))</f>
        <v>0.04</v>
      </c>
      <c r="H18" s="133">
        <f>IF(H5&lt;=TabS!$G$5,TabS!$H$5,IF(H5&lt;=TabS!$G$6,TabS!$H$6,IF(H5&lt;=TabS!$G$7,TabS!$H$7,IF(H5&lt;=TabS!$G$8,TabS!$H$8,IF(H5&lt;=TabS!$G$9,TabS!$H$9,IF(H5&lt;=TabS!$G$10,TabS!$H$10))))))</f>
        <v>0.04</v>
      </c>
      <c r="I18" s="133">
        <f>IF(I5&lt;=TabS!$G$5,TabS!$H$5,IF(I5&lt;=TabS!$G$6,TabS!$H$6,IF(I5&lt;=TabS!$G$7,TabS!$H$7,IF(I5&lt;=TabS!$G$8,TabS!$H$8,IF(I5&lt;=TabS!$G$9,TabS!$H$9,IF(I5&lt;=TabS!$G$10,TabS!$H$10))))))</f>
        <v>0.04</v>
      </c>
      <c r="J18" s="133">
        <f>IF(J5&lt;=TabS!$G$5,TabS!$H$5,IF(J5&lt;=TabS!$G$6,TabS!$H$6,IF(J5&lt;=TabS!$G$7,TabS!$H$7,IF(J5&lt;=TabS!$G$8,TabS!$H$8,IF(J5&lt;=TabS!$G$9,TabS!$H$9,IF(J5&lt;=TabS!$G$10,TabS!$H$10))))))</f>
        <v>0.04</v>
      </c>
      <c r="K18" s="133">
        <f>IF(K5&lt;=TabS!$G$5,TabS!$H$5,IF(K5&lt;=TabS!$G$6,TabS!$H$6,IF(K5&lt;=TabS!$G$7,TabS!$H$7,IF(K5&lt;=TabS!$G$8,TabS!$H$8,IF(K5&lt;=TabS!$G$9,TabS!$H$9,IF(K5&lt;=TabS!$G$10,TabS!$H$10))))))</f>
        <v>0.04</v>
      </c>
      <c r="L18" s="133">
        <f>IF(L5&lt;=TabS!$G$5,TabS!$H$5,IF(L5&lt;=TabS!$G$6,TabS!$H$6,IF(L5&lt;=TabS!$G$7,TabS!$H$7,IF(L5&lt;=TabS!$G$8,TabS!$H$8,IF(L5&lt;=TabS!$G$9,TabS!$H$9,IF(L5&lt;=TabS!$G$10,TabS!$H$10))))))</f>
        <v>0.04</v>
      </c>
      <c r="M18" s="133">
        <f>IF(M5&lt;=TabS!$G$5,TabS!$H$5,IF(M5&lt;=TabS!$G$6,TabS!$H$6,IF(M5&lt;=TabS!$G$7,TabS!$H$7,IF(M5&lt;=TabS!$G$8,TabS!$H$8,IF(M5&lt;=TabS!$G$9,TabS!$H$9,IF(M5&lt;=TabS!$G$10,TabS!$H$10))))))</f>
        <v>0.04</v>
      </c>
      <c r="N18" s="133">
        <f>IF(N5&lt;=TabS!$G$5,TabS!$H$5,IF(N5&lt;=TabS!$G$6,TabS!$H$6,IF(N5&lt;=TabS!$G$7,TabS!$H$7,IF(N5&lt;=TabS!$G$8,TabS!$H$8,IF(N5&lt;=TabS!$G$9,TabS!$H$9,IF(N5&lt;=TabS!$G$10,TabS!$H$10))))))</f>
        <v>0.04</v>
      </c>
      <c r="O18" s="134">
        <f t="shared" si="3"/>
        <v>0.47999999999999993</v>
      </c>
      <c r="Q18" s="144" t="s">
        <v>121</v>
      </c>
      <c r="R18" s="133">
        <f>IF(C5&lt;=TabS!$G$5,TabS!$H$5,IF(C5&lt;=TabS!$G$6,TabS!$H$6,IF(C5&lt;=TabS!$G$7,TabS!$H$7,IF(C5&lt;=TabS!$G$8,TabS!$H$8,IF(C5&lt;=TabS!$G$9,TabS!$H$9,IF(C5&lt;=TabS!$G$10,TabS!$H$10))))))</f>
        <v>0.04</v>
      </c>
      <c r="S18" s="133">
        <f>IF(D5&lt;=TabS!$G$5,TabS!$H$5,IF(D5&lt;=TabS!$G$6,TabS!$H$6,IF(D5&lt;=TabS!$G$7,TabS!$H$7,IF(D5&lt;=TabS!$G$8,TabS!$H$8,IF(D5&lt;=TabS!$G$9,TabS!$H$9,IF(D5&lt;=TabS!$G$10,TabS!$H$10))))))</f>
        <v>0.04</v>
      </c>
      <c r="T18" s="133">
        <f>IF(E5&lt;=TabS!$G$5,TabS!$H$5,IF(E5&lt;=TabS!$G$6,TabS!$H$6,IF(E5&lt;=TabS!$G$7,TabS!$H$7,IF(E5&lt;=TabS!$G$8,TabS!$H$8,IF(E5&lt;=TabS!$G$9,TabS!$H$9,IF(E5&lt;=TabS!$G$10,TabS!$H$10))))))</f>
        <v>0.04</v>
      </c>
      <c r="U18" s="133">
        <f>IF(F5&lt;=TabS!$G$5,TabS!$H$5,IF(F5&lt;=TabS!$G$6,TabS!$H$6,IF(F5&lt;=TabS!$G$7,TabS!$H$7,IF(F5&lt;=TabS!$G$8,TabS!$H$8,IF(F5&lt;=TabS!$G$9,TabS!$H$9,IF(F5&lt;=TabS!$G$10,TabS!$H$10))))))</f>
        <v>0.04</v>
      </c>
      <c r="V18" s="133">
        <f>IF(G5&lt;=TabS!$G$5,TabS!$H$5,IF(G5&lt;=TabS!$G$6,TabS!$H$6,IF(G5&lt;=TabS!$G$7,TabS!$H$7,IF(G5&lt;=TabS!$G$8,TabS!$H$8,IF(G5&lt;=TabS!$G$9,TabS!$H$9,IF(G5&lt;=TabS!$G$10,TabS!$H$10))))))</f>
        <v>0.04</v>
      </c>
      <c r="W18" s="133">
        <f>IF(H5&lt;=TabS!$G$5,TabS!$H$5,IF(H5&lt;=TabS!$G$6,TabS!$H$6,IF(H5&lt;=TabS!$G$7,TabS!$H$7,IF(H5&lt;=TabS!$G$8,TabS!$H$8,IF(H5&lt;=TabS!$G$9,TabS!$H$9,IF(H5&lt;=TabS!$G$10,TabS!$H$10))))))</f>
        <v>0.04</v>
      </c>
      <c r="X18" s="133">
        <f>IF(I5&lt;=TabS!$G$5,TabS!$H$5,IF(I5&lt;=TabS!$G$6,TabS!$H$6,IF(I5&lt;=TabS!$G$7,TabS!$H$7,IF(I5&lt;=TabS!$G$8,TabS!$H$8,IF(I5&lt;=TabS!$G$9,TabS!$H$9,IF(I5&lt;=TabS!$G$10,TabS!$H$10))))))</f>
        <v>0.04</v>
      </c>
      <c r="Y18" s="133">
        <f>IF(J5&lt;=TabS!$G$5,TabS!$H$5,IF(J5&lt;=TabS!$G$6,TabS!$H$6,IF(J5&lt;=TabS!$G$7,TabS!$H$7,IF(J5&lt;=TabS!$G$8,TabS!$H$8,IF(J5&lt;=TabS!$G$9,TabS!$H$9,IF(J5&lt;=TabS!$G$10,TabS!$H$10))))))</f>
        <v>0.04</v>
      </c>
      <c r="Z18" s="133">
        <f>IF(K5&lt;=TabS!$G$5,TabS!$H$5,IF(K5&lt;=TabS!$G$6,TabS!$H$6,IF(K5&lt;=TabS!$G$7,TabS!$H$7,IF(K5&lt;=TabS!$G$8,TabS!$H$8,IF(K5&lt;=TabS!$G$9,TabS!$H$9,IF(K5&lt;=TabS!$G$10,TabS!$H$10))))))</f>
        <v>0.04</v>
      </c>
      <c r="AA18" s="133">
        <f>IF(L5&lt;=TabS!$G$5,TabS!$H$5,IF(L5&lt;=TabS!$G$6,TabS!$H$6,IF(L5&lt;=TabS!$G$7,TabS!$H$7,IF(L5&lt;=TabS!$G$8,TabS!$H$8,IF(L5&lt;=TabS!$G$9,TabS!$H$9,IF(L5&lt;=TabS!$G$10,TabS!$H$10))))))</f>
        <v>0.04</v>
      </c>
      <c r="AB18" s="133">
        <f>IF(M5&lt;=TabS!$G$5,TabS!$H$5,IF(M5&lt;=TabS!$G$6,TabS!$H$6,IF(M5&lt;=TabS!$G$7,TabS!$H$7,IF(M5&lt;=TabS!$G$8,TabS!$H$8,IF(M5&lt;=TabS!$G$9,TabS!$H$9,IF(M5&lt;=TabS!$G$10,TabS!$H$10))))))</f>
        <v>0.04</v>
      </c>
      <c r="AC18" s="133">
        <f>IF(N5&lt;=TabS!$G$5,TabS!$H$5,IF(N5&lt;=TabS!$G$6,TabS!$H$6,IF(N5&lt;=TabS!$G$7,TabS!$H$7,IF(N5&lt;=TabS!$G$8,TabS!$H$8,IF(N5&lt;=TabS!$G$9,TabS!$H$9,IF(N5&lt;=TabS!$G$10,TabS!$H$10))))))</f>
        <v>0.04</v>
      </c>
      <c r="AD18" s="134">
        <f t="shared" si="5"/>
        <v>0.47999999999999993</v>
      </c>
    </row>
    <row r="19" spans="2:30" ht="20.100000000000001" customHeight="1" x14ac:dyDescent="0.25">
      <c r="B19" s="19" t="s">
        <v>122</v>
      </c>
      <c r="C19" s="132">
        <f>IF(C5&lt;=TabS!$G$5,TabS!$I$5,IF(C5&lt;=TabS!$G$6,TabS!$I$6,IF(C5&lt;=TabS!$G$7,TabS!$I$7,IF(C5&lt;=TabS!$G$8,TabS!$I$8,IF(C5&lt;=TabS!$G$9,TabS!$I$9,IF(C5&lt;=TabS!$G$10,TabS!$I$10))))))</f>
        <v>0</v>
      </c>
      <c r="D19" s="132">
        <f>IF(D5&lt;=TabS!$G$5,TabS!$I$5,IF(D5&lt;=TabS!$G$6,TabS!$I$6,IF(D5&lt;=TabS!$G$7,TabS!$I$7,IF(D5&lt;=TabS!$G$8,TabS!$I$8,IF(D5&lt;=TabS!$G$9,TabS!$I$9,IF(D5&lt;=TabS!$G$10,TabS!$I$10))))))</f>
        <v>0</v>
      </c>
      <c r="E19" s="132">
        <f>IF(E5&lt;=TabS!$G$5,TabS!$I$5,IF(E5&lt;=TabS!$G$6,TabS!$I$6,IF(E5&lt;=TabS!$G$7,TabS!$I$7,IF(E5&lt;=TabS!$G$8,TabS!$I$8,IF(E5&lt;=TabS!$G$9,TabS!$I$9,IF(E5&lt;=TabS!$G$10,TabS!$I$10))))))</f>
        <v>0</v>
      </c>
      <c r="F19" s="132">
        <f>IF(F5&lt;=TabS!$G$5,TabS!$I$5,IF(F5&lt;=TabS!$G$6,TabS!$I$6,IF(F5&lt;=TabS!$G$7,TabS!$I$7,IF(F5&lt;=TabS!$G$8,TabS!$I$8,IF(F5&lt;=TabS!$G$9,TabS!$I$9,IF(F5&lt;=TabS!$G$10,TabS!$I$10))))))</f>
        <v>0</v>
      </c>
      <c r="G19" s="132">
        <f>IF(G5&lt;=TabS!$G$5,TabS!$I$5,IF(G5&lt;=TabS!$G$6,TabS!$I$6,IF(G5&lt;=TabS!$G$7,TabS!$I$7,IF(G5&lt;=TabS!$G$8,TabS!$I$8,IF(G5&lt;=TabS!$G$9,TabS!$I$9,IF(G5&lt;=TabS!$G$10,TabS!$I$10))))))</f>
        <v>0</v>
      </c>
      <c r="H19" s="132">
        <f>IF(H5&lt;=TabS!$G$5,TabS!$I$5,IF(H5&lt;=TabS!$G$6,TabS!$I$6,IF(H5&lt;=TabS!$G$7,TabS!$I$7,IF(H5&lt;=TabS!$G$8,TabS!$I$8,IF(H5&lt;=TabS!$G$9,TabS!$I$9,IF(H5&lt;=TabS!$G$10,TabS!$I$10))))))</f>
        <v>0</v>
      </c>
      <c r="I19" s="132">
        <f>IF(I5&lt;=TabS!$G$5,TabS!$I$5,IF(I5&lt;=TabS!$G$6,TabS!$I$6,IF(I5&lt;=TabS!$G$7,TabS!$I$7,IF(I5&lt;=TabS!$G$8,TabS!$I$8,IF(I5&lt;=TabS!$G$9,TabS!$I$9,IF(I5&lt;=TabS!$G$10,TabS!$I$10))))))</f>
        <v>0</v>
      </c>
      <c r="J19" s="132">
        <f>IF(J5&lt;=TabS!$G$5,TabS!$I$5,IF(J5&lt;=TabS!$G$6,TabS!$I$6,IF(J5&lt;=TabS!$G$7,TabS!$I$7,IF(J5&lt;=TabS!$G$8,TabS!$I$8,IF(J5&lt;=TabS!$G$9,TabS!$I$9,IF(J5&lt;=TabS!$G$10,TabS!$I$10))))))</f>
        <v>0</v>
      </c>
      <c r="K19" s="132">
        <f>IF(K5&lt;=TabS!$G$5,TabS!$I$5,IF(K5&lt;=TabS!$G$6,TabS!$I$6,IF(K5&lt;=TabS!$G$7,TabS!$I$7,IF(K5&lt;=TabS!$G$8,TabS!$I$8,IF(K5&lt;=TabS!$G$9,TabS!$I$9,IF(K5&lt;=TabS!$G$10,TabS!$I$10))))))</f>
        <v>0</v>
      </c>
      <c r="L19" s="132">
        <f>IF(L5&lt;=TabS!$G$5,TabS!$I$5,IF(L5&lt;=TabS!$G$6,TabS!$I$6,IF(L5&lt;=TabS!$G$7,TabS!$I$7,IF(L5&lt;=TabS!$G$8,TabS!$I$8,IF(L5&lt;=TabS!$G$9,TabS!$I$9,IF(L5&lt;=TabS!$G$10,TabS!$I$10))))))</f>
        <v>0</v>
      </c>
      <c r="M19" s="132">
        <f>IF(M5&lt;=TabS!$G$5,TabS!$I$5,IF(M5&lt;=TabS!$G$6,TabS!$I$6,IF(M5&lt;=TabS!$G$7,TabS!$I$7,IF(M5&lt;=TabS!$G$8,TabS!$I$8,IF(M5&lt;=TabS!$G$9,TabS!$I$9,IF(M5&lt;=TabS!$G$10,TabS!$I$10))))))</f>
        <v>0</v>
      </c>
      <c r="N19" s="132">
        <f>IF(N5&lt;=TabS!$G$5,TabS!$I$5,IF(N5&lt;=TabS!$G$6,TabS!$I$6,IF(N5&lt;=TabS!$G$7,TabS!$I$7,IF(N5&lt;=TabS!$G$8,TabS!$I$8,IF(N5&lt;=TabS!$G$9,TabS!$I$9,IF(N5&lt;=TabS!$G$10,TabS!$I$10))))))</f>
        <v>0</v>
      </c>
      <c r="O19" s="119">
        <f t="shared" si="3"/>
        <v>0</v>
      </c>
      <c r="Q19" s="144" t="s">
        <v>122</v>
      </c>
      <c r="R19" s="132">
        <f>IF(C5&lt;=TabS!$G$5,TabS!$I$5,IF(C5&lt;=TabS!$G$6,TabS!$I$6,IF(C5&lt;=TabS!$G$7,TabS!$I$7,IF(C5&lt;=TabS!$G$8,TabS!$I$8,IF(C5&lt;=TabS!$G$9,TabS!$I$9,IF(C5&lt;=TabS!$G$10,TabS!$I$10))))))</f>
        <v>0</v>
      </c>
      <c r="S19" s="132">
        <f>IF(D5&lt;=TabS!$G$5,TabS!$I$5,IF(D5&lt;=TabS!$G$6,TabS!$I$6,IF(D5&lt;=TabS!$G$7,TabS!$I$7,IF(D5&lt;=TabS!$G$8,TabS!$I$8,IF(D5&lt;=TabS!$G$9,TabS!$I$9,IF(D5&lt;=TabS!$G$10,TabS!$I$10))))))</f>
        <v>0</v>
      </c>
      <c r="T19" s="132">
        <f>IF(E5&lt;=TabS!$G$5,TabS!$I$5,IF(E5&lt;=TabS!$G$6,TabS!$I$6,IF(E5&lt;=TabS!$G$7,TabS!$I$7,IF(E5&lt;=TabS!$G$8,TabS!$I$8,IF(E5&lt;=TabS!$G$9,TabS!$I$9,IF(E5&lt;=TabS!$G$10,TabS!$I$10))))))</f>
        <v>0</v>
      </c>
      <c r="U19" s="132">
        <f>IF(F5&lt;=TabS!$G$5,TabS!$I$5,IF(F5&lt;=TabS!$G$6,TabS!$I$6,IF(F5&lt;=TabS!$G$7,TabS!$I$7,IF(F5&lt;=TabS!$G$8,TabS!$I$8,IF(F5&lt;=TabS!$G$9,TabS!$I$9,IF(F5&lt;=TabS!$G$10,TabS!$I$10))))))</f>
        <v>0</v>
      </c>
      <c r="V19" s="132">
        <f>IF(G5&lt;=TabS!$G$5,TabS!$I$5,IF(G5&lt;=TabS!$G$6,TabS!$I$6,IF(G5&lt;=TabS!$G$7,TabS!$I$7,IF(G5&lt;=TabS!$G$8,TabS!$I$8,IF(G5&lt;=TabS!$G$9,TabS!$I$9,IF(G5&lt;=TabS!$G$10,TabS!$I$10))))))</f>
        <v>0</v>
      </c>
      <c r="W19" s="132">
        <f>IF(H5&lt;=TabS!$G$5,TabS!$I$5,IF(H5&lt;=TabS!$G$6,TabS!$I$6,IF(H5&lt;=TabS!$G$7,TabS!$I$7,IF(H5&lt;=TabS!$G$8,TabS!$I$8,IF(H5&lt;=TabS!$G$9,TabS!$I$9,IF(H5&lt;=TabS!$G$10,TabS!$I$10))))))</f>
        <v>0</v>
      </c>
      <c r="X19" s="132">
        <f>IF(I5&lt;=TabS!$G$5,TabS!$I$5,IF(I5&lt;=TabS!$G$6,TabS!$I$6,IF(I5&lt;=TabS!$G$7,TabS!$I$7,IF(I5&lt;=TabS!$G$8,TabS!$I$8,IF(I5&lt;=TabS!$G$9,TabS!$I$9,IF(I5&lt;=TabS!$G$10,TabS!$I$10))))))</f>
        <v>0</v>
      </c>
      <c r="Y19" s="132">
        <f>IF(J5&lt;=TabS!$G$5,TabS!$I$5,IF(J5&lt;=TabS!$G$6,TabS!$I$6,IF(J5&lt;=TabS!$G$7,TabS!$I$7,IF(J5&lt;=TabS!$G$8,TabS!$I$8,IF(J5&lt;=TabS!$G$9,TabS!$I$9,IF(J5&lt;=TabS!$G$10,TabS!$I$10))))))</f>
        <v>0</v>
      </c>
      <c r="Z19" s="132">
        <f>IF(K5&lt;=TabS!$G$5,TabS!$I$5,IF(K5&lt;=TabS!$G$6,TabS!$I$6,IF(K5&lt;=TabS!$G$7,TabS!$I$7,IF(K5&lt;=TabS!$G$8,TabS!$I$8,IF(K5&lt;=TabS!$G$9,TabS!$I$9,IF(K5&lt;=TabS!$G$10,TabS!$I$10))))))</f>
        <v>0</v>
      </c>
      <c r="AA19" s="132">
        <f>IF(L5&lt;=TabS!$G$5,TabS!$I$5,IF(L5&lt;=TabS!$G$6,TabS!$I$6,IF(L5&lt;=TabS!$G$7,TabS!$I$7,IF(L5&lt;=TabS!$G$8,TabS!$I$8,IF(L5&lt;=TabS!$G$9,TabS!$I$9,IF(L5&lt;=TabS!$G$10,TabS!$I$10))))))</f>
        <v>0</v>
      </c>
      <c r="AB19" s="132">
        <f>IF(M5&lt;=TabS!$G$5,TabS!$I$5,IF(M5&lt;=TabS!$G$6,TabS!$I$6,IF(M5&lt;=TabS!$G$7,TabS!$I$7,IF(M5&lt;=TabS!$G$8,TabS!$I$8,IF(M5&lt;=TabS!$G$9,TabS!$I$9,IF(M5&lt;=TabS!$G$10,TabS!$I$10))))))</f>
        <v>0</v>
      </c>
      <c r="AC19" s="132">
        <f>IF(N5&lt;=TabS!$G$5,TabS!$I$5,IF(N5&lt;=TabS!$G$6,TabS!$I$6,IF(N5&lt;=TabS!$G$7,TabS!$I$7,IF(N5&lt;=TabS!$G$8,TabS!$I$8,IF(N5&lt;=TabS!$G$9,TabS!$I$9,IF(N5&lt;=TabS!$G$10,TabS!$I$10))))))</f>
        <v>0</v>
      </c>
      <c r="AD19" s="119">
        <f t="shared" si="5"/>
        <v>0</v>
      </c>
    </row>
    <row r="20" spans="2:30" ht="20.100000000000001" customHeight="1" x14ac:dyDescent="0.25">
      <c r="B20" s="49" t="s">
        <v>123</v>
      </c>
      <c r="C20" s="135">
        <f>IFERROR(C22/C5,0)</f>
        <v>0</v>
      </c>
      <c r="D20" s="135">
        <f t="shared" ref="D20:N20" si="6">IFERROR(D22/D5,0)</f>
        <v>0</v>
      </c>
      <c r="E20" s="135">
        <f t="shared" si="6"/>
        <v>0</v>
      </c>
      <c r="F20" s="135">
        <f t="shared" si="6"/>
        <v>0</v>
      </c>
      <c r="G20" s="135">
        <f t="shared" si="6"/>
        <v>0</v>
      </c>
      <c r="H20" s="135">
        <f t="shared" si="6"/>
        <v>0</v>
      </c>
      <c r="I20" s="135">
        <f t="shared" si="6"/>
        <v>0</v>
      </c>
      <c r="J20" s="135">
        <f t="shared" si="6"/>
        <v>0</v>
      </c>
      <c r="K20" s="135">
        <f t="shared" si="6"/>
        <v>0</v>
      </c>
      <c r="L20" s="135">
        <f t="shared" si="6"/>
        <v>0</v>
      </c>
      <c r="M20" s="135">
        <f t="shared" si="6"/>
        <v>0</v>
      </c>
      <c r="N20" s="135">
        <f t="shared" si="6"/>
        <v>0</v>
      </c>
      <c r="O20" s="136">
        <f t="shared" si="3"/>
        <v>0</v>
      </c>
      <c r="Q20" s="130" t="s">
        <v>123</v>
      </c>
      <c r="R20" s="135">
        <f>IFERROR(R22/C5,0)</f>
        <v>0</v>
      </c>
      <c r="S20" s="135">
        <f t="shared" ref="S20:AC20" si="7">IFERROR(S22/D5,0)</f>
        <v>0</v>
      </c>
      <c r="T20" s="135">
        <f t="shared" si="7"/>
        <v>0</v>
      </c>
      <c r="U20" s="135">
        <f t="shared" si="7"/>
        <v>0</v>
      </c>
      <c r="V20" s="135">
        <f t="shared" si="7"/>
        <v>0</v>
      </c>
      <c r="W20" s="135">
        <f t="shared" si="7"/>
        <v>0</v>
      </c>
      <c r="X20" s="135">
        <f t="shared" si="7"/>
        <v>0</v>
      </c>
      <c r="Y20" s="135">
        <f t="shared" si="7"/>
        <v>0</v>
      </c>
      <c r="Z20" s="135">
        <f t="shared" si="7"/>
        <v>0</v>
      </c>
      <c r="AA20" s="135">
        <f t="shared" si="7"/>
        <v>0</v>
      </c>
      <c r="AB20" s="135">
        <f t="shared" si="7"/>
        <v>0</v>
      </c>
      <c r="AC20" s="135">
        <f t="shared" si="7"/>
        <v>0</v>
      </c>
      <c r="AD20" s="136">
        <f t="shared" si="5"/>
        <v>0</v>
      </c>
    </row>
    <row r="21" spans="2:30" ht="20.100000000000001" customHeight="1" x14ac:dyDescent="0.25">
      <c r="B21" s="161" t="s">
        <v>125</v>
      </c>
      <c r="C21" s="137">
        <f>C17*C20</f>
        <v>0</v>
      </c>
      <c r="D21" s="137">
        <f t="shared" ref="D21:N21" si="8">D17*D20</f>
        <v>0</v>
      </c>
      <c r="E21" s="137">
        <f t="shared" si="8"/>
        <v>0</v>
      </c>
      <c r="F21" s="137">
        <f t="shared" si="8"/>
        <v>0</v>
      </c>
      <c r="G21" s="137">
        <f t="shared" si="8"/>
        <v>0</v>
      </c>
      <c r="H21" s="137">
        <f t="shared" si="8"/>
        <v>0</v>
      </c>
      <c r="I21" s="137">
        <f t="shared" si="8"/>
        <v>0</v>
      </c>
      <c r="J21" s="137">
        <f t="shared" si="8"/>
        <v>0</v>
      </c>
      <c r="K21" s="137">
        <f t="shared" si="8"/>
        <v>0</v>
      </c>
      <c r="L21" s="137">
        <f t="shared" si="8"/>
        <v>0</v>
      </c>
      <c r="M21" s="137">
        <f t="shared" si="8"/>
        <v>0</v>
      </c>
      <c r="N21" s="137">
        <f t="shared" si="8"/>
        <v>0</v>
      </c>
      <c r="O21" s="138">
        <f>SUM(C21:N21)</f>
        <v>0</v>
      </c>
      <c r="Q21" s="146" t="s">
        <v>125</v>
      </c>
      <c r="R21" s="137">
        <f>R17*R20</f>
        <v>0</v>
      </c>
      <c r="S21" s="137">
        <f t="shared" ref="S21:AC21" si="9">S17*S20</f>
        <v>0</v>
      </c>
      <c r="T21" s="137">
        <f t="shared" si="9"/>
        <v>0</v>
      </c>
      <c r="U21" s="137">
        <f t="shared" si="9"/>
        <v>0</v>
      </c>
      <c r="V21" s="137">
        <f t="shared" si="9"/>
        <v>0</v>
      </c>
      <c r="W21" s="137">
        <f t="shared" si="9"/>
        <v>0</v>
      </c>
      <c r="X21" s="137">
        <f t="shared" si="9"/>
        <v>0</v>
      </c>
      <c r="Y21" s="137">
        <f t="shared" si="9"/>
        <v>0</v>
      </c>
      <c r="Z21" s="137">
        <f t="shared" si="9"/>
        <v>0</v>
      </c>
      <c r="AA21" s="137">
        <f t="shared" si="9"/>
        <v>0</v>
      </c>
      <c r="AB21" s="137">
        <f t="shared" si="9"/>
        <v>0</v>
      </c>
      <c r="AC21" s="137">
        <f t="shared" si="9"/>
        <v>0</v>
      </c>
      <c r="AD21" s="138">
        <f t="shared" si="5"/>
        <v>0</v>
      </c>
    </row>
    <row r="22" spans="2:30" ht="20.100000000000001" customHeight="1" x14ac:dyDescent="0.25">
      <c r="B22" s="19" t="s">
        <v>124</v>
      </c>
      <c r="C22" s="132">
        <f>IFERROR((C5*C18)-C19,0)</f>
        <v>0</v>
      </c>
      <c r="D22" s="132">
        <f t="shared" ref="D22:N22" si="10">IFERROR((D5*D18)-D19,0)</f>
        <v>0</v>
      </c>
      <c r="E22" s="132">
        <f t="shared" si="10"/>
        <v>0</v>
      </c>
      <c r="F22" s="132">
        <f t="shared" si="10"/>
        <v>0</v>
      </c>
      <c r="G22" s="132">
        <f t="shared" si="10"/>
        <v>0</v>
      </c>
      <c r="H22" s="132">
        <f t="shared" si="10"/>
        <v>0</v>
      </c>
      <c r="I22" s="132">
        <f t="shared" si="10"/>
        <v>0</v>
      </c>
      <c r="J22" s="132">
        <f t="shared" si="10"/>
        <v>0</v>
      </c>
      <c r="K22" s="132">
        <f t="shared" si="10"/>
        <v>0</v>
      </c>
      <c r="L22" s="132">
        <f t="shared" si="10"/>
        <v>0</v>
      </c>
      <c r="M22" s="132">
        <f t="shared" si="10"/>
        <v>0</v>
      </c>
      <c r="N22" s="132">
        <f t="shared" si="10"/>
        <v>0</v>
      </c>
      <c r="O22" s="119">
        <f t="shared" si="3"/>
        <v>0</v>
      </c>
      <c r="Q22" s="144" t="s">
        <v>124</v>
      </c>
      <c r="R22" s="132">
        <f>IFERROR((C5*R18)-R19,0)</f>
        <v>0</v>
      </c>
      <c r="S22" s="132">
        <f t="shared" ref="S22:AC22" si="11">IFERROR((D5*S18)-S19,0)</f>
        <v>0</v>
      </c>
      <c r="T22" s="132">
        <f t="shared" si="11"/>
        <v>0</v>
      </c>
      <c r="U22" s="132">
        <f t="shared" si="11"/>
        <v>0</v>
      </c>
      <c r="V22" s="132">
        <f t="shared" si="11"/>
        <v>0</v>
      </c>
      <c r="W22" s="132">
        <f t="shared" si="11"/>
        <v>0</v>
      </c>
      <c r="X22" s="132">
        <f t="shared" si="11"/>
        <v>0</v>
      </c>
      <c r="Y22" s="132">
        <f t="shared" si="11"/>
        <v>0</v>
      </c>
      <c r="Z22" s="132">
        <f t="shared" si="11"/>
        <v>0</v>
      </c>
      <c r="AA22" s="132">
        <f t="shared" si="11"/>
        <v>0</v>
      </c>
      <c r="AB22" s="132">
        <f t="shared" si="11"/>
        <v>0</v>
      </c>
      <c r="AC22" s="132">
        <f t="shared" si="11"/>
        <v>0</v>
      </c>
      <c r="AD22" s="119">
        <f t="shared" si="5"/>
        <v>0</v>
      </c>
    </row>
    <row r="23" spans="2:30" ht="20.100000000000001" customHeight="1" x14ac:dyDescent="0.25">
      <c r="B23" s="112" t="s">
        <v>82</v>
      </c>
      <c r="C23" s="112" t="s">
        <v>83</v>
      </c>
      <c r="D23" s="112" t="s">
        <v>84</v>
      </c>
      <c r="E23" s="112" t="s">
        <v>85</v>
      </c>
      <c r="F23" s="112" t="s">
        <v>86</v>
      </c>
      <c r="G23" s="112" t="s">
        <v>87</v>
      </c>
      <c r="H23" s="112" t="s">
        <v>88</v>
      </c>
      <c r="I23" s="112" t="s">
        <v>89</v>
      </c>
      <c r="J23" s="112" t="s">
        <v>90</v>
      </c>
      <c r="K23" s="112" t="s">
        <v>91</v>
      </c>
      <c r="L23" s="112" t="s">
        <v>92</v>
      </c>
      <c r="M23" s="112" t="s">
        <v>93</v>
      </c>
      <c r="N23" s="112" t="s">
        <v>94</v>
      </c>
      <c r="O23" s="112" t="s">
        <v>95</v>
      </c>
    </row>
    <row r="24" spans="2:30" ht="20.100000000000001" customHeight="1" x14ac:dyDescent="0.25">
      <c r="B24" s="19" t="s">
        <v>81</v>
      </c>
      <c r="C24" s="132">
        <f>C10</f>
        <v>0</v>
      </c>
      <c r="D24" s="132">
        <f t="shared" ref="D24:N24" si="12">D10</f>
        <v>0</v>
      </c>
      <c r="E24" s="132">
        <f t="shared" si="12"/>
        <v>0</v>
      </c>
      <c r="F24" s="132">
        <f t="shared" si="12"/>
        <v>0</v>
      </c>
      <c r="G24" s="132">
        <f t="shared" si="12"/>
        <v>0</v>
      </c>
      <c r="H24" s="132">
        <f t="shared" si="12"/>
        <v>0</v>
      </c>
      <c r="I24" s="132">
        <f t="shared" si="12"/>
        <v>0</v>
      </c>
      <c r="J24" s="132">
        <f t="shared" si="12"/>
        <v>0</v>
      </c>
      <c r="K24" s="132">
        <f t="shared" si="12"/>
        <v>0</v>
      </c>
      <c r="L24" s="132">
        <f t="shared" si="12"/>
        <v>0</v>
      </c>
      <c r="M24" s="132">
        <f t="shared" si="12"/>
        <v>0</v>
      </c>
      <c r="N24" s="132">
        <f t="shared" si="12"/>
        <v>0</v>
      </c>
      <c r="O24" s="119">
        <f t="shared" ref="O24:O29" si="13">SUM(C24:N24)</f>
        <v>0</v>
      </c>
    </row>
    <row r="25" spans="2:30" ht="20.100000000000001" customHeight="1" x14ac:dyDescent="0.25">
      <c r="B25" s="19" t="s">
        <v>121</v>
      </c>
      <c r="C25" s="133">
        <f>IF(C5&lt;=TabS!$G$11,TabS!$H$11,IF(C5&lt;=TabS!$G$12,TabS!$H$12,IF(C5&lt;=TabS!$G$13,TabS!$H$13,IF(C5&lt;=TabS!$G$14,TabS!$H$14,IF(C5&lt;=TabS!$G$15,TabS!$H$15,IF(C5&lt;=TabS!$G$16,TabS!$H$16))))))</f>
        <v>4.4999999999999998E-2</v>
      </c>
      <c r="D25" s="133">
        <f>IF(D5&lt;=TabS!$G$11,TabS!$H$11,IF(D5&lt;=TabS!$G$12,TabS!$H$12,IF(D5&lt;=TabS!$G$13,TabS!$H$13,IF(D5&lt;=TabS!$G$14,TabS!$H$14,IF(D5&lt;=TabS!$G$15,TabS!$H$15,IF(D5&lt;=TabS!$G$16,TabS!$H$16))))))</f>
        <v>4.4999999999999998E-2</v>
      </c>
      <c r="E25" s="133">
        <f>IF(E5&lt;=TabS!$G$11,TabS!$H$11,IF(E5&lt;=TabS!$G$12,TabS!$H$12,IF(E5&lt;=TabS!$G$13,TabS!$H$13,IF(E5&lt;=TabS!$G$14,TabS!$H$14,IF(E5&lt;=TabS!$G$15,TabS!$H$15,IF(E5&lt;=TabS!$G$16,TabS!$H$16))))))</f>
        <v>4.4999999999999998E-2</v>
      </c>
      <c r="F25" s="133">
        <f>IF(F5&lt;=TabS!$G$11,TabS!$H$11,IF(F5&lt;=TabS!$G$12,TabS!$H$12,IF(F5&lt;=TabS!$G$13,TabS!$H$13,IF(F5&lt;=TabS!$G$14,TabS!$H$14,IF(F5&lt;=TabS!$G$15,TabS!$H$15,IF(F5&lt;=TabS!$G$16,TabS!$H$16))))))</f>
        <v>4.4999999999999998E-2</v>
      </c>
      <c r="G25" s="133">
        <f>IF(G5&lt;=TabS!$G$11,TabS!$H$11,IF(G5&lt;=TabS!$G$12,TabS!$H$12,IF(G5&lt;=TabS!$G$13,TabS!$H$13,IF(G5&lt;=TabS!$G$14,TabS!$H$14,IF(G5&lt;=TabS!$G$15,TabS!$H$15,IF(G5&lt;=TabS!$G$16,TabS!$H$16))))))</f>
        <v>4.4999999999999998E-2</v>
      </c>
      <c r="H25" s="133">
        <f>IF(H5&lt;=TabS!$G$11,TabS!$H$11,IF(H5&lt;=TabS!$G$12,TabS!$H$12,IF(H5&lt;=TabS!$G$13,TabS!$H$13,IF(H5&lt;=TabS!$G$14,TabS!$H$14,IF(H5&lt;=TabS!$G$15,TabS!$H$15,IF(H5&lt;=TabS!$G$16,TabS!$H$16))))))</f>
        <v>4.4999999999999998E-2</v>
      </c>
      <c r="I25" s="133">
        <f>IF(I5&lt;=TabS!$G$11,TabS!$H$11,IF(I5&lt;=TabS!$G$12,TabS!$H$12,IF(I5&lt;=TabS!$G$13,TabS!$H$13,IF(I5&lt;=TabS!$G$14,TabS!$H$14,IF(I5&lt;=TabS!$G$15,TabS!$H$15,IF(I5&lt;=TabS!$G$16,TabS!$H$16))))))</f>
        <v>4.4999999999999998E-2</v>
      </c>
      <c r="J25" s="133">
        <f>IF(J5&lt;=TabS!$G$11,TabS!$H$11,IF(J5&lt;=TabS!$G$12,TabS!$H$12,IF(J5&lt;=TabS!$G$13,TabS!$H$13,IF(J5&lt;=TabS!$G$14,TabS!$H$14,IF(J5&lt;=TabS!$G$15,TabS!$H$15,IF(J5&lt;=TabS!$G$16,TabS!$H$16))))))</f>
        <v>4.4999999999999998E-2</v>
      </c>
      <c r="K25" s="133">
        <f>IF(K5&lt;=TabS!$G$11,TabS!$H$11,IF(K5&lt;=TabS!$G$12,TabS!$H$12,IF(K5&lt;=TabS!$G$13,TabS!$H$13,IF(K5&lt;=TabS!$G$14,TabS!$H$14,IF(K5&lt;=TabS!$G$15,TabS!$H$15,IF(K5&lt;=TabS!$G$16,TabS!$H$16))))))</f>
        <v>4.4999999999999998E-2</v>
      </c>
      <c r="L25" s="133">
        <f>IF(L5&lt;=TabS!$G$11,TabS!$H$11,IF(L5&lt;=TabS!$G$12,TabS!$H$12,IF(L5&lt;=TabS!$G$13,TabS!$H$13,IF(L5&lt;=TabS!$G$14,TabS!$H$14,IF(L5&lt;=TabS!$G$15,TabS!$H$15,IF(L5&lt;=TabS!$G$16,TabS!$H$16))))))</f>
        <v>4.4999999999999998E-2</v>
      </c>
      <c r="M25" s="133">
        <f>IF(M5&lt;=TabS!$G$11,TabS!$H$11,IF(M5&lt;=TabS!$G$12,TabS!$H$12,IF(M5&lt;=TabS!$G$13,TabS!$H$13,IF(M5&lt;=TabS!$G$14,TabS!$H$14,IF(M5&lt;=TabS!$G$15,TabS!$H$15,IF(M5&lt;=TabS!$G$16,TabS!$H$16))))))</f>
        <v>4.4999999999999998E-2</v>
      </c>
      <c r="N25" s="133">
        <f>IF(N5&lt;=TabS!$G$11,TabS!$H$11,IF(N5&lt;=TabS!$G$12,TabS!$H$12,IF(N5&lt;=TabS!$G$13,TabS!$H$13,IF(N5&lt;=TabS!$G$14,TabS!$H$14,IF(N5&lt;=TabS!$G$15,TabS!$H$15,IF(N5&lt;=TabS!$G$16,TabS!$H$16))))))</f>
        <v>4.4999999999999998E-2</v>
      </c>
      <c r="O25" s="134">
        <f t="shared" si="13"/>
        <v>0.53999999999999992</v>
      </c>
    </row>
    <row r="26" spans="2:30" ht="20.100000000000001" customHeight="1" x14ac:dyDescent="0.25">
      <c r="B26" s="19" t="s">
        <v>122</v>
      </c>
      <c r="C26" s="132">
        <f>IF(C5&lt;=TabS!$G$11,TabS!$I$11,IF(C5&lt;=TabS!$G$12,TabS!$I$12,IF(C5&lt;=TabS!$G$13,TabS!$I$13,IF(C5&lt;=TabS!$G$14,TabS!$I$14,IF(C5&lt;=TabS!$G$15,TabS!$I$15,IF(C5&lt;=TabS!$G$16,TabS!$I$16))))))</f>
        <v>0</v>
      </c>
      <c r="D26" s="132">
        <f>IF(D5&lt;=TabS!$G$11,TabS!$I$11,IF(D5&lt;=TabS!$G$12,TabS!$I$12,IF(D5&lt;=TabS!$G$13,TabS!$I$13,IF(D5&lt;=TabS!$G$14,TabS!$I$14,IF(D5&lt;=TabS!$G$15,TabS!$I$15,IF(D5&lt;=TabS!$G$16,TabS!$I$16))))))</f>
        <v>0</v>
      </c>
      <c r="E26" s="132">
        <f>IF(E5&lt;=TabS!$G$11,TabS!$I$11,IF(E5&lt;=TabS!$G$12,TabS!$I$12,IF(E5&lt;=TabS!$G$13,TabS!$I$13,IF(E5&lt;=TabS!$G$14,TabS!$I$14,IF(E5&lt;=TabS!$G$15,TabS!$I$15,IF(E5&lt;=TabS!$G$16,TabS!$I$16))))))</f>
        <v>0</v>
      </c>
      <c r="F26" s="132">
        <f>IF(F5&lt;=TabS!$G$11,TabS!$I$11,IF(F5&lt;=TabS!$G$12,TabS!$I$12,IF(F5&lt;=TabS!$G$13,TabS!$I$13,IF(F5&lt;=TabS!$G$14,TabS!$I$14,IF(F5&lt;=TabS!$G$15,TabS!$I$15,IF(F5&lt;=TabS!$G$16,TabS!$I$16))))))</f>
        <v>0</v>
      </c>
      <c r="G26" s="132">
        <f>IF(G5&lt;=TabS!$G$11,TabS!$I$11,IF(G5&lt;=TabS!$G$12,TabS!$I$12,IF(G5&lt;=TabS!$G$13,TabS!$I$13,IF(G5&lt;=TabS!$G$14,TabS!$I$14,IF(G5&lt;=TabS!$G$15,TabS!$I$15,IF(G5&lt;=TabS!$G$16,TabS!$I$16))))))</f>
        <v>0</v>
      </c>
      <c r="H26" s="132">
        <f>IF(H5&lt;=TabS!$G$11,TabS!$I$11,IF(H5&lt;=TabS!$G$12,TabS!$I$12,IF(H5&lt;=TabS!$G$13,TabS!$I$13,IF(H5&lt;=TabS!$G$14,TabS!$I$14,IF(H5&lt;=TabS!$G$15,TabS!$I$15,IF(H5&lt;=TabS!$G$16,TabS!$I$16))))))</f>
        <v>0</v>
      </c>
      <c r="I26" s="132">
        <f>IF(I5&lt;=TabS!$G$11,TabS!$I$11,IF(I5&lt;=TabS!$G$12,TabS!$I$12,IF(I5&lt;=TabS!$G$13,TabS!$I$13,IF(I5&lt;=TabS!$G$14,TabS!$I$14,IF(I5&lt;=TabS!$G$15,TabS!$I$15,IF(I5&lt;=TabS!$G$16,TabS!$I$16))))))</f>
        <v>0</v>
      </c>
      <c r="J26" s="132">
        <f>IF(J5&lt;=TabS!$G$11,TabS!$I$11,IF(J5&lt;=TabS!$G$12,TabS!$I$12,IF(J5&lt;=TabS!$G$13,TabS!$I$13,IF(J5&lt;=TabS!$G$14,TabS!$I$14,IF(J5&lt;=TabS!$G$15,TabS!$I$15,IF(J5&lt;=TabS!$G$16,TabS!$I$16))))))</f>
        <v>0</v>
      </c>
      <c r="K26" s="132">
        <f>IF(K5&lt;=TabS!$G$11,TabS!$I$11,IF(K5&lt;=TabS!$G$12,TabS!$I$12,IF(K5&lt;=TabS!$G$13,TabS!$I$13,IF(K5&lt;=TabS!$G$14,TabS!$I$14,IF(K5&lt;=TabS!$G$15,TabS!$I$15,IF(K5&lt;=TabS!$G$16,TabS!$I$16))))))</f>
        <v>0</v>
      </c>
      <c r="L26" s="132">
        <f>IF(L5&lt;=TabS!$G$11,TabS!$I$11,IF(L5&lt;=TabS!$G$12,TabS!$I$12,IF(L5&lt;=TabS!$G$13,TabS!$I$13,IF(L5&lt;=TabS!$G$14,TabS!$I$14,IF(L5&lt;=TabS!$G$15,TabS!$I$15,IF(L5&lt;=TabS!$G$16,TabS!$I$16))))))</f>
        <v>0</v>
      </c>
      <c r="M26" s="132">
        <f>IF(M5&lt;=TabS!$G$11,TabS!$I$11,IF(M5&lt;=TabS!$G$12,TabS!$I$12,IF(M5&lt;=TabS!$G$13,TabS!$I$13,IF(M5&lt;=TabS!$G$14,TabS!$I$14,IF(M5&lt;=TabS!$G$15,TabS!$I$15,IF(M5&lt;=TabS!$G$16,TabS!$I$16))))))</f>
        <v>0</v>
      </c>
      <c r="N26" s="132">
        <f>IF(N5&lt;=TabS!$G$11,TabS!$I$11,IF(N5&lt;=TabS!$G$12,TabS!$I$12,IF(N5&lt;=TabS!$G$13,TabS!$I$13,IF(N5&lt;=TabS!$G$14,TabS!$I$14,IF(N5&lt;=TabS!$G$15,TabS!$I$15,IF(N5&lt;=TabS!$G$16,TabS!$I$16))))))</f>
        <v>0</v>
      </c>
      <c r="O26" s="119">
        <f t="shared" si="13"/>
        <v>0</v>
      </c>
    </row>
    <row r="27" spans="2:30" ht="20.100000000000001" customHeight="1" x14ac:dyDescent="0.25">
      <c r="B27" s="49" t="s">
        <v>123</v>
      </c>
      <c r="C27" s="135">
        <f>IFERROR(C29/C5,0)</f>
        <v>0</v>
      </c>
      <c r="D27" s="135">
        <f t="shared" ref="D27:N27" si="14">IFERROR(D29/D5,0)</f>
        <v>0</v>
      </c>
      <c r="E27" s="135">
        <f t="shared" si="14"/>
        <v>0</v>
      </c>
      <c r="F27" s="135">
        <f t="shared" si="14"/>
        <v>0</v>
      </c>
      <c r="G27" s="135">
        <f t="shared" si="14"/>
        <v>0</v>
      </c>
      <c r="H27" s="135">
        <f t="shared" si="14"/>
        <v>0</v>
      </c>
      <c r="I27" s="135">
        <f t="shared" si="14"/>
        <v>0</v>
      </c>
      <c r="J27" s="135">
        <f t="shared" si="14"/>
        <v>0</v>
      </c>
      <c r="K27" s="135">
        <f t="shared" si="14"/>
        <v>0</v>
      </c>
      <c r="L27" s="135">
        <f t="shared" si="14"/>
        <v>0</v>
      </c>
      <c r="M27" s="135">
        <f t="shared" si="14"/>
        <v>0</v>
      </c>
      <c r="N27" s="135">
        <f t="shared" si="14"/>
        <v>0</v>
      </c>
      <c r="O27" s="136">
        <f t="shared" si="13"/>
        <v>0</v>
      </c>
    </row>
    <row r="28" spans="2:30" ht="20.100000000000001" customHeight="1" x14ac:dyDescent="0.25">
      <c r="B28" s="161" t="s">
        <v>125</v>
      </c>
      <c r="C28" s="137">
        <f t="shared" ref="C28:N28" si="15">C24*C27</f>
        <v>0</v>
      </c>
      <c r="D28" s="137">
        <f t="shared" si="15"/>
        <v>0</v>
      </c>
      <c r="E28" s="137">
        <f t="shared" si="15"/>
        <v>0</v>
      </c>
      <c r="F28" s="137">
        <f t="shared" si="15"/>
        <v>0</v>
      </c>
      <c r="G28" s="137">
        <f t="shared" si="15"/>
        <v>0</v>
      </c>
      <c r="H28" s="137">
        <f t="shared" si="15"/>
        <v>0</v>
      </c>
      <c r="I28" s="137">
        <f t="shared" si="15"/>
        <v>0</v>
      </c>
      <c r="J28" s="137">
        <f t="shared" si="15"/>
        <v>0</v>
      </c>
      <c r="K28" s="137">
        <f t="shared" si="15"/>
        <v>0</v>
      </c>
      <c r="L28" s="137">
        <f t="shared" si="15"/>
        <v>0</v>
      </c>
      <c r="M28" s="137">
        <f t="shared" si="15"/>
        <v>0</v>
      </c>
      <c r="N28" s="137">
        <f t="shared" si="15"/>
        <v>0</v>
      </c>
      <c r="O28" s="138">
        <f>SUM(C28:N28)</f>
        <v>0</v>
      </c>
    </row>
    <row r="29" spans="2:30" ht="20.100000000000001" customHeight="1" x14ac:dyDescent="0.25">
      <c r="B29" s="19" t="s">
        <v>124</v>
      </c>
      <c r="C29" s="132">
        <f>IFERROR((C5*C25)-C26,0)</f>
        <v>0</v>
      </c>
      <c r="D29" s="132">
        <f t="shared" ref="D29:N29" si="16">IFERROR((D5*D25)-D26,0)</f>
        <v>0</v>
      </c>
      <c r="E29" s="132">
        <f t="shared" si="16"/>
        <v>0</v>
      </c>
      <c r="F29" s="132">
        <f t="shared" si="16"/>
        <v>0</v>
      </c>
      <c r="G29" s="132">
        <f t="shared" si="16"/>
        <v>0</v>
      </c>
      <c r="H29" s="132">
        <f t="shared" si="16"/>
        <v>0</v>
      </c>
      <c r="I29" s="132">
        <f t="shared" si="16"/>
        <v>0</v>
      </c>
      <c r="J29" s="132">
        <f t="shared" si="16"/>
        <v>0</v>
      </c>
      <c r="K29" s="132">
        <f t="shared" si="16"/>
        <v>0</v>
      </c>
      <c r="L29" s="132">
        <f t="shared" si="16"/>
        <v>0</v>
      </c>
      <c r="M29" s="132">
        <f t="shared" si="16"/>
        <v>0</v>
      </c>
      <c r="N29" s="132">
        <f t="shared" si="16"/>
        <v>0</v>
      </c>
      <c r="O29" s="119">
        <f t="shared" si="13"/>
        <v>0</v>
      </c>
    </row>
    <row r="30" spans="2:30" ht="20.100000000000001" customHeight="1" x14ac:dyDescent="0.25">
      <c r="B30" s="112" t="s">
        <v>82</v>
      </c>
      <c r="C30" s="112" t="s">
        <v>83</v>
      </c>
      <c r="D30" s="112" t="s">
        <v>84</v>
      </c>
      <c r="E30" s="112" t="s">
        <v>85</v>
      </c>
      <c r="F30" s="112" t="s">
        <v>86</v>
      </c>
      <c r="G30" s="112" t="s">
        <v>87</v>
      </c>
      <c r="H30" s="112" t="s">
        <v>88</v>
      </c>
      <c r="I30" s="112" t="s">
        <v>89</v>
      </c>
      <c r="J30" s="112" t="s">
        <v>90</v>
      </c>
      <c r="K30" s="112" t="s">
        <v>91</v>
      </c>
      <c r="L30" s="112" t="s">
        <v>92</v>
      </c>
      <c r="M30" s="112" t="s">
        <v>93</v>
      </c>
      <c r="N30" s="112" t="s">
        <v>94</v>
      </c>
      <c r="O30" s="112" t="s">
        <v>95</v>
      </c>
      <c r="Q30" s="145" t="s">
        <v>82</v>
      </c>
      <c r="R30" s="112" t="s">
        <v>83</v>
      </c>
      <c r="S30" s="112" t="s">
        <v>84</v>
      </c>
      <c r="T30" s="112" t="s">
        <v>85</v>
      </c>
      <c r="U30" s="112" t="s">
        <v>86</v>
      </c>
      <c r="V30" s="112" t="s">
        <v>87</v>
      </c>
      <c r="W30" s="112" t="s">
        <v>88</v>
      </c>
      <c r="X30" s="112" t="s">
        <v>89</v>
      </c>
      <c r="Y30" s="112" t="s">
        <v>90</v>
      </c>
      <c r="Z30" s="112" t="s">
        <v>91</v>
      </c>
      <c r="AA30" s="112" t="s">
        <v>92</v>
      </c>
      <c r="AB30" s="112" t="s">
        <v>93</v>
      </c>
      <c r="AC30" s="112" t="s">
        <v>94</v>
      </c>
      <c r="AD30" s="112" t="s">
        <v>95</v>
      </c>
    </row>
    <row r="31" spans="2:30" ht="20.100000000000001" customHeight="1" x14ac:dyDescent="0.25">
      <c r="B31" s="19" t="s">
        <v>75</v>
      </c>
      <c r="C31" s="132">
        <f>C11</f>
        <v>0</v>
      </c>
      <c r="D31" s="132">
        <f t="shared" ref="D31:N31" si="17">D11</f>
        <v>0</v>
      </c>
      <c r="E31" s="132">
        <f t="shared" si="17"/>
        <v>0</v>
      </c>
      <c r="F31" s="132">
        <f t="shared" si="17"/>
        <v>0</v>
      </c>
      <c r="G31" s="132">
        <f t="shared" si="17"/>
        <v>0</v>
      </c>
      <c r="H31" s="132">
        <f t="shared" si="17"/>
        <v>0</v>
      </c>
      <c r="I31" s="132">
        <f t="shared" si="17"/>
        <v>0</v>
      </c>
      <c r="J31" s="132">
        <f t="shared" si="17"/>
        <v>0</v>
      </c>
      <c r="K31" s="132">
        <f t="shared" si="17"/>
        <v>0</v>
      </c>
      <c r="L31" s="132">
        <f t="shared" si="17"/>
        <v>0</v>
      </c>
      <c r="M31" s="132">
        <f t="shared" si="17"/>
        <v>0</v>
      </c>
      <c r="N31" s="132">
        <f t="shared" si="17"/>
        <v>0</v>
      </c>
      <c r="O31" s="119">
        <f t="shared" ref="O31:O36" si="18">SUM(C31:N31)</f>
        <v>0</v>
      </c>
      <c r="Q31" s="144" t="s">
        <v>75</v>
      </c>
      <c r="R31" s="132">
        <f>C11</f>
        <v>0</v>
      </c>
      <c r="S31" s="132">
        <f t="shared" ref="S31:AC31" si="19">D11</f>
        <v>0</v>
      </c>
      <c r="T31" s="132">
        <f t="shared" si="19"/>
        <v>0</v>
      </c>
      <c r="U31" s="132">
        <f t="shared" si="19"/>
        <v>0</v>
      </c>
      <c r="V31" s="132">
        <f t="shared" si="19"/>
        <v>0</v>
      </c>
      <c r="W31" s="132">
        <f t="shared" si="19"/>
        <v>0</v>
      </c>
      <c r="X31" s="132">
        <f t="shared" si="19"/>
        <v>0</v>
      </c>
      <c r="Y31" s="132">
        <f t="shared" si="19"/>
        <v>0</v>
      </c>
      <c r="Z31" s="132">
        <f t="shared" si="19"/>
        <v>0</v>
      </c>
      <c r="AA31" s="132">
        <f t="shared" si="19"/>
        <v>0</v>
      </c>
      <c r="AB31" s="132">
        <f t="shared" si="19"/>
        <v>0</v>
      </c>
      <c r="AC31" s="132">
        <f t="shared" si="19"/>
        <v>0</v>
      </c>
      <c r="AD31" s="119">
        <f t="shared" ref="AD31:AD36" si="20">SUM(R31:AC31)</f>
        <v>0</v>
      </c>
    </row>
    <row r="32" spans="2:30" ht="20.100000000000001" customHeight="1" x14ac:dyDescent="0.25">
      <c r="B32" s="19" t="s">
        <v>121</v>
      </c>
      <c r="C32" s="133">
        <f>IF(C5&lt;=TabS!$G$17,TabS!$H$17,IF(C5&lt;=TabS!$G$18,TabS!$H$18,IF(C5&lt;=TabS!$G$19,TabS!$H$19,IF(C5&lt;=TabS!$G$20,TabS!$H$20,IF(C5&lt;=TabS!$G$21,TabS!$H$21,IF(C5&lt;=TabS!$G$22,TabS!$H$22))))))</f>
        <v>0.06</v>
      </c>
      <c r="D32" s="133">
        <f>IF(D5&lt;=TabS!$G$17,TabS!$H$17,IF(D5&lt;=TabS!$G$18,TabS!$H$18,IF(D5&lt;=TabS!$G$19,TabS!$H$19,IF(D5&lt;=TabS!$G$20,TabS!$H$20,IF(D5&lt;=TabS!$G$21,TabS!$H$21,IF(D5&lt;=TabS!$G$22,TabS!$H$22))))))</f>
        <v>0.06</v>
      </c>
      <c r="E32" s="133">
        <f>IF(E5&lt;=TabS!$G$17,TabS!$H$17,IF(E5&lt;=TabS!$G$18,TabS!$H$18,IF(E5&lt;=TabS!$G$19,TabS!$H$19,IF(E5&lt;=TabS!$G$20,TabS!$H$20,IF(E5&lt;=TabS!$G$21,TabS!$H$21,IF(E5&lt;=TabS!$G$22,TabS!$H$22))))))</f>
        <v>0.06</v>
      </c>
      <c r="F32" s="133">
        <f>IF(F5&lt;=TabS!$G$17,TabS!$H$17,IF(F5&lt;=TabS!$G$18,TabS!$H$18,IF(F5&lt;=TabS!$G$19,TabS!$H$19,IF(F5&lt;=TabS!$G$20,TabS!$H$20,IF(F5&lt;=TabS!$G$21,TabS!$H$21,IF(F5&lt;=TabS!$G$22,TabS!$H$22))))))</f>
        <v>0.06</v>
      </c>
      <c r="G32" s="133">
        <f>IF(G5&lt;=TabS!$G$17,TabS!$H$17,IF(G5&lt;=TabS!$G$18,TabS!$H$18,IF(G5&lt;=TabS!$G$19,TabS!$H$19,IF(G5&lt;=TabS!$G$20,TabS!$H$20,IF(G5&lt;=TabS!$G$21,TabS!$H$21,IF(G5&lt;=TabS!$G$22,TabS!$H$22))))))</f>
        <v>0.06</v>
      </c>
      <c r="H32" s="133">
        <f>IF(H5&lt;=TabS!$G$17,TabS!$H$17,IF(H5&lt;=TabS!$G$18,TabS!$H$18,IF(H5&lt;=TabS!$G$19,TabS!$H$19,IF(H5&lt;=TabS!$G$20,TabS!$H$20,IF(H5&lt;=TabS!$G$21,TabS!$H$21,IF(H5&lt;=TabS!$G$22,TabS!$H$22))))))</f>
        <v>0.06</v>
      </c>
      <c r="I32" s="133">
        <f>IF(I5&lt;=TabS!$G$17,TabS!$H$17,IF(I5&lt;=TabS!$G$18,TabS!$H$18,IF(I5&lt;=TabS!$G$19,TabS!$H$19,IF(I5&lt;=TabS!$G$20,TabS!$H$20,IF(I5&lt;=TabS!$G$21,TabS!$H$21,IF(I5&lt;=TabS!$G$22,TabS!$H$22))))))</f>
        <v>0.06</v>
      </c>
      <c r="J32" s="133">
        <f>IF(J5&lt;=TabS!$G$17,TabS!$H$17,IF(J5&lt;=TabS!$G$18,TabS!$H$18,IF(J5&lt;=TabS!$G$19,TabS!$H$19,IF(J5&lt;=TabS!$G$20,TabS!$H$20,IF(J5&lt;=TabS!$G$21,TabS!$H$21,IF(J5&lt;=TabS!$G$22,TabS!$H$22))))))</f>
        <v>0.06</v>
      </c>
      <c r="K32" s="133">
        <f>IF(K5&lt;=TabS!$G$17,TabS!$H$17,IF(K5&lt;=TabS!$G$18,TabS!$H$18,IF(K5&lt;=TabS!$G$19,TabS!$H$19,IF(K5&lt;=TabS!$G$20,TabS!$H$20,IF(K5&lt;=TabS!$G$21,TabS!$H$21,IF(K5&lt;=TabS!$G$22,TabS!$H$22))))))</f>
        <v>0.06</v>
      </c>
      <c r="L32" s="133">
        <f>IF(L5&lt;=TabS!$G$17,TabS!$H$17,IF(L5&lt;=TabS!$G$18,TabS!$H$18,IF(L5&lt;=TabS!$G$19,TabS!$H$19,IF(L5&lt;=TabS!$G$20,TabS!$H$20,IF(L5&lt;=TabS!$G$21,TabS!$H$21,IF(L5&lt;=TabS!$G$22,TabS!$H$22))))))</f>
        <v>0.06</v>
      </c>
      <c r="M32" s="133">
        <f>IF(M5&lt;=TabS!$G$17,TabS!$H$17,IF(M5&lt;=TabS!$G$18,TabS!$H$18,IF(M5&lt;=TabS!$G$19,TabS!$H$19,IF(M5&lt;=TabS!$G$20,TabS!$H$20,IF(M5&lt;=TabS!$G$21,TabS!$H$21,IF(M5&lt;=TabS!$G$22,TabS!$H$22))))))</f>
        <v>0.06</v>
      </c>
      <c r="N32" s="133">
        <f>IF(N5&lt;=TabS!$G$17,TabS!$H$17,IF(N5&lt;=TabS!$G$18,TabS!$H$18,IF(N5&lt;=TabS!$G$19,TabS!$H$19,IF(N5&lt;=TabS!$G$20,TabS!$H$20,IF(N5&lt;=TabS!$G$21,TabS!$H$21,IF(N5&lt;=TabS!$G$22,TabS!$H$22))))))</f>
        <v>0.06</v>
      </c>
      <c r="O32" s="134">
        <f t="shared" si="18"/>
        <v>0.7200000000000002</v>
      </c>
      <c r="Q32" s="144" t="s">
        <v>121</v>
      </c>
      <c r="R32" s="133">
        <f>IF(C5&gt;TabS!$G$21,TabS!$H$21,0)</f>
        <v>0</v>
      </c>
      <c r="S32" s="133">
        <f>IF(D5&gt;TabS!$G$21,TabS!$H$21,0)</f>
        <v>0</v>
      </c>
      <c r="T32" s="133">
        <f>IF(E5&gt;TabS!$G$21,TabS!$H$21,0)</f>
        <v>0</v>
      </c>
      <c r="U32" s="133">
        <f>IF(F5&gt;TabS!$G$21,TabS!$H$21,0)</f>
        <v>0</v>
      </c>
      <c r="V32" s="133">
        <f>IF(G5&gt;TabS!$G$21,TabS!$H$21,0)</f>
        <v>0</v>
      </c>
      <c r="W32" s="133">
        <f>IF(H5&gt;TabS!$G$21,TabS!$H$21,0)</f>
        <v>0</v>
      </c>
      <c r="X32" s="133">
        <f>IF(I5&gt;TabS!$G$21,TabS!$H$21,0)</f>
        <v>0</v>
      </c>
      <c r="Y32" s="133">
        <f>IF(J5&gt;TabS!$G$21,TabS!$H$21,0)</f>
        <v>0</v>
      </c>
      <c r="Z32" s="133">
        <f>IF(K5&gt;TabS!$G$21,TabS!$H$21,0)</f>
        <v>0</v>
      </c>
      <c r="AA32" s="133">
        <f>IF(L5&gt;TabS!$G$21,TabS!$H$21,0)</f>
        <v>0</v>
      </c>
      <c r="AB32" s="133">
        <f>IF(M5&gt;TabS!$G$21,TabS!$H$21,0)</f>
        <v>0</v>
      </c>
      <c r="AC32" s="133">
        <f>IF(N5&gt;TabS!$G$21,TabS!$H$21,0)</f>
        <v>0</v>
      </c>
      <c r="AD32" s="134">
        <f t="shared" si="20"/>
        <v>0</v>
      </c>
    </row>
    <row r="33" spans="2:30" ht="20.100000000000001" customHeight="1" x14ac:dyDescent="0.25">
      <c r="B33" s="19" t="s">
        <v>122</v>
      </c>
      <c r="C33" s="132">
        <f>IF(C5&lt;=TabS!$G$17,TabS!$I$17,IF(C5&lt;=TabS!$G$18,TabS!$I$18,IF(C5&lt;=TabS!$G$19,TabS!$I$19,IF(C5&lt;=TabS!$G$20,TabS!$I$20,IF(C5&lt;=TabS!$G$21,TabS!$I$21,IF(C5&lt;=TabS!$G$22,TabS!$I$22))))))</f>
        <v>0</v>
      </c>
      <c r="D33" s="132">
        <f>IF(D5&lt;=TabS!$G$17,TabS!$I$17,IF(D5&lt;=TabS!$G$18,TabS!$I$18,IF(D5&lt;=TabS!$G$19,TabS!$I$19,IF(D5&lt;=TabS!$G$20,TabS!$I$20,IF(D5&lt;=TabS!$G$21,TabS!$I$21,IF(D5&lt;=TabS!$G$22,TabS!$I$22))))))</f>
        <v>0</v>
      </c>
      <c r="E33" s="132">
        <f>IF(E5&lt;=TabS!$G$17,TabS!$I$17,IF(E5&lt;=TabS!$G$18,TabS!$I$18,IF(E5&lt;=TabS!$G$19,TabS!$I$19,IF(E5&lt;=TabS!$G$20,TabS!$I$20,IF(E5&lt;=TabS!$G$21,TabS!$I$21,IF(E5&lt;=TabS!$G$22,TabS!$I$22))))))</f>
        <v>0</v>
      </c>
      <c r="F33" s="132">
        <f>IF(F5&lt;=TabS!$G$17,TabS!$I$17,IF(F5&lt;=TabS!$G$18,TabS!$I$18,IF(F5&lt;=TabS!$G$19,TabS!$I$19,IF(F5&lt;=TabS!$G$20,TabS!$I$20,IF(F5&lt;=TabS!$G$21,TabS!$I$21,IF(F5&lt;=TabS!$G$22,TabS!$I$22))))))</f>
        <v>0</v>
      </c>
      <c r="G33" s="132">
        <f>IF(G5&lt;=TabS!$G$17,TabS!$I$17,IF(G5&lt;=TabS!$G$18,TabS!$I$18,IF(G5&lt;=TabS!$G$19,TabS!$I$19,IF(G5&lt;=TabS!$G$20,TabS!$I$20,IF(G5&lt;=TabS!$G$21,TabS!$I$21,IF(G5&lt;=TabS!$G$22,TabS!$I$22))))))</f>
        <v>0</v>
      </c>
      <c r="H33" s="132">
        <f>IF(H5&lt;=TabS!$G$17,TabS!$I$17,IF(H5&lt;=TabS!$G$18,TabS!$I$18,IF(H5&lt;=TabS!$G$19,TabS!$I$19,IF(H5&lt;=TabS!$G$20,TabS!$I$20,IF(H5&lt;=TabS!$G$21,TabS!$I$21,IF(H5&lt;=TabS!$G$22,TabS!$I$22))))))</f>
        <v>0</v>
      </c>
      <c r="I33" s="132">
        <f>IF(I5&lt;=TabS!$G$17,TabS!$I$17,IF(I5&lt;=TabS!$G$18,TabS!$I$18,IF(I5&lt;=TabS!$G$19,TabS!$I$19,IF(I5&lt;=TabS!$G$20,TabS!$I$20,IF(I5&lt;=TabS!$G$21,TabS!$I$21,IF(I5&lt;=TabS!$G$22,TabS!$I$22))))))</f>
        <v>0</v>
      </c>
      <c r="J33" s="132">
        <f>IF(J5&lt;=TabS!$G$17,TabS!$I$17,IF(J5&lt;=TabS!$G$18,TabS!$I$18,IF(J5&lt;=TabS!$G$19,TabS!$I$19,IF(J5&lt;=TabS!$G$20,TabS!$I$20,IF(J5&lt;=TabS!$G$21,TabS!$I$21,IF(J5&lt;=TabS!$G$22,TabS!$I$22))))))</f>
        <v>0</v>
      </c>
      <c r="K33" s="132">
        <f>IF(K5&lt;=TabS!$G$17,TabS!$I$17,IF(K5&lt;=TabS!$G$18,TabS!$I$18,IF(K5&lt;=TabS!$G$19,TabS!$I$19,IF(K5&lt;=TabS!$G$20,TabS!$I$20,IF(K5&lt;=TabS!$G$21,TabS!$I$21,IF(K5&lt;=TabS!$G$22,TabS!$I$22))))))</f>
        <v>0</v>
      </c>
      <c r="L33" s="132">
        <f>IF(L5&lt;=TabS!$G$17,TabS!$I$17,IF(L5&lt;=TabS!$G$18,TabS!$I$18,IF(L5&lt;=TabS!$G$19,TabS!$I$19,IF(L5&lt;=TabS!$G$20,TabS!$I$20,IF(L5&lt;=TabS!$G$21,TabS!$I$21,IF(L5&lt;=TabS!$G$22,TabS!$I$22))))))</f>
        <v>0</v>
      </c>
      <c r="M33" s="132">
        <f>IF(M5&lt;=TabS!$G$17,TabS!$I$17,IF(M5&lt;=TabS!$G$18,TabS!$I$18,IF(M5&lt;=TabS!$G$19,TabS!$I$19,IF(M5&lt;=TabS!$G$20,TabS!$I$20,IF(M5&lt;=TabS!$G$21,TabS!$I$21,IF(M5&lt;=TabS!$G$22,TabS!$I$22))))))</f>
        <v>0</v>
      </c>
      <c r="N33" s="132">
        <f>IF(N5&lt;=TabS!$G$17,TabS!$I$17,IF(N5&lt;=TabS!$G$18,TabS!$I$18,IF(N5&lt;=TabS!$G$19,TabS!$I$19,IF(N5&lt;=TabS!$G$20,TabS!$I$20,IF(N5&lt;=TabS!$G$21,TabS!$I$21,IF(N5&lt;=TabS!$G$22,TabS!$I$22))))))</f>
        <v>0</v>
      </c>
      <c r="O33" s="119">
        <f t="shared" si="18"/>
        <v>0</v>
      </c>
      <c r="Q33" s="144" t="s">
        <v>122</v>
      </c>
      <c r="R33" s="132">
        <f>IF(C5&gt;TabS!$G$21,TabS!$I$21,0)</f>
        <v>0</v>
      </c>
      <c r="S33" s="132">
        <f>IF(D5&gt;TabS!$G$21,TabS!$I$21,0)</f>
        <v>0</v>
      </c>
      <c r="T33" s="132">
        <f>IF(E5&gt;TabS!$G$21,TabS!$I$21,0)</f>
        <v>0</v>
      </c>
      <c r="U33" s="132">
        <f>IF(F5&gt;TabS!$G$21,TabS!$I$21,0)</f>
        <v>0</v>
      </c>
      <c r="V33" s="132">
        <f>IF(G5&gt;TabS!$G$21,TabS!$I$21,0)</f>
        <v>0</v>
      </c>
      <c r="W33" s="132">
        <f>IF(H5&gt;TabS!$G$21,TabS!$I$21,0)</f>
        <v>0</v>
      </c>
      <c r="X33" s="132">
        <f>IF(I5&gt;TabS!$G$21,TabS!$I$21,0)</f>
        <v>0</v>
      </c>
      <c r="Y33" s="132">
        <f>IF(J5&gt;TabS!$G$21,TabS!$I$21,0)</f>
        <v>0</v>
      </c>
      <c r="Z33" s="132">
        <f>IF(K5&gt;TabS!$G$21,TabS!$I$21,0)</f>
        <v>0</v>
      </c>
      <c r="AA33" s="132">
        <f>IF(L5&gt;TabS!$G$21,TabS!$I$21,0)</f>
        <v>0</v>
      </c>
      <c r="AB33" s="132">
        <f>IF(M5&gt;TabS!$G$21,TabS!$I$21,0)</f>
        <v>0</v>
      </c>
      <c r="AC33" s="132">
        <f>IF(N5&gt;TabS!$G$21,TabS!$I$21,0)</f>
        <v>0</v>
      </c>
      <c r="AD33" s="119">
        <f t="shared" si="20"/>
        <v>0</v>
      </c>
    </row>
    <row r="34" spans="2:30" ht="20.100000000000001" customHeight="1" x14ac:dyDescent="0.25">
      <c r="B34" s="49" t="s">
        <v>123</v>
      </c>
      <c r="C34" s="135">
        <f>IFERROR(C36/C5,0)</f>
        <v>0</v>
      </c>
      <c r="D34" s="135">
        <f t="shared" ref="D34:N34" si="21">IFERROR(D36/D5,0)</f>
        <v>0</v>
      </c>
      <c r="E34" s="135">
        <f t="shared" si="21"/>
        <v>0</v>
      </c>
      <c r="F34" s="135">
        <f t="shared" si="21"/>
        <v>0</v>
      </c>
      <c r="G34" s="135">
        <f t="shared" si="21"/>
        <v>0</v>
      </c>
      <c r="H34" s="135">
        <f t="shared" si="21"/>
        <v>0</v>
      </c>
      <c r="I34" s="135">
        <f t="shared" si="21"/>
        <v>0</v>
      </c>
      <c r="J34" s="135">
        <f t="shared" si="21"/>
        <v>0</v>
      </c>
      <c r="K34" s="135">
        <f t="shared" si="21"/>
        <v>0</v>
      </c>
      <c r="L34" s="135">
        <f t="shared" si="21"/>
        <v>0</v>
      </c>
      <c r="M34" s="135">
        <f t="shared" si="21"/>
        <v>0</v>
      </c>
      <c r="N34" s="135">
        <f t="shared" si="21"/>
        <v>0</v>
      </c>
      <c r="O34" s="136">
        <f t="shared" si="18"/>
        <v>0</v>
      </c>
      <c r="Q34" s="130" t="s">
        <v>123</v>
      </c>
      <c r="R34" s="135">
        <f>IFERROR(R36/C5,0)</f>
        <v>0</v>
      </c>
      <c r="S34" s="135">
        <f t="shared" ref="S34:AC34" si="22">IFERROR(S36/D5,0)</f>
        <v>0</v>
      </c>
      <c r="T34" s="135">
        <f t="shared" si="22"/>
        <v>0</v>
      </c>
      <c r="U34" s="135">
        <f t="shared" si="22"/>
        <v>0</v>
      </c>
      <c r="V34" s="135">
        <f t="shared" si="22"/>
        <v>0</v>
      </c>
      <c r="W34" s="135">
        <f t="shared" si="22"/>
        <v>0</v>
      </c>
      <c r="X34" s="135">
        <f t="shared" si="22"/>
        <v>0</v>
      </c>
      <c r="Y34" s="135">
        <f t="shared" si="22"/>
        <v>0</v>
      </c>
      <c r="Z34" s="135">
        <f t="shared" si="22"/>
        <v>0</v>
      </c>
      <c r="AA34" s="135">
        <f t="shared" si="22"/>
        <v>0</v>
      </c>
      <c r="AB34" s="135">
        <f t="shared" si="22"/>
        <v>0</v>
      </c>
      <c r="AC34" s="135">
        <f t="shared" si="22"/>
        <v>0</v>
      </c>
      <c r="AD34" s="136">
        <f t="shared" si="20"/>
        <v>0</v>
      </c>
    </row>
    <row r="35" spans="2:30" ht="20.100000000000001" customHeight="1" x14ac:dyDescent="0.25">
      <c r="B35" s="161" t="s">
        <v>125</v>
      </c>
      <c r="C35" s="137">
        <f t="shared" ref="C35:N35" si="23">C31*C34</f>
        <v>0</v>
      </c>
      <c r="D35" s="137">
        <f t="shared" si="23"/>
        <v>0</v>
      </c>
      <c r="E35" s="137">
        <f t="shared" si="23"/>
        <v>0</v>
      </c>
      <c r="F35" s="137">
        <f t="shared" si="23"/>
        <v>0</v>
      </c>
      <c r="G35" s="137">
        <f t="shared" si="23"/>
        <v>0</v>
      </c>
      <c r="H35" s="137">
        <f t="shared" si="23"/>
        <v>0</v>
      </c>
      <c r="I35" s="137">
        <f t="shared" si="23"/>
        <v>0</v>
      </c>
      <c r="J35" s="137">
        <f t="shared" si="23"/>
        <v>0</v>
      </c>
      <c r="K35" s="137">
        <f t="shared" si="23"/>
        <v>0</v>
      </c>
      <c r="L35" s="137">
        <f t="shared" si="23"/>
        <v>0</v>
      </c>
      <c r="M35" s="137">
        <f t="shared" si="23"/>
        <v>0</v>
      </c>
      <c r="N35" s="137">
        <f t="shared" si="23"/>
        <v>0</v>
      </c>
      <c r="O35" s="138">
        <f>SUM(C35:N35)</f>
        <v>0</v>
      </c>
      <c r="Q35" s="146" t="s">
        <v>125</v>
      </c>
      <c r="R35" s="137">
        <f>R31*R34</f>
        <v>0</v>
      </c>
      <c r="S35" s="137">
        <f t="shared" ref="S35:AC35" si="24">S31*S34</f>
        <v>0</v>
      </c>
      <c r="T35" s="137">
        <f t="shared" si="24"/>
        <v>0</v>
      </c>
      <c r="U35" s="137">
        <f t="shared" si="24"/>
        <v>0</v>
      </c>
      <c r="V35" s="137">
        <f t="shared" si="24"/>
        <v>0</v>
      </c>
      <c r="W35" s="137">
        <f t="shared" si="24"/>
        <v>0</v>
      </c>
      <c r="X35" s="137">
        <f t="shared" si="24"/>
        <v>0</v>
      </c>
      <c r="Y35" s="137">
        <f t="shared" si="24"/>
        <v>0</v>
      </c>
      <c r="Z35" s="137">
        <f t="shared" si="24"/>
        <v>0</v>
      </c>
      <c r="AA35" s="137">
        <f t="shared" si="24"/>
        <v>0</v>
      </c>
      <c r="AB35" s="137">
        <f t="shared" si="24"/>
        <v>0</v>
      </c>
      <c r="AC35" s="137">
        <f t="shared" si="24"/>
        <v>0</v>
      </c>
      <c r="AD35" s="138">
        <f t="shared" si="20"/>
        <v>0</v>
      </c>
    </row>
    <row r="36" spans="2:30" ht="20.100000000000001" customHeight="1" x14ac:dyDescent="0.25">
      <c r="B36" s="19" t="s">
        <v>124</v>
      </c>
      <c r="C36" s="132">
        <f>IFERROR((C5*C32)-C33,0)</f>
        <v>0</v>
      </c>
      <c r="D36" s="132">
        <f t="shared" ref="D36:N36" si="25">IFERROR((D5*D32)-D33,0)</f>
        <v>0</v>
      </c>
      <c r="E36" s="132">
        <f t="shared" si="25"/>
        <v>0</v>
      </c>
      <c r="F36" s="132">
        <f t="shared" si="25"/>
        <v>0</v>
      </c>
      <c r="G36" s="132">
        <f t="shared" si="25"/>
        <v>0</v>
      </c>
      <c r="H36" s="132">
        <f t="shared" si="25"/>
        <v>0</v>
      </c>
      <c r="I36" s="132">
        <f t="shared" si="25"/>
        <v>0</v>
      </c>
      <c r="J36" s="132">
        <f t="shared" si="25"/>
        <v>0</v>
      </c>
      <c r="K36" s="132">
        <f t="shared" si="25"/>
        <v>0</v>
      </c>
      <c r="L36" s="132">
        <f t="shared" si="25"/>
        <v>0</v>
      </c>
      <c r="M36" s="132">
        <f t="shared" si="25"/>
        <v>0</v>
      </c>
      <c r="N36" s="132">
        <f t="shared" si="25"/>
        <v>0</v>
      </c>
      <c r="O36" s="119">
        <f t="shared" si="18"/>
        <v>0</v>
      </c>
      <c r="Q36" s="144" t="s">
        <v>124</v>
      </c>
      <c r="R36" s="132">
        <f>IFERROR((C5*R32)-R33,0)</f>
        <v>0</v>
      </c>
      <c r="S36" s="132">
        <f t="shared" ref="S36:AC36" si="26">IFERROR((D5*S32)-S33,0)</f>
        <v>0</v>
      </c>
      <c r="T36" s="132">
        <f t="shared" si="26"/>
        <v>0</v>
      </c>
      <c r="U36" s="132">
        <f t="shared" si="26"/>
        <v>0</v>
      </c>
      <c r="V36" s="132">
        <f t="shared" si="26"/>
        <v>0</v>
      </c>
      <c r="W36" s="132">
        <f t="shared" si="26"/>
        <v>0</v>
      </c>
      <c r="X36" s="132">
        <f t="shared" si="26"/>
        <v>0</v>
      </c>
      <c r="Y36" s="132">
        <f t="shared" si="26"/>
        <v>0</v>
      </c>
      <c r="Z36" s="132">
        <f t="shared" si="26"/>
        <v>0</v>
      </c>
      <c r="AA36" s="132">
        <f t="shared" si="26"/>
        <v>0</v>
      </c>
      <c r="AB36" s="132">
        <f t="shared" si="26"/>
        <v>0</v>
      </c>
      <c r="AC36" s="132">
        <f t="shared" si="26"/>
        <v>0</v>
      </c>
      <c r="AD36" s="119">
        <f t="shared" si="20"/>
        <v>0</v>
      </c>
    </row>
    <row r="37" spans="2:30" ht="20.100000000000001" customHeight="1" x14ac:dyDescent="0.25">
      <c r="B37" s="112" t="s">
        <v>82</v>
      </c>
      <c r="C37" s="112" t="s">
        <v>83</v>
      </c>
      <c r="D37" s="112" t="s">
        <v>84</v>
      </c>
      <c r="E37" s="112" t="s">
        <v>85</v>
      </c>
      <c r="F37" s="112" t="s">
        <v>86</v>
      </c>
      <c r="G37" s="112" t="s">
        <v>87</v>
      </c>
      <c r="H37" s="112" t="s">
        <v>88</v>
      </c>
      <c r="I37" s="112" t="s">
        <v>89</v>
      </c>
      <c r="J37" s="112" t="s">
        <v>90</v>
      </c>
      <c r="K37" s="112" t="s">
        <v>91</v>
      </c>
      <c r="L37" s="112" t="s">
        <v>92</v>
      </c>
      <c r="M37" s="112" t="s">
        <v>93</v>
      </c>
      <c r="N37" s="112" t="s">
        <v>94</v>
      </c>
      <c r="O37" s="112" t="s">
        <v>95</v>
      </c>
      <c r="Q37" s="145" t="s">
        <v>82</v>
      </c>
      <c r="R37" s="112" t="s">
        <v>83</v>
      </c>
      <c r="S37" s="112" t="s">
        <v>84</v>
      </c>
      <c r="T37" s="112" t="s">
        <v>85</v>
      </c>
      <c r="U37" s="112" t="s">
        <v>86</v>
      </c>
      <c r="V37" s="112" t="s">
        <v>87</v>
      </c>
      <c r="W37" s="112" t="s">
        <v>88</v>
      </c>
      <c r="X37" s="112" t="s">
        <v>89</v>
      </c>
      <c r="Y37" s="112" t="s">
        <v>90</v>
      </c>
      <c r="Z37" s="112" t="s">
        <v>91</v>
      </c>
      <c r="AA37" s="112" t="s">
        <v>92</v>
      </c>
      <c r="AB37" s="112" t="s">
        <v>93</v>
      </c>
      <c r="AC37" s="112" t="s">
        <v>94</v>
      </c>
      <c r="AD37" s="112" t="s">
        <v>95</v>
      </c>
    </row>
    <row r="38" spans="2:30" ht="20.100000000000001" customHeight="1" x14ac:dyDescent="0.25">
      <c r="B38" s="19" t="s">
        <v>76</v>
      </c>
      <c r="C38" s="132">
        <f>C12</f>
        <v>0</v>
      </c>
      <c r="D38" s="132">
        <f t="shared" ref="D38:N38" si="27">D12</f>
        <v>0</v>
      </c>
      <c r="E38" s="132">
        <f t="shared" si="27"/>
        <v>0</v>
      </c>
      <c r="F38" s="132">
        <f t="shared" si="27"/>
        <v>0</v>
      </c>
      <c r="G38" s="132">
        <f t="shared" si="27"/>
        <v>0</v>
      </c>
      <c r="H38" s="132">
        <f t="shared" si="27"/>
        <v>0</v>
      </c>
      <c r="I38" s="132">
        <f t="shared" si="27"/>
        <v>0</v>
      </c>
      <c r="J38" s="132">
        <f t="shared" si="27"/>
        <v>0</v>
      </c>
      <c r="K38" s="132">
        <f t="shared" si="27"/>
        <v>0</v>
      </c>
      <c r="L38" s="132">
        <f t="shared" si="27"/>
        <v>0</v>
      </c>
      <c r="M38" s="132">
        <f t="shared" si="27"/>
        <v>0</v>
      </c>
      <c r="N38" s="132">
        <f t="shared" si="27"/>
        <v>0</v>
      </c>
      <c r="O38" s="119">
        <f t="shared" ref="O38:O43" si="28">SUM(C38:N38)</f>
        <v>0</v>
      </c>
      <c r="Q38" s="144" t="s">
        <v>76</v>
      </c>
      <c r="R38" s="132">
        <f>C12</f>
        <v>0</v>
      </c>
      <c r="S38" s="132">
        <f t="shared" ref="S38:AC38" si="29">D12</f>
        <v>0</v>
      </c>
      <c r="T38" s="132">
        <f t="shared" si="29"/>
        <v>0</v>
      </c>
      <c r="U38" s="132">
        <f t="shared" si="29"/>
        <v>0</v>
      </c>
      <c r="V38" s="132">
        <f t="shared" si="29"/>
        <v>0</v>
      </c>
      <c r="W38" s="132">
        <f t="shared" si="29"/>
        <v>0</v>
      </c>
      <c r="X38" s="132">
        <f t="shared" si="29"/>
        <v>0</v>
      </c>
      <c r="Y38" s="132">
        <f t="shared" si="29"/>
        <v>0</v>
      </c>
      <c r="Z38" s="132">
        <f t="shared" si="29"/>
        <v>0</v>
      </c>
      <c r="AA38" s="132">
        <f t="shared" si="29"/>
        <v>0</v>
      </c>
      <c r="AB38" s="132">
        <f t="shared" si="29"/>
        <v>0</v>
      </c>
      <c r="AC38" s="132">
        <f t="shared" si="29"/>
        <v>0</v>
      </c>
      <c r="AD38" s="119">
        <f t="shared" ref="AD38:AD43" si="30">SUM(R38:AC38)</f>
        <v>0</v>
      </c>
    </row>
    <row r="39" spans="2:30" ht="20.100000000000001" customHeight="1" x14ac:dyDescent="0.25">
      <c r="B39" s="19" t="s">
        <v>121</v>
      </c>
      <c r="C39" s="133">
        <f>IF(C5&lt;=TabS!$G$23,TabS!$H$23,IF(C5&lt;=TabS!$G$24,TabS!$H$24,IF(C5&lt;=TabS!$G$25,TabS!$H$25,IF(C5&lt;=TabS!$G$26,TabS!$H$26,IF(C5&lt;=TabS!$G$27,TabS!$H$27,IF(C5&lt;=TabS!$G$28,TabS!$H$28))))))</f>
        <v>4.4999999999999998E-2</v>
      </c>
      <c r="D39" s="133">
        <f>IF(D5&lt;=TabS!$G$23,TabS!$H$23,IF(D5&lt;=TabS!$G$24,TabS!$H$24,IF(D5&lt;=TabS!$G$25,TabS!$H$25,IF(D5&lt;=TabS!$G$26,TabS!$H$26,IF(D5&lt;=TabS!$G$27,TabS!$H$27,IF(D5&lt;=TabS!$G$28,TabS!$H$28))))))</f>
        <v>4.4999999999999998E-2</v>
      </c>
      <c r="E39" s="133">
        <f>IF(E5&lt;=TabS!$G$23,TabS!$H$23,IF(E5&lt;=TabS!$G$24,TabS!$H$24,IF(E5&lt;=TabS!$G$25,TabS!$H$25,IF(E5&lt;=TabS!$G$26,TabS!$H$26,IF(E5&lt;=TabS!$G$27,TabS!$H$27,IF(E5&lt;=TabS!$G$28,TabS!$H$28))))))</f>
        <v>4.4999999999999998E-2</v>
      </c>
      <c r="F39" s="133">
        <f>IF(F5&lt;=TabS!$G$23,TabS!$H$23,IF(F5&lt;=TabS!$G$24,TabS!$H$24,IF(F5&lt;=TabS!$G$25,TabS!$H$25,IF(F5&lt;=TabS!$G$26,TabS!$H$26,IF(F5&lt;=TabS!$G$27,TabS!$H$27,IF(F5&lt;=TabS!$G$28,TabS!$H$28))))))</f>
        <v>4.4999999999999998E-2</v>
      </c>
      <c r="G39" s="133">
        <f>IF(G5&lt;=TabS!$G$23,TabS!$H$23,IF(G5&lt;=TabS!$G$24,TabS!$H$24,IF(G5&lt;=TabS!$G$25,TabS!$H$25,IF(G5&lt;=TabS!$G$26,TabS!$H$26,IF(G5&lt;=TabS!$G$27,TabS!$H$27,IF(G5&lt;=TabS!$G$28,TabS!$H$28))))))</f>
        <v>4.4999999999999998E-2</v>
      </c>
      <c r="H39" s="133">
        <f>IF(H5&lt;=TabS!$G$23,TabS!$H$23,IF(H5&lt;=TabS!$G$24,TabS!$H$24,IF(H5&lt;=TabS!$G$25,TabS!$H$25,IF(H5&lt;=TabS!$G$26,TabS!$H$26,IF(H5&lt;=TabS!$G$27,TabS!$H$27,IF(H5&lt;=TabS!$G$28,TabS!$H$28))))))</f>
        <v>4.4999999999999998E-2</v>
      </c>
      <c r="I39" s="133">
        <f>IF(I5&lt;=TabS!$G$23,TabS!$H$23,IF(I5&lt;=TabS!$G$24,TabS!$H$24,IF(I5&lt;=TabS!$G$25,TabS!$H$25,IF(I5&lt;=TabS!$G$26,TabS!$H$26,IF(I5&lt;=TabS!$G$27,TabS!$H$27,IF(I5&lt;=TabS!$G$28,TabS!$H$28))))))</f>
        <v>4.4999999999999998E-2</v>
      </c>
      <c r="J39" s="133">
        <f>IF(J5&lt;=TabS!$G$23,TabS!$H$23,IF(J5&lt;=TabS!$G$24,TabS!$H$24,IF(J5&lt;=TabS!$G$25,TabS!$H$25,IF(J5&lt;=TabS!$G$26,TabS!$H$26,IF(J5&lt;=TabS!$G$27,TabS!$H$27,IF(J5&lt;=TabS!$G$28,TabS!$H$28))))))</f>
        <v>4.4999999999999998E-2</v>
      </c>
      <c r="K39" s="133">
        <f>IF(K5&lt;=TabS!$G$23,TabS!$H$23,IF(K5&lt;=TabS!$G$24,TabS!$H$24,IF(K5&lt;=TabS!$G$25,TabS!$H$25,IF(K5&lt;=TabS!$G$26,TabS!$H$26,IF(K5&lt;=TabS!$G$27,TabS!$H$27,IF(K5&lt;=TabS!$G$28,TabS!$H$28))))))</f>
        <v>4.4999999999999998E-2</v>
      </c>
      <c r="L39" s="133">
        <f>IF(L5&lt;=TabS!$G$23,TabS!$H$23,IF(L5&lt;=TabS!$G$24,TabS!$H$24,IF(L5&lt;=TabS!$G$25,TabS!$H$25,IF(L5&lt;=TabS!$G$26,TabS!$H$26,IF(L5&lt;=TabS!$G$27,TabS!$H$27,IF(L5&lt;=TabS!$G$28,TabS!$H$28))))))</f>
        <v>4.4999999999999998E-2</v>
      </c>
      <c r="M39" s="133">
        <f>IF(M5&lt;=TabS!$G$23,TabS!$H$23,IF(M5&lt;=TabS!$G$24,TabS!$H$24,IF(M5&lt;=TabS!$G$25,TabS!$H$25,IF(M5&lt;=TabS!$G$26,TabS!$H$26,IF(M5&lt;=TabS!$G$27,TabS!$H$27,IF(M5&lt;=TabS!$G$28,TabS!$H$28))))))</f>
        <v>4.4999999999999998E-2</v>
      </c>
      <c r="N39" s="133">
        <f>IF(N5&lt;=TabS!$G$23,TabS!$H$23,IF(N5&lt;=TabS!$G$24,TabS!$H$24,IF(N5&lt;=TabS!$G$25,TabS!$H$25,IF(N5&lt;=TabS!$G$26,TabS!$H$26,IF(N5&lt;=TabS!$G$27,TabS!$H$27,IF(N5&lt;=TabS!$G$28,TabS!$H$28))))))</f>
        <v>4.4999999999999998E-2</v>
      </c>
      <c r="O39" s="134">
        <f t="shared" si="28"/>
        <v>0.53999999999999992</v>
      </c>
      <c r="Q39" s="144" t="s">
        <v>121</v>
      </c>
      <c r="R39" s="133">
        <f>IF(C5&gt;TabS!$G$27,TabS!$H$27,0)</f>
        <v>0</v>
      </c>
      <c r="S39" s="133">
        <f>IF(D5&gt;TabS!$G$27,TabS!$H$27,0)</f>
        <v>0</v>
      </c>
      <c r="T39" s="133">
        <f>IF(E5&gt;TabS!$G$27,TabS!$H$27,0)</f>
        <v>0</v>
      </c>
      <c r="U39" s="133">
        <f>IF(F5&gt;TabS!$G$27,TabS!$H$27,0)</f>
        <v>0</v>
      </c>
      <c r="V39" s="133">
        <f>IF(G5&gt;TabS!$G$27,TabS!$H$27,0)</f>
        <v>0</v>
      </c>
      <c r="W39" s="133">
        <f>IF(H5&gt;TabS!$G$27,TabS!$H$27,0)</f>
        <v>0</v>
      </c>
      <c r="X39" s="133">
        <f>IF(I5&gt;TabS!$G$27,TabS!$H$27,0)</f>
        <v>0</v>
      </c>
      <c r="Y39" s="133">
        <f>IF(J5&gt;TabS!$G$27,TabS!$H$27,0)</f>
        <v>0</v>
      </c>
      <c r="Z39" s="133">
        <f>IF(K5&gt;TabS!$G$27,TabS!$H$27,0)</f>
        <v>0</v>
      </c>
      <c r="AA39" s="133">
        <f>IF(L5&gt;TabS!$G$27,TabS!$H$27,0)</f>
        <v>0</v>
      </c>
      <c r="AB39" s="133">
        <f>IF(M5&gt;TabS!$G$27,TabS!$H$27,0)</f>
        <v>0</v>
      </c>
      <c r="AC39" s="133">
        <f>IF(N5&gt;TabS!$G$27,TabS!$H$27,0)</f>
        <v>0</v>
      </c>
      <c r="AD39" s="134">
        <f t="shared" si="30"/>
        <v>0</v>
      </c>
    </row>
    <row r="40" spans="2:30" ht="20.100000000000001" customHeight="1" x14ac:dyDescent="0.25">
      <c r="B40" s="19" t="s">
        <v>122</v>
      </c>
      <c r="C40" s="132">
        <f>IF(C5&lt;=TabS!$G$23,TabS!$I$23,IF(C5&lt;=TabS!$G$24,TabS!$I$24,IF(C5&lt;=TabS!$G$25,TabS!$I$25,IF(C5&lt;=TabS!$G$26,TabS!$I$26,IF(C5&lt;=TabS!$G$27,TabS!$I$27,IF(C5&lt;=TabS!$G$28,TabS!$I$28))))))</f>
        <v>0</v>
      </c>
      <c r="D40" s="132">
        <f>IF(D5&lt;=TabS!$G$23,TabS!$I$23,IF(D5&lt;=TabS!$G$24,TabS!$I$24,IF(D5&lt;=TabS!$G$25,TabS!$I$25,IF(D5&lt;=TabS!$G$26,TabS!$I$26,IF(D5&lt;=TabS!$G$27,TabS!$I$27,IF(D5&lt;=TabS!$G$28,TabS!$I$28))))))</f>
        <v>0</v>
      </c>
      <c r="E40" s="132">
        <f>IF(E5&lt;=TabS!$G$23,TabS!$I$23,IF(E5&lt;=TabS!$G$24,TabS!$I$24,IF(E5&lt;=TabS!$G$25,TabS!$I$25,IF(E5&lt;=TabS!$G$26,TabS!$I$26,IF(E5&lt;=TabS!$G$27,TabS!$I$27,IF(E5&lt;=TabS!$G$28,TabS!$I$28))))))</f>
        <v>0</v>
      </c>
      <c r="F40" s="132">
        <f>IF(F5&lt;=TabS!$G$23,TabS!$I$23,IF(F5&lt;=TabS!$G$24,TabS!$I$24,IF(F5&lt;=TabS!$G$25,TabS!$I$25,IF(F5&lt;=TabS!$G$26,TabS!$I$26,IF(F5&lt;=TabS!$G$27,TabS!$I$27,IF(F5&lt;=TabS!$G$28,TabS!$I$28))))))</f>
        <v>0</v>
      </c>
      <c r="G40" s="132">
        <f>IF(G5&lt;=TabS!$G$23,TabS!$I$23,IF(G5&lt;=TabS!$G$24,TabS!$I$24,IF(G5&lt;=TabS!$G$25,TabS!$I$25,IF(G5&lt;=TabS!$G$26,TabS!$I$26,IF(G5&lt;=TabS!$G$27,TabS!$I$27,IF(G5&lt;=TabS!$G$28,TabS!$I$28))))))</f>
        <v>0</v>
      </c>
      <c r="H40" s="132">
        <f>IF(H5&lt;=TabS!$G$23,TabS!$I$23,IF(H5&lt;=TabS!$G$24,TabS!$I$24,IF(H5&lt;=TabS!$G$25,TabS!$I$25,IF(H5&lt;=TabS!$G$26,TabS!$I$26,IF(H5&lt;=TabS!$G$27,TabS!$I$27,IF(H5&lt;=TabS!$G$28,TabS!$I$28))))))</f>
        <v>0</v>
      </c>
      <c r="I40" s="132">
        <f>IF(I5&lt;=TabS!$G$23,TabS!$I$23,IF(I5&lt;=TabS!$G$24,TabS!$I$24,IF(I5&lt;=TabS!$G$25,TabS!$I$25,IF(I5&lt;=TabS!$G$26,TabS!$I$26,IF(I5&lt;=TabS!$G$27,TabS!$I$27,IF(I5&lt;=TabS!$G$28,TabS!$I$28))))))</f>
        <v>0</v>
      </c>
      <c r="J40" s="132">
        <f>IF(J5&lt;=TabS!$G$23,TabS!$I$23,IF(J5&lt;=TabS!$G$24,TabS!$I$24,IF(J5&lt;=TabS!$G$25,TabS!$I$25,IF(J5&lt;=TabS!$G$26,TabS!$I$26,IF(J5&lt;=TabS!$G$27,TabS!$I$27,IF(J5&lt;=TabS!$G$28,TabS!$I$28))))))</f>
        <v>0</v>
      </c>
      <c r="K40" s="132">
        <f>IF(K5&lt;=TabS!$G$23,TabS!$I$23,IF(K5&lt;=TabS!$G$24,TabS!$I$24,IF(K5&lt;=TabS!$G$25,TabS!$I$25,IF(K5&lt;=TabS!$G$26,TabS!$I$26,IF(K5&lt;=TabS!$G$27,TabS!$I$27,IF(K5&lt;=TabS!$G$28,TabS!$I$28))))))</f>
        <v>0</v>
      </c>
      <c r="L40" s="132">
        <f>IF(L5&lt;=TabS!$G$23,TabS!$I$23,IF(L5&lt;=TabS!$G$24,TabS!$I$24,IF(L5&lt;=TabS!$G$25,TabS!$I$25,IF(L5&lt;=TabS!$G$26,TabS!$I$26,IF(L5&lt;=TabS!$G$27,TabS!$I$27,IF(L5&lt;=TabS!$G$28,TabS!$I$28))))))</f>
        <v>0</v>
      </c>
      <c r="M40" s="132">
        <f>IF(M5&lt;=TabS!$G$23,TabS!$I$23,IF(M5&lt;=TabS!$G$24,TabS!$I$24,IF(M5&lt;=TabS!$G$25,TabS!$I$25,IF(M5&lt;=TabS!$G$26,TabS!$I$26,IF(M5&lt;=TabS!$G$27,TabS!$I$27,IF(M5&lt;=TabS!$G$28,TabS!$I$28))))))</f>
        <v>0</v>
      </c>
      <c r="N40" s="132">
        <f>IF(N5&lt;=TabS!$G$23,TabS!$I$23,IF(N5&lt;=TabS!$G$24,TabS!$I$24,IF(N5&lt;=TabS!$G$25,TabS!$I$25,IF(N5&lt;=TabS!$G$26,TabS!$I$26,IF(N5&lt;=TabS!$G$27,TabS!$I$27,IF(N5&lt;=TabS!$G$28,TabS!$I$28))))))</f>
        <v>0</v>
      </c>
      <c r="O40" s="119">
        <f t="shared" si="28"/>
        <v>0</v>
      </c>
      <c r="Q40" s="144" t="s">
        <v>122</v>
      </c>
      <c r="R40" s="132">
        <f>IF(C5&gt;TabS!$G$27,TabS!$I$27,0)</f>
        <v>0</v>
      </c>
      <c r="S40" s="132">
        <f>IF(D5&gt;TabS!$G$27,TabS!$I$27,0)</f>
        <v>0</v>
      </c>
      <c r="T40" s="132">
        <f>IF(E5&gt;TabS!$G$27,TabS!$I$27,0)</f>
        <v>0</v>
      </c>
      <c r="U40" s="132">
        <f>IF(F5&gt;TabS!$G$27,TabS!$I$27,0)</f>
        <v>0</v>
      </c>
      <c r="V40" s="132">
        <f>IF(G5&gt;TabS!$G$27,TabS!$I$27,0)</f>
        <v>0</v>
      </c>
      <c r="W40" s="132">
        <f>IF(H5&gt;TabS!$G$27,TabS!$I$27,0)</f>
        <v>0</v>
      </c>
      <c r="X40" s="132">
        <f>IF(I5&gt;TabS!$G$27,TabS!$I$27,0)</f>
        <v>0</v>
      </c>
      <c r="Y40" s="132">
        <f>IF(J5&gt;TabS!$G$27,TabS!$I$27,0)</f>
        <v>0</v>
      </c>
      <c r="Z40" s="132">
        <f>IF(K5&gt;TabS!$G$27,TabS!$I$27,0)</f>
        <v>0</v>
      </c>
      <c r="AA40" s="132">
        <f>IF(L5&gt;TabS!$G$27,TabS!$I$27,0)</f>
        <v>0</v>
      </c>
      <c r="AB40" s="132">
        <f>IF(M5&gt;TabS!$G$27,TabS!$I$27,0)</f>
        <v>0</v>
      </c>
      <c r="AC40" s="132">
        <f>IF(N5&gt;TabS!$G$27,TabS!$I$27,0)</f>
        <v>0</v>
      </c>
      <c r="AD40" s="119">
        <f t="shared" si="30"/>
        <v>0</v>
      </c>
    </row>
    <row r="41" spans="2:30" ht="20.100000000000001" customHeight="1" x14ac:dyDescent="0.25">
      <c r="B41" s="49" t="s">
        <v>123</v>
      </c>
      <c r="C41" s="135">
        <f>IFERROR(C43/C5,0)</f>
        <v>0</v>
      </c>
      <c r="D41" s="135">
        <f t="shared" ref="D41:N41" si="31">IFERROR(D43/D5,0)</f>
        <v>0</v>
      </c>
      <c r="E41" s="135">
        <f t="shared" si="31"/>
        <v>0</v>
      </c>
      <c r="F41" s="135">
        <f t="shared" si="31"/>
        <v>0</v>
      </c>
      <c r="G41" s="135">
        <f t="shared" si="31"/>
        <v>0</v>
      </c>
      <c r="H41" s="135">
        <f t="shared" si="31"/>
        <v>0</v>
      </c>
      <c r="I41" s="135">
        <f t="shared" si="31"/>
        <v>0</v>
      </c>
      <c r="J41" s="135">
        <f t="shared" si="31"/>
        <v>0</v>
      </c>
      <c r="K41" s="135">
        <f t="shared" si="31"/>
        <v>0</v>
      </c>
      <c r="L41" s="135">
        <f t="shared" si="31"/>
        <v>0</v>
      </c>
      <c r="M41" s="135">
        <f t="shared" si="31"/>
        <v>0</v>
      </c>
      <c r="N41" s="135">
        <f t="shared" si="31"/>
        <v>0</v>
      </c>
      <c r="O41" s="136">
        <f t="shared" si="28"/>
        <v>0</v>
      </c>
      <c r="Q41" s="130" t="s">
        <v>123</v>
      </c>
      <c r="R41" s="135">
        <f>IFERROR(R43/C5,0)</f>
        <v>0</v>
      </c>
      <c r="S41" s="135">
        <f t="shared" ref="S41:AC41" si="32">IFERROR(S43/D5,0)</f>
        <v>0</v>
      </c>
      <c r="T41" s="135">
        <f t="shared" si="32"/>
        <v>0</v>
      </c>
      <c r="U41" s="135">
        <f t="shared" si="32"/>
        <v>0</v>
      </c>
      <c r="V41" s="135">
        <f t="shared" si="32"/>
        <v>0</v>
      </c>
      <c r="W41" s="135">
        <f t="shared" si="32"/>
        <v>0</v>
      </c>
      <c r="X41" s="135">
        <f t="shared" si="32"/>
        <v>0</v>
      </c>
      <c r="Y41" s="135">
        <f t="shared" si="32"/>
        <v>0</v>
      </c>
      <c r="Z41" s="135">
        <f t="shared" si="32"/>
        <v>0</v>
      </c>
      <c r="AA41" s="135">
        <f t="shared" si="32"/>
        <v>0</v>
      </c>
      <c r="AB41" s="135">
        <f t="shared" si="32"/>
        <v>0</v>
      </c>
      <c r="AC41" s="135">
        <f t="shared" si="32"/>
        <v>0</v>
      </c>
      <c r="AD41" s="136">
        <f t="shared" si="30"/>
        <v>0</v>
      </c>
    </row>
    <row r="42" spans="2:30" ht="20.100000000000001" customHeight="1" x14ac:dyDescent="0.25">
      <c r="B42" s="161" t="s">
        <v>125</v>
      </c>
      <c r="C42" s="137">
        <f t="shared" ref="C42:N42" si="33">C38*C41</f>
        <v>0</v>
      </c>
      <c r="D42" s="137">
        <f t="shared" si="33"/>
        <v>0</v>
      </c>
      <c r="E42" s="137">
        <f t="shared" si="33"/>
        <v>0</v>
      </c>
      <c r="F42" s="137">
        <f t="shared" si="33"/>
        <v>0</v>
      </c>
      <c r="G42" s="137">
        <f t="shared" si="33"/>
        <v>0</v>
      </c>
      <c r="H42" s="137">
        <f t="shared" si="33"/>
        <v>0</v>
      </c>
      <c r="I42" s="137">
        <f t="shared" si="33"/>
        <v>0</v>
      </c>
      <c r="J42" s="137">
        <f t="shared" si="33"/>
        <v>0</v>
      </c>
      <c r="K42" s="137">
        <f t="shared" si="33"/>
        <v>0</v>
      </c>
      <c r="L42" s="137">
        <f t="shared" si="33"/>
        <v>0</v>
      </c>
      <c r="M42" s="137">
        <f t="shared" si="33"/>
        <v>0</v>
      </c>
      <c r="N42" s="137">
        <f t="shared" si="33"/>
        <v>0</v>
      </c>
      <c r="O42" s="138">
        <f>SUM(C42:N42)</f>
        <v>0</v>
      </c>
      <c r="Q42" s="146" t="s">
        <v>125</v>
      </c>
      <c r="R42" s="137">
        <f>R38*R41</f>
        <v>0</v>
      </c>
      <c r="S42" s="137">
        <f t="shared" ref="S42:AC42" si="34">S38*S41</f>
        <v>0</v>
      </c>
      <c r="T42" s="137">
        <f t="shared" si="34"/>
        <v>0</v>
      </c>
      <c r="U42" s="137">
        <f t="shared" si="34"/>
        <v>0</v>
      </c>
      <c r="V42" s="137">
        <f t="shared" si="34"/>
        <v>0</v>
      </c>
      <c r="W42" s="137">
        <f t="shared" si="34"/>
        <v>0</v>
      </c>
      <c r="X42" s="137">
        <f t="shared" si="34"/>
        <v>0</v>
      </c>
      <c r="Y42" s="137">
        <f t="shared" si="34"/>
        <v>0</v>
      </c>
      <c r="Z42" s="137">
        <f t="shared" si="34"/>
        <v>0</v>
      </c>
      <c r="AA42" s="137">
        <f t="shared" si="34"/>
        <v>0</v>
      </c>
      <c r="AB42" s="137">
        <f t="shared" si="34"/>
        <v>0</v>
      </c>
      <c r="AC42" s="137">
        <f t="shared" si="34"/>
        <v>0</v>
      </c>
      <c r="AD42" s="138">
        <f t="shared" si="30"/>
        <v>0</v>
      </c>
    </row>
    <row r="43" spans="2:30" ht="20.100000000000001" customHeight="1" x14ac:dyDescent="0.25">
      <c r="B43" s="19" t="s">
        <v>124</v>
      </c>
      <c r="C43" s="132">
        <f>IFERROR((C5*C39)-C40,0)</f>
        <v>0</v>
      </c>
      <c r="D43" s="132">
        <f t="shared" ref="D43:N43" si="35">IFERROR((D5*D39)-D40,0)</f>
        <v>0</v>
      </c>
      <c r="E43" s="132">
        <f t="shared" si="35"/>
        <v>0</v>
      </c>
      <c r="F43" s="132">
        <f t="shared" si="35"/>
        <v>0</v>
      </c>
      <c r="G43" s="132">
        <f t="shared" si="35"/>
        <v>0</v>
      </c>
      <c r="H43" s="132">
        <f t="shared" si="35"/>
        <v>0</v>
      </c>
      <c r="I43" s="132">
        <f t="shared" si="35"/>
        <v>0</v>
      </c>
      <c r="J43" s="132">
        <f t="shared" si="35"/>
        <v>0</v>
      </c>
      <c r="K43" s="132">
        <f t="shared" si="35"/>
        <v>0</v>
      </c>
      <c r="L43" s="132">
        <f t="shared" si="35"/>
        <v>0</v>
      </c>
      <c r="M43" s="132">
        <f t="shared" si="35"/>
        <v>0</v>
      </c>
      <c r="N43" s="132">
        <f t="shared" si="35"/>
        <v>0</v>
      </c>
      <c r="O43" s="119">
        <f t="shared" si="28"/>
        <v>0</v>
      </c>
      <c r="Q43" s="144" t="s">
        <v>124</v>
      </c>
      <c r="R43" s="132">
        <f>IFERROR((C5*R39)-R40,0)</f>
        <v>0</v>
      </c>
      <c r="S43" s="132">
        <f t="shared" ref="S43:AC43" si="36">IFERROR((D5*S39)-S40,0)</f>
        <v>0</v>
      </c>
      <c r="T43" s="132">
        <f t="shared" si="36"/>
        <v>0</v>
      </c>
      <c r="U43" s="132">
        <f t="shared" si="36"/>
        <v>0</v>
      </c>
      <c r="V43" s="132">
        <f t="shared" si="36"/>
        <v>0</v>
      </c>
      <c r="W43" s="132">
        <f t="shared" si="36"/>
        <v>0</v>
      </c>
      <c r="X43" s="132">
        <f t="shared" si="36"/>
        <v>0</v>
      </c>
      <c r="Y43" s="132">
        <f t="shared" si="36"/>
        <v>0</v>
      </c>
      <c r="Z43" s="132">
        <f t="shared" si="36"/>
        <v>0</v>
      </c>
      <c r="AA43" s="132">
        <f t="shared" si="36"/>
        <v>0</v>
      </c>
      <c r="AB43" s="132">
        <f t="shared" si="36"/>
        <v>0</v>
      </c>
      <c r="AC43" s="132">
        <f t="shared" si="36"/>
        <v>0</v>
      </c>
      <c r="AD43" s="119">
        <f t="shared" si="30"/>
        <v>0</v>
      </c>
    </row>
    <row r="44" spans="2:30" ht="20.100000000000001" customHeight="1" x14ac:dyDescent="0.25">
      <c r="B44" s="112" t="s">
        <v>82</v>
      </c>
      <c r="C44" s="112" t="s">
        <v>83</v>
      </c>
      <c r="D44" s="112" t="s">
        <v>84</v>
      </c>
      <c r="E44" s="112" t="s">
        <v>85</v>
      </c>
      <c r="F44" s="112" t="s">
        <v>86</v>
      </c>
      <c r="G44" s="112" t="s">
        <v>87</v>
      </c>
      <c r="H44" s="112" t="s">
        <v>88</v>
      </c>
      <c r="I44" s="112" t="s">
        <v>89</v>
      </c>
      <c r="J44" s="112" t="s">
        <v>90</v>
      </c>
      <c r="K44" s="112" t="s">
        <v>91</v>
      </c>
      <c r="L44" s="112" t="s">
        <v>92</v>
      </c>
      <c r="M44" s="112" t="s">
        <v>93</v>
      </c>
      <c r="N44" s="112" t="s">
        <v>94</v>
      </c>
      <c r="O44" s="112" t="s">
        <v>95</v>
      </c>
    </row>
    <row r="45" spans="2:30" ht="20.100000000000001" customHeight="1" x14ac:dyDescent="0.25">
      <c r="B45" s="19" t="s">
        <v>77</v>
      </c>
      <c r="C45" s="132">
        <f>C13</f>
        <v>0</v>
      </c>
      <c r="D45" s="132">
        <f t="shared" ref="D45:N45" si="37">D13</f>
        <v>0</v>
      </c>
      <c r="E45" s="132">
        <f t="shared" si="37"/>
        <v>0</v>
      </c>
      <c r="F45" s="132">
        <f t="shared" si="37"/>
        <v>0</v>
      </c>
      <c r="G45" s="132">
        <f t="shared" si="37"/>
        <v>0</v>
      </c>
      <c r="H45" s="132">
        <f t="shared" si="37"/>
        <v>0</v>
      </c>
      <c r="I45" s="132">
        <f t="shared" si="37"/>
        <v>0</v>
      </c>
      <c r="J45" s="132">
        <f t="shared" si="37"/>
        <v>0</v>
      </c>
      <c r="K45" s="132">
        <f t="shared" si="37"/>
        <v>0</v>
      </c>
      <c r="L45" s="132">
        <f t="shared" si="37"/>
        <v>0</v>
      </c>
      <c r="M45" s="132">
        <f t="shared" si="37"/>
        <v>0</v>
      </c>
      <c r="N45" s="132">
        <f t="shared" si="37"/>
        <v>0</v>
      </c>
      <c r="O45" s="119">
        <f t="shared" ref="O45:O50" si="38">SUM(C45:N45)</f>
        <v>0</v>
      </c>
    </row>
    <row r="46" spans="2:30" ht="20.100000000000001" customHeight="1" x14ac:dyDescent="0.25">
      <c r="B46" s="19" t="s">
        <v>121</v>
      </c>
      <c r="C46" s="133">
        <f>IF(C5&lt;=TabS!$G$29,TabS!$H$29,IF(C5&lt;=TabS!$G$30,TabS!$H$30,IF(C5&lt;=TabS!$G$31,TabS!$H$31,IF(C5&lt;=TabS!$G$32,TabS!$H$32,IF(C5&lt;=TabS!$G$33,TabS!$H$33,IF(C5&lt;=TabS!$G$34,TabS!$H$34))))))</f>
        <v>0.155</v>
      </c>
      <c r="D46" s="133">
        <f>IF(D5&lt;=TabS!$G$29,TabS!$H$29,IF(D5&lt;=TabS!$G$30,TabS!$H$30,IF(D5&lt;=TabS!$G$31,TabS!$H$31,IF(D5&lt;=TabS!$G$32,TabS!$H$32,IF(D5&lt;=TabS!$G$33,TabS!$H$33,IF(D5&lt;=TabS!$G$34,TabS!$H$34))))))</f>
        <v>0.155</v>
      </c>
      <c r="E46" s="133">
        <f>IF(E5&lt;=TabS!$G$29,TabS!$H$29,IF(E5&lt;=TabS!$G$30,TabS!$H$30,IF(E5&lt;=TabS!$G$31,TabS!$H$31,IF(E5&lt;=TabS!$G$32,TabS!$H$32,IF(E5&lt;=TabS!$G$33,TabS!$H$33,IF(E5&lt;=TabS!$G$34,TabS!$H$34))))))</f>
        <v>0.155</v>
      </c>
      <c r="F46" s="133">
        <f>IF(F5&lt;=TabS!$G$29,TabS!$H$29,IF(F5&lt;=TabS!$G$30,TabS!$H$30,IF(F5&lt;=TabS!$G$31,TabS!$H$31,IF(F5&lt;=TabS!$G$32,TabS!$H$32,IF(F5&lt;=TabS!$G$33,TabS!$H$33,IF(F5&lt;=TabS!$G$34,TabS!$H$34))))))</f>
        <v>0.155</v>
      </c>
      <c r="G46" s="133">
        <f>IF(G5&lt;=TabS!$G$29,TabS!$H$29,IF(G5&lt;=TabS!$G$30,TabS!$H$30,IF(G5&lt;=TabS!$G$31,TabS!$H$31,IF(G5&lt;=TabS!$G$32,TabS!$H$32,IF(G5&lt;=TabS!$G$33,TabS!$H$33,IF(G5&lt;=TabS!$G$34,TabS!$H$34))))))</f>
        <v>0.155</v>
      </c>
      <c r="H46" s="133">
        <f>IF(H5&lt;=TabS!$G$29,TabS!$H$29,IF(H5&lt;=TabS!$G$30,TabS!$H$30,IF(H5&lt;=TabS!$G$31,TabS!$H$31,IF(H5&lt;=TabS!$G$32,TabS!$H$32,IF(H5&lt;=TabS!$G$33,TabS!$H$33,IF(H5&lt;=TabS!$G$34,TabS!$H$34))))))</f>
        <v>0.155</v>
      </c>
      <c r="I46" s="133">
        <f>IF(I5&lt;=TabS!$G$29,TabS!$H$29,IF(I5&lt;=TabS!$G$30,TabS!$H$30,IF(I5&lt;=TabS!$G$31,TabS!$H$31,IF(I5&lt;=TabS!$G$32,TabS!$H$32,IF(I5&lt;=TabS!$G$33,TabS!$H$33,IF(I5&lt;=TabS!$G$34,TabS!$H$34))))))</f>
        <v>0.155</v>
      </c>
      <c r="J46" s="133">
        <f>IF(J5&lt;=TabS!$G$29,TabS!$H$29,IF(J5&lt;=TabS!$G$30,TabS!$H$30,IF(J5&lt;=TabS!$G$31,TabS!$H$31,IF(J5&lt;=TabS!$G$32,TabS!$H$32,IF(J5&lt;=TabS!$G$33,TabS!$H$33,IF(J5&lt;=TabS!$G$34,TabS!$H$34))))))</f>
        <v>0.155</v>
      </c>
      <c r="K46" s="133">
        <f>IF(K5&lt;=TabS!$G$29,TabS!$H$29,IF(K5&lt;=TabS!$G$30,TabS!$H$30,IF(K5&lt;=TabS!$G$31,TabS!$H$31,IF(K5&lt;=TabS!$G$32,TabS!$H$32,IF(K5&lt;=TabS!$G$33,TabS!$H$33,IF(K5&lt;=TabS!$G$34,TabS!$H$34))))))</f>
        <v>0.155</v>
      </c>
      <c r="L46" s="133">
        <f>IF(L5&lt;=TabS!$G$29,TabS!$H$29,IF(L5&lt;=TabS!$G$30,TabS!$H$30,IF(L5&lt;=TabS!$G$31,TabS!$H$31,IF(L5&lt;=TabS!$G$32,TabS!$H$32,IF(L5&lt;=TabS!$G$33,TabS!$H$33,IF(L5&lt;=TabS!$G$34,TabS!$H$34))))))</f>
        <v>0.155</v>
      </c>
      <c r="M46" s="133">
        <f>IF(M5&lt;=TabS!$G$29,TabS!$H$29,IF(M5&lt;=TabS!$G$30,TabS!$H$30,IF(M5&lt;=TabS!$G$31,TabS!$H$31,IF(M5&lt;=TabS!$G$32,TabS!$H$32,IF(M5&lt;=TabS!$G$33,TabS!$H$33,IF(M5&lt;=TabS!$G$34,TabS!$H$34))))))</f>
        <v>0.155</v>
      </c>
      <c r="N46" s="133">
        <f>IF(N5&lt;=TabS!$G$29,TabS!$H$29,IF(N5&lt;=TabS!$G$30,TabS!$H$30,IF(N5&lt;=TabS!$G$31,TabS!$H$31,IF(N5&lt;=TabS!$G$32,TabS!$H$32,IF(N5&lt;=TabS!$G$33,TabS!$H$33,IF(N5&lt;=TabS!$G$34,TabS!$H$34))))))</f>
        <v>0.155</v>
      </c>
      <c r="O46" s="134">
        <f t="shared" si="38"/>
        <v>1.86</v>
      </c>
    </row>
    <row r="47" spans="2:30" ht="20.100000000000001" customHeight="1" x14ac:dyDescent="0.25">
      <c r="B47" s="19" t="s">
        <v>122</v>
      </c>
      <c r="C47" s="132">
        <f>IF(C5&lt;=TabS!$G$29,TabS!$I$29,IF(C5&lt;=TabS!$G$30,TabS!$I$30,IF(C5&lt;=TabS!$G$31,TabS!$I$31,IF(C5&lt;=TabS!$G$32,TabS!$I$32,IF(C5&lt;=TabS!$G$33,TabS!$I$33,IF(C5&lt;=TabS!$G$34,TabS!$I$34))))))</f>
        <v>0</v>
      </c>
      <c r="D47" s="132">
        <f>IF(D5&lt;=TabS!$G$29,TabS!$I$29,IF(D5&lt;=TabS!$G$30,TabS!$I$30,IF(D5&lt;=TabS!$G$31,TabS!$I$31,IF(D5&lt;=TabS!$G$32,TabS!$I$32,IF(D5&lt;=TabS!$G$33,TabS!$I$33,IF(D5&lt;=TabS!$G$34,TabS!$I$34))))))</f>
        <v>0</v>
      </c>
      <c r="E47" s="132">
        <f>IF(E5&lt;=TabS!$G$29,TabS!$I$29,IF(E5&lt;=TabS!$G$30,TabS!$I$30,IF(E5&lt;=TabS!$G$31,TabS!$I$31,IF(E5&lt;=TabS!$G$32,TabS!$I$32,IF(E5&lt;=TabS!$G$33,TabS!$I$33,IF(E5&lt;=TabS!$G$34,TabS!$I$34))))))</f>
        <v>0</v>
      </c>
      <c r="F47" s="132">
        <f>IF(F5&lt;=TabS!$G$29,TabS!$I$29,IF(F5&lt;=TabS!$G$30,TabS!$I$30,IF(F5&lt;=TabS!$G$31,TabS!$I$31,IF(F5&lt;=TabS!$G$32,TabS!$I$32,IF(F5&lt;=TabS!$G$33,TabS!$I$33,IF(F5&lt;=TabS!$G$34,TabS!$I$34))))))</f>
        <v>0</v>
      </c>
      <c r="G47" s="132">
        <f>IF(G5&lt;=TabS!$G$29,TabS!$I$29,IF(G5&lt;=TabS!$G$30,TabS!$I$30,IF(G5&lt;=TabS!$G$31,TabS!$I$31,IF(G5&lt;=TabS!$G$32,TabS!$I$32,IF(G5&lt;=TabS!$G$33,TabS!$I$33,IF(G5&lt;=TabS!$G$34,TabS!$I$34))))))</f>
        <v>0</v>
      </c>
      <c r="H47" s="132">
        <f>IF(H5&lt;=TabS!$G$29,TabS!$I$29,IF(H5&lt;=TabS!$G$30,TabS!$I$30,IF(H5&lt;=TabS!$G$31,TabS!$I$31,IF(H5&lt;=TabS!$G$32,TabS!$I$32,IF(H5&lt;=TabS!$G$33,TabS!$I$33,IF(H5&lt;=TabS!$G$34,TabS!$I$34))))))</f>
        <v>0</v>
      </c>
      <c r="I47" s="132">
        <f>IF(I5&lt;=TabS!$G$29,TabS!$I$29,IF(I5&lt;=TabS!$G$30,TabS!$I$30,IF(I5&lt;=TabS!$G$31,TabS!$I$31,IF(I5&lt;=TabS!$G$32,TabS!$I$32,IF(I5&lt;=TabS!$G$33,TabS!$I$33,IF(I5&lt;=TabS!$G$34,TabS!$I$34))))))</f>
        <v>0</v>
      </c>
      <c r="J47" s="132">
        <f>IF(J5&lt;=TabS!$G$29,TabS!$I$29,IF(J5&lt;=TabS!$G$30,TabS!$I$30,IF(J5&lt;=TabS!$G$31,TabS!$I$31,IF(J5&lt;=TabS!$G$32,TabS!$I$32,IF(J5&lt;=TabS!$G$33,TabS!$I$33,IF(J5&lt;=TabS!$G$34,TabS!$I$34))))))</f>
        <v>0</v>
      </c>
      <c r="K47" s="132">
        <f>IF(K5&lt;=TabS!$G$29,TabS!$I$29,IF(K5&lt;=TabS!$G$30,TabS!$I$30,IF(K5&lt;=TabS!$G$31,TabS!$I$31,IF(K5&lt;=TabS!$G$32,TabS!$I$32,IF(K5&lt;=TabS!$G$33,TabS!$I$33,IF(K5&lt;=TabS!$G$34,TabS!$I$34))))))</f>
        <v>0</v>
      </c>
      <c r="L47" s="132">
        <f>IF(L5&lt;=TabS!$G$29,TabS!$I$29,IF(L5&lt;=TabS!$G$30,TabS!$I$30,IF(L5&lt;=TabS!$G$31,TabS!$I$31,IF(L5&lt;=TabS!$G$32,TabS!$I$32,IF(L5&lt;=TabS!$G$33,TabS!$I$33,IF(L5&lt;=TabS!$G$34,TabS!$I$34))))))</f>
        <v>0</v>
      </c>
      <c r="M47" s="132">
        <f>IF(M5&lt;=TabS!$G$29,TabS!$I$29,IF(M5&lt;=TabS!$G$30,TabS!$I$30,IF(M5&lt;=TabS!$G$31,TabS!$I$31,IF(M5&lt;=TabS!$G$32,TabS!$I$32,IF(M5&lt;=TabS!$G$33,TabS!$I$33,IF(M5&lt;=TabS!$G$34,TabS!$I$34))))))</f>
        <v>0</v>
      </c>
      <c r="N47" s="132">
        <f>IF(N5&lt;=TabS!$G$29,TabS!$I$29,IF(N5&lt;=TabS!$G$30,TabS!$I$30,IF(N5&lt;=TabS!$G$31,TabS!$I$31,IF(N5&lt;=TabS!$G$32,TabS!$I$32,IF(N5&lt;=TabS!$G$33,TabS!$I$33,IF(N5&lt;=TabS!$G$34,TabS!$I$34))))))</f>
        <v>0</v>
      </c>
      <c r="O47" s="119">
        <f t="shared" si="38"/>
        <v>0</v>
      </c>
    </row>
    <row r="48" spans="2:30" ht="20.100000000000001" customHeight="1" x14ac:dyDescent="0.25">
      <c r="B48" s="49" t="s">
        <v>123</v>
      </c>
      <c r="C48" s="135">
        <f>IFERROR(C50/C5,0)</f>
        <v>0</v>
      </c>
      <c r="D48" s="135">
        <f t="shared" ref="D48:N48" si="39">IFERROR(D50/D5,0)</f>
        <v>0</v>
      </c>
      <c r="E48" s="135">
        <f t="shared" si="39"/>
        <v>0</v>
      </c>
      <c r="F48" s="135">
        <f t="shared" si="39"/>
        <v>0</v>
      </c>
      <c r="G48" s="135">
        <f t="shared" si="39"/>
        <v>0</v>
      </c>
      <c r="H48" s="135">
        <f t="shared" si="39"/>
        <v>0</v>
      </c>
      <c r="I48" s="135">
        <f t="shared" si="39"/>
        <v>0</v>
      </c>
      <c r="J48" s="135">
        <f t="shared" si="39"/>
        <v>0</v>
      </c>
      <c r="K48" s="135">
        <f t="shared" si="39"/>
        <v>0</v>
      </c>
      <c r="L48" s="135">
        <f t="shared" si="39"/>
        <v>0</v>
      </c>
      <c r="M48" s="135">
        <f t="shared" si="39"/>
        <v>0</v>
      </c>
      <c r="N48" s="135">
        <f t="shared" si="39"/>
        <v>0</v>
      </c>
      <c r="O48" s="136">
        <f t="shared" si="38"/>
        <v>0</v>
      </c>
    </row>
    <row r="49" spans="2:15" ht="20.100000000000001" customHeight="1" x14ac:dyDescent="0.25">
      <c r="B49" s="161" t="s">
        <v>125</v>
      </c>
      <c r="C49" s="137">
        <f t="shared" ref="C49:N49" si="40">C45*C48</f>
        <v>0</v>
      </c>
      <c r="D49" s="137">
        <f t="shared" si="40"/>
        <v>0</v>
      </c>
      <c r="E49" s="137">
        <f t="shared" si="40"/>
        <v>0</v>
      </c>
      <c r="F49" s="137">
        <f t="shared" si="40"/>
        <v>0</v>
      </c>
      <c r="G49" s="137">
        <f t="shared" si="40"/>
        <v>0</v>
      </c>
      <c r="H49" s="137">
        <f t="shared" si="40"/>
        <v>0</v>
      </c>
      <c r="I49" s="137">
        <f t="shared" si="40"/>
        <v>0</v>
      </c>
      <c r="J49" s="137">
        <f t="shared" si="40"/>
        <v>0</v>
      </c>
      <c r="K49" s="137">
        <f t="shared" si="40"/>
        <v>0</v>
      </c>
      <c r="L49" s="137">
        <f t="shared" si="40"/>
        <v>0</v>
      </c>
      <c r="M49" s="137">
        <f t="shared" si="40"/>
        <v>0</v>
      </c>
      <c r="N49" s="137">
        <f t="shared" si="40"/>
        <v>0</v>
      </c>
      <c r="O49" s="138">
        <f>SUM(C49:N49)</f>
        <v>0</v>
      </c>
    </row>
    <row r="50" spans="2:15" ht="20.100000000000001" customHeight="1" x14ac:dyDescent="0.25">
      <c r="B50" s="19" t="s">
        <v>124</v>
      </c>
      <c r="C50" s="132">
        <f>IFERROR((C5*C46)-C47,0)</f>
        <v>0</v>
      </c>
      <c r="D50" s="132">
        <f t="shared" ref="D50:N50" si="41">IFERROR((D5*D46)-D47,0)</f>
        <v>0</v>
      </c>
      <c r="E50" s="132">
        <f t="shared" si="41"/>
        <v>0</v>
      </c>
      <c r="F50" s="132">
        <f t="shared" si="41"/>
        <v>0</v>
      </c>
      <c r="G50" s="132">
        <f t="shared" si="41"/>
        <v>0</v>
      </c>
      <c r="H50" s="132">
        <f t="shared" si="41"/>
        <v>0</v>
      </c>
      <c r="I50" s="132">
        <f t="shared" si="41"/>
        <v>0</v>
      </c>
      <c r="J50" s="132">
        <f t="shared" si="41"/>
        <v>0</v>
      </c>
      <c r="K50" s="132">
        <f t="shared" si="41"/>
        <v>0</v>
      </c>
      <c r="L50" s="132">
        <f t="shared" si="41"/>
        <v>0</v>
      </c>
      <c r="M50" s="132">
        <f t="shared" si="41"/>
        <v>0</v>
      </c>
      <c r="N50" s="132">
        <f t="shared" si="41"/>
        <v>0</v>
      </c>
      <c r="O50" s="119">
        <f t="shared" si="38"/>
        <v>0</v>
      </c>
    </row>
    <row r="52" spans="2:15" ht="29.25" customHeight="1" x14ac:dyDescent="0.25">
      <c r="B52" s="162" t="s">
        <v>126</v>
      </c>
      <c r="C52" s="139"/>
      <c r="D52" s="139"/>
      <c r="E52" s="139"/>
      <c r="F52" s="139"/>
      <c r="G52" s="139"/>
      <c r="H52" s="139"/>
    </row>
    <row r="53" spans="2:15" ht="20.100000000000001" customHeight="1" x14ac:dyDescent="0.25">
      <c r="B53" s="163"/>
      <c r="C53" s="139"/>
      <c r="D53" s="139"/>
      <c r="E53" s="139"/>
      <c r="F53" s="139"/>
      <c r="G53" s="139"/>
      <c r="H53" s="139"/>
    </row>
    <row r="54" spans="2:15" ht="20.100000000000001" customHeight="1" x14ac:dyDescent="0.25">
      <c r="B54" s="164" t="s">
        <v>80</v>
      </c>
      <c r="C54" s="139"/>
      <c r="D54" s="139"/>
      <c r="E54" s="139"/>
      <c r="F54" s="139"/>
      <c r="G54" s="139"/>
      <c r="H54" s="139"/>
    </row>
    <row r="55" spans="2:15" ht="20.100000000000001" customHeight="1" x14ac:dyDescent="0.25">
      <c r="B55" s="163"/>
      <c r="C55" s="139"/>
      <c r="D55" s="139"/>
      <c r="E55" s="139"/>
      <c r="F55" s="139"/>
      <c r="G55" s="139"/>
      <c r="H55" s="139"/>
    </row>
    <row r="56" spans="2:15" ht="20.100000000000001" customHeight="1" x14ac:dyDescent="0.25">
      <c r="B56" s="165" t="s">
        <v>127</v>
      </c>
      <c r="C56" s="140" t="s">
        <v>97</v>
      </c>
      <c r="D56" s="140" t="s">
        <v>98</v>
      </c>
      <c r="E56" s="140" t="s">
        <v>128</v>
      </c>
      <c r="F56" s="140" t="s">
        <v>129</v>
      </c>
      <c r="G56" s="140" t="s">
        <v>42</v>
      </c>
      <c r="H56" s="140" t="s">
        <v>40</v>
      </c>
    </row>
    <row r="57" spans="2:15" ht="20.100000000000001" customHeight="1" x14ac:dyDescent="0.25">
      <c r="B57" s="163" t="s">
        <v>69</v>
      </c>
      <c r="C57" s="141">
        <v>2.76E-2</v>
      </c>
      <c r="D57" s="141">
        <v>0.12740000000000001</v>
      </c>
      <c r="E57" s="141">
        <v>0.34</v>
      </c>
      <c r="F57" s="141">
        <v>0.41499999999999998</v>
      </c>
      <c r="G57" s="141">
        <v>3.5000000000000003E-2</v>
      </c>
      <c r="H57" s="141">
        <v>5.5E-2</v>
      </c>
    </row>
    <row r="58" spans="2:15" ht="20.100000000000001" customHeight="1" x14ac:dyDescent="0.25">
      <c r="B58" s="163" t="s">
        <v>70</v>
      </c>
      <c r="C58" s="141">
        <v>2.76E-2</v>
      </c>
      <c r="D58" s="141">
        <v>0.12740000000000001</v>
      </c>
      <c r="E58" s="141">
        <v>0.34</v>
      </c>
      <c r="F58" s="141">
        <v>0.41499999999999998</v>
      </c>
      <c r="G58" s="141">
        <v>3.5000000000000003E-2</v>
      </c>
      <c r="H58" s="141">
        <v>5.5E-2</v>
      </c>
    </row>
    <row r="59" spans="2:15" ht="20.100000000000001" customHeight="1" x14ac:dyDescent="0.25">
      <c r="B59" s="163" t="s">
        <v>71</v>
      </c>
      <c r="C59" s="141">
        <v>2.76E-2</v>
      </c>
      <c r="D59" s="141">
        <v>0.12740000000000001</v>
      </c>
      <c r="E59" s="141">
        <v>0.33500000000000002</v>
      </c>
      <c r="F59" s="141">
        <v>0.42</v>
      </c>
      <c r="G59" s="141">
        <v>3.5000000000000003E-2</v>
      </c>
      <c r="H59" s="141">
        <v>5.5E-2</v>
      </c>
    </row>
    <row r="60" spans="2:15" ht="20.100000000000001" customHeight="1" x14ac:dyDescent="0.25">
      <c r="B60" s="163" t="s">
        <v>72</v>
      </c>
      <c r="C60" s="141">
        <v>2.76E-2</v>
      </c>
      <c r="D60" s="141">
        <v>0.12740000000000001</v>
      </c>
      <c r="E60" s="141">
        <v>0.33500000000000002</v>
      </c>
      <c r="F60" s="141">
        <v>0.42</v>
      </c>
      <c r="G60" s="141">
        <v>3.5000000000000003E-2</v>
      </c>
      <c r="H60" s="141">
        <v>5.5E-2</v>
      </c>
    </row>
    <row r="61" spans="2:15" ht="20.100000000000001" customHeight="1" x14ac:dyDescent="0.25">
      <c r="B61" s="163" t="s">
        <v>73</v>
      </c>
      <c r="C61" s="141">
        <v>2.76E-2</v>
      </c>
      <c r="D61" s="141">
        <v>0.12740000000000001</v>
      </c>
      <c r="E61" s="141">
        <v>0.33500000000000002</v>
      </c>
      <c r="F61" s="141">
        <v>0.42</v>
      </c>
      <c r="G61" s="141">
        <v>3.5000000000000003E-2</v>
      </c>
      <c r="H61" s="141">
        <v>5.5E-2</v>
      </c>
    </row>
    <row r="62" spans="2:15" ht="20.100000000000001" customHeight="1" x14ac:dyDescent="0.25">
      <c r="B62" s="166" t="s">
        <v>74</v>
      </c>
      <c r="C62" s="142">
        <v>6.13E-2</v>
      </c>
      <c r="D62" s="142">
        <v>0.28270000000000001</v>
      </c>
      <c r="E62" s="142">
        <v>0</v>
      </c>
      <c r="F62" s="142">
        <v>0.42099999999999999</v>
      </c>
      <c r="G62" s="142">
        <v>0.1</v>
      </c>
      <c r="H62" s="142">
        <v>0.13500000000000001</v>
      </c>
    </row>
    <row r="63" spans="2:15" ht="20.100000000000001" customHeight="1" x14ac:dyDescent="0.25">
      <c r="B63" s="163"/>
      <c r="C63" s="139"/>
      <c r="D63" s="139"/>
      <c r="E63" s="139"/>
      <c r="F63" s="139"/>
      <c r="G63" s="139"/>
      <c r="H63" s="139"/>
    </row>
    <row r="64" spans="2:15" ht="20.100000000000001" customHeight="1" x14ac:dyDescent="0.25">
      <c r="B64" s="164" t="s">
        <v>81</v>
      </c>
      <c r="C64" s="139"/>
      <c r="D64" s="139"/>
      <c r="E64" s="139"/>
      <c r="F64" s="139"/>
      <c r="G64" s="139"/>
      <c r="H64" s="139"/>
    </row>
    <row r="65" spans="2:9" ht="20.100000000000001" customHeight="1" x14ac:dyDescent="0.25">
      <c r="B65" s="163"/>
      <c r="C65" s="139"/>
      <c r="D65" s="139"/>
      <c r="E65" s="139"/>
      <c r="F65" s="139"/>
      <c r="G65" s="139"/>
      <c r="H65" s="139"/>
    </row>
    <row r="66" spans="2:9" ht="20.100000000000001" customHeight="1" x14ac:dyDescent="0.25">
      <c r="B66" s="165" t="s">
        <v>127</v>
      </c>
      <c r="C66" s="140" t="s">
        <v>97</v>
      </c>
      <c r="D66" s="140" t="s">
        <v>98</v>
      </c>
      <c r="E66" s="140" t="s">
        <v>128</v>
      </c>
      <c r="F66" s="140" t="s">
        <v>129</v>
      </c>
      <c r="G66" s="140" t="s">
        <v>42</v>
      </c>
      <c r="H66" s="140" t="s">
        <v>40</v>
      </c>
      <c r="I66" s="140" t="s">
        <v>38</v>
      </c>
    </row>
    <row r="67" spans="2:9" ht="20.100000000000001" customHeight="1" x14ac:dyDescent="0.25">
      <c r="B67" s="163" t="s">
        <v>69</v>
      </c>
      <c r="C67" s="141">
        <v>2.4899999999999999E-2</v>
      </c>
      <c r="D67" s="141">
        <v>0.11509999999999999</v>
      </c>
      <c r="E67" s="141">
        <v>0.32</v>
      </c>
      <c r="F67" s="141">
        <v>0.375</v>
      </c>
      <c r="G67" s="141">
        <v>3.5000000000000003E-2</v>
      </c>
      <c r="H67" s="141">
        <v>5.5E-2</v>
      </c>
      <c r="I67" s="141">
        <v>7.4999999999999997E-2</v>
      </c>
    </row>
    <row r="68" spans="2:9" ht="20.100000000000001" customHeight="1" x14ac:dyDescent="0.25">
      <c r="B68" s="163" t="s">
        <v>70</v>
      </c>
      <c r="C68" s="141">
        <v>2.4899999999999999E-2</v>
      </c>
      <c r="D68" s="141">
        <v>0.11509999999999999</v>
      </c>
      <c r="E68" s="141">
        <v>0.32</v>
      </c>
      <c r="F68" s="141">
        <v>0.375</v>
      </c>
      <c r="G68" s="141">
        <v>3.5000000000000003E-2</v>
      </c>
      <c r="H68" s="141">
        <v>5.5E-2</v>
      </c>
      <c r="I68" s="141">
        <v>7.4999999999999997E-2</v>
      </c>
    </row>
    <row r="69" spans="2:9" ht="20.100000000000001" customHeight="1" x14ac:dyDescent="0.25">
      <c r="B69" s="163" t="s">
        <v>71</v>
      </c>
      <c r="C69" s="141">
        <v>2.4899999999999999E-2</v>
      </c>
      <c r="D69" s="141">
        <v>0.11509999999999999</v>
      </c>
      <c r="E69" s="141">
        <v>0.32</v>
      </c>
      <c r="F69" s="141">
        <v>0.375</v>
      </c>
      <c r="G69" s="141">
        <v>3.5000000000000003E-2</v>
      </c>
      <c r="H69" s="141">
        <v>5.5E-2</v>
      </c>
      <c r="I69" s="141">
        <v>7.4999999999999997E-2</v>
      </c>
    </row>
    <row r="70" spans="2:9" ht="20.100000000000001" customHeight="1" x14ac:dyDescent="0.25">
      <c r="B70" s="163" t="s">
        <v>72</v>
      </c>
      <c r="C70" s="141">
        <v>2.4899999999999999E-2</v>
      </c>
      <c r="D70" s="141">
        <v>0.11509999999999999</v>
      </c>
      <c r="E70" s="141">
        <v>0.32</v>
      </c>
      <c r="F70" s="141">
        <v>0.375</v>
      </c>
      <c r="G70" s="141">
        <v>3.5000000000000003E-2</v>
      </c>
      <c r="H70" s="141">
        <v>5.5E-2</v>
      </c>
      <c r="I70" s="141">
        <v>7.4999999999999997E-2</v>
      </c>
    </row>
    <row r="71" spans="2:9" ht="20.100000000000001" customHeight="1" x14ac:dyDescent="0.25">
      <c r="B71" s="163" t="s">
        <v>73</v>
      </c>
      <c r="C71" s="141">
        <v>2.4899999999999999E-2</v>
      </c>
      <c r="D71" s="141">
        <v>0.11509999999999999</v>
      </c>
      <c r="E71" s="141">
        <v>0.32</v>
      </c>
      <c r="F71" s="141">
        <v>0.375</v>
      </c>
      <c r="G71" s="141">
        <v>3.5000000000000003E-2</v>
      </c>
      <c r="H71" s="141">
        <v>5.5E-2</v>
      </c>
      <c r="I71" s="141">
        <v>7.4999999999999997E-2</v>
      </c>
    </row>
    <row r="72" spans="2:9" ht="20.100000000000001" customHeight="1" x14ac:dyDescent="0.25">
      <c r="B72" s="166" t="s">
        <v>74</v>
      </c>
      <c r="C72" s="142">
        <v>4.5400000000000003E-2</v>
      </c>
      <c r="D72" s="142">
        <v>0.20960000000000001</v>
      </c>
      <c r="E72" s="142">
        <v>0</v>
      </c>
      <c r="F72" s="142">
        <v>0.23499999999999999</v>
      </c>
      <c r="G72" s="142">
        <v>7.4999999999999997E-2</v>
      </c>
      <c r="H72" s="142">
        <v>8.5000000000000006E-2</v>
      </c>
      <c r="I72" s="142">
        <v>0.35</v>
      </c>
    </row>
    <row r="73" spans="2:9" ht="20.100000000000001" customHeight="1" x14ac:dyDescent="0.25">
      <c r="B73" s="163"/>
      <c r="C73" s="139"/>
      <c r="D73" s="139"/>
      <c r="E73" s="139"/>
      <c r="F73" s="139"/>
      <c r="G73" s="139"/>
      <c r="H73" s="139"/>
    </row>
    <row r="74" spans="2:9" ht="20.100000000000001" customHeight="1" x14ac:dyDescent="0.25">
      <c r="B74" s="164" t="s">
        <v>75</v>
      </c>
      <c r="C74" s="139"/>
      <c r="D74" s="139"/>
      <c r="E74" s="139"/>
      <c r="F74" s="139"/>
      <c r="G74" s="139"/>
      <c r="H74" s="139"/>
    </row>
    <row r="75" spans="2:9" ht="20.100000000000001" customHeight="1" x14ac:dyDescent="0.25">
      <c r="B75" s="163"/>
      <c r="C75" s="139"/>
      <c r="D75" s="139"/>
      <c r="E75" s="139"/>
      <c r="F75" s="139"/>
      <c r="G75" s="139"/>
      <c r="H75" s="139"/>
    </row>
    <row r="76" spans="2:9" ht="20.100000000000001" customHeight="1" x14ac:dyDescent="0.25">
      <c r="B76" s="165" t="s">
        <v>127</v>
      </c>
      <c r="C76" s="140" t="s">
        <v>97</v>
      </c>
      <c r="D76" s="140" t="s">
        <v>98</v>
      </c>
      <c r="E76" s="140" t="s">
        <v>39</v>
      </c>
      <c r="F76" s="140" t="s">
        <v>129</v>
      </c>
      <c r="G76" s="140" t="s">
        <v>42</v>
      </c>
      <c r="H76" s="140" t="s">
        <v>40</v>
      </c>
    </row>
    <row r="77" spans="2:9" ht="20.100000000000001" customHeight="1" x14ac:dyDescent="0.25">
      <c r="B77" s="163" t="s">
        <v>69</v>
      </c>
      <c r="C77" s="141">
        <v>2.7799999999999998E-2</v>
      </c>
      <c r="D77" s="141">
        <v>0.12820000000000001</v>
      </c>
      <c r="E77" s="141">
        <v>0.33500000000000002</v>
      </c>
      <c r="F77" s="141">
        <v>0.434</v>
      </c>
      <c r="G77" s="141">
        <v>3.5000000000000003E-2</v>
      </c>
      <c r="H77" s="141">
        <v>0.04</v>
      </c>
    </row>
    <row r="78" spans="2:9" ht="20.100000000000001" customHeight="1" x14ac:dyDescent="0.25">
      <c r="B78" s="163" t="s">
        <v>70</v>
      </c>
      <c r="C78" s="141">
        <v>3.0499999999999999E-2</v>
      </c>
      <c r="D78" s="141">
        <v>0.14050000000000001</v>
      </c>
      <c r="E78" s="141">
        <v>0.32</v>
      </c>
      <c r="F78" s="141">
        <v>0.434</v>
      </c>
      <c r="G78" s="141">
        <v>3.5000000000000003E-2</v>
      </c>
      <c r="H78" s="141">
        <v>0.04</v>
      </c>
    </row>
    <row r="79" spans="2:9" ht="20.100000000000001" customHeight="1" x14ac:dyDescent="0.25">
      <c r="B79" s="163" t="s">
        <v>71</v>
      </c>
      <c r="C79" s="141">
        <v>2.9600000000000001E-2</v>
      </c>
      <c r="D79" s="141">
        <v>0.13639999999999999</v>
      </c>
      <c r="E79" s="141">
        <v>0.32500000000000001</v>
      </c>
      <c r="F79" s="141">
        <v>0.434</v>
      </c>
      <c r="G79" s="141">
        <v>3.5000000000000003E-2</v>
      </c>
      <c r="H79" s="141">
        <v>0.04</v>
      </c>
    </row>
    <row r="80" spans="2:9" ht="20.100000000000001" customHeight="1" x14ac:dyDescent="0.25">
      <c r="B80" s="163" t="s">
        <v>72</v>
      </c>
      <c r="C80" s="141">
        <v>2.9600000000000001E-2</v>
      </c>
      <c r="D80" s="141">
        <v>0.13639999999999999</v>
      </c>
      <c r="E80" s="141">
        <v>0.32500000000000001</v>
      </c>
      <c r="F80" s="141">
        <v>0.434</v>
      </c>
      <c r="G80" s="141">
        <v>3.5000000000000003E-2</v>
      </c>
      <c r="H80" s="141">
        <v>0.04</v>
      </c>
    </row>
    <row r="81" spans="2:8" ht="20.100000000000001" customHeight="1" x14ac:dyDescent="0.25">
      <c r="B81" s="163" t="s">
        <v>73</v>
      </c>
      <c r="C81" s="141">
        <v>2.7799999999999998E-2</v>
      </c>
      <c r="D81" s="141">
        <v>0.12820000000000001</v>
      </c>
      <c r="E81" s="141">
        <v>0.33500000000000002</v>
      </c>
      <c r="F81" s="141">
        <v>0.434</v>
      </c>
      <c r="G81" s="141">
        <v>3.5000000000000003E-2</v>
      </c>
      <c r="H81" s="141">
        <v>0.04</v>
      </c>
    </row>
    <row r="82" spans="2:8" ht="20.100000000000001" customHeight="1" x14ac:dyDescent="0.25">
      <c r="B82" s="166" t="s">
        <v>74</v>
      </c>
      <c r="C82" s="142">
        <v>3.4700000000000002E-2</v>
      </c>
      <c r="D82" s="142">
        <v>0.1603</v>
      </c>
      <c r="E82" s="142">
        <v>0.05</v>
      </c>
      <c r="F82" s="142">
        <v>0.30499999999999999</v>
      </c>
      <c r="G82" s="142">
        <v>0.15</v>
      </c>
      <c r="H82" s="142">
        <v>0.35</v>
      </c>
    </row>
    <row r="83" spans="2:8" ht="20.100000000000001" customHeight="1" x14ac:dyDescent="0.25">
      <c r="B83" s="163"/>
      <c r="C83" s="139"/>
      <c r="D83" s="139"/>
      <c r="E83" s="139"/>
      <c r="F83" s="139"/>
      <c r="G83" s="139"/>
      <c r="H83" s="139"/>
    </row>
    <row r="84" spans="2:8" ht="20.100000000000001" customHeight="1" x14ac:dyDescent="0.25">
      <c r="B84" s="164" t="s">
        <v>76</v>
      </c>
      <c r="C84" s="139"/>
      <c r="D84" s="139"/>
      <c r="E84" s="139"/>
      <c r="F84" s="139"/>
      <c r="G84" s="139"/>
      <c r="H84" s="139"/>
    </row>
    <row r="85" spans="2:8" ht="20.100000000000001" customHeight="1" x14ac:dyDescent="0.25">
      <c r="B85" s="163"/>
      <c r="C85" s="139"/>
      <c r="D85" s="139"/>
      <c r="E85" s="139"/>
      <c r="F85" s="139"/>
      <c r="G85" s="139"/>
      <c r="H85" s="139"/>
    </row>
    <row r="86" spans="2:8" ht="20.100000000000001" customHeight="1" x14ac:dyDescent="0.25">
      <c r="B86" s="165" t="s">
        <v>127</v>
      </c>
      <c r="C86" s="140" t="s">
        <v>97</v>
      </c>
      <c r="D86" s="140" t="s">
        <v>98</v>
      </c>
      <c r="E86" s="140" t="s">
        <v>39</v>
      </c>
      <c r="F86" s="140" t="s">
        <v>129</v>
      </c>
      <c r="G86" s="140" t="s">
        <v>42</v>
      </c>
      <c r="H86" s="140" t="s">
        <v>40</v>
      </c>
    </row>
    <row r="87" spans="2:8" ht="20.100000000000001" customHeight="1" x14ac:dyDescent="0.25">
      <c r="B87" s="163" t="s">
        <v>69</v>
      </c>
      <c r="C87" s="141">
        <v>3.8300000000000001E-2</v>
      </c>
      <c r="D87" s="141">
        <v>0.1767</v>
      </c>
      <c r="E87" s="141">
        <v>0.44500000000000001</v>
      </c>
      <c r="F87" s="141">
        <v>0</v>
      </c>
      <c r="G87" s="141">
        <v>0.152</v>
      </c>
      <c r="H87" s="141">
        <v>0.188</v>
      </c>
    </row>
    <row r="88" spans="2:8" ht="20.100000000000001" customHeight="1" x14ac:dyDescent="0.25">
      <c r="B88" s="163" t="s">
        <v>70</v>
      </c>
      <c r="C88" s="141">
        <v>4.4499999999999998E-2</v>
      </c>
      <c r="D88" s="141">
        <v>0.20549999999999999</v>
      </c>
      <c r="E88" s="141">
        <v>0.4</v>
      </c>
      <c r="F88" s="141">
        <v>0</v>
      </c>
      <c r="G88" s="141">
        <v>0.152</v>
      </c>
      <c r="H88" s="141">
        <v>0.19800000000000001</v>
      </c>
    </row>
    <row r="89" spans="2:8" ht="20.100000000000001" customHeight="1" x14ac:dyDescent="0.25">
      <c r="B89" s="163" t="s">
        <v>71</v>
      </c>
      <c r="C89" s="141">
        <v>4.2700000000000002E-2</v>
      </c>
      <c r="D89" s="141">
        <v>0.1973</v>
      </c>
      <c r="E89" s="141">
        <v>0.4</v>
      </c>
      <c r="F89" s="141">
        <v>0</v>
      </c>
      <c r="G89" s="141">
        <v>0.152</v>
      </c>
      <c r="H89" s="141">
        <v>0.20799999999999999</v>
      </c>
    </row>
    <row r="90" spans="2:8" ht="20.100000000000001" customHeight="1" x14ac:dyDescent="0.25">
      <c r="B90" s="163" t="s">
        <v>72</v>
      </c>
      <c r="C90" s="141">
        <v>4.1000000000000002E-2</v>
      </c>
      <c r="D90" s="141">
        <v>0.189</v>
      </c>
      <c r="E90" s="141">
        <v>0.4</v>
      </c>
      <c r="F90" s="141">
        <v>0</v>
      </c>
      <c r="G90" s="141">
        <v>0.192</v>
      </c>
      <c r="H90" s="141">
        <v>0.17799999999999999</v>
      </c>
    </row>
    <row r="91" spans="2:8" ht="20.100000000000001" customHeight="1" x14ac:dyDescent="0.25">
      <c r="B91" s="163" t="s">
        <v>73</v>
      </c>
      <c r="C91" s="141">
        <v>3.9199999999999999E-2</v>
      </c>
      <c r="D91" s="141">
        <v>0.18079999999999999</v>
      </c>
      <c r="E91" s="141">
        <v>0.4</v>
      </c>
      <c r="F91" s="141">
        <v>0</v>
      </c>
      <c r="G91" s="141">
        <v>0.192</v>
      </c>
      <c r="H91" s="141">
        <v>0.188</v>
      </c>
    </row>
    <row r="92" spans="2:8" ht="20.100000000000001" customHeight="1" x14ac:dyDescent="0.25">
      <c r="B92" s="166" t="s">
        <v>74</v>
      </c>
      <c r="C92" s="142">
        <v>4.4499999999999998E-2</v>
      </c>
      <c r="D92" s="142">
        <v>0.20549999999999999</v>
      </c>
      <c r="E92" s="142">
        <v>0</v>
      </c>
      <c r="F92" s="142">
        <v>0</v>
      </c>
      <c r="G92" s="142">
        <v>0.215</v>
      </c>
      <c r="H92" s="142">
        <v>0.53500000000000003</v>
      </c>
    </row>
    <row r="93" spans="2:8" ht="20.100000000000001" customHeight="1" x14ac:dyDescent="0.25">
      <c r="B93" s="163"/>
      <c r="C93" s="139"/>
      <c r="D93" s="139"/>
      <c r="E93" s="139"/>
      <c r="F93" s="139"/>
      <c r="G93" s="139"/>
      <c r="H93" s="139"/>
    </row>
    <row r="94" spans="2:8" ht="20.100000000000001" customHeight="1" x14ac:dyDescent="0.25">
      <c r="B94" s="164" t="s">
        <v>77</v>
      </c>
      <c r="C94" s="139"/>
      <c r="D94" s="139"/>
      <c r="E94" s="139"/>
      <c r="F94" s="139"/>
      <c r="G94" s="139"/>
      <c r="H94" s="139"/>
    </row>
    <row r="95" spans="2:8" ht="20.100000000000001" customHeight="1" x14ac:dyDescent="0.25">
      <c r="B95" s="163"/>
      <c r="C95" s="139"/>
      <c r="D95" s="139"/>
      <c r="E95" s="139"/>
      <c r="F95" s="139"/>
      <c r="G95" s="139"/>
      <c r="H95" s="139"/>
    </row>
    <row r="96" spans="2:8" ht="20.100000000000001" customHeight="1" x14ac:dyDescent="0.25">
      <c r="B96" s="165" t="s">
        <v>127</v>
      </c>
      <c r="C96" s="140" t="s">
        <v>97</v>
      </c>
      <c r="D96" s="140" t="s">
        <v>98</v>
      </c>
      <c r="E96" s="140" t="s">
        <v>39</v>
      </c>
      <c r="F96" s="140" t="s">
        <v>129</v>
      </c>
      <c r="G96" s="140" t="s">
        <v>42</v>
      </c>
      <c r="H96" s="140" t="s">
        <v>40</v>
      </c>
    </row>
    <row r="97" spans="2:30" ht="20.100000000000001" customHeight="1" x14ac:dyDescent="0.25">
      <c r="B97" s="163" t="s">
        <v>69</v>
      </c>
      <c r="C97" s="141">
        <v>3.0499999999999999E-2</v>
      </c>
      <c r="D97" s="141">
        <v>0.14099999999999999</v>
      </c>
      <c r="E97" s="141">
        <v>0.14000000000000001</v>
      </c>
      <c r="F97" s="141">
        <v>0.28849999999999998</v>
      </c>
      <c r="G97" s="141">
        <v>0.15</v>
      </c>
      <c r="H97" s="141">
        <v>0.25</v>
      </c>
    </row>
    <row r="98" spans="2:30" ht="20.100000000000001" customHeight="1" x14ac:dyDescent="0.25">
      <c r="B98" s="163" t="s">
        <v>70</v>
      </c>
      <c r="C98" s="141">
        <v>3.0499999999999999E-2</v>
      </c>
      <c r="D98" s="141">
        <v>0.14099999999999999</v>
      </c>
      <c r="E98" s="141">
        <v>0.17</v>
      </c>
      <c r="F98" s="141">
        <v>0.27850000000000003</v>
      </c>
      <c r="G98" s="141">
        <v>0.15</v>
      </c>
      <c r="H98" s="141">
        <v>0.23</v>
      </c>
    </row>
    <row r="99" spans="2:30" ht="20.100000000000001" customHeight="1" x14ac:dyDescent="0.25">
      <c r="B99" s="163" t="s">
        <v>71</v>
      </c>
      <c r="C99" s="141">
        <v>3.2300000000000002E-2</v>
      </c>
      <c r="D99" s="141">
        <v>0.1492</v>
      </c>
      <c r="E99" s="141">
        <v>0.19</v>
      </c>
      <c r="F99" s="141">
        <v>0.23849999999999999</v>
      </c>
      <c r="G99" s="141">
        <v>0.15</v>
      </c>
      <c r="H99" s="141">
        <v>0.24</v>
      </c>
    </row>
    <row r="100" spans="2:30" ht="20.100000000000001" customHeight="1" x14ac:dyDescent="0.25">
      <c r="B100" s="163" t="s">
        <v>72</v>
      </c>
      <c r="C100" s="141">
        <v>3.4099999999999998E-2</v>
      </c>
      <c r="D100" s="141">
        <v>0.15740000000000001</v>
      </c>
      <c r="E100" s="141">
        <v>0.21</v>
      </c>
      <c r="F100" s="141">
        <v>0.23849999999999999</v>
      </c>
      <c r="G100" s="141">
        <v>0.15</v>
      </c>
      <c r="H100" s="141">
        <v>0.21</v>
      </c>
    </row>
    <row r="101" spans="2:30" ht="20.100000000000001" customHeight="1" x14ac:dyDescent="0.25">
      <c r="B101" s="163" t="s">
        <v>73</v>
      </c>
      <c r="C101" s="141">
        <v>3.0499999999999999E-2</v>
      </c>
      <c r="D101" s="141">
        <v>0.14099999999999999</v>
      </c>
      <c r="E101" s="141">
        <v>0.23499999999999999</v>
      </c>
      <c r="F101" s="141">
        <v>0.23849999999999999</v>
      </c>
      <c r="G101" s="141">
        <v>0.125</v>
      </c>
      <c r="H101" s="141">
        <v>0.23</v>
      </c>
    </row>
    <row r="102" spans="2:30" ht="20.100000000000001" customHeight="1" x14ac:dyDescent="0.25">
      <c r="B102" s="166" t="s">
        <v>74</v>
      </c>
      <c r="C102" s="142">
        <v>3.56E-2</v>
      </c>
      <c r="D102" s="142">
        <v>0.16439999999999999</v>
      </c>
      <c r="E102" s="142">
        <v>0</v>
      </c>
      <c r="F102" s="142">
        <v>0.29499999999999998</v>
      </c>
      <c r="G102" s="142">
        <v>0.155</v>
      </c>
      <c r="H102" s="142">
        <v>0.35</v>
      </c>
    </row>
    <row r="104" spans="2:30" ht="20.100000000000001" customHeight="1" x14ac:dyDescent="0.25">
      <c r="B104" s="112" t="s">
        <v>82</v>
      </c>
      <c r="C104" s="112" t="s">
        <v>83</v>
      </c>
      <c r="D104" s="112" t="s">
        <v>84</v>
      </c>
      <c r="E104" s="112" t="s">
        <v>85</v>
      </c>
      <c r="F104" s="112" t="s">
        <v>86</v>
      </c>
      <c r="G104" s="112" t="s">
        <v>87</v>
      </c>
      <c r="H104" s="112" t="s">
        <v>88</v>
      </c>
      <c r="I104" s="112" t="s">
        <v>89</v>
      </c>
      <c r="J104" s="112" t="s">
        <v>90</v>
      </c>
      <c r="K104" s="112" t="s">
        <v>91</v>
      </c>
      <c r="L104" s="112" t="s">
        <v>92</v>
      </c>
      <c r="M104" s="112" t="s">
        <v>93</v>
      </c>
      <c r="N104" s="112" t="s">
        <v>94</v>
      </c>
      <c r="Q104" s="145" t="s">
        <v>82</v>
      </c>
      <c r="R104" s="112" t="s">
        <v>83</v>
      </c>
      <c r="S104" s="112" t="s">
        <v>84</v>
      </c>
      <c r="T104" s="112" t="s">
        <v>85</v>
      </c>
      <c r="U104" s="112" t="s">
        <v>86</v>
      </c>
      <c r="V104" s="112" t="s">
        <v>87</v>
      </c>
      <c r="W104" s="112" t="s">
        <v>88</v>
      </c>
      <c r="X104" s="112" t="s">
        <v>89</v>
      </c>
      <c r="Y104" s="112" t="s">
        <v>90</v>
      </c>
      <c r="Z104" s="112" t="s">
        <v>91</v>
      </c>
      <c r="AA104" s="112" t="s">
        <v>92</v>
      </c>
      <c r="AB104" s="112" t="s">
        <v>93</v>
      </c>
      <c r="AC104" s="112" t="s">
        <v>94</v>
      </c>
    </row>
    <row r="105" spans="2:30" ht="20.100000000000001" customHeight="1" x14ac:dyDescent="0.25">
      <c r="B105" s="19" t="s">
        <v>120</v>
      </c>
      <c r="C105" s="132">
        <f>C5</f>
        <v>0</v>
      </c>
      <c r="D105" s="132">
        <f t="shared" ref="D105:N105" si="42">D5</f>
        <v>0</v>
      </c>
      <c r="E105" s="132">
        <f t="shared" si="42"/>
        <v>0</v>
      </c>
      <c r="F105" s="132">
        <f t="shared" si="42"/>
        <v>0</v>
      </c>
      <c r="G105" s="132">
        <f t="shared" si="42"/>
        <v>0</v>
      </c>
      <c r="H105" s="132">
        <f t="shared" si="42"/>
        <v>0</v>
      </c>
      <c r="I105" s="132">
        <f t="shared" si="42"/>
        <v>0</v>
      </c>
      <c r="J105" s="132">
        <f t="shared" si="42"/>
        <v>0</v>
      </c>
      <c r="K105" s="132">
        <f t="shared" si="42"/>
        <v>0</v>
      </c>
      <c r="L105" s="132">
        <f t="shared" si="42"/>
        <v>0</v>
      </c>
      <c r="M105" s="132">
        <f t="shared" si="42"/>
        <v>0</v>
      </c>
      <c r="N105" s="132">
        <f t="shared" si="42"/>
        <v>0</v>
      </c>
      <c r="Q105" s="144" t="s">
        <v>120</v>
      </c>
      <c r="R105" s="132">
        <f>C105</f>
        <v>0</v>
      </c>
      <c r="S105" s="132">
        <f t="shared" ref="S105:AC105" si="43">D105</f>
        <v>0</v>
      </c>
      <c r="T105" s="132">
        <f t="shared" si="43"/>
        <v>0</v>
      </c>
      <c r="U105" s="132">
        <f t="shared" si="43"/>
        <v>0</v>
      </c>
      <c r="V105" s="132">
        <f t="shared" si="43"/>
        <v>0</v>
      </c>
      <c r="W105" s="132">
        <f t="shared" si="43"/>
        <v>0</v>
      </c>
      <c r="X105" s="132">
        <f t="shared" si="43"/>
        <v>0</v>
      </c>
      <c r="Y105" s="132">
        <f t="shared" si="43"/>
        <v>0</v>
      </c>
      <c r="Z105" s="132">
        <f t="shared" si="43"/>
        <v>0</v>
      </c>
      <c r="AA105" s="132">
        <f t="shared" si="43"/>
        <v>0</v>
      </c>
      <c r="AB105" s="132">
        <f t="shared" si="43"/>
        <v>0</v>
      </c>
      <c r="AC105" s="132">
        <f t="shared" si="43"/>
        <v>0</v>
      </c>
    </row>
    <row r="106" spans="2:30" ht="20.100000000000001" customHeight="1" x14ac:dyDescent="0.25">
      <c r="Q106" s="144" t="s">
        <v>138</v>
      </c>
      <c r="R106" s="132">
        <v>3600000</v>
      </c>
      <c r="S106" s="132">
        <v>3600000</v>
      </c>
      <c r="T106" s="132">
        <v>3600000</v>
      </c>
      <c r="U106" s="132">
        <v>3600000</v>
      </c>
      <c r="V106" s="132">
        <v>3600000</v>
      </c>
      <c r="W106" s="132">
        <v>3600000</v>
      </c>
      <c r="X106" s="132">
        <v>3600000</v>
      </c>
      <c r="Y106" s="132">
        <v>3600000</v>
      </c>
      <c r="Z106" s="132">
        <v>3600000</v>
      </c>
      <c r="AA106" s="132">
        <v>3600000</v>
      </c>
      <c r="AB106" s="132">
        <v>3600000</v>
      </c>
      <c r="AC106" s="132">
        <v>3600000</v>
      </c>
    </row>
    <row r="107" spans="2:30" ht="20.100000000000001" customHeight="1" x14ac:dyDescent="0.25">
      <c r="B107" s="164" t="s">
        <v>80</v>
      </c>
      <c r="Q107" s="144" t="s">
        <v>139</v>
      </c>
      <c r="R107" s="132">
        <v>4320000</v>
      </c>
      <c r="S107" s="132">
        <v>4320000</v>
      </c>
      <c r="T107" s="132">
        <v>4320000</v>
      </c>
      <c r="U107" s="132">
        <v>4320000</v>
      </c>
      <c r="V107" s="132">
        <v>4320000</v>
      </c>
      <c r="W107" s="132">
        <v>4320000</v>
      </c>
      <c r="X107" s="132">
        <v>4320000</v>
      </c>
      <c r="Y107" s="132">
        <v>4320000</v>
      </c>
      <c r="Z107" s="132">
        <v>4320000</v>
      </c>
      <c r="AA107" s="132">
        <v>4320000</v>
      </c>
      <c r="AB107" s="132">
        <v>4320000</v>
      </c>
      <c r="AC107" s="132">
        <v>4320000</v>
      </c>
    </row>
    <row r="108" spans="2:30" ht="20.100000000000001" customHeight="1" x14ac:dyDescent="0.25">
      <c r="B108" s="149" t="s">
        <v>82</v>
      </c>
      <c r="C108" s="149" t="s">
        <v>83</v>
      </c>
      <c r="D108" s="149" t="s">
        <v>84</v>
      </c>
      <c r="E108" s="149" t="s">
        <v>85</v>
      </c>
      <c r="F108" s="149" t="s">
        <v>86</v>
      </c>
      <c r="G108" s="149" t="s">
        <v>87</v>
      </c>
      <c r="H108" s="149" t="s">
        <v>88</v>
      </c>
      <c r="I108" s="149" t="s">
        <v>89</v>
      </c>
      <c r="J108" s="149" t="s">
        <v>90</v>
      </c>
      <c r="K108" s="149" t="s">
        <v>91</v>
      </c>
      <c r="L108" s="149" t="s">
        <v>92</v>
      </c>
      <c r="M108" s="149" t="s">
        <v>93</v>
      </c>
      <c r="N108" s="149" t="s">
        <v>94</v>
      </c>
      <c r="O108" s="149" t="s">
        <v>95</v>
      </c>
      <c r="Q108" s="171" t="s">
        <v>82</v>
      </c>
      <c r="R108" s="149" t="s">
        <v>83</v>
      </c>
      <c r="S108" s="149" t="s">
        <v>84</v>
      </c>
      <c r="T108" s="149" t="s">
        <v>85</v>
      </c>
      <c r="U108" s="149" t="s">
        <v>86</v>
      </c>
      <c r="V108" s="149" t="s">
        <v>87</v>
      </c>
      <c r="W108" s="149" t="s">
        <v>88</v>
      </c>
      <c r="X108" s="149" t="s">
        <v>89</v>
      </c>
      <c r="Y108" s="149" t="s">
        <v>90</v>
      </c>
      <c r="Z108" s="149" t="s">
        <v>91</v>
      </c>
      <c r="AA108" s="149" t="s">
        <v>92</v>
      </c>
      <c r="AB108" s="149" t="s">
        <v>93</v>
      </c>
      <c r="AC108" s="149" t="s">
        <v>94</v>
      </c>
      <c r="AD108" s="149" t="s">
        <v>95</v>
      </c>
    </row>
    <row r="109" spans="2:30" ht="20.100000000000001" customHeight="1" x14ac:dyDescent="0.25">
      <c r="B109" s="167" t="s">
        <v>97</v>
      </c>
      <c r="C109" s="151">
        <f>IF(C$105&lt;=TabS!$G$5,C21*$C$57,IF(C$105&lt;=TabS!$G$6,C21*$C$58,IF(C$105&lt;=TabS!$G$7,C21*$C$59,IF(C$105&lt;=TabS!$G$8,C21*$C$60,IF(C$105&lt;=TabS!$G$9,C21*$C$61,IF(C$105&lt;=TabS!$G$10,C21*$C$62))))))</f>
        <v>0</v>
      </c>
      <c r="D109" s="151">
        <f>IF(D$105&lt;=TabS!$G$5,D21*$C$57,IF(D$105&lt;=TabS!$G$6,D21*$C$58,IF(D$105&lt;=TabS!$G$7,D21*$C$59,IF(D$105&lt;=TabS!$G$8,D21*$C$60,IF(D$105&lt;=TabS!$G$9,D21*$C$61,IF(D$105&lt;=TabS!$G$10,D21*$C$62))))))</f>
        <v>0</v>
      </c>
      <c r="E109" s="151">
        <f>IF(E$105&lt;=TabS!$G$5,E21*$C$57,IF(E$105&lt;=TabS!$G$6,E21*$C$58,IF(E$105&lt;=TabS!$G$7,E21*$C$59,IF(E$105&lt;=TabS!$G$8,E21*$C$60,IF(E$105&lt;=TabS!$G$9,E21*$C$61,IF(E$105&lt;=TabS!$G$10,E21*$C$62))))))</f>
        <v>0</v>
      </c>
      <c r="F109" s="151">
        <f>IF(F$105&lt;=TabS!$G$5,F21*$C$57,IF(F$105&lt;=TabS!$G$6,F21*$C$58,IF(F$105&lt;=TabS!$G$7,F21*$C$59,IF(F$105&lt;=TabS!$G$8,F21*$C$60,IF(F$105&lt;=TabS!$G$9,F21*$C$61,IF(F$105&lt;=TabS!$G$10,F21*$C$62))))))</f>
        <v>0</v>
      </c>
      <c r="G109" s="151">
        <f>IF(G$105&lt;=TabS!$G$5,G21*$C$57,IF(G$105&lt;=TabS!$G$6,G21*$C$58,IF(G$105&lt;=TabS!$G$7,G21*$C$59,IF(G$105&lt;=TabS!$G$8,G21*$C$60,IF(G$105&lt;=TabS!$G$9,G21*$C$61,IF(G$105&lt;=TabS!$G$10,G21*$C$62))))))</f>
        <v>0</v>
      </c>
      <c r="H109" s="151">
        <f>IF(H$105&lt;=TabS!$G$5,H21*$C$57,IF(H$105&lt;=TabS!$G$6,H21*$C$58,IF(H$105&lt;=TabS!$G$7,H21*$C$59,IF(H$105&lt;=TabS!$G$8,H21*$C$60,IF(H$105&lt;=TabS!$G$9,H21*$C$61,IF(H$105&lt;=TabS!$G$10,H21*$C$62))))))</f>
        <v>0</v>
      </c>
      <c r="I109" s="151">
        <f>IF(I$105&lt;=TabS!$G$5,I21*$C$57,IF(I$105&lt;=TabS!$G$6,I21*$C$58,IF(I$105&lt;=TabS!$G$7,I21*$C$59,IF(I$105&lt;=TabS!$G$8,I21*$C$60,IF(I$105&lt;=TabS!$G$9,I21*$C$61,IF(I$105&lt;=TabS!$G$10,I21*$C$62))))))</f>
        <v>0</v>
      </c>
      <c r="J109" s="151">
        <f>IF(J$105&lt;=TabS!$G$5,J21*$C$57,IF(J$105&lt;=TabS!$G$6,J21*$C$58,IF(J$105&lt;=TabS!$G$7,J21*$C$59,IF(J$105&lt;=TabS!$G$8,J21*$C$60,IF(J$105&lt;=TabS!$G$9,J21*$C$61,IF(J$105&lt;=TabS!$G$10,J21*$C$62))))))</f>
        <v>0</v>
      </c>
      <c r="K109" s="151">
        <f>IF(K$105&lt;=TabS!$G$5,K21*$C$57,IF(K$105&lt;=TabS!$G$6,K21*$C$58,IF(K$105&lt;=TabS!$G$7,K21*$C$59,IF(K$105&lt;=TabS!$G$8,K21*$C$60,IF(K$105&lt;=TabS!$G$9,K21*$C$61,IF(K$105&lt;=TabS!$G$10,K21*$C$62))))))</f>
        <v>0</v>
      </c>
      <c r="L109" s="151">
        <f>IF(L$105&lt;=TabS!$G$5,L21*$C$57,IF(L$105&lt;=TabS!$G$6,L21*$C$58,IF(L$105&lt;=TabS!$G$7,L21*$C$59,IF(L$105&lt;=TabS!$G$8,L21*$C$60,IF(L$105&lt;=TabS!$G$9,L21*$C$61,IF(L$105&lt;=TabS!$G$10,L21*$C$62))))))</f>
        <v>0</v>
      </c>
      <c r="M109" s="151">
        <f>IF(M$105&lt;=TabS!$G$5,M21*$C$57,IF(M$105&lt;=TabS!$G$6,M21*$C$58,IF(M$105&lt;=TabS!$G$7,M21*$C$59,IF(M$105&lt;=TabS!$G$8,M21*$C$60,IF(M$105&lt;=TabS!$G$9,M21*$C$61,IF(M$105&lt;=TabS!$G$10,M21*$C$62))))))</f>
        <v>0</v>
      </c>
      <c r="N109" s="151">
        <f>IF(N$105&lt;=TabS!$G$5,N21*$C$57,IF(N$105&lt;=TabS!$G$6,N21*$C$58,IF(N$105&lt;=TabS!$G$7,N21*$C$59,IF(N$105&lt;=TabS!$G$8,N21*$C$60,IF(N$105&lt;=TabS!$G$9,N21*$C$61,IF(N$105&lt;=TabS!$G$10,N21*$C$62))))))</f>
        <v>0</v>
      </c>
      <c r="O109" s="152">
        <f t="shared" ref="O109:O115" si="44">SUM(C109:N109)</f>
        <v>0</v>
      </c>
      <c r="Q109" s="150" t="s">
        <v>97</v>
      </c>
      <c r="R109" s="151">
        <f>IF(R$105&lt;=TabS!$G$5,R21*$C$57,IF(R$105&lt;=TabS!$G$6,R21*$C$58,IF(R$105&lt;=TabS!$G$7,R21*$C$59,IF(R$105&lt;=TabS!$G$8,R21*$C$60,IF(R$105&lt;=TabS!$G$9,R21*$C$61,IF(R$105&lt;=TabS!$G$10,R21*$C$62))))))</f>
        <v>0</v>
      </c>
      <c r="S109" s="151">
        <f>IF(S$105&lt;=TabS!$G$5,S21*$C$57,IF(S$105&lt;=TabS!$G$6,S21*$C$58,IF(S$105&lt;=TabS!$G$7,S21*$C$59,IF(S$105&lt;=TabS!$G$8,S21*$C$60,IF(S$105&lt;=TabS!$G$9,S21*$C$61,IF(S$105&lt;=TabS!$G$10,S21*$C$62))))))</f>
        <v>0</v>
      </c>
      <c r="T109" s="151">
        <f>IF(T$105&lt;=TabS!$G$5,T21*$C$57,IF(T$105&lt;=TabS!$G$6,T21*$C$58,IF(T$105&lt;=TabS!$G$7,T21*$C$59,IF(T$105&lt;=TabS!$G$8,T21*$C$60,IF(T$105&lt;=TabS!$G$9,T21*$C$61,IF(T$105&lt;=TabS!$G$10,T21*$C$62))))))</f>
        <v>0</v>
      </c>
      <c r="U109" s="151">
        <f>IF(U$105&lt;=TabS!$G$5,U21*$C$57,IF(U$105&lt;=TabS!$G$6,U21*$C$58,IF(U$105&lt;=TabS!$G$7,U21*$C$59,IF(U$105&lt;=TabS!$G$8,U21*$C$60,IF(U$105&lt;=TabS!$G$9,U21*$C$61,IF(U$105&lt;=TabS!$G$10,U21*$C$62))))))</f>
        <v>0</v>
      </c>
      <c r="V109" s="151">
        <f>IF(V$105&lt;=TabS!$G$5,V21*$C$57,IF(V$105&lt;=TabS!$G$6,V21*$C$58,IF(V$105&lt;=TabS!$G$7,V21*$C$59,IF(V$105&lt;=TabS!$G$8,V21*$C$60,IF(V$105&lt;=TabS!$G$9,V21*$C$61,IF(V$105&lt;=TabS!$G$10,V21*$C$62))))))</f>
        <v>0</v>
      </c>
      <c r="W109" s="151">
        <f>IF(W$105&lt;=TabS!$G$5,W21*$C$57,IF(W$105&lt;=TabS!$G$6,W21*$C$58,IF(W$105&lt;=TabS!$G$7,W21*$C$59,IF(W$105&lt;=TabS!$G$8,W21*$C$60,IF(W$105&lt;=TabS!$G$9,W21*$C$61,IF(W$105&lt;=TabS!$G$10,W21*$C$62))))))</f>
        <v>0</v>
      </c>
      <c r="X109" s="151">
        <f>IF(X$105&lt;=TabS!$G$5,X21*$C$57,IF(X$105&lt;=TabS!$G$6,X21*$C$58,IF(X$105&lt;=TabS!$G$7,X21*$C$59,IF(X$105&lt;=TabS!$G$8,X21*$C$60,IF(X$105&lt;=TabS!$G$9,X21*$C$61,IF(X$105&lt;=TabS!$G$10,X21*$C$62))))))</f>
        <v>0</v>
      </c>
      <c r="Y109" s="151">
        <f>IF(Y$105&lt;=TabS!$G$5,Y21*$C$57,IF(Y$105&lt;=TabS!$G$6,Y21*$C$58,IF(Y$105&lt;=TabS!$G$7,Y21*$C$59,IF(Y$105&lt;=TabS!$G$8,Y21*$C$60,IF(Y$105&lt;=TabS!$G$9,Y21*$C$61,IF(Y$105&lt;=TabS!$G$10,Y21*$C$62))))))</f>
        <v>0</v>
      </c>
      <c r="Z109" s="151">
        <f>IF(Z$105&lt;=TabS!$G$5,Z21*$C$57,IF(Z$105&lt;=TabS!$G$6,Z21*$C$58,IF(Z$105&lt;=TabS!$G$7,Z21*$C$59,IF(Z$105&lt;=TabS!$G$8,Z21*$C$60,IF(Z$105&lt;=TabS!$G$9,Z21*$C$61,IF(Z$105&lt;=TabS!$G$10,Z21*$C$62))))))</f>
        <v>0</v>
      </c>
      <c r="AA109" s="151">
        <f>IF(AA$105&lt;=TabS!$G$5,AA21*$C$57,IF(AA$105&lt;=TabS!$G$6,AA21*$C$58,IF(AA$105&lt;=TabS!$G$7,AA21*$C$59,IF(AA$105&lt;=TabS!$G$8,AA21*$C$60,IF(AA$105&lt;=TabS!$G$9,AA21*$C$61,IF(AA$105&lt;=TabS!$G$10,AA21*$C$62))))))</f>
        <v>0</v>
      </c>
      <c r="AB109" s="151">
        <f>IF(AB$105&lt;=TabS!$G$5,AB21*$C$57,IF(AB$105&lt;=TabS!$G$6,AB21*$C$58,IF(AB$105&lt;=TabS!$G$7,AB21*$C$59,IF(AB$105&lt;=TabS!$G$8,AB21*$C$60,IF(AB$105&lt;=TabS!$G$9,AB21*$C$61,IF(AB$105&lt;=TabS!$G$10,AB21*$C$62))))))</f>
        <v>0</v>
      </c>
      <c r="AC109" s="151">
        <f>IF(AC$105&lt;=TabS!$G$5,AC21*$C$57,IF(AC$105&lt;=TabS!$G$6,AC21*$C$58,IF(AC$105&lt;=TabS!$G$7,AC21*$C$59,IF(AC$105&lt;=TabS!$G$8,AC21*$C$60,IF(AC$105&lt;=TabS!$G$9,AC21*$C$61,IF(AC$105&lt;=TabS!$G$10,AC21*$C$62))))))</f>
        <v>0</v>
      </c>
      <c r="AD109" s="152">
        <f t="shared" ref="AD109:AD115" si="45">SUM(R109:AC109)</f>
        <v>0</v>
      </c>
    </row>
    <row r="110" spans="2:30" ht="20.100000000000001" customHeight="1" x14ac:dyDescent="0.25">
      <c r="B110" s="167" t="s">
        <v>98</v>
      </c>
      <c r="C110" s="151">
        <f>IF(C$105&lt;=TabS!$G$5,C21*$D$57,IF(C$105&lt;=TabS!$G$6,C21*$D$58,IF(C$105&lt;=TabS!$G$7,C21*$D$59,IF(C$105&lt;=TabS!$G$8,C21*$D$60,IF(C$105&lt;=TabS!$G$9,C21*$D$61,IF(C$105&lt;=TabS!$G$10,C21*$D$62))))))</f>
        <v>0</v>
      </c>
      <c r="D110" s="151">
        <f>IF(D$105&lt;=TabS!$G$5,D21*$D$57,IF(D$105&lt;=TabS!$G$6,D21*$D$58,IF(D$105&lt;=TabS!$G$7,D21*$D$59,IF(D$105&lt;=TabS!$G$8,D21*$D$60,IF(D$105&lt;=TabS!$G$9,D21*$D$61,IF(D$105&lt;=TabS!$G$10,D21*$D$62))))))</f>
        <v>0</v>
      </c>
      <c r="E110" s="151">
        <f>IF(E$105&lt;=TabS!$G$5,E21*$D$57,IF(E$105&lt;=TabS!$G$6,E21*$D$58,IF(E$105&lt;=TabS!$G$7,E21*$D$59,IF(E$105&lt;=TabS!$G$8,E21*$D$60,IF(E$105&lt;=TabS!$G$9,E21*$D$61,IF(E$105&lt;=TabS!$G$10,E21*$D$62))))))</f>
        <v>0</v>
      </c>
      <c r="F110" s="151">
        <f>IF(F$105&lt;=TabS!$G$5,F21*$D$57,IF(F$105&lt;=TabS!$G$6,F21*$D$58,IF(F$105&lt;=TabS!$G$7,F21*$D$59,IF(F$105&lt;=TabS!$G$8,F21*$D$60,IF(F$105&lt;=TabS!$G$9,F21*$D$61,IF(F$105&lt;=TabS!$G$10,F21*$D$62))))))</f>
        <v>0</v>
      </c>
      <c r="G110" s="151">
        <f>IF(G$105&lt;=TabS!$G$5,G21*$D$57,IF(G$105&lt;=TabS!$G$6,G21*$D$58,IF(G$105&lt;=TabS!$G$7,G21*$D$59,IF(G$105&lt;=TabS!$G$8,G21*$D$60,IF(G$105&lt;=TabS!$G$9,G21*$D$61,IF(G$105&lt;=TabS!$G$10,G21*$D$62))))))</f>
        <v>0</v>
      </c>
      <c r="H110" s="151">
        <f>IF(H$105&lt;=TabS!$G$5,H21*$D$57,IF(H$105&lt;=TabS!$G$6,H21*$D$58,IF(H$105&lt;=TabS!$G$7,H21*$D$59,IF(H$105&lt;=TabS!$G$8,H21*$D$60,IF(H$105&lt;=TabS!$G$9,H21*$D$61,IF(H$105&lt;=TabS!$G$10,H21*$D$62))))))</f>
        <v>0</v>
      </c>
      <c r="I110" s="151">
        <f>IF(I$105&lt;=TabS!$G$5,I21*$D$57,IF(I$105&lt;=TabS!$G$6,I21*$D$58,IF(I$105&lt;=TabS!$G$7,I21*$D$59,IF(I$105&lt;=TabS!$G$8,I21*$D$60,IF(I$105&lt;=TabS!$G$9,I21*$D$61,IF(I$105&lt;=TabS!$G$10,I21*$D$62))))))</f>
        <v>0</v>
      </c>
      <c r="J110" s="151">
        <f>IF(J$105&lt;=TabS!$G$5,J21*$D$57,IF(J$105&lt;=TabS!$G$6,J21*$D$58,IF(J$105&lt;=TabS!$G$7,J21*$D$59,IF(J$105&lt;=TabS!$G$8,J21*$D$60,IF(J$105&lt;=TabS!$G$9,J21*$D$61,IF(J$105&lt;=TabS!$G$10,J21*$D$62))))))</f>
        <v>0</v>
      </c>
      <c r="K110" s="151">
        <f>IF(K$105&lt;=TabS!$G$5,K21*$D$57,IF(K$105&lt;=TabS!$G$6,K21*$D$58,IF(K$105&lt;=TabS!$G$7,K21*$D$59,IF(K$105&lt;=TabS!$G$8,K21*$D$60,IF(K$105&lt;=TabS!$G$9,K21*$D$61,IF(K$105&lt;=TabS!$G$10,K21*$D$62))))))</f>
        <v>0</v>
      </c>
      <c r="L110" s="151">
        <f>IF(L$105&lt;=TabS!$G$5,L21*$D$57,IF(L$105&lt;=TabS!$G$6,L21*$D$58,IF(L$105&lt;=TabS!$G$7,L21*$D$59,IF(L$105&lt;=TabS!$G$8,L21*$D$60,IF(L$105&lt;=TabS!$G$9,L21*$D$61,IF(L$105&lt;=TabS!$G$10,L21*$D$62))))))</f>
        <v>0</v>
      </c>
      <c r="M110" s="151">
        <f>IF(M$105&lt;=TabS!$G$5,M21*$D$57,IF(M$105&lt;=TabS!$G$6,M21*$D$58,IF(M$105&lt;=TabS!$G$7,M21*$D$59,IF(M$105&lt;=TabS!$G$8,M21*$D$60,IF(M$105&lt;=TabS!$G$9,M21*$D$61,IF(M$105&lt;=TabS!$G$10,M21*$D$62))))))</f>
        <v>0</v>
      </c>
      <c r="N110" s="151">
        <f>IF(N$105&lt;=TabS!$G$5,N21*$D$57,IF(N$105&lt;=TabS!$G$6,N21*$D$58,IF(N$105&lt;=TabS!$G$7,N21*$D$59,IF(N$105&lt;=TabS!$G$8,N21*$D$60,IF(N$105&lt;=TabS!$G$9,N21*$D$61,IF(N$105&lt;=TabS!$G$10,N21*$D$62))))))</f>
        <v>0</v>
      </c>
      <c r="O110" s="152">
        <f t="shared" si="44"/>
        <v>0</v>
      </c>
      <c r="Q110" s="150" t="s">
        <v>98</v>
      </c>
      <c r="R110" s="151">
        <f>IF(R$105&lt;=TabS!$G$5,R21*$D$57,IF(R$105&lt;=TabS!$G$6,R21*$D$58,IF(R$105&lt;=TabS!$G$7,R21*$D$59,IF(R$105&lt;=TabS!$G$8,R21*$D$60,IF(R$105&lt;=TabS!$G$9,R21*$D$61,IF(R$105&lt;=TabS!$G$10,R21*$D$62))))))</f>
        <v>0</v>
      </c>
      <c r="S110" s="151">
        <f>IF(S$105&lt;=TabS!$G$5,S21*$D$57,IF(S$105&lt;=TabS!$G$6,S21*$D$58,IF(S$105&lt;=TabS!$G$7,S21*$D$59,IF(S$105&lt;=TabS!$G$8,S21*$D$60,IF(S$105&lt;=TabS!$G$9,S21*$D$61,IF(S$105&lt;=TabS!$G$10,S21*$D$62))))))</f>
        <v>0</v>
      </c>
      <c r="T110" s="151">
        <f>IF(T$105&lt;=TabS!$G$5,T21*$D$57,IF(T$105&lt;=TabS!$G$6,T21*$D$58,IF(T$105&lt;=TabS!$G$7,T21*$D$59,IF(T$105&lt;=TabS!$G$8,T21*$D$60,IF(T$105&lt;=TabS!$G$9,T21*$D$61,IF(T$105&lt;=TabS!$G$10,T21*$D$62))))))</f>
        <v>0</v>
      </c>
      <c r="U110" s="151">
        <f>IF(U$105&lt;=TabS!$G$5,U21*$D$57,IF(U$105&lt;=TabS!$G$6,U21*$D$58,IF(U$105&lt;=TabS!$G$7,U21*$D$59,IF(U$105&lt;=TabS!$G$8,U21*$D$60,IF(U$105&lt;=TabS!$G$9,U21*$D$61,IF(U$105&lt;=TabS!$G$10,U21*$D$62))))))</f>
        <v>0</v>
      </c>
      <c r="V110" s="151">
        <f>IF(V$105&lt;=TabS!$G$5,V21*$D$57,IF(V$105&lt;=TabS!$G$6,V21*$D$58,IF(V$105&lt;=TabS!$G$7,V21*$D$59,IF(V$105&lt;=TabS!$G$8,V21*$D$60,IF(V$105&lt;=TabS!$G$9,V21*$D$61,IF(V$105&lt;=TabS!$G$10,V21*$D$62))))))</f>
        <v>0</v>
      </c>
      <c r="W110" s="151">
        <f>IF(W$105&lt;=TabS!$G$5,W21*$D$57,IF(W$105&lt;=TabS!$G$6,W21*$D$58,IF(W$105&lt;=TabS!$G$7,W21*$D$59,IF(W$105&lt;=TabS!$G$8,W21*$D$60,IF(W$105&lt;=TabS!$G$9,W21*$D$61,IF(W$105&lt;=TabS!$G$10,W21*$D$62))))))</f>
        <v>0</v>
      </c>
      <c r="X110" s="151">
        <f>IF(X$105&lt;=TabS!$G$5,X21*$D$57,IF(X$105&lt;=TabS!$G$6,X21*$D$58,IF(X$105&lt;=TabS!$G$7,X21*$D$59,IF(X$105&lt;=TabS!$G$8,X21*$D$60,IF(X$105&lt;=TabS!$G$9,X21*$D$61,IF(X$105&lt;=TabS!$G$10,X21*$D$62))))))</f>
        <v>0</v>
      </c>
      <c r="Y110" s="151">
        <f>IF(Y$105&lt;=TabS!$G$5,Y21*$D$57,IF(Y$105&lt;=TabS!$G$6,Y21*$D$58,IF(Y$105&lt;=TabS!$G$7,Y21*$D$59,IF(Y$105&lt;=TabS!$G$8,Y21*$D$60,IF(Y$105&lt;=TabS!$G$9,Y21*$D$61,IF(Y$105&lt;=TabS!$G$10,Y21*$D$62))))))</f>
        <v>0</v>
      </c>
      <c r="Z110" s="151">
        <f>IF(Z$105&lt;=TabS!$G$5,Z21*$D$57,IF(Z$105&lt;=TabS!$G$6,Z21*$D$58,IF(Z$105&lt;=TabS!$G$7,Z21*$D$59,IF(Z$105&lt;=TabS!$G$8,Z21*$D$60,IF(Z$105&lt;=TabS!$G$9,Z21*$D$61,IF(Z$105&lt;=TabS!$G$10,Z21*$D$62))))))</f>
        <v>0</v>
      </c>
      <c r="AA110" s="151">
        <f>IF(AA$105&lt;=TabS!$G$5,AA21*$D$57,IF(AA$105&lt;=TabS!$G$6,AA21*$D$58,IF(AA$105&lt;=TabS!$G$7,AA21*$D$59,IF(AA$105&lt;=TabS!$G$8,AA21*$D$60,IF(AA$105&lt;=TabS!$G$9,AA21*$D$61,IF(AA$105&lt;=TabS!$G$10,AA21*$D$62))))))</f>
        <v>0</v>
      </c>
      <c r="AB110" s="151">
        <f>IF(AB$105&lt;=TabS!$G$5,AB21*$D$57,IF(AB$105&lt;=TabS!$G$6,AB21*$D$58,IF(AB$105&lt;=TabS!$G$7,AB21*$D$59,IF(AB$105&lt;=TabS!$G$8,AB21*$D$60,IF(AB$105&lt;=TabS!$G$9,AB21*$D$61,IF(AB$105&lt;=TabS!$G$10,AB21*$D$62))))))</f>
        <v>0</v>
      </c>
      <c r="AC110" s="151">
        <f>IF(AC$105&lt;=TabS!$G$5,AC21*$D$57,IF(AC$105&lt;=TabS!$G$6,AC21*$D$58,IF(AC$105&lt;=TabS!$G$7,AC21*$D$59,IF(AC$105&lt;=TabS!$G$8,AC21*$D$60,IF(AC$105&lt;=TabS!$G$9,AC21*$D$61,IF(AC$105&lt;=TabS!$G$10,AC21*$D$62))))))</f>
        <v>0</v>
      </c>
      <c r="AD110" s="152">
        <f t="shared" si="45"/>
        <v>0</v>
      </c>
    </row>
    <row r="111" spans="2:30" ht="20.100000000000001" customHeight="1" x14ac:dyDescent="0.25">
      <c r="B111" s="167" t="s">
        <v>37</v>
      </c>
      <c r="C111" s="151">
        <f>R111</f>
        <v>0</v>
      </c>
      <c r="D111" s="151">
        <f t="shared" ref="D111:N111" si="46">S111</f>
        <v>0</v>
      </c>
      <c r="E111" s="151">
        <f t="shared" si="46"/>
        <v>0</v>
      </c>
      <c r="F111" s="151">
        <f t="shared" si="46"/>
        <v>0</v>
      </c>
      <c r="G111" s="151">
        <f t="shared" si="46"/>
        <v>0</v>
      </c>
      <c r="H111" s="151">
        <f t="shared" si="46"/>
        <v>0</v>
      </c>
      <c r="I111" s="151">
        <f t="shared" si="46"/>
        <v>0</v>
      </c>
      <c r="J111" s="151">
        <f t="shared" si="46"/>
        <v>0</v>
      </c>
      <c r="K111" s="151">
        <f t="shared" si="46"/>
        <v>0</v>
      </c>
      <c r="L111" s="151">
        <f t="shared" si="46"/>
        <v>0</v>
      </c>
      <c r="M111" s="151">
        <f t="shared" si="46"/>
        <v>0</v>
      </c>
      <c r="N111" s="151">
        <f t="shared" si="46"/>
        <v>0</v>
      </c>
      <c r="O111" s="152">
        <f t="shared" si="44"/>
        <v>0</v>
      </c>
      <c r="Q111" s="150" t="s">
        <v>37</v>
      </c>
      <c r="R111" s="151">
        <f>IF(R105&lt;R106,IF(R105&lt;=TabS!$G$5,R21*$E$57,IF(R105&lt;=TabS!$G$6,R21*$E$58,IF(R105&lt;=TabS!$G$7,R21*$E$59,IF(R105&lt;=TabS!$G$8,R21*$E$60,IF(R105&lt;=TabS!$G$9,R21*$E$61,IF(R105&lt;=TabS!$G$10,R21*$E$62)))))),C17*R116)</f>
        <v>0</v>
      </c>
      <c r="S111" s="151">
        <f>IF(S105&lt;S106,IF(S105&lt;=TabS!$G$5,S21*$E$57,IF(S105&lt;=TabS!$G$6,S21*$E$58,IF(S105&lt;=TabS!$G$7,S21*$E$59,IF(S105&lt;=TabS!$G$8,S21*$E$60,IF(S105&lt;=TabS!$G$9,S21*$E$61,IF(S105&lt;=TabS!$G$10,S21*$E$62)))))),D17*S116)</f>
        <v>0</v>
      </c>
      <c r="T111" s="151">
        <f>IF(T105&lt;T106,IF(T105&lt;=TabS!$G$5,T21*$E$57,IF(T105&lt;=TabS!$G$6,T21*$E$58,IF(T105&lt;=TabS!$G$7,T21*$E$59,IF(T105&lt;=TabS!$G$8,T21*$E$60,IF(T105&lt;=TabS!$G$9,T21*$E$61,IF(T105&lt;=TabS!$G$10,T21*$E$62)))))),E17*T116)</f>
        <v>0</v>
      </c>
      <c r="U111" s="151">
        <f>IF(U105&lt;U106,IF(U105&lt;=TabS!$G$5,U21*$E$57,IF(U105&lt;=TabS!$G$6,U21*$E$58,IF(U105&lt;=TabS!$G$7,U21*$E$59,IF(U105&lt;=TabS!$G$8,U21*$E$60,IF(U105&lt;=TabS!$G$9,U21*$E$61,IF(U105&lt;=TabS!$G$10,U21*$E$62)))))),F17*U116)</f>
        <v>0</v>
      </c>
      <c r="V111" s="151">
        <f>IF(V105&lt;V106,IF(V105&lt;=TabS!$G$5,V21*$E$57,IF(V105&lt;=TabS!$G$6,V21*$E$58,IF(V105&lt;=TabS!$G$7,V21*$E$59,IF(V105&lt;=TabS!$G$8,V21*$E$60,IF(V105&lt;=TabS!$G$9,V21*$E$61,IF(V105&lt;=TabS!$G$10,V21*$E$62)))))),G17*V116)</f>
        <v>0</v>
      </c>
      <c r="W111" s="151">
        <f>IF(W105&lt;W106,IF(W105&lt;=TabS!$G$5,W21*$E$57,IF(W105&lt;=TabS!$G$6,W21*$E$58,IF(W105&lt;=TabS!$G$7,W21*$E$59,IF(W105&lt;=TabS!$G$8,W21*$E$60,IF(W105&lt;=TabS!$G$9,W21*$E$61,IF(W105&lt;=TabS!$G$10,W21*$E$62)))))),H17*W116)</f>
        <v>0</v>
      </c>
      <c r="X111" s="151">
        <f>IF(X105&lt;X106,IF(X105&lt;=TabS!$G$5,X21*$E$57,IF(X105&lt;=TabS!$G$6,X21*$E$58,IF(X105&lt;=TabS!$G$7,X21*$E$59,IF(X105&lt;=TabS!$G$8,X21*$E$60,IF(X105&lt;=TabS!$G$9,X21*$E$61,IF(X105&lt;=TabS!$G$10,X21*$E$62)))))),I17*X116)</f>
        <v>0</v>
      </c>
      <c r="Y111" s="151">
        <f>IF(Y105&lt;Y106,IF(Y105&lt;=TabS!$G$5,Y21*$E$57,IF(Y105&lt;=TabS!$G$6,Y21*$E$58,IF(Y105&lt;=TabS!$G$7,Y21*$E$59,IF(Y105&lt;=TabS!$G$8,Y21*$E$60,IF(Y105&lt;=TabS!$G$9,Y21*$E$61,IF(Y105&lt;=TabS!$G$10,Y21*$E$62)))))),J17*Y116)</f>
        <v>0</v>
      </c>
      <c r="Z111" s="151">
        <f>IF(Z105&lt;Z106,IF(Z105&lt;=TabS!$G$5,Z21*$E$57,IF(Z105&lt;=TabS!$G$6,Z21*$E$58,IF(Z105&lt;=TabS!$G$7,Z21*$E$59,IF(Z105&lt;=TabS!$G$8,Z21*$E$60,IF(Z105&lt;=TabS!$G$9,Z21*$E$61,IF(Z105&lt;=TabS!$G$10,Z21*$E$62)))))),K17*Z116)</f>
        <v>0</v>
      </c>
      <c r="AA111" s="151">
        <f>IF(AA105&lt;AA106,IF(AA105&lt;=TabS!$G$5,AA21*$E$57,IF(AA105&lt;=TabS!$G$6,AA21*$E$58,IF(AA105&lt;=TabS!$G$7,AA21*$E$59,IF(AA105&lt;=TabS!$G$8,AA21*$E$60,IF(AA105&lt;=TabS!$G$9,AA21*$E$61,IF(AA105&lt;=TabS!$G$10,AA21*$E$62)))))),L17*AA116)</f>
        <v>0</v>
      </c>
      <c r="AB111" s="151">
        <f>IF(AB105&lt;AB106,IF(AB105&lt;=TabS!$G$5,AB21*$E$57,IF(AB105&lt;=TabS!$G$6,AB21*$E$58,IF(AB105&lt;=TabS!$G$7,AB21*$E$59,IF(AB105&lt;=TabS!$G$8,AB21*$E$60,IF(AB105&lt;=TabS!$G$9,AB21*$E$61,IF(AB105&lt;=TabS!$G$10,AB21*$E$62)))))),M17*AB116)</f>
        <v>0</v>
      </c>
      <c r="AC111" s="151">
        <f>IF(AC105&lt;AC106,IF(AC105&lt;=TabS!$G$5,AC21*$E$57,IF(AC105&lt;=TabS!$G$6,AC21*$E$58,IF(AC105&lt;=TabS!$G$7,AC21*$E$59,IF(AC105&lt;=TabS!$G$8,AC21*$E$60,IF(AC105&lt;=TabS!$G$9,AC21*$E$61,IF(AC105&lt;=TabS!$G$10,AC21*$E$62)))))),N17*AC116)</f>
        <v>0</v>
      </c>
      <c r="AD111" s="152">
        <f t="shared" si="45"/>
        <v>0</v>
      </c>
    </row>
    <row r="112" spans="2:30" ht="20.100000000000001" customHeight="1" x14ac:dyDescent="0.25">
      <c r="B112" s="167" t="s">
        <v>129</v>
      </c>
      <c r="C112" s="151">
        <f>IF(C$105&lt;=TabS!$G$5,C21*$F$57,IF(C$105&lt;=TabS!$G$6,C21*$F$58,IF(C$105&lt;=TabS!$G$7,C21*$F$59,IF(C$105&lt;=TabS!$G$8,C21*$F$60,IF(C$105&lt;=TabS!$G$9,C21*$F$61,IF(C$105&lt;=TabS!$G$10,C21*$F$62))))))</f>
        <v>0</v>
      </c>
      <c r="D112" s="151">
        <f>IF(D$105&lt;=TabS!$G$5,D21*$F$57,IF(D$105&lt;=TabS!$G$6,D21*$F$58,IF(D$105&lt;=TabS!$G$7,D21*$F$59,IF(D$105&lt;=TabS!$G$8,D21*$F$60,IF(D$105&lt;=TabS!$G$9,D21*$F$61,IF(D$105&lt;=TabS!$G$10,D21*$F$62))))))</f>
        <v>0</v>
      </c>
      <c r="E112" s="151">
        <f>IF(E$105&lt;=TabS!$G$5,E21*$F$57,IF(E$105&lt;=TabS!$G$6,E21*$F$58,IF(E$105&lt;=TabS!$G$7,E21*$F$59,IF(E$105&lt;=TabS!$G$8,E21*$F$60,IF(E$105&lt;=TabS!$G$9,E21*$F$61,IF(E$105&lt;=TabS!$G$10,E21*$F$62))))))</f>
        <v>0</v>
      </c>
      <c r="F112" s="151">
        <f>IF(F$105&lt;=TabS!$G$5,F21*$F$57,IF(F$105&lt;=TabS!$G$6,F21*$F$58,IF(F$105&lt;=TabS!$G$7,F21*$F$59,IF(F$105&lt;=TabS!$G$8,F21*$F$60,IF(F$105&lt;=TabS!$G$9,F21*$F$61,IF(F$105&lt;=TabS!$G$10,F21*$F$62))))))</f>
        <v>0</v>
      </c>
      <c r="G112" s="151">
        <f>IF(G$105&lt;=TabS!$G$5,G21*$F$57,IF(G$105&lt;=TabS!$G$6,G21*$F$58,IF(G$105&lt;=TabS!$G$7,G21*$F$59,IF(G$105&lt;=TabS!$G$8,G21*$F$60,IF(G$105&lt;=TabS!$G$9,G21*$F$61,IF(G$105&lt;=TabS!$G$10,G21*$F$62))))))</f>
        <v>0</v>
      </c>
      <c r="H112" s="151">
        <f>IF(H$105&lt;=TabS!$G$5,H21*$F$57,IF(H$105&lt;=TabS!$G$6,H21*$F$58,IF(H$105&lt;=TabS!$G$7,H21*$F$59,IF(H$105&lt;=TabS!$G$8,H21*$F$60,IF(H$105&lt;=TabS!$G$9,H21*$F$61,IF(H$105&lt;=TabS!$G$10,H21*$F$62))))))</f>
        <v>0</v>
      </c>
      <c r="I112" s="151">
        <f>IF(I$105&lt;=TabS!$G$5,I21*$F$57,IF(I$105&lt;=TabS!$G$6,I21*$F$58,IF(I$105&lt;=TabS!$G$7,I21*$F$59,IF(I$105&lt;=TabS!$G$8,I21*$F$60,IF(I$105&lt;=TabS!$G$9,I21*$F$61,IF(I$105&lt;=TabS!$G$10,I21*$F$62))))))</f>
        <v>0</v>
      </c>
      <c r="J112" s="151">
        <f>IF(J$105&lt;=TabS!$G$5,J21*$F$57,IF(J$105&lt;=TabS!$G$6,J21*$F$58,IF(J$105&lt;=TabS!$G$7,J21*$F$59,IF(J$105&lt;=TabS!$G$8,J21*$F$60,IF(J$105&lt;=TabS!$G$9,J21*$F$61,IF(J$105&lt;=TabS!$G$10,J21*$F$62))))))</f>
        <v>0</v>
      </c>
      <c r="K112" s="151">
        <f>IF(K$105&lt;=TabS!$G$5,K21*$F$57,IF(K$105&lt;=TabS!$G$6,K21*$F$58,IF(K$105&lt;=TabS!$G$7,K21*$F$59,IF(K$105&lt;=TabS!$G$8,K21*$F$60,IF(K$105&lt;=TabS!$G$9,K21*$F$61,IF(K$105&lt;=TabS!$G$10,K21*$F$62))))))</f>
        <v>0</v>
      </c>
      <c r="L112" s="151">
        <f>IF(L$105&lt;=TabS!$G$5,L21*$F$57,IF(L$105&lt;=TabS!$G$6,L21*$F$58,IF(L$105&lt;=TabS!$G$7,L21*$F$59,IF(L$105&lt;=TabS!$G$8,L21*$F$60,IF(L$105&lt;=TabS!$G$9,L21*$F$61,IF(L$105&lt;=TabS!$G$10,L21*$F$62))))))</f>
        <v>0</v>
      </c>
      <c r="M112" s="151">
        <f>IF(M$105&lt;=TabS!$G$5,M21*$F$57,IF(M$105&lt;=TabS!$G$6,M21*$F$58,IF(M$105&lt;=TabS!$G$7,M21*$F$59,IF(M$105&lt;=TabS!$G$8,M21*$F$60,IF(M$105&lt;=TabS!$G$9,M21*$F$61,IF(M$105&lt;=TabS!$G$10,M21*$F$62))))))</f>
        <v>0</v>
      </c>
      <c r="N112" s="151">
        <f>IF(N$105&lt;=TabS!$G$5,N21*$F$57,IF(N$105&lt;=TabS!$G$6,N21*$F$58,IF(N$105&lt;=TabS!$G$7,N21*$F$59,IF(N$105&lt;=TabS!$G$8,N21*$F$60,IF(N$105&lt;=TabS!$G$9,N21*$F$61,IF(N$105&lt;=TabS!$G$10,N21*$F$62))))))</f>
        <v>0</v>
      </c>
      <c r="O112" s="152">
        <f t="shared" si="44"/>
        <v>0</v>
      </c>
      <c r="Q112" s="150" t="s">
        <v>129</v>
      </c>
      <c r="R112" s="151">
        <f>IF(R$105&lt;=TabS!$G$5,R21*$F$57,IF(R$105&lt;=TabS!$G$6,R21*$F$58,IF(R$105&lt;=TabS!$G$7,R21*$F$59,IF(R$105&lt;=TabS!$G$8,R21*$F$60,IF(R$105&lt;=TabS!$G$9,R21*$F$61,IF(R$105&lt;=TabS!$G$10,R21*$F$62))))))</f>
        <v>0</v>
      </c>
      <c r="S112" s="151">
        <f>IF(S$105&lt;=TabS!$G$5,S21*$F$57,IF(S$105&lt;=TabS!$G$6,S21*$F$58,IF(S$105&lt;=TabS!$G$7,S21*$F$59,IF(S$105&lt;=TabS!$G$8,S21*$F$60,IF(S$105&lt;=TabS!$G$9,S21*$F$61,IF(S$105&lt;=TabS!$G$10,S21*$F$62))))))</f>
        <v>0</v>
      </c>
      <c r="T112" s="151">
        <f>IF(T$105&lt;=TabS!$G$5,T21*$F$57,IF(T$105&lt;=TabS!$G$6,T21*$F$58,IF(T$105&lt;=TabS!$G$7,T21*$F$59,IF(T$105&lt;=TabS!$G$8,T21*$F$60,IF(T$105&lt;=TabS!$G$9,T21*$F$61,IF(T$105&lt;=TabS!$G$10,T21*$F$62))))))</f>
        <v>0</v>
      </c>
      <c r="U112" s="151">
        <f>IF(U$105&lt;=TabS!$G$5,U21*$F$57,IF(U$105&lt;=TabS!$G$6,U21*$F$58,IF(U$105&lt;=TabS!$G$7,U21*$F$59,IF(U$105&lt;=TabS!$G$8,U21*$F$60,IF(U$105&lt;=TabS!$G$9,U21*$F$61,IF(U$105&lt;=TabS!$G$10,U21*$F$62))))))</f>
        <v>0</v>
      </c>
      <c r="V112" s="151">
        <f>IF(V$105&lt;=TabS!$G$5,V21*$F$57,IF(V$105&lt;=TabS!$G$6,V21*$F$58,IF(V$105&lt;=TabS!$G$7,V21*$F$59,IF(V$105&lt;=TabS!$G$8,V21*$F$60,IF(V$105&lt;=TabS!$G$9,V21*$F$61,IF(V$105&lt;=TabS!$G$10,V21*$F$62))))))</f>
        <v>0</v>
      </c>
      <c r="W112" s="151">
        <f>IF(W$105&lt;=TabS!$G$5,W21*$F$57,IF(W$105&lt;=TabS!$G$6,W21*$F$58,IF(W$105&lt;=TabS!$G$7,W21*$F$59,IF(W$105&lt;=TabS!$G$8,W21*$F$60,IF(W$105&lt;=TabS!$G$9,W21*$F$61,IF(W$105&lt;=TabS!$G$10,W21*$F$62))))))</f>
        <v>0</v>
      </c>
      <c r="X112" s="151">
        <f>IF(X$105&lt;=TabS!$G$5,X21*$F$57,IF(X$105&lt;=TabS!$G$6,X21*$F$58,IF(X$105&lt;=TabS!$G$7,X21*$F$59,IF(X$105&lt;=TabS!$G$8,X21*$F$60,IF(X$105&lt;=TabS!$G$9,X21*$F$61,IF(X$105&lt;=TabS!$G$10,X21*$F$62))))))</f>
        <v>0</v>
      </c>
      <c r="Y112" s="151">
        <f>IF(Y$105&lt;=TabS!$G$5,Y21*$F$57,IF(Y$105&lt;=TabS!$G$6,Y21*$F$58,IF(Y$105&lt;=TabS!$G$7,Y21*$F$59,IF(Y$105&lt;=TabS!$G$8,Y21*$F$60,IF(Y$105&lt;=TabS!$G$9,Y21*$F$61,IF(Y$105&lt;=TabS!$G$10,Y21*$F$62))))))</f>
        <v>0</v>
      </c>
      <c r="Z112" s="151">
        <f>IF(Z$105&lt;=TabS!$G$5,Z21*$F$57,IF(Z$105&lt;=TabS!$G$6,Z21*$F$58,IF(Z$105&lt;=TabS!$G$7,Z21*$F$59,IF(Z$105&lt;=TabS!$G$8,Z21*$F$60,IF(Z$105&lt;=TabS!$G$9,Z21*$F$61,IF(Z$105&lt;=TabS!$G$10,Z21*$F$62))))))</f>
        <v>0</v>
      </c>
      <c r="AA112" s="151">
        <f>IF(AA$105&lt;=TabS!$G$5,AA21*$F$57,IF(AA$105&lt;=TabS!$G$6,AA21*$F$58,IF(AA$105&lt;=TabS!$G$7,AA21*$F$59,IF(AA$105&lt;=TabS!$G$8,AA21*$F$60,IF(AA$105&lt;=TabS!$G$9,AA21*$F$61,IF(AA$105&lt;=TabS!$G$10,AA21*$F$62))))))</f>
        <v>0</v>
      </c>
      <c r="AB112" s="151">
        <f>IF(AB$105&lt;=TabS!$G$5,AB21*$F$57,IF(AB$105&lt;=TabS!$G$6,AB21*$F$58,IF(AB$105&lt;=TabS!$G$7,AB21*$F$59,IF(AB$105&lt;=TabS!$G$8,AB21*$F$60,IF(AB$105&lt;=TabS!$G$9,AB21*$F$61,IF(AB$105&lt;=TabS!$G$10,AB21*$F$62))))))</f>
        <v>0</v>
      </c>
      <c r="AC112" s="151">
        <f>IF(AC$105&lt;=TabS!$G$5,AC21*$F$57,IF(AC$105&lt;=TabS!$G$6,AC21*$F$58,IF(AC$105&lt;=TabS!$G$7,AC21*$F$59,IF(AC$105&lt;=TabS!$G$8,AC21*$F$60,IF(AC$105&lt;=TabS!$G$9,AC21*$F$61,IF(AC$105&lt;=TabS!$G$10,AC21*$F$62))))))</f>
        <v>0</v>
      </c>
      <c r="AD112" s="152">
        <f t="shared" si="45"/>
        <v>0</v>
      </c>
    </row>
    <row r="113" spans="2:30" ht="20.100000000000001" customHeight="1" x14ac:dyDescent="0.25">
      <c r="B113" s="167" t="s">
        <v>42</v>
      </c>
      <c r="C113" s="151">
        <f>IF(C$105&lt;=TabS!$G$5,C21*$G$57,IF(C$105&lt;=TabS!$G$6,C21*$G$58,IF(C$105&lt;=TabS!$G$7,C21*$G$59,IF(C$105&lt;=TabS!$G$8,C21*$G$60,IF(C$105&lt;=TabS!$G$9,C21*$G$61,IF(C$105&lt;=TabS!$G$10,C21*$G$62))))))</f>
        <v>0</v>
      </c>
      <c r="D113" s="151">
        <f>IF(D$105&lt;=TabS!$G$5,D21*$G$57,IF(D$105&lt;=TabS!$G$6,D21*$G$58,IF(D$105&lt;=TabS!$G$7,D21*$G$59,IF(D$105&lt;=TabS!$G$8,D21*$G$60,IF(D$105&lt;=TabS!$G$9,D21*$G$61,IF(D$105&lt;=TabS!$G$10,D21*$G$62))))))</f>
        <v>0</v>
      </c>
      <c r="E113" s="151">
        <f>IF(E$105&lt;=TabS!$G$5,E21*$G$57,IF(E$105&lt;=TabS!$G$6,E21*$G$58,IF(E$105&lt;=TabS!$G$7,E21*$G$59,IF(E$105&lt;=TabS!$G$8,E21*$G$60,IF(E$105&lt;=TabS!$G$9,E21*$G$61,IF(E$105&lt;=TabS!$G$10,E21*$G$62))))))</f>
        <v>0</v>
      </c>
      <c r="F113" s="151">
        <f>IF(F$105&lt;=TabS!$G$5,F21*$G$57,IF(F$105&lt;=TabS!$G$6,F21*$G$58,IF(F$105&lt;=TabS!$G$7,F21*$G$59,IF(F$105&lt;=TabS!$G$8,F21*$G$60,IF(F$105&lt;=TabS!$G$9,F21*$G$61,IF(F$105&lt;=TabS!$G$10,F21*$G$62))))))</f>
        <v>0</v>
      </c>
      <c r="G113" s="151">
        <f>IF(G$105&lt;=TabS!$G$5,G21*$G$57,IF(G$105&lt;=TabS!$G$6,G21*$G$58,IF(G$105&lt;=TabS!$G$7,G21*$G$59,IF(G$105&lt;=TabS!$G$8,G21*$G$60,IF(G$105&lt;=TabS!$G$9,G21*$G$61,IF(G$105&lt;=TabS!$G$10,G21*$G$62))))))</f>
        <v>0</v>
      </c>
      <c r="H113" s="151">
        <f>IF(H$105&lt;=TabS!$G$5,H21*$G$57,IF(H$105&lt;=TabS!$G$6,H21*$G$58,IF(H$105&lt;=TabS!$G$7,H21*$G$59,IF(H$105&lt;=TabS!$G$8,H21*$G$60,IF(H$105&lt;=TabS!$G$9,H21*$G$61,IF(H$105&lt;=TabS!$G$10,H21*$G$62))))))</f>
        <v>0</v>
      </c>
      <c r="I113" s="151">
        <f>IF(I$105&lt;=TabS!$G$5,I21*$G$57,IF(I$105&lt;=TabS!$G$6,I21*$G$58,IF(I$105&lt;=TabS!$G$7,I21*$G$59,IF(I$105&lt;=TabS!$G$8,I21*$G$60,IF(I$105&lt;=TabS!$G$9,I21*$G$61,IF(I$105&lt;=TabS!$G$10,I21*$G$62))))))</f>
        <v>0</v>
      </c>
      <c r="J113" s="151">
        <f>IF(J$105&lt;=TabS!$G$5,J21*$G$57,IF(J$105&lt;=TabS!$G$6,J21*$G$58,IF(J$105&lt;=TabS!$G$7,J21*$G$59,IF(J$105&lt;=TabS!$G$8,J21*$G$60,IF(J$105&lt;=TabS!$G$9,J21*$G$61,IF(J$105&lt;=TabS!$G$10,J21*$G$62))))))</f>
        <v>0</v>
      </c>
      <c r="K113" s="151">
        <f>IF(K$105&lt;=TabS!$G$5,K21*$G$57,IF(K$105&lt;=TabS!$G$6,K21*$G$58,IF(K$105&lt;=TabS!$G$7,K21*$G$59,IF(K$105&lt;=TabS!$G$8,K21*$G$60,IF(K$105&lt;=TabS!$G$9,K21*$G$61,IF(K$105&lt;=TabS!$G$10,K21*$G$62))))))</f>
        <v>0</v>
      </c>
      <c r="L113" s="151">
        <f>IF(L$105&lt;=TabS!$G$5,L21*$G$57,IF(L$105&lt;=TabS!$G$6,L21*$G$58,IF(L$105&lt;=TabS!$G$7,L21*$G$59,IF(L$105&lt;=TabS!$G$8,L21*$G$60,IF(L$105&lt;=TabS!$G$9,L21*$G$61,IF(L$105&lt;=TabS!$G$10,L21*$G$62))))))</f>
        <v>0</v>
      </c>
      <c r="M113" s="151">
        <f>IF(M$105&lt;=TabS!$G$5,M21*$G$57,IF(M$105&lt;=TabS!$G$6,M21*$G$58,IF(M$105&lt;=TabS!$G$7,M21*$G$59,IF(M$105&lt;=TabS!$G$8,M21*$G$60,IF(M$105&lt;=TabS!$G$9,M21*$G$61,IF(M$105&lt;=TabS!$G$10,M21*$G$62))))))</f>
        <v>0</v>
      </c>
      <c r="N113" s="151">
        <f>IF(N$105&lt;=TabS!$G$5,N21*$G$57,IF(N$105&lt;=TabS!$G$6,N21*$G$58,IF(N$105&lt;=TabS!$G$7,N21*$G$59,IF(N$105&lt;=TabS!$G$8,N21*$G$60,IF(N$105&lt;=TabS!$G$9,N21*$G$61,IF(N$105&lt;=TabS!$G$10,N21*$G$62))))))</f>
        <v>0</v>
      </c>
      <c r="O113" s="152">
        <f t="shared" si="44"/>
        <v>0</v>
      </c>
      <c r="Q113" s="150" t="s">
        <v>42</v>
      </c>
      <c r="R113" s="151">
        <f>IF(R$105&lt;=TabS!$G$5,R21*$G$57,IF(R$105&lt;=TabS!$G$6,R21*$G$58,IF(R$105&lt;=TabS!$G$7,R21*$G$59,IF(R$105&lt;=TabS!$G$8,R21*$G$60,IF(R$105&lt;=TabS!$G$9,R21*$G$61,IF(R$105&lt;=TabS!$G$10,R21*$G$62))))))</f>
        <v>0</v>
      </c>
      <c r="S113" s="151">
        <f>IF(S$105&lt;=TabS!$G$5,S21*$G$57,IF(S$105&lt;=TabS!$G$6,S21*$G$58,IF(S$105&lt;=TabS!$G$7,S21*$G$59,IF(S$105&lt;=TabS!$G$8,S21*$G$60,IF(S$105&lt;=TabS!$G$9,S21*$G$61,IF(S$105&lt;=TabS!$G$10,S21*$G$62))))))</f>
        <v>0</v>
      </c>
      <c r="T113" s="151">
        <f>IF(T$105&lt;=TabS!$G$5,T21*$G$57,IF(T$105&lt;=TabS!$G$6,T21*$G$58,IF(T$105&lt;=TabS!$G$7,T21*$G$59,IF(T$105&lt;=TabS!$G$8,T21*$G$60,IF(T$105&lt;=TabS!$G$9,T21*$G$61,IF(T$105&lt;=TabS!$G$10,T21*$G$62))))))</f>
        <v>0</v>
      </c>
      <c r="U113" s="151">
        <f>IF(U$105&lt;=TabS!$G$5,U21*$G$57,IF(U$105&lt;=TabS!$G$6,U21*$G$58,IF(U$105&lt;=TabS!$G$7,U21*$G$59,IF(U$105&lt;=TabS!$G$8,U21*$G$60,IF(U$105&lt;=TabS!$G$9,U21*$G$61,IF(U$105&lt;=TabS!$G$10,U21*$G$62))))))</f>
        <v>0</v>
      </c>
      <c r="V113" s="151">
        <f>IF(V$105&lt;=TabS!$G$5,V21*$G$57,IF(V$105&lt;=TabS!$G$6,V21*$G$58,IF(V$105&lt;=TabS!$G$7,V21*$G$59,IF(V$105&lt;=TabS!$G$8,V21*$G$60,IF(V$105&lt;=TabS!$G$9,V21*$G$61,IF(V$105&lt;=TabS!$G$10,V21*$G$62))))))</f>
        <v>0</v>
      </c>
      <c r="W113" s="151">
        <f>IF(W$105&lt;=TabS!$G$5,W21*$G$57,IF(W$105&lt;=TabS!$G$6,W21*$G$58,IF(W$105&lt;=TabS!$G$7,W21*$G$59,IF(W$105&lt;=TabS!$G$8,W21*$G$60,IF(W$105&lt;=TabS!$G$9,W21*$G$61,IF(W$105&lt;=TabS!$G$10,W21*$G$62))))))</f>
        <v>0</v>
      </c>
      <c r="X113" s="151">
        <f>IF(X$105&lt;=TabS!$G$5,X21*$G$57,IF(X$105&lt;=TabS!$G$6,X21*$G$58,IF(X$105&lt;=TabS!$G$7,X21*$G$59,IF(X$105&lt;=TabS!$G$8,X21*$G$60,IF(X$105&lt;=TabS!$G$9,X21*$G$61,IF(X$105&lt;=TabS!$G$10,X21*$G$62))))))</f>
        <v>0</v>
      </c>
      <c r="Y113" s="151">
        <f>IF(Y$105&lt;=TabS!$G$5,Y21*$G$57,IF(Y$105&lt;=TabS!$G$6,Y21*$G$58,IF(Y$105&lt;=TabS!$G$7,Y21*$G$59,IF(Y$105&lt;=TabS!$G$8,Y21*$G$60,IF(Y$105&lt;=TabS!$G$9,Y21*$G$61,IF(Y$105&lt;=TabS!$G$10,Y21*$G$62))))))</f>
        <v>0</v>
      </c>
      <c r="Z113" s="151">
        <f>IF(Z$105&lt;=TabS!$G$5,Z21*$G$57,IF(Z$105&lt;=TabS!$G$6,Z21*$G$58,IF(Z$105&lt;=TabS!$G$7,Z21*$G$59,IF(Z$105&lt;=TabS!$G$8,Z21*$G$60,IF(Z$105&lt;=TabS!$G$9,Z21*$G$61,IF(Z$105&lt;=TabS!$G$10,Z21*$G$62))))))</f>
        <v>0</v>
      </c>
      <c r="AA113" s="151">
        <f>IF(AA$105&lt;=TabS!$G$5,AA21*$G$57,IF(AA$105&lt;=TabS!$G$6,AA21*$G$58,IF(AA$105&lt;=TabS!$G$7,AA21*$G$59,IF(AA$105&lt;=TabS!$G$8,AA21*$G$60,IF(AA$105&lt;=TabS!$G$9,AA21*$G$61,IF(AA$105&lt;=TabS!$G$10,AA21*$G$62))))))</f>
        <v>0</v>
      </c>
      <c r="AB113" s="151">
        <f>IF(AB$105&lt;=TabS!$G$5,AB21*$G$57,IF(AB$105&lt;=TabS!$G$6,AB21*$G$58,IF(AB$105&lt;=TabS!$G$7,AB21*$G$59,IF(AB$105&lt;=TabS!$G$8,AB21*$G$60,IF(AB$105&lt;=TabS!$G$9,AB21*$G$61,IF(AB$105&lt;=TabS!$G$10,AB21*$G$62))))))</f>
        <v>0</v>
      </c>
      <c r="AC113" s="151">
        <f>IF(AC$105&lt;=TabS!$G$5,AC21*$G$57,IF(AC$105&lt;=TabS!$G$6,AC21*$G$58,IF(AC$105&lt;=TabS!$G$7,AC21*$G$59,IF(AC$105&lt;=TabS!$G$8,AC21*$G$60,IF(AC$105&lt;=TabS!$G$9,AC21*$G$61,IF(AC$105&lt;=TabS!$G$10,AC21*$G$62))))))</f>
        <v>0</v>
      </c>
      <c r="AD113" s="152">
        <f t="shared" si="45"/>
        <v>0</v>
      </c>
    </row>
    <row r="114" spans="2:30" ht="20.100000000000001" customHeight="1" x14ac:dyDescent="0.25">
      <c r="B114" s="167" t="s">
        <v>40</v>
      </c>
      <c r="C114" s="151">
        <f>IF(C$105&lt;=TabS!$G$5,C21*$H$57,IF(C$105&lt;=TabS!$G$6,C21*$H$58,IF(C$105&lt;=TabS!$G$7,C21*$H$59,IF(C$105&lt;=TabS!$G$8,C21*$H$60,IF(C$105&lt;=TabS!$G$9,C21*$H$61,IF(C$105&lt;=TabS!$G$10,C21*$H$62))))))</f>
        <v>0</v>
      </c>
      <c r="D114" s="151">
        <f>IF(D$105&lt;=TabS!$G$5,D21*$H$57,IF(D$105&lt;=TabS!$G$6,D21*$H$58,IF(D$105&lt;=TabS!$G$7,D21*$H$59,IF(D$105&lt;=TabS!$G$8,D21*$H$60,IF(D$105&lt;=TabS!$G$9,D21*$H$61,IF(D$105&lt;=TabS!$G$10,D21*$H$62))))))</f>
        <v>0</v>
      </c>
      <c r="E114" s="151">
        <f>IF(E$105&lt;=TabS!$G$5,E21*$H$57,IF(E$105&lt;=TabS!$G$6,E21*$H$58,IF(E$105&lt;=TabS!$G$7,E21*$H$59,IF(E$105&lt;=TabS!$G$8,E21*$H$60,IF(E$105&lt;=TabS!$G$9,E21*$H$61,IF(E$105&lt;=TabS!$G$10,E21*$H$62))))))</f>
        <v>0</v>
      </c>
      <c r="F114" s="151">
        <f>IF(F$105&lt;=TabS!$G$5,F21*$H$57,IF(F$105&lt;=TabS!$G$6,F21*$H$58,IF(F$105&lt;=TabS!$G$7,F21*$H$59,IF(F$105&lt;=TabS!$G$8,F21*$H$60,IF(F$105&lt;=TabS!$G$9,F21*$H$61,IF(F$105&lt;=TabS!$G$10,F21*$H$62))))))</f>
        <v>0</v>
      </c>
      <c r="G114" s="151">
        <f>IF(G$105&lt;=TabS!$G$5,G21*$H$57,IF(G$105&lt;=TabS!$G$6,G21*$H$58,IF(G$105&lt;=TabS!$G$7,G21*$H$59,IF(G$105&lt;=TabS!$G$8,G21*$H$60,IF(G$105&lt;=TabS!$G$9,G21*$H$61,IF(G$105&lt;=TabS!$G$10,G21*$H$62))))))</f>
        <v>0</v>
      </c>
      <c r="H114" s="151">
        <f>IF(H$105&lt;=TabS!$G$5,H21*$H$57,IF(H$105&lt;=TabS!$G$6,H21*$H$58,IF(H$105&lt;=TabS!$G$7,H21*$H$59,IF(H$105&lt;=TabS!$G$8,H21*$H$60,IF(H$105&lt;=TabS!$G$9,H21*$H$61,IF(H$105&lt;=TabS!$G$10,H21*$H$62))))))</f>
        <v>0</v>
      </c>
      <c r="I114" s="151">
        <f>IF(I$105&lt;=TabS!$G$5,I21*$H$57,IF(I$105&lt;=TabS!$G$6,I21*$H$58,IF(I$105&lt;=TabS!$G$7,I21*$H$59,IF(I$105&lt;=TabS!$G$8,I21*$H$60,IF(I$105&lt;=TabS!$G$9,I21*$H$61,IF(I$105&lt;=TabS!$G$10,I21*$H$62))))))</f>
        <v>0</v>
      </c>
      <c r="J114" s="151">
        <f>IF(J$105&lt;=TabS!$G$5,J21*$H$57,IF(J$105&lt;=TabS!$G$6,J21*$H$58,IF(J$105&lt;=TabS!$G$7,J21*$H$59,IF(J$105&lt;=TabS!$G$8,J21*$H$60,IF(J$105&lt;=TabS!$G$9,J21*$H$61,IF(J$105&lt;=TabS!$G$10,J21*$H$62))))))</f>
        <v>0</v>
      </c>
      <c r="K114" s="151">
        <f>IF(K$105&lt;=TabS!$G$5,K21*$H$57,IF(K$105&lt;=TabS!$G$6,K21*$H$58,IF(K$105&lt;=TabS!$G$7,K21*$H$59,IF(K$105&lt;=TabS!$G$8,K21*$H$60,IF(K$105&lt;=TabS!$G$9,K21*$H$61,IF(K$105&lt;=TabS!$G$10,K21*$H$62))))))</f>
        <v>0</v>
      </c>
      <c r="L114" s="151">
        <f>IF(L$105&lt;=TabS!$G$5,L21*$H$57,IF(L$105&lt;=TabS!$G$6,L21*$H$58,IF(L$105&lt;=TabS!$G$7,L21*$H$59,IF(L$105&lt;=TabS!$G$8,L21*$H$60,IF(L$105&lt;=TabS!$G$9,L21*$H$61,IF(L$105&lt;=TabS!$G$10,L21*$H$62))))))</f>
        <v>0</v>
      </c>
      <c r="M114" s="151">
        <f>IF(M$105&lt;=TabS!$G$5,M21*$H$57,IF(M$105&lt;=TabS!$G$6,M21*$H$58,IF(M$105&lt;=TabS!$G$7,M21*$H$59,IF(M$105&lt;=TabS!$G$8,M21*$H$60,IF(M$105&lt;=TabS!$G$9,M21*$H$61,IF(M$105&lt;=TabS!$G$10,M21*$H$62))))))</f>
        <v>0</v>
      </c>
      <c r="N114" s="151">
        <f>IF(N$105&lt;=TabS!$G$5,N21*$H$57,IF(N$105&lt;=TabS!$G$6,N21*$H$58,IF(N$105&lt;=TabS!$G$7,N21*$H$59,IF(N$105&lt;=TabS!$G$8,N21*$H$60,IF(N$105&lt;=TabS!$G$9,N21*$H$61,IF(N$105&lt;=TabS!$G$10,N21*$H$62))))))</f>
        <v>0</v>
      </c>
      <c r="O114" s="152">
        <f t="shared" si="44"/>
        <v>0</v>
      </c>
      <c r="Q114" s="150" t="s">
        <v>40</v>
      </c>
      <c r="R114" s="151">
        <f>IF(R$105&lt;=TabS!$G$5,R21*$H$57,IF(R$105&lt;=TabS!$G$6,R21*$H$58,IF(R$105&lt;=TabS!$G$7,R21*$H$59,IF(R$105&lt;=TabS!$G$8,R21*$H$60,IF(R$105&lt;=TabS!$G$9,R21*$H$61,IF(R$105&lt;=TabS!$G$10,R21*$H$62))))))</f>
        <v>0</v>
      </c>
      <c r="S114" s="151">
        <f>IF(S$105&lt;=TabS!$G$5,S21*$H$57,IF(S$105&lt;=TabS!$G$6,S21*$H$58,IF(S$105&lt;=TabS!$G$7,S21*$H$59,IF(S$105&lt;=TabS!$G$8,S21*$H$60,IF(S$105&lt;=TabS!$G$9,S21*$H$61,IF(S$105&lt;=TabS!$G$10,S21*$H$62))))))</f>
        <v>0</v>
      </c>
      <c r="T114" s="151">
        <f>IF(T$105&lt;=TabS!$G$5,T21*$H$57,IF(T$105&lt;=TabS!$G$6,T21*$H$58,IF(T$105&lt;=TabS!$G$7,T21*$H$59,IF(T$105&lt;=TabS!$G$8,T21*$H$60,IF(T$105&lt;=TabS!$G$9,T21*$H$61,IF(T$105&lt;=TabS!$G$10,T21*$H$62))))))</f>
        <v>0</v>
      </c>
      <c r="U114" s="151">
        <f>IF(U$105&lt;=TabS!$G$5,U21*$H$57,IF(U$105&lt;=TabS!$G$6,U21*$H$58,IF(U$105&lt;=TabS!$G$7,U21*$H$59,IF(U$105&lt;=TabS!$G$8,U21*$H$60,IF(U$105&lt;=TabS!$G$9,U21*$H$61,IF(U$105&lt;=TabS!$G$10,U21*$H$62))))))</f>
        <v>0</v>
      </c>
      <c r="V114" s="151">
        <f>IF(V$105&lt;=TabS!$G$5,V21*$H$57,IF(V$105&lt;=TabS!$G$6,V21*$H$58,IF(V$105&lt;=TabS!$G$7,V21*$H$59,IF(V$105&lt;=TabS!$G$8,V21*$H$60,IF(V$105&lt;=TabS!$G$9,V21*$H$61,IF(V$105&lt;=TabS!$G$10,V21*$H$62))))))</f>
        <v>0</v>
      </c>
      <c r="W114" s="151">
        <f>IF(W$105&lt;=TabS!$G$5,W21*$H$57,IF(W$105&lt;=TabS!$G$6,W21*$H$58,IF(W$105&lt;=TabS!$G$7,W21*$H$59,IF(W$105&lt;=TabS!$G$8,W21*$H$60,IF(W$105&lt;=TabS!$G$9,W21*$H$61,IF(W$105&lt;=TabS!$G$10,W21*$H$62))))))</f>
        <v>0</v>
      </c>
      <c r="X114" s="151">
        <f>IF(X$105&lt;=TabS!$G$5,X21*$H$57,IF(X$105&lt;=TabS!$G$6,X21*$H$58,IF(X$105&lt;=TabS!$G$7,X21*$H$59,IF(X$105&lt;=TabS!$G$8,X21*$H$60,IF(X$105&lt;=TabS!$G$9,X21*$H$61,IF(X$105&lt;=TabS!$G$10,X21*$H$62))))))</f>
        <v>0</v>
      </c>
      <c r="Y114" s="151">
        <f>IF(Y$105&lt;=TabS!$G$5,Y21*$H$57,IF(Y$105&lt;=TabS!$G$6,Y21*$H$58,IF(Y$105&lt;=TabS!$G$7,Y21*$H$59,IF(Y$105&lt;=TabS!$G$8,Y21*$H$60,IF(Y$105&lt;=TabS!$G$9,Y21*$H$61,IF(Y$105&lt;=TabS!$G$10,Y21*$H$62))))))</f>
        <v>0</v>
      </c>
      <c r="Z114" s="151">
        <f>IF(Z$105&lt;=TabS!$G$5,Z21*$H$57,IF(Z$105&lt;=TabS!$G$6,Z21*$H$58,IF(Z$105&lt;=TabS!$G$7,Z21*$H$59,IF(Z$105&lt;=TabS!$G$8,Z21*$H$60,IF(Z$105&lt;=TabS!$G$9,Z21*$H$61,IF(Z$105&lt;=TabS!$G$10,Z21*$H$62))))))</f>
        <v>0</v>
      </c>
      <c r="AA114" s="151">
        <f>IF(AA$105&lt;=TabS!$G$5,AA21*$H$57,IF(AA$105&lt;=TabS!$G$6,AA21*$H$58,IF(AA$105&lt;=TabS!$G$7,AA21*$H$59,IF(AA$105&lt;=TabS!$G$8,AA21*$H$60,IF(AA$105&lt;=TabS!$G$9,AA21*$H$61,IF(AA$105&lt;=TabS!$G$10,AA21*$H$62))))))</f>
        <v>0</v>
      </c>
      <c r="AB114" s="151">
        <f>IF(AB$105&lt;=TabS!$G$5,AB21*$H$57,IF(AB$105&lt;=TabS!$G$6,AB21*$H$58,IF(AB$105&lt;=TabS!$G$7,AB21*$H$59,IF(AB$105&lt;=TabS!$G$8,AB21*$H$60,IF(AB$105&lt;=TabS!$G$9,AB21*$H$61,IF(AB$105&lt;=TabS!$G$10,AB21*$H$62))))))</f>
        <v>0</v>
      </c>
      <c r="AC114" s="151">
        <f>IF(AC$105&lt;=TabS!$G$5,AC21*$H$57,IF(AC$105&lt;=TabS!$G$6,AC21*$H$58,IF(AC$105&lt;=TabS!$G$7,AC21*$H$59,IF(AC$105&lt;=TabS!$G$8,AC21*$H$60,IF(AC$105&lt;=TabS!$G$9,AC21*$H$61,IF(AC$105&lt;=TabS!$G$10,AC21*$H$62))))))</f>
        <v>0</v>
      </c>
      <c r="AD114" s="152">
        <f t="shared" si="45"/>
        <v>0</v>
      </c>
    </row>
    <row r="115" spans="2:30" ht="20.100000000000001" customHeight="1" x14ac:dyDescent="0.25">
      <c r="B115" s="168" t="s">
        <v>99</v>
      </c>
      <c r="C115" s="152">
        <f>SUM(C109:C114)</f>
        <v>0</v>
      </c>
      <c r="D115" s="152">
        <f t="shared" ref="D115:N115" si="47">SUM(D109:D114)</f>
        <v>0</v>
      </c>
      <c r="E115" s="152">
        <f t="shared" si="47"/>
        <v>0</v>
      </c>
      <c r="F115" s="152">
        <f t="shared" si="47"/>
        <v>0</v>
      </c>
      <c r="G115" s="152">
        <f t="shared" si="47"/>
        <v>0</v>
      </c>
      <c r="H115" s="152">
        <f t="shared" si="47"/>
        <v>0</v>
      </c>
      <c r="I115" s="152">
        <f t="shared" si="47"/>
        <v>0</v>
      </c>
      <c r="J115" s="152">
        <f t="shared" si="47"/>
        <v>0</v>
      </c>
      <c r="K115" s="152">
        <f t="shared" si="47"/>
        <v>0</v>
      </c>
      <c r="L115" s="152">
        <f t="shared" si="47"/>
        <v>0</v>
      </c>
      <c r="M115" s="152">
        <f t="shared" si="47"/>
        <v>0</v>
      </c>
      <c r="N115" s="152">
        <f t="shared" si="47"/>
        <v>0</v>
      </c>
      <c r="O115" s="152">
        <f t="shared" si="44"/>
        <v>0</v>
      </c>
      <c r="Q115" s="153" t="s">
        <v>99</v>
      </c>
      <c r="R115" s="152">
        <f>SUM(R109:R114)</f>
        <v>0</v>
      </c>
      <c r="S115" s="152">
        <f t="shared" ref="S115:AC115" si="48">SUM(S109:S114)</f>
        <v>0</v>
      </c>
      <c r="T115" s="152">
        <f t="shared" si="48"/>
        <v>0</v>
      </c>
      <c r="U115" s="152">
        <f t="shared" si="48"/>
        <v>0</v>
      </c>
      <c r="V115" s="152">
        <f t="shared" si="48"/>
        <v>0</v>
      </c>
      <c r="W115" s="152">
        <f t="shared" si="48"/>
        <v>0</v>
      </c>
      <c r="X115" s="152">
        <f t="shared" si="48"/>
        <v>0</v>
      </c>
      <c r="Y115" s="152">
        <f t="shared" si="48"/>
        <v>0</v>
      </c>
      <c r="Z115" s="152">
        <f t="shared" si="48"/>
        <v>0</v>
      </c>
      <c r="AA115" s="152">
        <f t="shared" si="48"/>
        <v>0</v>
      </c>
      <c r="AB115" s="152">
        <f t="shared" si="48"/>
        <v>0</v>
      </c>
      <c r="AC115" s="152">
        <f t="shared" si="48"/>
        <v>0</v>
      </c>
      <c r="AD115" s="152">
        <f t="shared" si="45"/>
        <v>0</v>
      </c>
    </row>
    <row r="116" spans="2:30" ht="20.100000000000001" customHeight="1" x14ac:dyDescent="0.25">
      <c r="B116" s="164" t="s">
        <v>81</v>
      </c>
      <c r="Q116" s="144" t="s">
        <v>140</v>
      </c>
      <c r="R116" s="158">
        <f>IFERROR((R105*TabS!$H$9-TabS!$I$9)/R105*$E$61,0)</f>
        <v>0</v>
      </c>
      <c r="S116" s="158">
        <f>IFERROR((S105*TabS!$H$9-TabS!$I$9)/S105*$E$61,0)</f>
        <v>0</v>
      </c>
      <c r="T116" s="158">
        <f>IFERROR((T105*TabS!$H$9-TabS!$I$9)/T105*$E$61,0)</f>
        <v>0</v>
      </c>
      <c r="U116" s="158">
        <f>IFERROR((U105*TabS!$H$9-TabS!$I$9)/U105*$E$61,0)</f>
        <v>0</v>
      </c>
      <c r="V116" s="158">
        <f>IFERROR((V105*TabS!$H$9-TabS!$I$9)/V105*$E$61,0)</f>
        <v>0</v>
      </c>
      <c r="W116" s="158">
        <f>IFERROR((W105*TabS!$H$9-TabS!$I$9)/W105*$E$61,0)</f>
        <v>0</v>
      </c>
      <c r="X116" s="158">
        <f>IFERROR((X105*TabS!$H$9-TabS!$I$9)/X105*$E$61,0)</f>
        <v>0</v>
      </c>
      <c r="Y116" s="158">
        <f>IFERROR((Y105*TabS!$H$9-TabS!$I$9)/Y105*$E$61,0)</f>
        <v>0</v>
      </c>
      <c r="Z116" s="158">
        <f>IFERROR((Z105*TabS!$H$9-TabS!$I$9)/Z105*$E$61,0)</f>
        <v>0</v>
      </c>
      <c r="AA116" s="158">
        <f>IFERROR((AA105*TabS!$H$9-TabS!$I$9)/AA105*$E$61,0)</f>
        <v>0</v>
      </c>
      <c r="AB116" s="158">
        <f>IFERROR((AB105*TabS!$H$9-TabS!$I$9)/AB105*$E$61,0)</f>
        <v>0</v>
      </c>
      <c r="AC116" s="158">
        <f>IFERROR((AC105*TabS!$H$9-TabS!$I$9)/AC105*$E$61,0)</f>
        <v>0</v>
      </c>
    </row>
    <row r="117" spans="2:30" ht="20.100000000000001" customHeight="1" x14ac:dyDescent="0.25">
      <c r="B117" s="149" t="s">
        <v>82</v>
      </c>
      <c r="C117" s="149" t="s">
        <v>83</v>
      </c>
      <c r="D117" s="149" t="s">
        <v>84</v>
      </c>
      <c r="E117" s="149" t="s">
        <v>85</v>
      </c>
      <c r="F117" s="149" t="s">
        <v>86</v>
      </c>
      <c r="G117" s="149" t="s">
        <v>87</v>
      </c>
      <c r="H117" s="149" t="s">
        <v>88</v>
      </c>
      <c r="I117" s="149" t="s">
        <v>89</v>
      </c>
      <c r="J117" s="149" t="s">
        <v>90</v>
      </c>
      <c r="K117" s="149" t="s">
        <v>91</v>
      </c>
      <c r="L117" s="149" t="s">
        <v>92</v>
      </c>
      <c r="M117" s="149" t="s">
        <v>93</v>
      </c>
      <c r="N117" s="149" t="s">
        <v>94</v>
      </c>
      <c r="O117" s="149" t="s">
        <v>95</v>
      </c>
      <c r="Q117" s="144" t="s">
        <v>141</v>
      </c>
      <c r="R117" s="158">
        <f>IFERROR((R105*TabS!$H$15-TabS!$I$15)/R105*$E$71,0)</f>
        <v>0</v>
      </c>
      <c r="S117" s="158">
        <f>IFERROR((S105*TabS!$H$15-TabS!$I$15)/S105*$E$71,0)</f>
        <v>0</v>
      </c>
      <c r="T117" s="158">
        <f>IFERROR((T105*TabS!$H$15-TabS!$I$15)/T105*$E$71,0)</f>
        <v>0</v>
      </c>
      <c r="U117" s="158">
        <f>IFERROR((U105*TabS!$H$15-TabS!$I$15)/U105*$E$71,0)</f>
        <v>0</v>
      </c>
      <c r="V117" s="158">
        <f>IFERROR((V105*TabS!$H$15-TabS!$I$15)/V105*$E$71,0)</f>
        <v>0</v>
      </c>
      <c r="W117" s="158">
        <f>IFERROR((W105*TabS!$H$15-TabS!$I$15)/W105*$E$71,0)</f>
        <v>0</v>
      </c>
      <c r="X117" s="158">
        <f>IFERROR((X105*TabS!$H$15-TabS!$I$15)/X105*$E$71,0)</f>
        <v>0</v>
      </c>
      <c r="Y117" s="158">
        <f>IFERROR((Y105*TabS!$H$15-TabS!$I$15)/Y105*$E$71,0)</f>
        <v>0</v>
      </c>
      <c r="Z117" s="158">
        <f>IFERROR((Z105*TabS!$H$15-TabS!$I$15)/Z105*$E$71,0)</f>
        <v>0</v>
      </c>
      <c r="AA117" s="158">
        <f>IFERROR((AA105*TabS!$H$15-TabS!$I$15)/AA105*$E$71,0)</f>
        <v>0</v>
      </c>
      <c r="AB117" s="158">
        <f>IFERROR((AB105*TabS!$H$15-TabS!$I$15)/AB105*$E$71,0)</f>
        <v>0</v>
      </c>
      <c r="AC117" s="158">
        <f>IFERROR((AC105*TabS!$H$15-TabS!$I$15)/AC105*$E$71,0)</f>
        <v>0</v>
      </c>
    </row>
    <row r="118" spans="2:30" ht="20.100000000000001" customHeight="1" x14ac:dyDescent="0.25">
      <c r="B118" s="167" t="s">
        <v>97</v>
      </c>
      <c r="C118" s="151">
        <f>IF(C$105&lt;=TabS!$G$5,C28*$C$67,IF(C$105&lt;=TabS!$G$6,C28*$C$68,IF(C$105&lt;=TabS!$G$7,C28*$C$69,IF(C$105&lt;=TabS!$G$8,C28*$C$70,IF(C$105&lt;=TabS!$G$9,C28*$C$71,IF(C$105&lt;=TabS!$G$10,C28*$C$72))))))</f>
        <v>0</v>
      </c>
      <c r="D118" s="151">
        <f>IF(D$105&lt;=TabS!$G$5,D28*$C$67,IF(D$105&lt;=TabS!$G$6,D28*$C$68,IF(D$105&lt;=TabS!$G$7,D28*$C$69,IF(D$105&lt;=TabS!$G$8,D28*$C$70,IF(D$105&lt;=TabS!$G$9,D28*$C$71,IF(D$105&lt;=TabS!$G$10,D28*$C$72))))))</f>
        <v>0</v>
      </c>
      <c r="E118" s="151">
        <f>IF(E$105&lt;=TabS!$G$5,E28*$C$67,IF(E$105&lt;=TabS!$G$6,E28*$C$68,IF(E$105&lt;=TabS!$G$7,E28*$C$69,IF(E$105&lt;=TabS!$G$8,E28*$C$70,IF(E$105&lt;=TabS!$G$9,E28*$C$71,IF(E$105&lt;=TabS!$G$10,E28*$C$72))))))</f>
        <v>0</v>
      </c>
      <c r="F118" s="151">
        <f>IF(F$105&lt;=TabS!$G$5,F28*$C$67,IF(F$105&lt;=TabS!$G$6,F28*$C$68,IF(F$105&lt;=TabS!$G$7,F28*$C$69,IF(F$105&lt;=TabS!$G$8,F28*$C$70,IF(F$105&lt;=TabS!$G$9,F28*$C$71,IF(F$105&lt;=TabS!$G$10,F28*$C$72))))))</f>
        <v>0</v>
      </c>
      <c r="G118" s="151">
        <f>IF(G$105&lt;=TabS!$G$5,G28*$C$67,IF(G$105&lt;=TabS!$G$6,G28*$C$68,IF(G$105&lt;=TabS!$G$7,G28*$C$69,IF(G$105&lt;=TabS!$G$8,G28*$C$70,IF(G$105&lt;=TabS!$G$9,G28*$C$71,IF(G$105&lt;=TabS!$G$10,G28*$C$72))))))</f>
        <v>0</v>
      </c>
      <c r="H118" s="151">
        <f>IF(H$105&lt;=TabS!$G$5,H28*$C$67,IF(H$105&lt;=TabS!$G$6,H28*$C$68,IF(H$105&lt;=TabS!$G$7,H28*$C$69,IF(H$105&lt;=TabS!$G$8,H28*$C$70,IF(H$105&lt;=TabS!$G$9,H28*$C$71,IF(H$105&lt;=TabS!$G$10,H28*$C$72))))))</f>
        <v>0</v>
      </c>
      <c r="I118" s="151">
        <f>IF(I$105&lt;=TabS!$G$5,I28*$C$67,IF(I$105&lt;=TabS!$G$6,I28*$C$68,IF(I$105&lt;=TabS!$G$7,I28*$C$69,IF(I$105&lt;=TabS!$G$8,I28*$C$70,IF(I$105&lt;=TabS!$G$9,I28*$C$71,IF(I$105&lt;=TabS!$G$10,I28*$C$72))))))</f>
        <v>0</v>
      </c>
      <c r="J118" s="151">
        <f>IF(J$105&lt;=TabS!$G$5,J28*$C$67,IF(J$105&lt;=TabS!$G$6,J28*$C$68,IF(J$105&lt;=TabS!$G$7,J28*$C$69,IF(J$105&lt;=TabS!$G$8,J28*$C$70,IF(J$105&lt;=TabS!$G$9,J28*$C$71,IF(J$105&lt;=TabS!$G$10,J28*$C$72))))))</f>
        <v>0</v>
      </c>
      <c r="K118" s="151">
        <f>IF(K$105&lt;=TabS!$G$5,K28*$C$67,IF(K$105&lt;=TabS!$G$6,K28*$C$68,IF(K$105&lt;=TabS!$G$7,K28*$C$69,IF(K$105&lt;=TabS!$G$8,K28*$C$70,IF(K$105&lt;=TabS!$G$9,K28*$C$71,IF(K$105&lt;=TabS!$G$10,K28*$C$72))))))</f>
        <v>0</v>
      </c>
      <c r="L118" s="151">
        <f>IF(L$105&lt;=TabS!$G$5,L28*$C$67,IF(L$105&lt;=TabS!$G$6,L28*$C$68,IF(L$105&lt;=TabS!$G$7,L28*$C$69,IF(L$105&lt;=TabS!$G$8,L28*$C$70,IF(L$105&lt;=TabS!$G$9,L28*$C$71,IF(L$105&lt;=TabS!$G$10,L28*$C$72))))))</f>
        <v>0</v>
      </c>
      <c r="M118" s="151">
        <f>IF(M$105&lt;=TabS!$G$5,M28*$C$67,IF(M$105&lt;=TabS!$G$6,M28*$C$68,IF(M$105&lt;=TabS!$G$7,M28*$C$69,IF(M$105&lt;=TabS!$G$8,M28*$C$70,IF(M$105&lt;=TabS!$G$9,M28*$C$71,IF(M$105&lt;=TabS!$G$10,M28*$C$72))))))</f>
        <v>0</v>
      </c>
      <c r="N118" s="151">
        <f>IF(N$105&lt;=TabS!$G$5,N28*$C$67,IF(N$105&lt;=TabS!$G$6,N28*$C$68,IF(N$105&lt;=TabS!$G$7,N28*$C$69,IF(N$105&lt;=TabS!$G$8,N28*$C$70,IF(N$105&lt;=TabS!$G$9,N28*$C$71,IF(N$105&lt;=TabS!$G$10,N28*$C$72))))))</f>
        <v>0</v>
      </c>
      <c r="O118" s="152">
        <f t="shared" ref="O118:O125" si="49">SUM(C118:N118)</f>
        <v>0</v>
      </c>
      <c r="Q118" s="150" t="s">
        <v>141</v>
      </c>
      <c r="R118" s="151">
        <f>IF(C105&lt;R106,IF(C$105&lt;=TabS!$G$5,C28*$E$67,IF(C$105&lt;=TabS!$G$6,C28*$E$68,IF(C$105&lt;=TabS!$G$7,C28*$E$69,IF(C$105&lt;=TabS!$G$8,C28*$E$70,IF(C$105&lt;=TabS!$G$9,C28*$E$71,IF(C$105&lt;=TabS!$G$10,C28*$E$72)))))),C24*R117)</f>
        <v>0</v>
      </c>
      <c r="S118" s="151">
        <f>IF(D105&lt;S106,IF(D$105&lt;=TabS!$G$5,D28*$E$67,IF(D$105&lt;=TabS!$G$6,D28*$E$68,IF(D$105&lt;=TabS!$G$7,D28*$E$69,IF(D$105&lt;=TabS!$G$8,D28*$E$70,IF(D$105&lt;=TabS!$G$9,D28*$E$71,IF(D$105&lt;=TabS!$G$10,D28*$E$72)))))),D24*S117)</f>
        <v>0</v>
      </c>
      <c r="T118" s="151">
        <f>IF(E105&lt;T106,IF(E$105&lt;=TabS!$G$5,E28*$E$67,IF(E$105&lt;=TabS!$G$6,E28*$E$68,IF(E$105&lt;=TabS!$G$7,E28*$E$69,IF(E$105&lt;=TabS!$G$8,E28*$E$70,IF(E$105&lt;=TabS!$G$9,E28*$E$71,IF(E$105&lt;=TabS!$G$10,E28*$E$72)))))),E24*T117)</f>
        <v>0</v>
      </c>
      <c r="U118" s="151">
        <f>IF(F105&lt;U106,IF(F$105&lt;=TabS!$G$5,F28*$E$67,IF(F$105&lt;=TabS!$G$6,F28*$E$68,IF(F$105&lt;=TabS!$G$7,F28*$E$69,IF(F$105&lt;=TabS!$G$8,F28*$E$70,IF(F$105&lt;=TabS!$G$9,F28*$E$71,IF(F$105&lt;=TabS!$G$10,F28*$E$72)))))),F24*U117)</f>
        <v>0</v>
      </c>
      <c r="V118" s="151">
        <f>IF(G105&lt;V106,IF(G$105&lt;=TabS!$G$5,G28*$E$67,IF(G$105&lt;=TabS!$G$6,G28*$E$68,IF(G$105&lt;=TabS!$G$7,G28*$E$69,IF(G$105&lt;=TabS!$G$8,G28*$E$70,IF(G$105&lt;=TabS!$G$9,G28*$E$71,IF(G$105&lt;=TabS!$G$10,G28*$E$72)))))),G24*V117)</f>
        <v>0</v>
      </c>
      <c r="W118" s="151">
        <f>IF(H105&lt;W106,IF(H$105&lt;=TabS!$G$5,H28*$E$67,IF(H$105&lt;=TabS!$G$6,H28*$E$68,IF(H$105&lt;=TabS!$G$7,H28*$E$69,IF(H$105&lt;=TabS!$G$8,H28*$E$70,IF(H$105&lt;=TabS!$G$9,H28*$E$71,IF(H$105&lt;=TabS!$G$10,H28*$E$72)))))),H24*W117)</f>
        <v>0</v>
      </c>
      <c r="X118" s="151">
        <f>IF(I105&lt;X106,IF(I$105&lt;=TabS!$G$5,I28*$E$67,IF(I$105&lt;=TabS!$G$6,I28*$E$68,IF(I$105&lt;=TabS!$G$7,I28*$E$69,IF(I$105&lt;=TabS!$G$8,I28*$E$70,IF(I$105&lt;=TabS!$G$9,I28*$E$71,IF(I$105&lt;=TabS!$G$10,I28*$E$72)))))),I24*X117)</f>
        <v>0</v>
      </c>
      <c r="Y118" s="151">
        <f>IF(J105&lt;Y106,IF(J$105&lt;=TabS!$G$5,J28*$E$67,IF(J$105&lt;=TabS!$G$6,J28*$E$68,IF(J$105&lt;=TabS!$G$7,J28*$E$69,IF(J$105&lt;=TabS!$G$8,J28*$E$70,IF(J$105&lt;=TabS!$G$9,J28*$E$71,IF(J$105&lt;=TabS!$G$10,J28*$E$72)))))),J24*Y117)</f>
        <v>0</v>
      </c>
      <c r="Z118" s="151">
        <f>IF(K105&lt;Z106,IF(K$105&lt;=TabS!$G$5,K28*$E$67,IF(K$105&lt;=TabS!$G$6,K28*$E$68,IF(K$105&lt;=TabS!$G$7,K28*$E$69,IF(K$105&lt;=TabS!$G$8,K28*$E$70,IF(K$105&lt;=TabS!$G$9,K28*$E$71,IF(K$105&lt;=TabS!$G$10,K28*$E$72)))))),K24*Z117)</f>
        <v>0</v>
      </c>
      <c r="AA118" s="151">
        <f>IF(L105&lt;AA106,IF(L$105&lt;=TabS!$G$5,L28*$E$67,IF(L$105&lt;=TabS!$G$6,L28*$E$68,IF(L$105&lt;=TabS!$G$7,L28*$E$69,IF(L$105&lt;=TabS!$G$8,L28*$E$70,IF(L$105&lt;=TabS!$G$9,L28*$E$71,IF(L$105&lt;=TabS!$G$10,L28*$E$72)))))),L24*AA117)</f>
        <v>0</v>
      </c>
      <c r="AB118" s="151">
        <f>IF(M105&lt;AB106,IF(M$105&lt;=TabS!$G$5,M28*$E$67,IF(M$105&lt;=TabS!$G$6,M28*$E$68,IF(M$105&lt;=TabS!$G$7,M28*$E$69,IF(M$105&lt;=TabS!$G$8,M28*$E$70,IF(M$105&lt;=TabS!$G$9,M28*$E$71,IF(M$105&lt;=TabS!$G$10,M28*$E$72)))))),M24*AB117)</f>
        <v>0</v>
      </c>
      <c r="AC118" s="151">
        <f>IF(N105&lt;AC106,IF(N$105&lt;=TabS!$G$5,N28*$E$67,IF(N$105&lt;=TabS!$G$6,N28*$E$68,IF(N$105&lt;=TabS!$G$7,N28*$E$69,IF(N$105&lt;=TabS!$G$8,N28*$E$70,IF(N$105&lt;=TabS!$G$9,N28*$E$71,IF(N$105&lt;=TabS!$G$10,N28*$E$72)))))),N24*AC117)</f>
        <v>0</v>
      </c>
      <c r="AD118" s="152">
        <f>SUM(R118:AC118)</f>
        <v>0</v>
      </c>
    </row>
    <row r="119" spans="2:30" ht="20.100000000000001" customHeight="1" x14ac:dyDescent="0.25">
      <c r="B119" s="167" t="s">
        <v>98</v>
      </c>
      <c r="C119" s="151">
        <f>IF(C$105&lt;=TabS!$G$5,C28*$D$67,IF(C$105&lt;=TabS!$G$6,C28*$D$68,IF(C$105&lt;=TabS!$G$7,C28*$D$69,IF(C$105&lt;=TabS!$G$8,C28*$D$70,IF(C$105&lt;=TabS!$G$9,C28*$D$71,IF(C$105&lt;=TabS!$G$10,C28*$D$72))))))</f>
        <v>0</v>
      </c>
      <c r="D119" s="151">
        <f>IF(D$105&lt;=TabS!$G$5,D28*$D$67,IF(D$105&lt;=TabS!$G$6,D28*$D$68,IF(D$105&lt;=TabS!$G$7,D28*$D$69,IF(D$105&lt;=TabS!$G$8,D28*$D$70,IF(D$105&lt;=TabS!$G$9,D28*$D$71,IF(D$105&lt;=TabS!$G$10,D28*$D$72))))))</f>
        <v>0</v>
      </c>
      <c r="E119" s="151">
        <f>IF(E$105&lt;=TabS!$G$5,E28*$D$67,IF(E$105&lt;=TabS!$G$6,E28*$D$68,IF(E$105&lt;=TabS!$G$7,E28*$D$69,IF(E$105&lt;=TabS!$G$8,E28*$D$70,IF(E$105&lt;=TabS!$G$9,E28*$D$71,IF(E$105&lt;=TabS!$G$10,E28*$D$72))))))</f>
        <v>0</v>
      </c>
      <c r="F119" s="151">
        <f>IF(F$105&lt;=TabS!$G$5,F28*$D$67,IF(F$105&lt;=TabS!$G$6,F28*$D$68,IF(F$105&lt;=TabS!$G$7,F28*$D$69,IF(F$105&lt;=TabS!$G$8,F28*$D$70,IF(F$105&lt;=TabS!$G$9,F28*$D$71,IF(F$105&lt;=TabS!$G$10,F28*$D$72))))))</f>
        <v>0</v>
      </c>
      <c r="G119" s="151">
        <f>IF(G$105&lt;=TabS!$G$5,G28*$D$67,IF(G$105&lt;=TabS!$G$6,G28*$D$68,IF(G$105&lt;=TabS!$G$7,G28*$D$69,IF(G$105&lt;=TabS!$G$8,G28*$D$70,IF(G$105&lt;=TabS!$G$9,G28*$D$71,IF(G$105&lt;=TabS!$G$10,G28*$D$72))))))</f>
        <v>0</v>
      </c>
      <c r="H119" s="151">
        <f>IF(H$105&lt;=TabS!$G$5,H28*$D$67,IF(H$105&lt;=TabS!$G$6,H28*$D$68,IF(H$105&lt;=TabS!$G$7,H28*$D$69,IF(H$105&lt;=TabS!$G$8,H28*$D$70,IF(H$105&lt;=TabS!$G$9,H28*$D$71,IF(H$105&lt;=TabS!$G$10,H28*$D$72))))))</f>
        <v>0</v>
      </c>
      <c r="I119" s="151">
        <f>IF(I$105&lt;=TabS!$G$5,I28*$D$67,IF(I$105&lt;=TabS!$G$6,I28*$D$68,IF(I$105&lt;=TabS!$G$7,I28*$D$69,IF(I$105&lt;=TabS!$G$8,I28*$D$70,IF(I$105&lt;=TabS!$G$9,I28*$D$71,IF(I$105&lt;=TabS!$G$10,I28*$D$72))))))</f>
        <v>0</v>
      </c>
      <c r="J119" s="151">
        <f>IF(J$105&lt;=TabS!$G$5,J28*$D$67,IF(J$105&lt;=TabS!$G$6,J28*$D$68,IF(J$105&lt;=TabS!$G$7,J28*$D$69,IF(J$105&lt;=TabS!$G$8,J28*$D$70,IF(J$105&lt;=TabS!$G$9,J28*$D$71,IF(J$105&lt;=TabS!$G$10,J28*$D$72))))))</f>
        <v>0</v>
      </c>
      <c r="K119" s="151">
        <f>IF(K$105&lt;=TabS!$G$5,K28*$D$67,IF(K$105&lt;=TabS!$G$6,K28*$D$68,IF(K$105&lt;=TabS!$G$7,K28*$D$69,IF(K$105&lt;=TabS!$G$8,K28*$D$70,IF(K$105&lt;=TabS!$G$9,K28*$D$71,IF(K$105&lt;=TabS!$G$10,K28*$D$72))))))</f>
        <v>0</v>
      </c>
      <c r="L119" s="151">
        <f>IF(L$105&lt;=TabS!$G$5,L28*$D$67,IF(L$105&lt;=TabS!$G$6,L28*$D$68,IF(L$105&lt;=TabS!$G$7,L28*$D$69,IF(L$105&lt;=TabS!$G$8,L28*$D$70,IF(L$105&lt;=TabS!$G$9,L28*$D$71,IF(L$105&lt;=TabS!$G$10,L28*$D$72))))))</f>
        <v>0</v>
      </c>
      <c r="M119" s="151">
        <f>IF(M$105&lt;=TabS!$G$5,M28*$D$67,IF(M$105&lt;=TabS!$G$6,M28*$D$68,IF(M$105&lt;=TabS!$G$7,M28*$D$69,IF(M$105&lt;=TabS!$G$8,M28*$D$70,IF(M$105&lt;=TabS!$G$9,M28*$D$71,IF(M$105&lt;=TabS!$G$10,M28*$D$72))))))</f>
        <v>0</v>
      </c>
      <c r="N119" s="151">
        <f>IF(N$105&lt;=TabS!$G$5,N28*$D$67,IF(N$105&lt;=TabS!$G$6,N28*$D$68,IF(N$105&lt;=TabS!$G$7,N28*$D$69,IF(N$105&lt;=TabS!$G$8,N28*$D$70,IF(N$105&lt;=TabS!$G$9,N28*$D$71,IF(N$105&lt;=TabS!$G$10,N28*$D$72))))))</f>
        <v>0</v>
      </c>
      <c r="O119" s="152">
        <f t="shared" si="49"/>
        <v>0</v>
      </c>
    </row>
    <row r="120" spans="2:30" ht="20.100000000000001" customHeight="1" x14ac:dyDescent="0.25">
      <c r="B120" s="167" t="s">
        <v>37</v>
      </c>
      <c r="C120" s="151">
        <f>R118</f>
        <v>0</v>
      </c>
      <c r="D120" s="151">
        <f t="shared" ref="D120:N120" si="50">S118</f>
        <v>0</v>
      </c>
      <c r="E120" s="151">
        <f t="shared" si="50"/>
        <v>0</v>
      </c>
      <c r="F120" s="151">
        <f t="shared" si="50"/>
        <v>0</v>
      </c>
      <c r="G120" s="151">
        <f t="shared" si="50"/>
        <v>0</v>
      </c>
      <c r="H120" s="151">
        <f t="shared" si="50"/>
        <v>0</v>
      </c>
      <c r="I120" s="151">
        <f t="shared" si="50"/>
        <v>0</v>
      </c>
      <c r="J120" s="151">
        <f t="shared" si="50"/>
        <v>0</v>
      </c>
      <c r="K120" s="151">
        <f t="shared" si="50"/>
        <v>0</v>
      </c>
      <c r="L120" s="151">
        <f t="shared" si="50"/>
        <v>0</v>
      </c>
      <c r="M120" s="151">
        <f t="shared" si="50"/>
        <v>0</v>
      </c>
      <c r="N120" s="151">
        <f t="shared" si="50"/>
        <v>0</v>
      </c>
      <c r="O120" s="152">
        <f t="shared" si="49"/>
        <v>0</v>
      </c>
    </row>
    <row r="121" spans="2:30" ht="20.100000000000001" customHeight="1" x14ac:dyDescent="0.25">
      <c r="B121" s="167" t="s">
        <v>129</v>
      </c>
      <c r="C121" s="151">
        <f>IF(C$105&lt;=TabS!$G$5,C28*$F$67,IF(C$105&lt;=TabS!$G$6,C28*$F$68,IF(C$105&lt;=TabS!$G$7,C28*$F$69,IF(C$105&lt;=TabS!$G$8,C28*$F$70,IF(C$105&lt;=TabS!$G$9,C28*$F$71,IF(C$105&lt;=TabS!$G$10,C28*$F$72))))))</f>
        <v>0</v>
      </c>
      <c r="D121" s="151">
        <f>IF(D$105&lt;=TabS!$G$5,D28*$F$67,IF(D$105&lt;=TabS!$G$6,D28*$F$68,IF(D$105&lt;=TabS!$G$7,D28*$F$69,IF(D$105&lt;=TabS!$G$8,D28*$F$70,IF(D$105&lt;=TabS!$G$9,D28*$F$71,IF(D$105&lt;=TabS!$G$10,D28*$F$72))))))</f>
        <v>0</v>
      </c>
      <c r="E121" s="151">
        <f>IF(E$105&lt;=TabS!$G$5,E28*$F$67,IF(E$105&lt;=TabS!$G$6,E28*$F$68,IF(E$105&lt;=TabS!$G$7,E28*$F$69,IF(E$105&lt;=TabS!$G$8,E28*$F$70,IF(E$105&lt;=TabS!$G$9,E28*$F$71,IF(E$105&lt;=TabS!$G$10,E28*$F$72))))))</f>
        <v>0</v>
      </c>
      <c r="F121" s="151">
        <f>IF(F$105&lt;=TabS!$G$5,F28*$F$67,IF(F$105&lt;=TabS!$G$6,F28*$F$68,IF(F$105&lt;=TabS!$G$7,F28*$F$69,IF(F$105&lt;=TabS!$G$8,F28*$F$70,IF(F$105&lt;=TabS!$G$9,F28*$F$71,IF(F$105&lt;=TabS!$G$10,F28*$F$72))))))</f>
        <v>0</v>
      </c>
      <c r="G121" s="151">
        <f>IF(G$105&lt;=TabS!$G$5,G28*$F$67,IF(G$105&lt;=TabS!$G$6,G28*$F$68,IF(G$105&lt;=TabS!$G$7,G28*$F$69,IF(G$105&lt;=TabS!$G$8,G28*$F$70,IF(G$105&lt;=TabS!$G$9,G28*$F$71,IF(G$105&lt;=TabS!$G$10,G28*$F$72))))))</f>
        <v>0</v>
      </c>
      <c r="H121" s="151">
        <f>IF(H$105&lt;=TabS!$G$5,H28*$F$67,IF(H$105&lt;=TabS!$G$6,H28*$F$68,IF(H$105&lt;=TabS!$G$7,H28*$F$69,IF(H$105&lt;=TabS!$G$8,H28*$F$70,IF(H$105&lt;=TabS!$G$9,H28*$F$71,IF(H$105&lt;=TabS!$G$10,H28*$F$72))))))</f>
        <v>0</v>
      </c>
      <c r="I121" s="151">
        <f>IF(I$105&lt;=TabS!$G$5,I28*$F$67,IF(I$105&lt;=TabS!$G$6,I28*$F$68,IF(I$105&lt;=TabS!$G$7,I28*$F$69,IF(I$105&lt;=TabS!$G$8,I28*$F$70,IF(I$105&lt;=TabS!$G$9,I28*$F$71,IF(I$105&lt;=TabS!$G$10,I28*$F$72))))))</f>
        <v>0</v>
      </c>
      <c r="J121" s="151">
        <f>IF(J$105&lt;=TabS!$G$5,J28*$F$67,IF(J$105&lt;=TabS!$G$6,J28*$F$68,IF(J$105&lt;=TabS!$G$7,J28*$F$69,IF(J$105&lt;=TabS!$G$8,J28*$F$70,IF(J$105&lt;=TabS!$G$9,J28*$F$71,IF(J$105&lt;=TabS!$G$10,J28*$F$72))))))</f>
        <v>0</v>
      </c>
      <c r="K121" s="151">
        <f>IF(K$105&lt;=TabS!$G$5,K28*$F$67,IF(K$105&lt;=TabS!$G$6,K28*$F$68,IF(K$105&lt;=TabS!$G$7,K28*$F$69,IF(K$105&lt;=TabS!$G$8,K28*$F$70,IF(K$105&lt;=TabS!$G$9,K28*$F$71,IF(K$105&lt;=TabS!$G$10,K28*$F$72))))))</f>
        <v>0</v>
      </c>
      <c r="L121" s="151">
        <f>IF(L$105&lt;=TabS!$G$5,L28*$F$67,IF(L$105&lt;=TabS!$G$6,L28*$F$68,IF(L$105&lt;=TabS!$G$7,L28*$F$69,IF(L$105&lt;=TabS!$G$8,L28*$F$70,IF(L$105&lt;=TabS!$G$9,L28*$F$71,IF(L$105&lt;=TabS!$G$10,L28*$F$72))))))</f>
        <v>0</v>
      </c>
      <c r="M121" s="151">
        <f>IF(M$105&lt;=TabS!$G$5,M28*$F$67,IF(M$105&lt;=TabS!$G$6,M28*$F$68,IF(M$105&lt;=TabS!$G$7,M28*$F$69,IF(M$105&lt;=TabS!$G$8,M28*$F$70,IF(M$105&lt;=TabS!$G$9,M28*$F$71,IF(M$105&lt;=TabS!$G$10,M28*$F$72))))))</f>
        <v>0</v>
      </c>
      <c r="N121" s="151">
        <f>IF(N$105&lt;=TabS!$G$5,N28*$F$67,IF(N$105&lt;=TabS!$G$6,N28*$F$68,IF(N$105&lt;=TabS!$G$7,N28*$F$69,IF(N$105&lt;=TabS!$G$8,N28*$F$70,IF(N$105&lt;=TabS!$G$9,N28*$F$71,IF(N$105&lt;=TabS!$G$10,N28*$F$72))))))</f>
        <v>0</v>
      </c>
      <c r="O121" s="152">
        <f t="shared" si="49"/>
        <v>0</v>
      </c>
    </row>
    <row r="122" spans="2:30" ht="20.100000000000001" customHeight="1" x14ac:dyDescent="0.25">
      <c r="B122" s="167" t="s">
        <v>42</v>
      </c>
      <c r="C122" s="151">
        <f>IF(C$105&lt;=TabS!$G$5,C28*$G$67,IF(C$105&lt;=TabS!$G$6,C28*$G$68,IF(C$105&lt;=TabS!$G$7,C28*$G$69,IF(C$105&lt;=TabS!$G$8,C28*$G$70,IF(C$105&lt;=TabS!$G$9,C28*$G$71,IF(C$105&lt;=TabS!$G$10,C28*$G$72))))))</f>
        <v>0</v>
      </c>
      <c r="D122" s="151">
        <f>IF(D$105&lt;=TabS!$G$5,D28*$G$67,IF(D$105&lt;=TabS!$G$6,D28*$G$68,IF(D$105&lt;=TabS!$G$7,D28*$G$69,IF(D$105&lt;=TabS!$G$8,D28*$G$70,IF(D$105&lt;=TabS!$G$9,D28*$G$71,IF(D$105&lt;=TabS!$G$10,D28*$G$72))))))</f>
        <v>0</v>
      </c>
      <c r="E122" s="151">
        <f>IF(E$105&lt;=TabS!$G$5,E28*$G$67,IF(E$105&lt;=TabS!$G$6,E28*$G$68,IF(E$105&lt;=TabS!$G$7,E28*$G$69,IF(E$105&lt;=TabS!$G$8,E28*$G$70,IF(E$105&lt;=TabS!$G$9,E28*$G$71,IF(E$105&lt;=TabS!$G$10,E28*$G$72))))))</f>
        <v>0</v>
      </c>
      <c r="F122" s="151">
        <f>IF(F$105&lt;=TabS!$G$5,F28*$G$67,IF(F$105&lt;=TabS!$G$6,F28*$G$68,IF(F$105&lt;=TabS!$G$7,F28*$G$69,IF(F$105&lt;=TabS!$G$8,F28*$G$70,IF(F$105&lt;=TabS!$G$9,F28*$G$71,IF(F$105&lt;=TabS!$G$10,F28*$G$72))))))</f>
        <v>0</v>
      </c>
      <c r="G122" s="151">
        <f>IF(G$105&lt;=TabS!$G$5,G28*$G$67,IF(G$105&lt;=TabS!$G$6,G28*$G$68,IF(G$105&lt;=TabS!$G$7,G28*$G$69,IF(G$105&lt;=TabS!$G$8,G28*$G$70,IF(G$105&lt;=TabS!$G$9,G28*$G$71,IF(G$105&lt;=TabS!$G$10,G28*$G$72))))))</f>
        <v>0</v>
      </c>
      <c r="H122" s="151">
        <f>IF(H$105&lt;=TabS!$G$5,H28*$G$67,IF(H$105&lt;=TabS!$G$6,H28*$G$68,IF(H$105&lt;=TabS!$G$7,H28*$G$69,IF(H$105&lt;=TabS!$G$8,H28*$G$70,IF(H$105&lt;=TabS!$G$9,H28*$G$71,IF(H$105&lt;=TabS!$G$10,H28*$G$72))))))</f>
        <v>0</v>
      </c>
      <c r="I122" s="151">
        <f>IF(I$105&lt;=TabS!$G$5,I28*$G$67,IF(I$105&lt;=TabS!$G$6,I28*$G$68,IF(I$105&lt;=TabS!$G$7,I28*$G$69,IF(I$105&lt;=TabS!$G$8,I28*$G$70,IF(I$105&lt;=TabS!$G$9,I28*$G$71,IF(I$105&lt;=TabS!$G$10,I28*$G$72))))))</f>
        <v>0</v>
      </c>
      <c r="J122" s="151">
        <f>IF(J$105&lt;=TabS!$G$5,J28*$G$67,IF(J$105&lt;=TabS!$G$6,J28*$G$68,IF(J$105&lt;=TabS!$G$7,J28*$G$69,IF(J$105&lt;=TabS!$G$8,J28*$G$70,IF(J$105&lt;=TabS!$G$9,J28*$G$71,IF(J$105&lt;=TabS!$G$10,J28*$G$72))))))</f>
        <v>0</v>
      </c>
      <c r="K122" s="151">
        <f>IF(K$105&lt;=TabS!$G$5,K28*$G$67,IF(K$105&lt;=TabS!$G$6,K28*$G$68,IF(K$105&lt;=TabS!$G$7,K28*$G$69,IF(K$105&lt;=TabS!$G$8,K28*$G$70,IF(K$105&lt;=TabS!$G$9,K28*$G$71,IF(K$105&lt;=TabS!$G$10,K28*$G$72))))))</f>
        <v>0</v>
      </c>
      <c r="L122" s="151">
        <f>IF(L$105&lt;=TabS!$G$5,L28*$G$67,IF(L$105&lt;=TabS!$G$6,L28*$G$68,IF(L$105&lt;=TabS!$G$7,L28*$G$69,IF(L$105&lt;=TabS!$G$8,L28*$G$70,IF(L$105&lt;=TabS!$G$9,L28*$G$71,IF(L$105&lt;=TabS!$G$10,L28*$G$72))))))</f>
        <v>0</v>
      </c>
      <c r="M122" s="151">
        <f>IF(M$105&lt;=TabS!$G$5,M28*$G$67,IF(M$105&lt;=TabS!$G$6,M28*$G$68,IF(M$105&lt;=TabS!$G$7,M28*$G$69,IF(M$105&lt;=TabS!$G$8,M28*$G$70,IF(M$105&lt;=TabS!$G$9,M28*$G$71,IF(M$105&lt;=TabS!$G$10,M28*$G$72))))))</f>
        <v>0</v>
      </c>
      <c r="N122" s="151">
        <f>IF(N$105&lt;=TabS!$G$5,N28*$G$67,IF(N$105&lt;=TabS!$G$6,N28*$G$68,IF(N$105&lt;=TabS!$G$7,N28*$G$69,IF(N$105&lt;=TabS!$G$8,N28*$G$70,IF(N$105&lt;=TabS!$G$9,N28*$G$71,IF(N$105&lt;=TabS!$G$10,N28*$G$72))))))</f>
        <v>0</v>
      </c>
      <c r="O122" s="152">
        <f t="shared" si="49"/>
        <v>0</v>
      </c>
    </row>
    <row r="123" spans="2:30" ht="20.100000000000001" customHeight="1" x14ac:dyDescent="0.25">
      <c r="B123" s="167" t="s">
        <v>40</v>
      </c>
      <c r="C123" s="151">
        <f>IF(C$105&lt;=TabS!$G$5,C28*$H$67,IF(C$105&lt;=TabS!$G$6,C28*$H$68,IF(C$105&lt;=TabS!$G$7,C28*$H$69,IF(C$105&lt;=TabS!$G$8,C28*$H$70,IF(C$105&lt;=TabS!$G$9,C28*$H$71,IF(C$105&lt;=TabS!$G$10,C28*$H$72))))))</f>
        <v>0</v>
      </c>
      <c r="D123" s="151">
        <f>IF(D$105&lt;=TabS!$G$5,D28*$H$67,IF(D$105&lt;=TabS!$G$6,D28*$H$68,IF(D$105&lt;=TabS!$G$7,D28*$H$69,IF(D$105&lt;=TabS!$G$8,D28*$H$70,IF(D$105&lt;=TabS!$G$9,D28*$H$71,IF(D$105&lt;=TabS!$G$10,D28*$H$72))))))</f>
        <v>0</v>
      </c>
      <c r="E123" s="151">
        <f>IF(E$105&lt;=TabS!$G$5,E28*$H$67,IF(E$105&lt;=TabS!$G$6,E28*$H$68,IF(E$105&lt;=TabS!$G$7,E28*$H$69,IF(E$105&lt;=TabS!$G$8,E28*$H$70,IF(E$105&lt;=TabS!$G$9,E28*$H$71,IF(E$105&lt;=TabS!$G$10,E28*$H$72))))))</f>
        <v>0</v>
      </c>
      <c r="F123" s="151">
        <f>IF(F$105&lt;=TabS!$G$5,F28*$H$67,IF(F$105&lt;=TabS!$G$6,F28*$H$68,IF(F$105&lt;=TabS!$G$7,F28*$H$69,IF(F$105&lt;=TabS!$G$8,F28*$H$70,IF(F$105&lt;=TabS!$G$9,F28*$H$71,IF(F$105&lt;=TabS!$G$10,F28*$H$72))))))</f>
        <v>0</v>
      </c>
      <c r="G123" s="151">
        <f>IF(G$105&lt;=TabS!$G$5,G28*$H$67,IF(G$105&lt;=TabS!$G$6,G28*$H$68,IF(G$105&lt;=TabS!$G$7,G28*$H$69,IF(G$105&lt;=TabS!$G$8,G28*$H$70,IF(G$105&lt;=TabS!$G$9,G28*$H$71,IF(G$105&lt;=TabS!$G$10,G28*$H$72))))))</f>
        <v>0</v>
      </c>
      <c r="H123" s="151">
        <f>IF(H$105&lt;=TabS!$G$5,H28*$H$67,IF(H$105&lt;=TabS!$G$6,H28*$H$68,IF(H$105&lt;=TabS!$G$7,H28*$H$69,IF(H$105&lt;=TabS!$G$8,H28*$H$70,IF(H$105&lt;=TabS!$G$9,H28*$H$71,IF(H$105&lt;=TabS!$G$10,H28*$H$72))))))</f>
        <v>0</v>
      </c>
      <c r="I123" s="151">
        <f>IF(I$105&lt;=TabS!$G$5,I28*$H$67,IF(I$105&lt;=TabS!$G$6,I28*$H$68,IF(I$105&lt;=TabS!$G$7,I28*$H$69,IF(I$105&lt;=TabS!$G$8,I28*$H$70,IF(I$105&lt;=TabS!$G$9,I28*$H$71,IF(I$105&lt;=TabS!$G$10,I28*$H$72))))))</f>
        <v>0</v>
      </c>
      <c r="J123" s="151">
        <f>IF(J$105&lt;=TabS!$G$5,J28*$H$67,IF(J$105&lt;=TabS!$G$6,J28*$H$68,IF(J$105&lt;=TabS!$G$7,J28*$H$69,IF(J$105&lt;=TabS!$G$8,J28*$H$70,IF(J$105&lt;=TabS!$G$9,J28*$H$71,IF(J$105&lt;=TabS!$G$10,J28*$H$72))))))</f>
        <v>0</v>
      </c>
      <c r="K123" s="151">
        <f>IF(K$105&lt;=TabS!$G$5,K28*$H$67,IF(K$105&lt;=TabS!$G$6,K28*$H$68,IF(K$105&lt;=TabS!$G$7,K28*$H$69,IF(K$105&lt;=TabS!$G$8,K28*$H$70,IF(K$105&lt;=TabS!$G$9,K28*$H$71,IF(K$105&lt;=TabS!$G$10,K28*$H$72))))))</f>
        <v>0</v>
      </c>
      <c r="L123" s="151">
        <f>IF(L$105&lt;=TabS!$G$5,L28*$H$67,IF(L$105&lt;=TabS!$G$6,L28*$H$68,IF(L$105&lt;=TabS!$G$7,L28*$H$69,IF(L$105&lt;=TabS!$G$8,L28*$H$70,IF(L$105&lt;=TabS!$G$9,L28*$H$71,IF(L$105&lt;=TabS!$G$10,L28*$H$72))))))</f>
        <v>0</v>
      </c>
      <c r="M123" s="151">
        <f>IF(M$105&lt;=TabS!$G$5,M28*$H$67,IF(M$105&lt;=TabS!$G$6,M28*$H$68,IF(M$105&lt;=TabS!$G$7,M28*$H$69,IF(M$105&lt;=TabS!$G$8,M28*$H$70,IF(M$105&lt;=TabS!$G$9,M28*$H$71,IF(M$105&lt;=TabS!$G$10,M28*$H$72))))))</f>
        <v>0</v>
      </c>
      <c r="N123" s="151">
        <f>IF(N$105&lt;=TabS!$G$5,N28*$H$67,IF(N$105&lt;=TabS!$G$6,N28*$H$68,IF(N$105&lt;=TabS!$G$7,N28*$H$69,IF(N$105&lt;=TabS!$G$8,N28*$H$70,IF(N$105&lt;=TabS!$G$9,N28*$H$71,IF(N$105&lt;=TabS!$G$10,N28*$H$72))))))</f>
        <v>0</v>
      </c>
      <c r="O123" s="152">
        <f t="shared" si="49"/>
        <v>0</v>
      </c>
    </row>
    <row r="124" spans="2:30" ht="20.100000000000001" customHeight="1" x14ac:dyDescent="0.25">
      <c r="B124" s="167" t="s">
        <v>38</v>
      </c>
      <c r="C124" s="151">
        <f>IF(C$105&lt;=TabS!$G$5,C28*$I$67,IF(C$105&lt;=TabS!$G$6,C28*$I$68,IF(C$105&lt;=TabS!$G$7,C28*$I$69,IF(C$105&lt;=TabS!$G$8,C28*$I$70,IF(C$105&lt;=TabS!$G$9,C28*$I$71,IF(C$105&lt;=TabS!$G$10,C28*$I$72))))))</f>
        <v>0</v>
      </c>
      <c r="D124" s="151">
        <f>IF(D$105&lt;=TabS!$G$5,D28*$I$67,IF(D$105&lt;=TabS!$G$6,D28*$I$68,IF(D$105&lt;=TabS!$G$7,D28*$I$69,IF(D$105&lt;=TabS!$G$8,D28*$I$70,IF(D$105&lt;=TabS!$G$9,D28*$I$71,IF(D$105&lt;=TabS!$G$10,D28*$I$72))))))</f>
        <v>0</v>
      </c>
      <c r="E124" s="151">
        <f>IF(E$105&lt;=TabS!$G$5,E28*$I$67,IF(E$105&lt;=TabS!$G$6,E28*$I$68,IF(E$105&lt;=TabS!$G$7,E28*$I$69,IF(E$105&lt;=TabS!$G$8,E28*$I$70,IF(E$105&lt;=TabS!$G$9,E28*$I$71,IF(E$105&lt;=TabS!$G$10,E28*$I$72))))))</f>
        <v>0</v>
      </c>
      <c r="F124" s="151">
        <f>IF(F$105&lt;=TabS!$G$5,F28*$I$67,IF(F$105&lt;=TabS!$G$6,F28*$I$68,IF(F$105&lt;=TabS!$G$7,F28*$I$69,IF(F$105&lt;=TabS!$G$8,F28*$I$70,IF(F$105&lt;=TabS!$G$9,F28*$I$71,IF(F$105&lt;=TabS!$G$10,F28*$I$72))))))</f>
        <v>0</v>
      </c>
      <c r="G124" s="151">
        <f>IF(G$105&lt;=TabS!$G$5,G28*$I$67,IF(G$105&lt;=TabS!$G$6,G28*$I$68,IF(G$105&lt;=TabS!$G$7,G28*$I$69,IF(G$105&lt;=TabS!$G$8,G28*$I$70,IF(G$105&lt;=TabS!$G$9,G28*$I$71,IF(G$105&lt;=TabS!$G$10,G28*$I$72))))))</f>
        <v>0</v>
      </c>
      <c r="H124" s="151">
        <f>IF(H$105&lt;=TabS!$G$5,H28*$I$67,IF(H$105&lt;=TabS!$G$6,H28*$I$68,IF(H$105&lt;=TabS!$G$7,H28*$I$69,IF(H$105&lt;=TabS!$G$8,H28*$I$70,IF(H$105&lt;=TabS!$G$9,H28*$I$71,IF(H$105&lt;=TabS!$G$10,H28*$I$72))))))</f>
        <v>0</v>
      </c>
      <c r="I124" s="151">
        <f>IF(I$105&lt;=TabS!$G$5,I28*$I$67,IF(I$105&lt;=TabS!$G$6,I28*$I$68,IF(I$105&lt;=TabS!$G$7,I28*$I$69,IF(I$105&lt;=TabS!$G$8,I28*$I$70,IF(I$105&lt;=TabS!$G$9,I28*$I$71,IF(I$105&lt;=TabS!$G$10,I28*$I$72))))))</f>
        <v>0</v>
      </c>
      <c r="J124" s="151">
        <f>IF(J$105&lt;=TabS!$G$5,J28*$I$67,IF(J$105&lt;=TabS!$G$6,J28*$I$68,IF(J$105&lt;=TabS!$G$7,J28*$I$69,IF(J$105&lt;=TabS!$G$8,J28*$I$70,IF(J$105&lt;=TabS!$G$9,J28*$I$71,IF(J$105&lt;=TabS!$G$10,J28*$I$72))))))</f>
        <v>0</v>
      </c>
      <c r="K124" s="151">
        <f>IF(K$105&lt;=TabS!$G$5,K28*$I$67,IF(K$105&lt;=TabS!$G$6,K28*$I$68,IF(K$105&lt;=TabS!$G$7,K28*$I$69,IF(K$105&lt;=TabS!$G$8,K28*$I$70,IF(K$105&lt;=TabS!$G$9,K28*$I$71,IF(K$105&lt;=TabS!$G$10,K28*$I$72))))))</f>
        <v>0</v>
      </c>
      <c r="L124" s="151">
        <f>IF(L$105&lt;=TabS!$G$5,L28*$I$67,IF(L$105&lt;=TabS!$G$6,L28*$I$68,IF(L$105&lt;=TabS!$G$7,L28*$I$69,IF(L$105&lt;=TabS!$G$8,L28*$I$70,IF(L$105&lt;=TabS!$G$9,L28*$I$71,IF(L$105&lt;=TabS!$G$10,L28*$I$72))))))</f>
        <v>0</v>
      </c>
      <c r="M124" s="151">
        <f>IF(M$105&lt;=TabS!$G$5,M28*$I$67,IF(M$105&lt;=TabS!$G$6,M28*$I$68,IF(M$105&lt;=TabS!$G$7,M28*$I$69,IF(M$105&lt;=TabS!$G$8,M28*$I$70,IF(M$105&lt;=TabS!$G$9,M28*$I$71,IF(M$105&lt;=TabS!$G$10,M28*$I$72))))))</f>
        <v>0</v>
      </c>
      <c r="N124" s="151">
        <f>IF(N$105&lt;=TabS!$G$5,N28*$I$67,IF(N$105&lt;=TabS!$G$6,N28*$I$68,IF(N$105&lt;=TabS!$G$7,N28*$I$69,IF(N$105&lt;=TabS!$G$8,N28*$I$70,IF(N$105&lt;=TabS!$G$9,N28*$I$71,IF(N$105&lt;=TabS!$G$10,N28*$I$72))))))</f>
        <v>0</v>
      </c>
      <c r="O124" s="152">
        <f t="shared" si="49"/>
        <v>0</v>
      </c>
    </row>
    <row r="125" spans="2:30" ht="20.100000000000001" customHeight="1" x14ac:dyDescent="0.25">
      <c r="B125" s="168" t="s">
        <v>99</v>
      </c>
      <c r="C125" s="152">
        <f>SUM(C118:C124)</f>
        <v>0</v>
      </c>
      <c r="D125" s="152">
        <f t="shared" ref="D125:N125" si="51">SUM(D118:D124)</f>
        <v>0</v>
      </c>
      <c r="E125" s="152">
        <f t="shared" si="51"/>
        <v>0</v>
      </c>
      <c r="F125" s="152">
        <f t="shared" si="51"/>
        <v>0</v>
      </c>
      <c r="G125" s="152">
        <f t="shared" si="51"/>
        <v>0</v>
      </c>
      <c r="H125" s="152">
        <f t="shared" si="51"/>
        <v>0</v>
      </c>
      <c r="I125" s="152">
        <f t="shared" si="51"/>
        <v>0</v>
      </c>
      <c r="J125" s="152">
        <f t="shared" si="51"/>
        <v>0</v>
      </c>
      <c r="K125" s="152">
        <f t="shared" si="51"/>
        <v>0</v>
      </c>
      <c r="L125" s="152">
        <f t="shared" si="51"/>
        <v>0</v>
      </c>
      <c r="M125" s="152">
        <f t="shared" si="51"/>
        <v>0</v>
      </c>
      <c r="N125" s="152">
        <f t="shared" si="51"/>
        <v>0</v>
      </c>
      <c r="O125" s="152">
        <f t="shared" si="49"/>
        <v>0</v>
      </c>
    </row>
    <row r="126" spans="2:30" ht="20.100000000000001" customHeight="1" x14ac:dyDescent="0.25">
      <c r="B126" s="164" t="s">
        <v>75</v>
      </c>
    </row>
    <row r="127" spans="2:30" ht="20.100000000000001" customHeight="1" x14ac:dyDescent="0.25">
      <c r="B127" s="149" t="s">
        <v>82</v>
      </c>
      <c r="C127" s="149" t="s">
        <v>83</v>
      </c>
      <c r="D127" s="149" t="s">
        <v>84</v>
      </c>
      <c r="E127" s="149" t="s">
        <v>85</v>
      </c>
      <c r="F127" s="149" t="s">
        <v>86</v>
      </c>
      <c r="G127" s="149" t="s">
        <v>87</v>
      </c>
      <c r="H127" s="149" t="s">
        <v>88</v>
      </c>
      <c r="I127" s="149" t="s">
        <v>89</v>
      </c>
      <c r="J127" s="149" t="s">
        <v>90</v>
      </c>
      <c r="K127" s="149" t="s">
        <v>91</v>
      </c>
      <c r="L127" s="149" t="s">
        <v>92</v>
      </c>
      <c r="M127" s="149" t="s">
        <v>93</v>
      </c>
      <c r="N127" s="149" t="s">
        <v>94</v>
      </c>
      <c r="O127" s="149" t="s">
        <v>95</v>
      </c>
    </row>
    <row r="128" spans="2:30" ht="20.100000000000001" customHeight="1" x14ac:dyDescent="0.25">
      <c r="B128" s="167" t="s">
        <v>97</v>
      </c>
      <c r="C128" s="151">
        <f>IF(C$167&gt;$C$168,C180,IF(C$105&lt;=TabS!$G$5,C35*$C$77,IF(C$105&lt;=TabS!$G$6,C35*$C$78,IF(C$105&lt;=TabS!$G$7,C35*$C$79,IF(C$105&lt;=TabS!$G$8,C35*$C$80,IF(C$105&lt;=TabS!$G$9,C35*$C$81,IF(C$105&lt;=TabS!$G$10,C35*$C$82)))))))</f>
        <v>0</v>
      </c>
      <c r="D128" s="151">
        <f>IF(D$167&gt;$C$168,D180,IF(D$105&lt;=TabS!$G$5,D35*$C$77,IF(D$105&lt;=TabS!$G$6,D35*$C$78,IF(D$105&lt;=TabS!$G$7,D35*$C$79,IF(D$105&lt;=TabS!$G$8,D35*$C$80,IF(D$105&lt;=TabS!$G$9,D35*$C$81,IF(D$105&lt;=TabS!$G$10,D35*$C$82)))))))</f>
        <v>0</v>
      </c>
      <c r="E128" s="151">
        <f>IF(E$167&gt;$C$168,E180,IF(E$105&lt;=TabS!$G$5,E35*$C$77,IF(E$105&lt;=TabS!$G$6,E35*$C$78,IF(E$105&lt;=TabS!$G$7,E35*$C$79,IF(E$105&lt;=TabS!$G$8,E35*$C$80,IF(E$105&lt;=TabS!$G$9,E35*$C$81,IF(E$105&lt;=TabS!$G$10,E35*$C$82)))))))</f>
        <v>0</v>
      </c>
      <c r="F128" s="151">
        <f>IF(F$167&gt;$C$168,F180,IF(F$105&lt;=TabS!$G$5,F35*$C$77,IF(F$105&lt;=TabS!$G$6,F35*$C$78,IF(F$105&lt;=TabS!$G$7,F35*$C$79,IF(F$105&lt;=TabS!$G$8,F35*$C$80,IF(F$105&lt;=TabS!$G$9,F35*$C$81,IF(F$105&lt;=TabS!$G$10,F35*$C$82)))))))</f>
        <v>0</v>
      </c>
      <c r="G128" s="151">
        <f>IF(G$167&gt;$C$168,G180,IF(G$105&lt;=TabS!$G$5,G35*$C$77,IF(G$105&lt;=TabS!$G$6,G35*$C$78,IF(G$105&lt;=TabS!$G$7,G35*$C$79,IF(G$105&lt;=TabS!$G$8,G35*$C$80,IF(G$105&lt;=TabS!$G$9,G35*$C$81,IF(G$105&lt;=TabS!$G$10,G35*$C$82)))))))</f>
        <v>0</v>
      </c>
      <c r="H128" s="151">
        <f>IF(H$167&gt;$C$168,H180,IF(H$105&lt;=TabS!$G$5,H35*$C$77,IF(H$105&lt;=TabS!$G$6,H35*$C$78,IF(H$105&lt;=TabS!$G$7,H35*$C$79,IF(H$105&lt;=TabS!$G$8,H35*$C$80,IF(H$105&lt;=TabS!$G$9,H35*$C$81,IF(H$105&lt;=TabS!$G$10,H35*$C$82)))))))</f>
        <v>0</v>
      </c>
      <c r="I128" s="151">
        <f>IF(I$167&gt;$C$168,I180,IF(I$105&lt;=TabS!$G$5,I35*$C$77,IF(I$105&lt;=TabS!$G$6,I35*$C$78,IF(I$105&lt;=TabS!$G$7,I35*$C$79,IF(I$105&lt;=TabS!$G$8,I35*$C$80,IF(I$105&lt;=TabS!$G$9,I35*$C$81,IF(I$105&lt;=TabS!$G$10,I35*$C$82)))))))</f>
        <v>0</v>
      </c>
      <c r="J128" s="151">
        <f>IF(J$167&gt;$C$168,J180,IF(J$105&lt;=TabS!$G$5,J35*$C$77,IF(J$105&lt;=TabS!$G$6,J35*$C$78,IF(J$105&lt;=TabS!$G$7,J35*$C$79,IF(J$105&lt;=TabS!$G$8,J35*$C$80,IF(J$105&lt;=TabS!$G$9,J35*$C$81,IF(J$105&lt;=TabS!$G$10,J35*$C$82)))))))</f>
        <v>0</v>
      </c>
      <c r="K128" s="151">
        <f>IF(K$167&gt;$C$168,K180,IF(K$105&lt;=TabS!$G$5,K35*$C$77,IF(K$105&lt;=TabS!$G$6,K35*$C$78,IF(K$105&lt;=TabS!$G$7,K35*$C$79,IF(K$105&lt;=TabS!$G$8,K35*$C$80,IF(K$105&lt;=TabS!$G$9,K35*$C$81,IF(K$105&lt;=TabS!$G$10,K35*$C$82)))))))</f>
        <v>0</v>
      </c>
      <c r="L128" s="151">
        <f>IF(L$167&gt;$C$168,L180,IF(L$105&lt;=TabS!$G$5,L35*$C$77,IF(L$105&lt;=TabS!$G$6,L35*$C$78,IF(L$105&lt;=TabS!$G$7,L35*$C$79,IF(L$105&lt;=TabS!$G$8,L35*$C$80,IF(L$105&lt;=TabS!$G$9,L35*$C$81,IF(L$105&lt;=TabS!$G$10,L35*$C$82)))))))</f>
        <v>0</v>
      </c>
      <c r="M128" s="151">
        <f>IF(M$167&gt;$C$168,M180,IF(M$105&lt;=TabS!$G$5,M35*$C$77,IF(M$105&lt;=TabS!$G$6,M35*$C$78,IF(M$105&lt;=TabS!$G$7,M35*$C$79,IF(M$105&lt;=TabS!$G$8,M35*$C$80,IF(M$105&lt;=TabS!$G$9,M35*$C$81,IF(M$105&lt;=TabS!$G$10,M35*$C$82)))))))</f>
        <v>0</v>
      </c>
      <c r="N128" s="151">
        <f>IF(N$167&gt;$C$168,N180,IF(N$105&lt;=TabS!$G$5,N35*$C$77,IF(N$105&lt;=TabS!$G$6,N35*$C$78,IF(N$105&lt;=TabS!$G$7,N35*$C$79,IF(N$105&lt;=TabS!$G$8,N35*$C$80,IF(N$105&lt;=TabS!$G$9,N35*$C$81,IF(N$105&lt;=TabS!$G$10,N35*$C$82)))))))</f>
        <v>0</v>
      </c>
      <c r="O128" s="152">
        <f t="shared" ref="O128:O134" si="52">SUM(C128:N128)</f>
        <v>0</v>
      </c>
    </row>
    <row r="129" spans="2:15" ht="20.100000000000001" customHeight="1" x14ac:dyDescent="0.25">
      <c r="B129" s="167" t="s">
        <v>98</v>
      </c>
      <c r="C129" s="151">
        <f>IF(C$167&gt;$C$168,C181,IF(C$105&lt;=TabS!$G$5,C35*$D$77,IF(C$105&lt;=TabS!$G$6,C35*$D$78,IF(C$105&lt;=TabS!$G$7,C35*$D$79,IF(C$105&lt;=TabS!$G$8,C35*$D$80,IF(C$105&lt;=TabS!$G$9,C35*$D$81,IF(C$105&lt;=TabS!$G$10,C35*$D$82)))))))</f>
        <v>0</v>
      </c>
      <c r="D129" s="151">
        <f>IF(D$167&gt;$C$168,D181,IF(D$105&lt;=TabS!$G$5,D35*$D$77,IF(D$105&lt;=TabS!$G$6,D35*$D$78,IF(D$105&lt;=TabS!$G$7,D35*$D$79,IF(D$105&lt;=TabS!$G$8,D35*$D$80,IF(D$105&lt;=TabS!$G$9,D35*$D$81,IF(D$105&lt;=TabS!$G$10,D35*$D$82)))))))</f>
        <v>0</v>
      </c>
      <c r="E129" s="151">
        <f>IF(E$167&gt;$C$168,E181,IF(E$105&lt;=TabS!$G$5,E35*$D$77,IF(E$105&lt;=TabS!$G$6,E35*$D$78,IF(E$105&lt;=TabS!$G$7,E35*$D$79,IF(E$105&lt;=TabS!$G$8,E35*$D$80,IF(E$105&lt;=TabS!$G$9,E35*$D$81,IF(E$105&lt;=TabS!$G$10,E35*$D$82)))))))</f>
        <v>0</v>
      </c>
      <c r="F129" s="151">
        <f>IF(F$167&gt;$C$168,F181,IF(F$105&lt;=TabS!$G$5,F35*$D$77,IF(F$105&lt;=TabS!$G$6,F35*$D$78,IF(F$105&lt;=TabS!$G$7,F35*$D$79,IF(F$105&lt;=TabS!$G$8,F35*$D$80,IF(F$105&lt;=TabS!$G$9,F35*$D$81,IF(F$105&lt;=TabS!$G$10,F35*$D$82)))))))</f>
        <v>0</v>
      </c>
      <c r="G129" s="151">
        <f>IF(G$167&gt;$C$168,G181,IF(G$105&lt;=TabS!$G$5,G35*$D$77,IF(G$105&lt;=TabS!$G$6,G35*$D$78,IF(G$105&lt;=TabS!$G$7,G35*$D$79,IF(G$105&lt;=TabS!$G$8,G35*$D$80,IF(G$105&lt;=TabS!$G$9,G35*$D$81,IF(G$105&lt;=TabS!$G$10,G35*$D$82)))))))</f>
        <v>0</v>
      </c>
      <c r="H129" s="151">
        <f>IF(H$167&gt;$C$168,H181,IF(H$105&lt;=TabS!$G$5,H35*$D$77,IF(H$105&lt;=TabS!$G$6,H35*$D$78,IF(H$105&lt;=TabS!$G$7,H35*$D$79,IF(H$105&lt;=TabS!$G$8,H35*$D$80,IF(H$105&lt;=TabS!$G$9,H35*$D$81,IF(H$105&lt;=TabS!$G$10,H35*$D$82)))))))</f>
        <v>0</v>
      </c>
      <c r="I129" s="151">
        <f>IF(I$167&gt;$C$168,I181,IF(I$105&lt;=TabS!$G$5,I35*$D$77,IF(I$105&lt;=TabS!$G$6,I35*$D$78,IF(I$105&lt;=TabS!$G$7,I35*$D$79,IF(I$105&lt;=TabS!$G$8,I35*$D$80,IF(I$105&lt;=TabS!$G$9,I35*$D$81,IF(I$105&lt;=TabS!$G$10,I35*$D$82)))))))</f>
        <v>0</v>
      </c>
      <c r="J129" s="151">
        <f>IF(J$167&gt;$C$168,J181,IF(J$105&lt;=TabS!$G$5,J35*$D$77,IF(J$105&lt;=TabS!$G$6,J35*$D$78,IF(J$105&lt;=TabS!$G$7,J35*$D$79,IF(J$105&lt;=TabS!$G$8,J35*$D$80,IF(J$105&lt;=TabS!$G$9,J35*$D$81,IF(J$105&lt;=TabS!$G$10,J35*$D$82)))))))</f>
        <v>0</v>
      </c>
      <c r="K129" s="151">
        <f>IF(K$167&gt;$C$168,K181,IF(K$105&lt;=TabS!$G$5,K35*$D$77,IF(K$105&lt;=TabS!$G$6,K35*$D$78,IF(K$105&lt;=TabS!$G$7,K35*$D$79,IF(K$105&lt;=TabS!$G$8,K35*$D$80,IF(K$105&lt;=TabS!$G$9,K35*$D$81,IF(K$105&lt;=TabS!$G$10,K35*$D$82)))))))</f>
        <v>0</v>
      </c>
      <c r="L129" s="151">
        <f>IF(L$167&gt;$C$168,L181,IF(L$105&lt;=TabS!$G$5,L35*$D$77,IF(L$105&lt;=TabS!$G$6,L35*$D$78,IF(L$105&lt;=TabS!$G$7,L35*$D$79,IF(L$105&lt;=TabS!$G$8,L35*$D$80,IF(L$105&lt;=TabS!$G$9,L35*$D$81,IF(L$105&lt;=TabS!$G$10,L35*$D$82)))))))</f>
        <v>0</v>
      </c>
      <c r="M129" s="151">
        <f>IF(M$167&gt;$C$168,M181,IF(M$105&lt;=TabS!$G$5,M35*$D$77,IF(M$105&lt;=TabS!$G$6,M35*$D$78,IF(M$105&lt;=TabS!$G$7,M35*$D$79,IF(M$105&lt;=TabS!$G$8,M35*$D$80,IF(M$105&lt;=TabS!$G$9,M35*$D$81,IF(M$105&lt;=TabS!$G$10,M35*$D$82)))))))</f>
        <v>0</v>
      </c>
      <c r="N129" s="151">
        <f>IF(N$167&gt;$C$168,N181,IF(N$105&lt;=TabS!$G$5,N35*$D$77,IF(N$105&lt;=TabS!$G$6,N35*$D$78,IF(N$105&lt;=TabS!$G$7,N35*$D$79,IF(N$105&lt;=TabS!$G$8,N35*$D$80,IF(N$105&lt;=TabS!$G$9,N35*$D$81,IF(N$105&lt;=TabS!$G$10,N35*$D$82)))))))</f>
        <v>0</v>
      </c>
      <c r="O129" s="152">
        <f t="shared" si="52"/>
        <v>0</v>
      </c>
    </row>
    <row r="130" spans="2:15" ht="20.100000000000001" customHeight="1" x14ac:dyDescent="0.25">
      <c r="B130" s="167" t="s">
        <v>39</v>
      </c>
      <c r="C130" s="151">
        <f>IF(C$167&gt;$C$168,C182,IF(C$105&lt;=TabS!$G$5,C35*$E$77,IF(C$105&lt;=TabS!$G$6,C35*$E$78,IF(C$105&lt;=TabS!$G$7,C35*$E$79,IF(C$105&lt;=TabS!$G$8,C35*$E$80,IF(C$105&lt;=TabS!$G$9,C35*$E$81,IF(C$105&lt;=TabS!$G$10,C35*$E$82)))))))</f>
        <v>0</v>
      </c>
      <c r="D130" s="151">
        <f>IF(D$167&gt;$C$168,D182,IF(D$105&lt;=TabS!$G$5,D35*$E$77,IF(D$105&lt;=TabS!$G$6,D35*$E$78,IF(D$105&lt;=TabS!$G$7,D35*$E$79,IF(D$105&lt;=TabS!$G$8,D35*$E$80,IF(D$105&lt;=TabS!$G$9,D35*$E$81,IF(D$105&lt;=TabS!$G$10,D35*$E$82)))))))</f>
        <v>0</v>
      </c>
      <c r="E130" s="151">
        <f>IF(E$167&gt;$C$168,E182,IF(E$105&lt;=TabS!$G$5,E35*$E$77,IF(E$105&lt;=TabS!$G$6,E35*$E$78,IF(E$105&lt;=TabS!$G$7,E35*$E$79,IF(E$105&lt;=TabS!$G$8,E35*$E$80,IF(E$105&lt;=TabS!$G$9,E35*$E$81,IF(E$105&lt;=TabS!$G$10,E35*$E$82)))))))</f>
        <v>0</v>
      </c>
      <c r="F130" s="151">
        <f>IF(F$167&gt;$C$168,F182,IF(F$105&lt;=TabS!$G$5,F35*$E$77,IF(F$105&lt;=TabS!$G$6,F35*$E$78,IF(F$105&lt;=TabS!$G$7,F35*$E$79,IF(F$105&lt;=TabS!$G$8,F35*$E$80,IF(F$105&lt;=TabS!$G$9,F35*$E$81,IF(F$105&lt;=TabS!$G$10,F35*$E$82)))))))</f>
        <v>0</v>
      </c>
      <c r="G130" s="151">
        <f>IF(G$167&gt;$C$168,G182,IF(G$105&lt;=TabS!$G$5,G35*$E$77,IF(G$105&lt;=TabS!$G$6,G35*$E$78,IF(G$105&lt;=TabS!$G$7,G35*$E$79,IF(G$105&lt;=TabS!$G$8,G35*$E$80,IF(G$105&lt;=TabS!$G$9,G35*$E$81,IF(G$105&lt;=TabS!$G$10,G35*$E$82)))))))</f>
        <v>0</v>
      </c>
      <c r="H130" s="151">
        <f>IF(H$167&gt;$C$168,H182,IF(H$105&lt;=TabS!$G$5,H35*$E$77,IF(H$105&lt;=TabS!$G$6,H35*$E$78,IF(H$105&lt;=TabS!$G$7,H35*$E$79,IF(H$105&lt;=TabS!$G$8,H35*$E$80,IF(H$105&lt;=TabS!$G$9,H35*$E$81,IF(H$105&lt;=TabS!$G$10,H35*$E$82)))))))</f>
        <v>0</v>
      </c>
      <c r="I130" s="151">
        <f>IF(I$167&gt;$C$168,I182,IF(I$105&lt;=TabS!$G$5,I35*$E$77,IF(I$105&lt;=TabS!$G$6,I35*$E$78,IF(I$105&lt;=TabS!$G$7,I35*$E$79,IF(I$105&lt;=TabS!$G$8,I35*$E$80,IF(I$105&lt;=TabS!$G$9,I35*$E$81,IF(I$105&lt;=TabS!$G$10,I35*$E$82)))))))</f>
        <v>0</v>
      </c>
      <c r="J130" s="151">
        <f>IF(J$167&gt;$C$168,J182,IF(J$105&lt;=TabS!$G$5,J35*$E$77,IF(J$105&lt;=TabS!$G$6,J35*$E$78,IF(J$105&lt;=TabS!$G$7,J35*$E$79,IF(J$105&lt;=TabS!$G$8,J35*$E$80,IF(J$105&lt;=TabS!$G$9,J35*$E$81,IF(J$105&lt;=TabS!$G$10,J35*$E$82)))))))</f>
        <v>0</v>
      </c>
      <c r="K130" s="151">
        <f>IF(K$167&gt;$C$168,K182,IF(K$105&lt;=TabS!$G$5,K35*$E$77,IF(K$105&lt;=TabS!$G$6,K35*$E$78,IF(K$105&lt;=TabS!$G$7,K35*$E$79,IF(K$105&lt;=TabS!$G$8,K35*$E$80,IF(K$105&lt;=TabS!$G$9,K35*$E$81,IF(K$105&lt;=TabS!$G$10,K35*$E$82)))))))</f>
        <v>0</v>
      </c>
      <c r="L130" s="151">
        <f>IF(L$167&gt;$C$168,L182,IF(L$105&lt;=TabS!$G$5,L35*$E$77,IF(L$105&lt;=TabS!$G$6,L35*$E$78,IF(L$105&lt;=TabS!$G$7,L35*$E$79,IF(L$105&lt;=TabS!$G$8,L35*$E$80,IF(L$105&lt;=TabS!$G$9,L35*$E$81,IF(L$105&lt;=TabS!$G$10,L35*$E$82)))))))</f>
        <v>0</v>
      </c>
      <c r="M130" s="151">
        <f>IF(M$167&gt;$C$168,M182,IF(M$105&lt;=TabS!$G$5,M35*$E$77,IF(M$105&lt;=TabS!$G$6,M35*$E$78,IF(M$105&lt;=TabS!$G$7,M35*$E$79,IF(M$105&lt;=TabS!$G$8,M35*$E$80,IF(M$105&lt;=TabS!$G$9,M35*$E$81,IF(M$105&lt;=TabS!$G$10,M35*$E$82)))))))</f>
        <v>0</v>
      </c>
      <c r="N130" s="151">
        <f>IF(N$167&gt;$C$168,N182,IF(N$105&lt;=TabS!$G$5,N35*$E$77,IF(N$105&lt;=TabS!$G$6,N35*$E$78,IF(N$105&lt;=TabS!$G$7,N35*$E$79,IF(N$105&lt;=TabS!$G$8,N35*$E$80,IF(N$105&lt;=TabS!$G$9,N35*$E$81,IF(N$105&lt;=TabS!$G$10,N35*$E$82)))))))</f>
        <v>0</v>
      </c>
      <c r="O130" s="152">
        <f>SUM(C130:N130)</f>
        <v>0</v>
      </c>
    </row>
    <row r="131" spans="2:15" ht="20.100000000000001" customHeight="1" x14ac:dyDescent="0.25">
      <c r="B131" s="167" t="s">
        <v>129</v>
      </c>
      <c r="C131" s="151">
        <f>IF(C$167&gt;$C$168,C183,IF(C$105&lt;=TabS!$G$5,C35*$F$77,IF(C$105&lt;=TabS!$G$6,C35*$F$78,IF(C$105&lt;=TabS!$G$7,C35*$F$79,IF(C$105&lt;=TabS!$G$8,C35*$F$80,IF(C$105&lt;=TabS!$G$9,C35*$F$81,IF(C$105&lt;=TabS!$G$10,C35*$F$82)))))))</f>
        <v>0</v>
      </c>
      <c r="D131" s="151">
        <f>IF(D$167&gt;$C$168,D183,IF(D$105&lt;=TabS!$G$5,D35*$F$77,IF(D$105&lt;=TabS!$G$6,D35*$F$78,IF(D$105&lt;=TabS!$G$7,D35*$F$79,IF(D$105&lt;=TabS!$G$8,D35*$F$80,IF(D$105&lt;=TabS!$G$9,D35*$F$81,IF(D$105&lt;=TabS!$G$10,D35*$F$82)))))))</f>
        <v>0</v>
      </c>
      <c r="E131" s="151">
        <f>IF(E$167&gt;$C$168,E183,IF(E$105&lt;=TabS!$G$5,E35*$F$77,IF(E$105&lt;=TabS!$G$6,E35*$F$78,IF(E$105&lt;=TabS!$G$7,E35*$F$79,IF(E$105&lt;=TabS!$G$8,E35*$F$80,IF(E$105&lt;=TabS!$G$9,E35*$F$81,IF(E$105&lt;=TabS!$G$10,E35*$F$82)))))))</f>
        <v>0</v>
      </c>
      <c r="F131" s="151">
        <f>IF(F$167&gt;$C$168,F183,IF(F$105&lt;=TabS!$G$5,F35*$F$77,IF(F$105&lt;=TabS!$G$6,F35*$F$78,IF(F$105&lt;=TabS!$G$7,F35*$F$79,IF(F$105&lt;=TabS!$G$8,F35*$F$80,IF(F$105&lt;=TabS!$G$9,F35*$F$81,IF(F$105&lt;=TabS!$G$10,F35*$F$82)))))))</f>
        <v>0</v>
      </c>
      <c r="G131" s="151">
        <f>IF(G$167&gt;$C$168,G183,IF(G$105&lt;=TabS!$G$5,G35*$F$77,IF(G$105&lt;=TabS!$G$6,G35*$F$78,IF(G$105&lt;=TabS!$G$7,G35*$F$79,IF(G$105&lt;=TabS!$G$8,G35*$F$80,IF(G$105&lt;=TabS!$G$9,G35*$F$81,IF(G$105&lt;=TabS!$G$10,G35*$F$82)))))))</f>
        <v>0</v>
      </c>
      <c r="H131" s="151">
        <f>IF(H$167&gt;$C$168,H183,IF(H$105&lt;=TabS!$G$5,H35*$F$77,IF(H$105&lt;=TabS!$G$6,H35*$F$78,IF(H$105&lt;=TabS!$G$7,H35*$F$79,IF(H$105&lt;=TabS!$G$8,H35*$F$80,IF(H$105&lt;=TabS!$G$9,H35*$F$81,IF(H$105&lt;=TabS!$G$10,H35*$F$82)))))))</f>
        <v>0</v>
      </c>
      <c r="I131" s="151">
        <f>IF(I$167&gt;$C$168,I183,IF(I$105&lt;=TabS!$G$5,I35*$F$77,IF(I$105&lt;=TabS!$G$6,I35*$F$78,IF(I$105&lt;=TabS!$G$7,I35*$F$79,IF(I$105&lt;=TabS!$G$8,I35*$F$80,IF(I$105&lt;=TabS!$G$9,I35*$F$81,IF(I$105&lt;=TabS!$G$10,I35*$F$82)))))))</f>
        <v>0</v>
      </c>
      <c r="J131" s="151">
        <f>IF(J$167&gt;$C$168,J183,IF(J$105&lt;=TabS!$G$5,J35*$F$77,IF(J$105&lt;=TabS!$G$6,J35*$F$78,IF(J$105&lt;=TabS!$G$7,J35*$F$79,IF(J$105&lt;=TabS!$G$8,J35*$F$80,IF(J$105&lt;=TabS!$G$9,J35*$F$81,IF(J$105&lt;=TabS!$G$10,J35*$F$82)))))))</f>
        <v>0</v>
      </c>
      <c r="K131" s="151">
        <f>IF(K$167&gt;$C$168,K183,IF(K$105&lt;=TabS!$G$5,K35*$F$77,IF(K$105&lt;=TabS!$G$6,K35*$F$78,IF(K$105&lt;=TabS!$G$7,K35*$F$79,IF(K$105&lt;=TabS!$G$8,K35*$F$80,IF(K$105&lt;=TabS!$G$9,K35*$F$81,IF(K$105&lt;=TabS!$G$10,K35*$F$82)))))))</f>
        <v>0</v>
      </c>
      <c r="L131" s="151">
        <f>IF(L$167&gt;$C$168,L183,IF(L$105&lt;=TabS!$G$5,L35*$F$77,IF(L$105&lt;=TabS!$G$6,L35*$F$78,IF(L$105&lt;=TabS!$G$7,L35*$F$79,IF(L$105&lt;=TabS!$G$8,L35*$F$80,IF(L$105&lt;=TabS!$G$9,L35*$F$81,IF(L$105&lt;=TabS!$G$10,L35*$F$82)))))))</f>
        <v>0</v>
      </c>
      <c r="M131" s="151">
        <f>IF(M$167&gt;$C$168,M183,IF(M$105&lt;=TabS!$G$5,M35*$F$77,IF(M$105&lt;=TabS!$G$6,M35*$F$78,IF(M$105&lt;=TabS!$G$7,M35*$F$79,IF(M$105&lt;=TabS!$G$8,M35*$F$80,IF(M$105&lt;=TabS!$G$9,M35*$F$81,IF(M$105&lt;=TabS!$G$10,M35*$F$82)))))))</f>
        <v>0</v>
      </c>
      <c r="N131" s="151">
        <f>IF(N$167&gt;$C$168,N183,IF(N$105&lt;=TabS!$G$5,N35*$F$77,IF(N$105&lt;=TabS!$G$6,N35*$F$78,IF(N$105&lt;=TabS!$G$7,N35*$F$79,IF(N$105&lt;=TabS!$G$8,N35*$F$80,IF(N$105&lt;=TabS!$G$9,N35*$F$81,IF(N$105&lt;=TabS!$G$10,N35*$F$82)))))))</f>
        <v>0</v>
      </c>
      <c r="O131" s="152">
        <f t="shared" si="52"/>
        <v>0</v>
      </c>
    </row>
    <row r="132" spans="2:15" ht="20.100000000000001" customHeight="1" x14ac:dyDescent="0.25">
      <c r="B132" s="167" t="s">
        <v>42</v>
      </c>
      <c r="C132" s="151">
        <f>IF(C$167&gt;$C$168,C184,IF(C$105&lt;=TabS!$G$5,C35*$G$77,IF(C$105&lt;=TabS!$G$6,C35*$G$78,IF(C$105&lt;=TabS!$G$7,C35*$G$79,IF(C$105&lt;=TabS!$G$8,C35*$G$80,IF(C$105&lt;=TabS!$G$9,C35*$G$81,IF(C$105&lt;=TabS!$G$10,C35*$G$82)))))))</f>
        <v>0</v>
      </c>
      <c r="D132" s="151">
        <f>IF(D$167&gt;$C$168,D184,IF(D$105&lt;=TabS!$G$5,D35*$G$77,IF(D$105&lt;=TabS!$G$6,D35*$G$78,IF(D$105&lt;=TabS!$G$7,D35*$G$79,IF(D$105&lt;=TabS!$G$8,D35*$G$80,IF(D$105&lt;=TabS!$G$9,D35*$G$81,IF(D$105&lt;=TabS!$G$10,D35*$G$82)))))))</f>
        <v>0</v>
      </c>
      <c r="E132" s="151">
        <f>IF(E$167&gt;$C$168,E184,IF(E$105&lt;=TabS!$G$5,E35*$G$77,IF(E$105&lt;=TabS!$G$6,E35*$G$78,IF(E$105&lt;=TabS!$G$7,E35*$G$79,IF(E$105&lt;=TabS!$G$8,E35*$G$80,IF(E$105&lt;=TabS!$G$9,E35*$G$81,IF(E$105&lt;=TabS!$G$10,E35*$G$82)))))))</f>
        <v>0</v>
      </c>
      <c r="F132" s="151">
        <f>IF(F$167&gt;$C$168,F184,IF(F$105&lt;=TabS!$G$5,F35*$G$77,IF(F$105&lt;=TabS!$G$6,F35*$G$78,IF(F$105&lt;=TabS!$G$7,F35*$G$79,IF(F$105&lt;=TabS!$G$8,F35*$G$80,IF(F$105&lt;=TabS!$G$9,F35*$G$81,IF(F$105&lt;=TabS!$G$10,F35*$G$82)))))))</f>
        <v>0</v>
      </c>
      <c r="G132" s="151">
        <f>IF(G$167&gt;$C$168,G184,IF(G$105&lt;=TabS!$G$5,G35*$G$77,IF(G$105&lt;=TabS!$G$6,G35*$G$78,IF(G$105&lt;=TabS!$G$7,G35*$G$79,IF(G$105&lt;=TabS!$G$8,G35*$G$80,IF(G$105&lt;=TabS!$G$9,G35*$G$81,IF(G$105&lt;=TabS!$G$10,G35*$G$82)))))))</f>
        <v>0</v>
      </c>
      <c r="H132" s="151">
        <f>IF(H$167&gt;$C$168,H184,IF(H$105&lt;=TabS!$G$5,H35*$G$77,IF(H$105&lt;=TabS!$G$6,H35*$G$78,IF(H$105&lt;=TabS!$G$7,H35*$G$79,IF(H$105&lt;=TabS!$G$8,H35*$G$80,IF(H$105&lt;=TabS!$G$9,H35*$G$81,IF(H$105&lt;=TabS!$G$10,H35*$G$82)))))))</f>
        <v>0</v>
      </c>
      <c r="I132" s="151">
        <f>IF(I$167&gt;$C$168,I184,IF(I$105&lt;=TabS!$G$5,I35*$G$77,IF(I$105&lt;=TabS!$G$6,I35*$G$78,IF(I$105&lt;=TabS!$G$7,I35*$G$79,IF(I$105&lt;=TabS!$G$8,I35*$G$80,IF(I$105&lt;=TabS!$G$9,I35*$G$81,IF(I$105&lt;=TabS!$G$10,I35*$G$82)))))))</f>
        <v>0</v>
      </c>
      <c r="J132" s="151">
        <f>IF(J$167&gt;$C$168,J184,IF(J$105&lt;=TabS!$G$5,J35*$G$77,IF(J$105&lt;=TabS!$G$6,J35*$G$78,IF(J$105&lt;=TabS!$G$7,J35*$G$79,IF(J$105&lt;=TabS!$G$8,J35*$G$80,IF(J$105&lt;=TabS!$G$9,J35*$G$81,IF(J$105&lt;=TabS!$G$10,J35*$G$82)))))))</f>
        <v>0</v>
      </c>
      <c r="K132" s="151">
        <f>IF(K$167&gt;$C$168,K184,IF(K$105&lt;=TabS!$G$5,K35*$G$77,IF(K$105&lt;=TabS!$G$6,K35*$G$78,IF(K$105&lt;=TabS!$G$7,K35*$G$79,IF(K$105&lt;=TabS!$G$8,K35*$G$80,IF(K$105&lt;=TabS!$G$9,K35*$G$81,IF(K$105&lt;=TabS!$G$10,K35*$G$82)))))))</f>
        <v>0</v>
      </c>
      <c r="L132" s="151">
        <f>IF(L$167&gt;$C$168,L184,IF(L$105&lt;=TabS!$G$5,L35*$G$77,IF(L$105&lt;=TabS!$G$6,L35*$G$78,IF(L$105&lt;=TabS!$G$7,L35*$G$79,IF(L$105&lt;=TabS!$G$8,L35*$G$80,IF(L$105&lt;=TabS!$G$9,L35*$G$81,IF(L$105&lt;=TabS!$G$10,L35*$G$82)))))))</f>
        <v>0</v>
      </c>
      <c r="M132" s="151">
        <f>IF(M$167&gt;$C$168,M184,IF(M$105&lt;=TabS!$G$5,M35*$G$77,IF(M$105&lt;=TabS!$G$6,M35*$G$78,IF(M$105&lt;=TabS!$G$7,M35*$G$79,IF(M$105&lt;=TabS!$G$8,M35*$G$80,IF(M$105&lt;=TabS!$G$9,M35*$G$81,IF(M$105&lt;=TabS!$G$10,M35*$G$82)))))))</f>
        <v>0</v>
      </c>
      <c r="N132" s="151">
        <f>IF(N$167&gt;$C$168,N184,IF(N$105&lt;=TabS!$G$5,N35*$G$77,IF(N$105&lt;=TabS!$G$6,N35*$G$78,IF(N$105&lt;=TabS!$G$7,N35*$G$79,IF(N$105&lt;=TabS!$G$8,N35*$G$80,IF(N$105&lt;=TabS!$G$9,N35*$G$81,IF(N$105&lt;=TabS!$G$10,N35*$G$82)))))))</f>
        <v>0</v>
      </c>
      <c r="O132" s="152">
        <f t="shared" si="52"/>
        <v>0</v>
      </c>
    </row>
    <row r="133" spans="2:15" ht="20.100000000000001" customHeight="1" x14ac:dyDescent="0.25">
      <c r="B133" s="167" t="s">
        <v>40</v>
      </c>
      <c r="C133" s="151">
        <f>IF(C$167&gt;$C$168,C185,IF(C$105&lt;=TabS!$G$5,C35*$H$77,IF(C$105&lt;=TabS!$G$6,C35*$H$78,IF(C$105&lt;=TabS!$G$7,C35*$H$79,IF(C$105&lt;=TabS!$G$8,C35*$H$80,IF(C$105&lt;=TabS!$G$9,C35*$H$81,IF(C$105&lt;=TabS!$G$10,C35*$H$82)))))))</f>
        <v>0</v>
      </c>
      <c r="D133" s="151">
        <f>IF(D$167&gt;$C$168,D185,IF(D$105&lt;=TabS!$G$5,D35*$H$77,IF(D$105&lt;=TabS!$G$6,D35*$H$78,IF(D$105&lt;=TabS!$G$7,D35*$H$79,IF(D$105&lt;=TabS!$G$8,D35*$H$80,IF(D$105&lt;=TabS!$G$9,D35*$H$81,IF(D$105&lt;=TabS!$G$10,D35*$H$82)))))))</f>
        <v>0</v>
      </c>
      <c r="E133" s="151">
        <f>IF(E$167&gt;$C$168,E185,IF(E$105&lt;=TabS!$G$5,E35*$H$77,IF(E$105&lt;=TabS!$G$6,E35*$H$78,IF(E$105&lt;=TabS!$G$7,E35*$H$79,IF(E$105&lt;=TabS!$G$8,E35*$H$80,IF(E$105&lt;=TabS!$G$9,E35*$H$81,IF(E$105&lt;=TabS!$G$10,E35*$H$82)))))))</f>
        <v>0</v>
      </c>
      <c r="F133" s="151">
        <f>IF(F$167&gt;$C$168,F185,IF(F$105&lt;=TabS!$G$5,F35*$H$77,IF(F$105&lt;=TabS!$G$6,F35*$H$78,IF(F$105&lt;=TabS!$G$7,F35*$H$79,IF(F$105&lt;=TabS!$G$8,F35*$H$80,IF(F$105&lt;=TabS!$G$9,F35*$H$81,IF(F$105&lt;=TabS!$G$10,F35*$H$82)))))))</f>
        <v>0</v>
      </c>
      <c r="G133" s="151">
        <f>IF(G$167&gt;$C$168,G185,IF(G$105&lt;=TabS!$G$5,G35*$H$77,IF(G$105&lt;=TabS!$G$6,G35*$H$78,IF(G$105&lt;=TabS!$G$7,G35*$H$79,IF(G$105&lt;=TabS!$G$8,G35*$H$80,IF(G$105&lt;=TabS!$G$9,G35*$H$81,IF(G$105&lt;=TabS!$G$10,G35*$H$82)))))))</f>
        <v>0</v>
      </c>
      <c r="H133" s="151">
        <f>IF(H$167&gt;$C$168,H185,IF(H$105&lt;=TabS!$G$5,H35*$H$77,IF(H$105&lt;=TabS!$G$6,H35*$H$78,IF(H$105&lt;=TabS!$G$7,H35*$H$79,IF(H$105&lt;=TabS!$G$8,H35*$H$80,IF(H$105&lt;=TabS!$G$9,H35*$H$81,IF(H$105&lt;=TabS!$G$10,H35*$H$82)))))))</f>
        <v>0</v>
      </c>
      <c r="I133" s="151">
        <f>IF(I$167&gt;$C$168,I185,IF(I$105&lt;=TabS!$G$5,I35*$H$77,IF(I$105&lt;=TabS!$G$6,I35*$H$78,IF(I$105&lt;=TabS!$G$7,I35*$H$79,IF(I$105&lt;=TabS!$G$8,I35*$H$80,IF(I$105&lt;=TabS!$G$9,I35*$H$81,IF(I$105&lt;=TabS!$G$10,I35*$H$82)))))))</f>
        <v>0</v>
      </c>
      <c r="J133" s="151">
        <f>IF(J$167&gt;$C$168,J185,IF(J$105&lt;=TabS!$G$5,J35*$H$77,IF(J$105&lt;=TabS!$G$6,J35*$H$78,IF(J$105&lt;=TabS!$G$7,J35*$H$79,IF(J$105&lt;=TabS!$G$8,J35*$H$80,IF(J$105&lt;=TabS!$G$9,J35*$H$81,IF(J$105&lt;=TabS!$G$10,J35*$H$82)))))))</f>
        <v>0</v>
      </c>
      <c r="K133" s="151">
        <f>IF(K$167&gt;$C$168,K185,IF(K$105&lt;=TabS!$G$5,K35*$H$77,IF(K$105&lt;=TabS!$G$6,K35*$H$78,IF(K$105&lt;=TabS!$G$7,K35*$H$79,IF(K$105&lt;=TabS!$G$8,K35*$H$80,IF(K$105&lt;=TabS!$G$9,K35*$H$81,IF(K$105&lt;=TabS!$G$10,K35*$H$82)))))))</f>
        <v>0</v>
      </c>
      <c r="L133" s="151">
        <f>IF(L$167&gt;$C$168,L185,IF(L$105&lt;=TabS!$G$5,L35*$H$77,IF(L$105&lt;=TabS!$G$6,L35*$H$78,IF(L$105&lt;=TabS!$G$7,L35*$H$79,IF(L$105&lt;=TabS!$G$8,L35*$H$80,IF(L$105&lt;=TabS!$G$9,L35*$H$81,IF(L$105&lt;=TabS!$G$10,L35*$H$82)))))))</f>
        <v>0</v>
      </c>
      <c r="M133" s="151">
        <f>IF(M$167&gt;$C$168,M185,IF(M$105&lt;=TabS!$G$5,M35*$H$77,IF(M$105&lt;=TabS!$G$6,M35*$H$78,IF(M$105&lt;=TabS!$G$7,M35*$H$79,IF(M$105&lt;=TabS!$G$8,M35*$H$80,IF(M$105&lt;=TabS!$G$9,M35*$H$81,IF(M$105&lt;=TabS!$G$10,M35*$H$82)))))))</f>
        <v>0</v>
      </c>
      <c r="N133" s="151">
        <f>IF(N$167&gt;$C$168,N185,IF(N$105&lt;=TabS!$G$5,N35*$H$77,IF(N$105&lt;=TabS!$G$6,N35*$H$78,IF(N$105&lt;=TabS!$G$7,N35*$H$79,IF(N$105&lt;=TabS!$G$8,N35*$H$80,IF(N$105&lt;=TabS!$G$9,N35*$H$81,IF(N$105&lt;=TabS!$G$10,N35*$H$82)))))))</f>
        <v>0</v>
      </c>
      <c r="O133" s="152">
        <f t="shared" si="52"/>
        <v>0</v>
      </c>
    </row>
    <row r="134" spans="2:15" ht="20.100000000000001" customHeight="1" x14ac:dyDescent="0.25">
      <c r="B134" s="168" t="s">
        <v>99</v>
      </c>
      <c r="C134" s="152">
        <f t="shared" ref="C134:N134" si="53">SUM(C128:C133)</f>
        <v>0</v>
      </c>
      <c r="D134" s="152">
        <f t="shared" si="53"/>
        <v>0</v>
      </c>
      <c r="E134" s="152">
        <f t="shared" si="53"/>
        <v>0</v>
      </c>
      <c r="F134" s="152">
        <f t="shared" si="53"/>
        <v>0</v>
      </c>
      <c r="G134" s="152">
        <f t="shared" si="53"/>
        <v>0</v>
      </c>
      <c r="H134" s="152">
        <f t="shared" si="53"/>
        <v>0</v>
      </c>
      <c r="I134" s="152">
        <f t="shared" si="53"/>
        <v>0</v>
      </c>
      <c r="J134" s="152">
        <f t="shared" si="53"/>
        <v>0</v>
      </c>
      <c r="K134" s="152">
        <f t="shared" si="53"/>
        <v>0</v>
      </c>
      <c r="L134" s="152">
        <f t="shared" si="53"/>
        <v>0</v>
      </c>
      <c r="M134" s="152">
        <f t="shared" si="53"/>
        <v>0</v>
      </c>
      <c r="N134" s="152">
        <f t="shared" si="53"/>
        <v>0</v>
      </c>
      <c r="O134" s="152">
        <f t="shared" si="52"/>
        <v>0</v>
      </c>
    </row>
    <row r="135" spans="2:15" ht="20.100000000000001" customHeight="1" x14ac:dyDescent="0.25">
      <c r="B135" s="164" t="s">
        <v>76</v>
      </c>
    </row>
    <row r="136" spans="2:15" ht="20.100000000000001" customHeight="1" x14ac:dyDescent="0.25">
      <c r="B136" s="149" t="s">
        <v>82</v>
      </c>
      <c r="C136" s="149" t="s">
        <v>83</v>
      </c>
      <c r="D136" s="149" t="s">
        <v>84</v>
      </c>
      <c r="E136" s="149" t="s">
        <v>85</v>
      </c>
      <c r="F136" s="149" t="s">
        <v>86</v>
      </c>
      <c r="G136" s="149" t="s">
        <v>87</v>
      </c>
      <c r="H136" s="149" t="s">
        <v>88</v>
      </c>
      <c r="I136" s="149" t="s">
        <v>89</v>
      </c>
      <c r="J136" s="149" t="s">
        <v>90</v>
      </c>
      <c r="K136" s="149" t="s">
        <v>91</v>
      </c>
      <c r="L136" s="149" t="s">
        <v>92</v>
      </c>
      <c r="M136" s="149" t="s">
        <v>93</v>
      </c>
      <c r="N136" s="149" t="s">
        <v>94</v>
      </c>
      <c r="O136" s="149" t="s">
        <v>95</v>
      </c>
    </row>
    <row r="137" spans="2:15" ht="20.100000000000001" customHeight="1" x14ac:dyDescent="0.25">
      <c r="B137" s="167" t="s">
        <v>97</v>
      </c>
      <c r="C137" s="151">
        <f>IF(C$190&gt;$C$191,C203,IF(C$105&lt;=TabS!$G$5,C42*$C$87,IF(C$105&lt;=TabS!$G$6,C42*$C$88,IF(C$105&lt;=TabS!$G$7,C42*$C$89,IF(C$105&lt;=TabS!$G$8,C42*$C$90,IF(C$105&lt;=TabS!$G$9,C42*$C$91,IF(C$105&lt;=TabS!$G$10,C42*$C$92)))))))</f>
        <v>0</v>
      </c>
      <c r="D137" s="151">
        <f>IF(D$190&gt;$C$191,D203,IF(D$105&lt;=TabS!$G$5,D42*$C$87,IF(D$105&lt;=TabS!$G$6,D42*$C$88,IF(D$105&lt;=TabS!$G$7,D42*$C$89,IF(D$105&lt;=TabS!$G$8,D42*$C$90,IF(D$105&lt;=TabS!$G$9,D42*$C$91,IF(D$105&lt;=TabS!$G$10,D42*$C$92)))))))</f>
        <v>0</v>
      </c>
      <c r="E137" s="151">
        <f>IF(E$190&gt;$C$191,E203,IF(E$105&lt;=TabS!$G$5,E42*$C$87,IF(E$105&lt;=TabS!$G$6,E42*$C$88,IF(E$105&lt;=TabS!$G$7,E42*$C$89,IF(E$105&lt;=TabS!$G$8,E42*$C$90,IF(E$105&lt;=TabS!$G$9,E42*$C$91,IF(E$105&lt;=TabS!$G$10,E42*$C$92)))))))</f>
        <v>0</v>
      </c>
      <c r="F137" s="151">
        <f>IF(F$190&gt;$C$191,F203,IF(F$105&lt;=TabS!$G$5,F42*$C$87,IF(F$105&lt;=TabS!$G$6,F42*$C$88,IF(F$105&lt;=TabS!$G$7,F42*$C$89,IF(F$105&lt;=TabS!$G$8,F42*$C$90,IF(F$105&lt;=TabS!$G$9,F42*$C$91,IF(F$105&lt;=TabS!$G$10,F42*$C$92)))))))</f>
        <v>0</v>
      </c>
      <c r="G137" s="151">
        <f>IF(G$190&gt;$C$191,G203,IF(G$105&lt;=TabS!$G$5,G42*$C$87,IF(G$105&lt;=TabS!$G$6,G42*$C$88,IF(G$105&lt;=TabS!$G$7,G42*$C$89,IF(G$105&lt;=TabS!$G$8,G42*$C$90,IF(G$105&lt;=TabS!$G$9,G42*$C$91,IF(G$105&lt;=TabS!$G$10,G42*$C$92)))))))</f>
        <v>0</v>
      </c>
      <c r="H137" s="151">
        <f>IF(H$190&gt;$C$191,H203,IF(H$105&lt;=TabS!$G$5,H42*$C$87,IF(H$105&lt;=TabS!$G$6,H42*$C$88,IF(H$105&lt;=TabS!$G$7,H42*$C$89,IF(H$105&lt;=TabS!$G$8,H42*$C$90,IF(H$105&lt;=TabS!$G$9,H42*$C$91,IF(H$105&lt;=TabS!$G$10,H42*$C$92)))))))</f>
        <v>0</v>
      </c>
      <c r="I137" s="151">
        <f>IF(I$190&gt;$C$191,I203,IF(I$105&lt;=TabS!$G$5,I42*$C$87,IF(I$105&lt;=TabS!$G$6,I42*$C$88,IF(I$105&lt;=TabS!$G$7,I42*$C$89,IF(I$105&lt;=TabS!$G$8,I42*$C$90,IF(I$105&lt;=TabS!$G$9,I42*$C$91,IF(I$105&lt;=TabS!$G$10,I42*$C$92)))))))</f>
        <v>0</v>
      </c>
      <c r="J137" s="151">
        <f>IF(J$190&gt;$C$191,J203,IF(J$105&lt;=TabS!$G$5,J42*$C$87,IF(J$105&lt;=TabS!$G$6,J42*$C$88,IF(J$105&lt;=TabS!$G$7,J42*$C$89,IF(J$105&lt;=TabS!$G$8,J42*$C$90,IF(J$105&lt;=TabS!$G$9,J42*$C$91,IF(J$105&lt;=TabS!$G$10,J42*$C$92)))))))</f>
        <v>0</v>
      </c>
      <c r="K137" s="151">
        <f>IF(K$190&gt;$C$191,K203,IF(K$105&lt;=TabS!$G$5,K42*$C$87,IF(K$105&lt;=TabS!$G$6,K42*$C$88,IF(K$105&lt;=TabS!$G$7,K42*$C$89,IF(K$105&lt;=TabS!$G$8,K42*$C$90,IF(K$105&lt;=TabS!$G$9,K42*$C$91,IF(K$105&lt;=TabS!$G$10,K42*$C$92)))))))</f>
        <v>0</v>
      </c>
      <c r="L137" s="151">
        <f>IF(L$190&gt;$C$191,L203,IF(L$105&lt;=TabS!$G$5,L42*$C$87,IF(L$105&lt;=TabS!$G$6,L42*$C$88,IF(L$105&lt;=TabS!$G$7,L42*$C$89,IF(L$105&lt;=TabS!$G$8,L42*$C$90,IF(L$105&lt;=TabS!$G$9,L42*$C$91,IF(L$105&lt;=TabS!$G$10,L42*$C$92)))))))</f>
        <v>0</v>
      </c>
      <c r="M137" s="151">
        <f>IF(M$190&gt;$C$191,M203,IF(M$105&lt;=TabS!$G$5,M42*$C$87,IF(M$105&lt;=TabS!$G$6,M42*$C$88,IF(M$105&lt;=TabS!$G$7,M42*$C$89,IF(M$105&lt;=TabS!$G$8,M42*$C$90,IF(M$105&lt;=TabS!$G$9,M42*$C$91,IF(M$105&lt;=TabS!$G$10,M42*$C$92)))))))</f>
        <v>0</v>
      </c>
      <c r="N137" s="151">
        <f>IF(N$190&gt;$C$191,N203,IF(N$105&lt;=TabS!$G$5,N42*$C$87,IF(N$105&lt;=TabS!$G$6,N42*$C$88,IF(N$105&lt;=TabS!$G$7,N42*$C$89,IF(N$105&lt;=TabS!$G$8,N42*$C$90,IF(N$105&lt;=TabS!$G$9,N42*$C$91,IF(N$105&lt;=TabS!$G$10,N42*$C$92)))))))</f>
        <v>0</v>
      </c>
      <c r="O137" s="152">
        <f t="shared" ref="O137:O143" si="54">SUM(C137:N137)</f>
        <v>0</v>
      </c>
    </row>
    <row r="138" spans="2:15" ht="20.100000000000001" customHeight="1" x14ac:dyDescent="0.25">
      <c r="B138" s="167" t="s">
        <v>98</v>
      </c>
      <c r="C138" s="151">
        <f>IF(C$190&gt;$C$191,C204,IF(C$105&lt;=TabS!$G$5,C42*$D$87,IF(C$105&lt;=TabS!$G$6,C42*$D$88,IF(C$105&lt;=TabS!$G$7,C42*$D$89,IF(C$105&lt;=TabS!$G$8,C42*$D$90,IF(C$105&lt;=TabS!$G$9,C42*$D$91,IF(C$105&lt;=TabS!$G$10,C42*$D$92)))))))</f>
        <v>0</v>
      </c>
      <c r="D138" s="151">
        <f>IF(D$190&gt;$C$191,D204,IF(D$105&lt;=TabS!$G$5,D42*$D$87,IF(D$105&lt;=TabS!$G$6,D42*$D$88,IF(D$105&lt;=TabS!$G$7,D42*$D$89,IF(D$105&lt;=TabS!$G$8,D42*$D$90,IF(D$105&lt;=TabS!$G$9,D42*$D$91,IF(D$105&lt;=TabS!$G$10,D42*$D$92)))))))</f>
        <v>0</v>
      </c>
      <c r="E138" s="151">
        <f>IF(E$190&gt;$C$191,E204,IF(E$105&lt;=TabS!$G$5,E42*$D$87,IF(E$105&lt;=TabS!$G$6,E42*$D$88,IF(E$105&lt;=TabS!$G$7,E42*$D$89,IF(E$105&lt;=TabS!$G$8,E42*$D$90,IF(E$105&lt;=TabS!$G$9,E42*$D$91,IF(E$105&lt;=TabS!$G$10,E42*$D$92)))))))</f>
        <v>0</v>
      </c>
      <c r="F138" s="151">
        <f>IF(F$190&gt;$C$191,F204,IF(F$105&lt;=TabS!$G$5,F42*$D$87,IF(F$105&lt;=TabS!$G$6,F42*$D$88,IF(F$105&lt;=TabS!$G$7,F42*$D$89,IF(F$105&lt;=TabS!$G$8,F42*$D$90,IF(F$105&lt;=TabS!$G$9,F42*$D$91,IF(F$105&lt;=TabS!$G$10,F42*$D$92)))))))</f>
        <v>0</v>
      </c>
      <c r="G138" s="151">
        <f>IF(G$190&gt;$C$191,G204,IF(G$105&lt;=TabS!$G$5,G42*$D$87,IF(G$105&lt;=TabS!$G$6,G42*$D$88,IF(G$105&lt;=TabS!$G$7,G42*$D$89,IF(G$105&lt;=TabS!$G$8,G42*$D$90,IF(G$105&lt;=TabS!$G$9,G42*$D$91,IF(G$105&lt;=TabS!$G$10,G42*$D$92)))))))</f>
        <v>0</v>
      </c>
      <c r="H138" s="151">
        <f>IF(H$190&gt;$C$191,H204,IF(H$105&lt;=TabS!$G$5,H42*$D$87,IF(H$105&lt;=TabS!$G$6,H42*$D$88,IF(H$105&lt;=TabS!$G$7,H42*$D$89,IF(H$105&lt;=TabS!$G$8,H42*$D$90,IF(H$105&lt;=TabS!$G$9,H42*$D$91,IF(H$105&lt;=TabS!$G$10,H42*$D$92)))))))</f>
        <v>0</v>
      </c>
      <c r="I138" s="151">
        <f>IF(I$190&gt;$C$191,I204,IF(I$105&lt;=TabS!$G$5,I42*$D$87,IF(I$105&lt;=TabS!$G$6,I42*$D$88,IF(I$105&lt;=TabS!$G$7,I42*$D$89,IF(I$105&lt;=TabS!$G$8,I42*$D$90,IF(I$105&lt;=TabS!$G$9,I42*$D$91,IF(I$105&lt;=TabS!$G$10,I42*$D$92)))))))</f>
        <v>0</v>
      </c>
      <c r="J138" s="151">
        <f>IF(J$190&gt;$C$191,J204,IF(J$105&lt;=TabS!$G$5,J42*$D$87,IF(J$105&lt;=TabS!$G$6,J42*$D$88,IF(J$105&lt;=TabS!$G$7,J42*$D$89,IF(J$105&lt;=TabS!$G$8,J42*$D$90,IF(J$105&lt;=TabS!$G$9,J42*$D$91,IF(J$105&lt;=TabS!$G$10,J42*$D$92)))))))</f>
        <v>0</v>
      </c>
      <c r="K138" s="151">
        <f>IF(K$190&gt;$C$191,K204,IF(K$105&lt;=TabS!$G$5,K42*$D$87,IF(K$105&lt;=TabS!$G$6,K42*$D$88,IF(K$105&lt;=TabS!$G$7,K42*$D$89,IF(K$105&lt;=TabS!$G$8,K42*$D$90,IF(K$105&lt;=TabS!$G$9,K42*$D$91,IF(K$105&lt;=TabS!$G$10,K42*$D$92)))))))</f>
        <v>0</v>
      </c>
      <c r="L138" s="151">
        <f>IF(L$190&gt;$C$191,L204,IF(L$105&lt;=TabS!$G$5,L42*$D$87,IF(L$105&lt;=TabS!$G$6,L42*$D$88,IF(L$105&lt;=TabS!$G$7,L42*$D$89,IF(L$105&lt;=TabS!$G$8,L42*$D$90,IF(L$105&lt;=TabS!$G$9,L42*$D$91,IF(L$105&lt;=TabS!$G$10,L42*$D$92)))))))</f>
        <v>0</v>
      </c>
      <c r="M138" s="151">
        <f>IF(M$190&gt;$C$191,M204,IF(M$105&lt;=TabS!$G$5,M42*$D$87,IF(M$105&lt;=TabS!$G$6,M42*$D$88,IF(M$105&lt;=TabS!$G$7,M42*$D$89,IF(M$105&lt;=TabS!$G$8,M42*$D$90,IF(M$105&lt;=TabS!$G$9,M42*$D$91,IF(M$105&lt;=TabS!$G$10,M42*$D$92)))))))</f>
        <v>0</v>
      </c>
      <c r="N138" s="151">
        <f>IF(N$190&gt;$C$191,N204,IF(N$105&lt;=TabS!$G$5,N42*$D$87,IF(N$105&lt;=TabS!$G$6,N42*$D$88,IF(N$105&lt;=TabS!$G$7,N42*$D$89,IF(N$105&lt;=TabS!$G$8,N42*$D$90,IF(N$105&lt;=TabS!$G$9,N42*$D$91,IF(N$105&lt;=TabS!$G$10,N42*$D$92)))))))</f>
        <v>0</v>
      </c>
      <c r="O138" s="152">
        <f t="shared" si="54"/>
        <v>0</v>
      </c>
    </row>
    <row r="139" spans="2:15" ht="20.100000000000001" customHeight="1" x14ac:dyDescent="0.25">
      <c r="B139" s="167" t="s">
        <v>39</v>
      </c>
      <c r="C139" s="151">
        <f>IF(C$190&gt;$C$191,C205,IF(C$105&lt;=TabS!$G$5,C42*$E$87,IF(C$105&lt;=TabS!$G$6,C42*$E$88,IF(C$105&lt;=TabS!$G$7,C42*$E$89,IF(C$105&lt;=TabS!$G$8,C42*$E$90,IF(C$105&lt;=TabS!$G$9,C42*$E$91,IF(C$105&lt;=TabS!$G$10,C42*$E$92)))))))</f>
        <v>0</v>
      </c>
      <c r="D139" s="151">
        <f>IF(D$190&gt;$C$191,D205,IF(D$105&lt;=TabS!$G$5,D42*$E$87,IF(D$105&lt;=TabS!$G$6,D42*$E$88,IF(D$105&lt;=TabS!$G$7,D42*$E$89,IF(D$105&lt;=TabS!$G$8,D42*$E$90,IF(D$105&lt;=TabS!$G$9,D42*$E$91,IF(D$105&lt;=TabS!$G$10,D42*$E$92)))))))</f>
        <v>0</v>
      </c>
      <c r="E139" s="151">
        <f>IF(E$190&gt;$C$191,E205,IF(E$105&lt;=TabS!$G$5,E42*$E$87,IF(E$105&lt;=TabS!$G$6,E42*$E$88,IF(E$105&lt;=TabS!$G$7,E42*$E$89,IF(E$105&lt;=TabS!$G$8,E42*$E$90,IF(E$105&lt;=TabS!$G$9,E42*$E$91,IF(E$105&lt;=TabS!$G$10,E42*$E$92)))))))</f>
        <v>0</v>
      </c>
      <c r="F139" s="151">
        <f>IF(F$190&gt;$C$191,F205,IF(F$105&lt;=TabS!$G$5,F42*$E$87,IF(F$105&lt;=TabS!$G$6,F42*$E$88,IF(F$105&lt;=TabS!$G$7,F42*$E$89,IF(F$105&lt;=TabS!$G$8,F42*$E$90,IF(F$105&lt;=TabS!$G$9,F42*$E$91,IF(F$105&lt;=TabS!$G$10,F42*$E$92)))))))</f>
        <v>0</v>
      </c>
      <c r="G139" s="151">
        <f>IF(G$190&gt;$C$191,G205,IF(G$105&lt;=TabS!$G$5,G42*$E$87,IF(G$105&lt;=TabS!$G$6,G42*$E$88,IF(G$105&lt;=TabS!$G$7,G42*$E$89,IF(G$105&lt;=TabS!$G$8,G42*$E$90,IF(G$105&lt;=TabS!$G$9,G42*$E$91,IF(G$105&lt;=TabS!$G$10,G42*$E$92)))))))</f>
        <v>0</v>
      </c>
      <c r="H139" s="151">
        <f>IF(H$190&gt;$C$191,H205,IF(H$105&lt;=TabS!$G$5,H42*$E$87,IF(H$105&lt;=TabS!$G$6,H42*$E$88,IF(H$105&lt;=TabS!$G$7,H42*$E$89,IF(H$105&lt;=TabS!$G$8,H42*$E$90,IF(H$105&lt;=TabS!$G$9,H42*$E$91,IF(H$105&lt;=TabS!$G$10,H42*$E$92)))))))</f>
        <v>0</v>
      </c>
      <c r="I139" s="151">
        <f>IF(I$190&gt;$C$191,I205,IF(I$105&lt;=TabS!$G$5,I42*$E$87,IF(I$105&lt;=TabS!$G$6,I42*$E$88,IF(I$105&lt;=TabS!$G$7,I42*$E$89,IF(I$105&lt;=TabS!$G$8,I42*$E$90,IF(I$105&lt;=TabS!$G$9,I42*$E$91,IF(I$105&lt;=TabS!$G$10,I42*$E$92)))))))</f>
        <v>0</v>
      </c>
      <c r="J139" s="151">
        <f>IF(J$190&gt;$C$191,J205,IF(J$105&lt;=TabS!$G$5,J42*$E$87,IF(J$105&lt;=TabS!$G$6,J42*$E$88,IF(J$105&lt;=TabS!$G$7,J42*$E$89,IF(J$105&lt;=TabS!$G$8,J42*$E$90,IF(J$105&lt;=TabS!$G$9,J42*$E$91,IF(J$105&lt;=TabS!$G$10,J42*$E$92)))))))</f>
        <v>0</v>
      </c>
      <c r="K139" s="151">
        <f>IF(K$190&gt;$C$191,K205,IF(K$105&lt;=TabS!$G$5,K42*$E$87,IF(K$105&lt;=TabS!$G$6,K42*$E$88,IF(K$105&lt;=TabS!$G$7,K42*$E$89,IF(K$105&lt;=TabS!$G$8,K42*$E$90,IF(K$105&lt;=TabS!$G$9,K42*$E$91,IF(K$105&lt;=TabS!$G$10,K42*$E$92)))))))</f>
        <v>0</v>
      </c>
      <c r="L139" s="151">
        <f>IF(L$190&gt;$C$191,L205,IF(L$105&lt;=TabS!$G$5,L42*$E$87,IF(L$105&lt;=TabS!$G$6,L42*$E$88,IF(L$105&lt;=TabS!$G$7,L42*$E$89,IF(L$105&lt;=TabS!$G$8,L42*$E$90,IF(L$105&lt;=TabS!$G$9,L42*$E$91,IF(L$105&lt;=TabS!$G$10,L42*$E$92)))))))</f>
        <v>0</v>
      </c>
      <c r="M139" s="151">
        <f>IF(M$190&gt;$C$191,M205,IF(M$105&lt;=TabS!$G$5,M42*$E$87,IF(M$105&lt;=TabS!$G$6,M42*$E$88,IF(M$105&lt;=TabS!$G$7,M42*$E$89,IF(M$105&lt;=TabS!$G$8,M42*$E$90,IF(M$105&lt;=TabS!$G$9,M42*$E$91,IF(M$105&lt;=TabS!$G$10,M42*$E$92)))))))</f>
        <v>0</v>
      </c>
      <c r="N139" s="151">
        <f>IF(N$190&gt;$C$191,N205,IF(N$105&lt;=TabS!$G$5,N42*$E$87,IF(N$105&lt;=TabS!$G$6,N42*$E$88,IF(N$105&lt;=TabS!$G$7,N42*$E$89,IF(N$105&lt;=TabS!$G$8,N42*$E$90,IF(N$105&lt;=TabS!$G$9,N42*$E$91,IF(N$105&lt;=TabS!$G$10,N42*$E$92)))))))</f>
        <v>0</v>
      </c>
      <c r="O139" s="152">
        <f>SUM(C139:N139)</f>
        <v>0</v>
      </c>
    </row>
    <row r="140" spans="2:15" ht="20.100000000000001" customHeight="1" x14ac:dyDescent="0.25">
      <c r="B140" s="167" t="s">
        <v>129</v>
      </c>
      <c r="C140" s="151">
        <f>IF(C$190&gt;$C$191,C206,IF(C$105&lt;=TabS!$G$5,C42*$F$87,IF(C$105&lt;=TabS!$G$6,C42*$F$88,IF(C$105&lt;=TabS!$G$7,C42*$F$89,IF(C$105&lt;=TabS!$G$8,C42*$F$90,IF(C$105&lt;=TabS!$G$9,C42*$F$91,IF(C$105&lt;=TabS!$G$10,C42*$F$92)))))))</f>
        <v>0</v>
      </c>
      <c r="D140" s="151">
        <f>IF(D$190&gt;$C$191,D206,IF(D$105&lt;=TabS!$G$5,D42*$F$87,IF(D$105&lt;=TabS!$G$6,D42*$F$88,IF(D$105&lt;=TabS!$G$7,D42*$F$89,IF(D$105&lt;=TabS!$G$8,D42*$F$90,IF(D$105&lt;=TabS!$G$9,D42*$F$91,IF(D$105&lt;=TabS!$G$10,D42*$F$92)))))))</f>
        <v>0</v>
      </c>
      <c r="E140" s="151">
        <f>IF(E$190&gt;$C$191,E206,IF(E$105&lt;=TabS!$G$5,E42*$F$87,IF(E$105&lt;=TabS!$G$6,E42*$F$88,IF(E$105&lt;=TabS!$G$7,E42*$F$89,IF(E$105&lt;=TabS!$G$8,E42*$F$90,IF(E$105&lt;=TabS!$G$9,E42*$F$91,IF(E$105&lt;=TabS!$G$10,E42*$F$92)))))))</f>
        <v>0</v>
      </c>
      <c r="F140" s="151">
        <f>IF(F$190&gt;$C$191,F206,IF(F$105&lt;=TabS!$G$5,F42*$F$87,IF(F$105&lt;=TabS!$G$6,F42*$F$88,IF(F$105&lt;=TabS!$G$7,F42*$F$89,IF(F$105&lt;=TabS!$G$8,F42*$F$90,IF(F$105&lt;=TabS!$G$9,F42*$F$91,IF(F$105&lt;=TabS!$G$10,F42*$F$92)))))))</f>
        <v>0</v>
      </c>
      <c r="G140" s="151">
        <f>IF(G$190&gt;$C$191,G206,IF(G$105&lt;=TabS!$G$5,G42*$F$87,IF(G$105&lt;=TabS!$G$6,G42*$F$88,IF(G$105&lt;=TabS!$G$7,G42*$F$89,IF(G$105&lt;=TabS!$G$8,G42*$F$90,IF(G$105&lt;=TabS!$G$9,G42*$F$91,IF(G$105&lt;=TabS!$G$10,G42*$F$92)))))))</f>
        <v>0</v>
      </c>
      <c r="H140" s="151">
        <f>IF(H$190&gt;$C$191,H206,IF(H$105&lt;=TabS!$G$5,H42*$F$87,IF(H$105&lt;=TabS!$G$6,H42*$F$88,IF(H$105&lt;=TabS!$G$7,H42*$F$89,IF(H$105&lt;=TabS!$G$8,H42*$F$90,IF(H$105&lt;=TabS!$G$9,H42*$F$91,IF(H$105&lt;=TabS!$G$10,H42*$F$92)))))))</f>
        <v>0</v>
      </c>
      <c r="I140" s="151">
        <f>IF(I$190&gt;$C$191,I206,IF(I$105&lt;=TabS!$G$5,I42*$F$87,IF(I$105&lt;=TabS!$G$6,I42*$F$88,IF(I$105&lt;=TabS!$G$7,I42*$F$89,IF(I$105&lt;=TabS!$G$8,I42*$F$90,IF(I$105&lt;=TabS!$G$9,I42*$F$91,IF(I$105&lt;=TabS!$G$10,I42*$F$92)))))))</f>
        <v>0</v>
      </c>
      <c r="J140" s="151">
        <f>IF(J$190&gt;$C$191,J206,IF(J$105&lt;=TabS!$G$5,J42*$F$87,IF(J$105&lt;=TabS!$G$6,J42*$F$88,IF(J$105&lt;=TabS!$G$7,J42*$F$89,IF(J$105&lt;=TabS!$G$8,J42*$F$90,IF(J$105&lt;=TabS!$G$9,J42*$F$91,IF(J$105&lt;=TabS!$G$10,J42*$F$92)))))))</f>
        <v>0</v>
      </c>
      <c r="K140" s="151">
        <f>IF(K$190&gt;$C$191,K206,IF(K$105&lt;=TabS!$G$5,K42*$F$87,IF(K$105&lt;=TabS!$G$6,K42*$F$88,IF(K$105&lt;=TabS!$G$7,K42*$F$89,IF(K$105&lt;=TabS!$G$8,K42*$F$90,IF(K$105&lt;=TabS!$G$9,K42*$F$91,IF(K$105&lt;=TabS!$G$10,K42*$F$92)))))))</f>
        <v>0</v>
      </c>
      <c r="L140" s="151">
        <f>IF(L$190&gt;$C$191,L206,IF(L$105&lt;=TabS!$G$5,L42*$F$87,IF(L$105&lt;=TabS!$G$6,L42*$F$88,IF(L$105&lt;=TabS!$G$7,L42*$F$89,IF(L$105&lt;=TabS!$G$8,L42*$F$90,IF(L$105&lt;=TabS!$G$9,L42*$F$91,IF(L$105&lt;=TabS!$G$10,L42*$F$92)))))))</f>
        <v>0</v>
      </c>
      <c r="M140" s="151">
        <f>IF(M$190&gt;$C$191,M206,IF(M$105&lt;=TabS!$G$5,M42*$F$87,IF(M$105&lt;=TabS!$G$6,M42*$F$88,IF(M$105&lt;=TabS!$G$7,M42*$F$89,IF(M$105&lt;=TabS!$G$8,M42*$F$90,IF(M$105&lt;=TabS!$G$9,M42*$F$91,IF(M$105&lt;=TabS!$G$10,M42*$F$92)))))))</f>
        <v>0</v>
      </c>
      <c r="N140" s="151">
        <f>IF(N$190&gt;$C$191,N206,IF(N$105&lt;=TabS!$G$5,N42*$F$87,IF(N$105&lt;=TabS!$G$6,N42*$F$88,IF(N$105&lt;=TabS!$G$7,N42*$F$89,IF(N$105&lt;=TabS!$G$8,N42*$F$90,IF(N$105&lt;=TabS!$G$9,N42*$F$91,IF(N$105&lt;=TabS!$G$10,N42*$F$92)))))))</f>
        <v>0</v>
      </c>
      <c r="O140" s="152">
        <f t="shared" si="54"/>
        <v>0</v>
      </c>
    </row>
    <row r="141" spans="2:15" ht="20.100000000000001" customHeight="1" x14ac:dyDescent="0.25">
      <c r="B141" s="167" t="s">
        <v>42</v>
      </c>
      <c r="C141" s="151">
        <f>IF(C$190&gt;$C$191,C207,IF(C$105&lt;=TabS!$G$5,C42*$G$87,IF(C$105&lt;=TabS!$G$6,C42*$G$88,IF(C$105&lt;=TabS!$G$7,C42*$G$89,IF(C$105&lt;=TabS!$G$8,C42*$G$90,IF(C$105&lt;=TabS!$G$9,C42*$G$91,IF(C$105&lt;=TabS!$G$10,C42*$G$92)))))))</f>
        <v>0</v>
      </c>
      <c r="D141" s="151">
        <f>IF(D$190&gt;$C$191,D207,IF(D$105&lt;=TabS!$G$5,D42*$G$87,IF(D$105&lt;=TabS!$G$6,D42*$G$88,IF(D$105&lt;=TabS!$G$7,D42*$G$89,IF(D$105&lt;=TabS!$G$8,D42*$G$90,IF(D$105&lt;=TabS!$G$9,D42*$G$91,IF(D$105&lt;=TabS!$G$10,D42*$G$92)))))))</f>
        <v>0</v>
      </c>
      <c r="E141" s="151">
        <f>IF(E$190&gt;$C$191,E207,IF(E$105&lt;=TabS!$G$5,E42*$G$87,IF(E$105&lt;=TabS!$G$6,E42*$G$88,IF(E$105&lt;=TabS!$G$7,E42*$G$89,IF(E$105&lt;=TabS!$G$8,E42*$G$90,IF(E$105&lt;=TabS!$G$9,E42*$G$91,IF(E$105&lt;=TabS!$G$10,E42*$G$92)))))))</f>
        <v>0</v>
      </c>
      <c r="F141" s="151">
        <f>IF(F$190&gt;$C$191,F207,IF(F$105&lt;=TabS!$G$5,F42*$G$87,IF(F$105&lt;=TabS!$G$6,F42*$G$88,IF(F$105&lt;=TabS!$G$7,F42*$G$89,IF(F$105&lt;=TabS!$G$8,F42*$G$90,IF(F$105&lt;=TabS!$G$9,F42*$G$91,IF(F$105&lt;=TabS!$G$10,F42*$G$92)))))))</f>
        <v>0</v>
      </c>
      <c r="G141" s="151">
        <f>IF(G$190&gt;$C$191,G207,IF(G$105&lt;=TabS!$G$5,G42*$G$87,IF(G$105&lt;=TabS!$G$6,G42*$G$88,IF(G$105&lt;=TabS!$G$7,G42*$G$89,IF(G$105&lt;=TabS!$G$8,G42*$G$90,IF(G$105&lt;=TabS!$G$9,G42*$G$91,IF(G$105&lt;=TabS!$G$10,G42*$G$92)))))))</f>
        <v>0</v>
      </c>
      <c r="H141" s="151">
        <f>IF(H$190&gt;$C$191,H207,IF(H$105&lt;=TabS!$G$5,H42*$G$87,IF(H$105&lt;=TabS!$G$6,H42*$G$88,IF(H$105&lt;=TabS!$G$7,H42*$G$89,IF(H$105&lt;=TabS!$G$8,H42*$G$90,IF(H$105&lt;=TabS!$G$9,H42*$G$91,IF(H$105&lt;=TabS!$G$10,H42*$G$92)))))))</f>
        <v>0</v>
      </c>
      <c r="I141" s="151">
        <f>IF(I$190&gt;$C$191,I207,IF(I$105&lt;=TabS!$G$5,I42*$G$87,IF(I$105&lt;=TabS!$G$6,I42*$G$88,IF(I$105&lt;=TabS!$G$7,I42*$G$89,IF(I$105&lt;=TabS!$G$8,I42*$G$90,IF(I$105&lt;=TabS!$G$9,I42*$G$91,IF(I$105&lt;=TabS!$G$10,I42*$G$92)))))))</f>
        <v>0</v>
      </c>
      <c r="J141" s="151">
        <f>IF(J$190&gt;$C$191,J207,IF(J$105&lt;=TabS!$G$5,J42*$G$87,IF(J$105&lt;=TabS!$G$6,J42*$G$88,IF(J$105&lt;=TabS!$G$7,J42*$G$89,IF(J$105&lt;=TabS!$G$8,J42*$G$90,IF(J$105&lt;=TabS!$G$9,J42*$G$91,IF(J$105&lt;=TabS!$G$10,J42*$G$92)))))))</f>
        <v>0</v>
      </c>
      <c r="K141" s="151">
        <f>IF(K$190&gt;$C$191,K207,IF(K$105&lt;=TabS!$G$5,K42*$G$87,IF(K$105&lt;=TabS!$G$6,K42*$G$88,IF(K$105&lt;=TabS!$G$7,K42*$G$89,IF(K$105&lt;=TabS!$G$8,K42*$G$90,IF(K$105&lt;=TabS!$G$9,K42*$G$91,IF(K$105&lt;=TabS!$G$10,K42*$G$92)))))))</f>
        <v>0</v>
      </c>
      <c r="L141" s="151">
        <f>IF(L$190&gt;$C$191,L207,IF(L$105&lt;=TabS!$G$5,L42*$G$87,IF(L$105&lt;=TabS!$G$6,L42*$G$88,IF(L$105&lt;=TabS!$G$7,L42*$G$89,IF(L$105&lt;=TabS!$G$8,L42*$G$90,IF(L$105&lt;=TabS!$G$9,L42*$G$91,IF(L$105&lt;=TabS!$G$10,L42*$G$92)))))))</f>
        <v>0</v>
      </c>
      <c r="M141" s="151">
        <f>IF(M$190&gt;$C$191,M207,IF(M$105&lt;=TabS!$G$5,M42*$G$87,IF(M$105&lt;=TabS!$G$6,M42*$G$88,IF(M$105&lt;=TabS!$G$7,M42*$G$89,IF(M$105&lt;=TabS!$G$8,M42*$G$90,IF(M$105&lt;=TabS!$G$9,M42*$G$91,IF(M$105&lt;=TabS!$G$10,M42*$G$92)))))))</f>
        <v>0</v>
      </c>
      <c r="N141" s="151">
        <f>IF(N$190&gt;$C$191,N207,IF(N$105&lt;=TabS!$G$5,N42*$G$87,IF(N$105&lt;=TabS!$G$6,N42*$G$88,IF(N$105&lt;=TabS!$G$7,N42*$G$89,IF(N$105&lt;=TabS!$G$8,N42*$G$90,IF(N$105&lt;=TabS!$G$9,N42*$G$91,IF(N$105&lt;=TabS!$G$10,N42*$G$92)))))))</f>
        <v>0</v>
      </c>
      <c r="O141" s="152">
        <f t="shared" si="54"/>
        <v>0</v>
      </c>
    </row>
    <row r="142" spans="2:15" ht="20.100000000000001" customHeight="1" x14ac:dyDescent="0.25">
      <c r="B142" s="167" t="s">
        <v>40</v>
      </c>
      <c r="C142" s="151">
        <f>IF(C$190&gt;$C$191,C208,IF(C$105&lt;=TabS!$G$5,C42*$H$87,IF(C$105&lt;=TabS!$G$6,C42*$H$88,IF(C$105&lt;=TabS!$G$7,C42*$H$89,IF(C$105&lt;=TabS!$G$8,C42*$H$90,IF(C$105&lt;=TabS!$G$9,C42*$H$91,IF(C$105&lt;=TabS!$G$10,C42*$H$92)))))))</f>
        <v>0</v>
      </c>
      <c r="D142" s="151">
        <f>IF(D$190&gt;$C$191,D208,IF(D$105&lt;=TabS!$G$5,D42*$H$87,IF(D$105&lt;=TabS!$G$6,D42*$H$88,IF(D$105&lt;=TabS!$G$7,D42*$H$89,IF(D$105&lt;=TabS!$G$8,D42*$H$90,IF(D$105&lt;=TabS!$G$9,D42*$H$91,IF(D$105&lt;=TabS!$G$10,D42*$H$92)))))))</f>
        <v>0</v>
      </c>
      <c r="E142" s="151">
        <f>IF(E$190&gt;$C$191,E208,IF(E$105&lt;=TabS!$G$5,E42*$H$87,IF(E$105&lt;=TabS!$G$6,E42*$H$88,IF(E$105&lt;=TabS!$G$7,E42*$H$89,IF(E$105&lt;=TabS!$G$8,E42*$H$90,IF(E$105&lt;=TabS!$G$9,E42*$H$91,IF(E$105&lt;=TabS!$G$10,E42*$H$92)))))))</f>
        <v>0</v>
      </c>
      <c r="F142" s="151">
        <f>IF(F$190&gt;$C$191,F208,IF(F$105&lt;=TabS!$G$5,F42*$H$87,IF(F$105&lt;=TabS!$G$6,F42*$H$88,IF(F$105&lt;=TabS!$G$7,F42*$H$89,IF(F$105&lt;=TabS!$G$8,F42*$H$90,IF(F$105&lt;=TabS!$G$9,F42*$H$91,IF(F$105&lt;=TabS!$G$10,F42*$H$92)))))))</f>
        <v>0</v>
      </c>
      <c r="G142" s="151">
        <f>IF(G$190&gt;$C$191,G208,IF(G$105&lt;=TabS!$G$5,G42*$H$87,IF(G$105&lt;=TabS!$G$6,G42*$H$88,IF(G$105&lt;=TabS!$G$7,G42*$H$89,IF(G$105&lt;=TabS!$G$8,G42*$H$90,IF(G$105&lt;=TabS!$G$9,G42*$H$91,IF(G$105&lt;=TabS!$G$10,G42*$H$92)))))))</f>
        <v>0</v>
      </c>
      <c r="H142" s="151">
        <f>IF(H$190&gt;$C$191,H208,IF(H$105&lt;=TabS!$G$5,H42*$H$87,IF(H$105&lt;=TabS!$G$6,H42*$H$88,IF(H$105&lt;=TabS!$G$7,H42*$H$89,IF(H$105&lt;=TabS!$G$8,H42*$H$90,IF(H$105&lt;=TabS!$G$9,H42*$H$91,IF(H$105&lt;=TabS!$G$10,H42*$H$92)))))))</f>
        <v>0</v>
      </c>
      <c r="I142" s="151">
        <f>IF(I$190&gt;$C$191,I208,IF(I$105&lt;=TabS!$G$5,I42*$H$87,IF(I$105&lt;=TabS!$G$6,I42*$H$88,IF(I$105&lt;=TabS!$G$7,I42*$H$89,IF(I$105&lt;=TabS!$G$8,I42*$H$90,IF(I$105&lt;=TabS!$G$9,I42*$H$91,IF(I$105&lt;=TabS!$G$10,I42*$H$92)))))))</f>
        <v>0</v>
      </c>
      <c r="J142" s="151">
        <f>IF(J$190&gt;$C$191,J208,IF(J$105&lt;=TabS!$G$5,J42*$H$87,IF(J$105&lt;=TabS!$G$6,J42*$H$88,IF(J$105&lt;=TabS!$G$7,J42*$H$89,IF(J$105&lt;=TabS!$G$8,J42*$H$90,IF(J$105&lt;=TabS!$G$9,J42*$H$91,IF(J$105&lt;=TabS!$G$10,J42*$H$92)))))))</f>
        <v>0</v>
      </c>
      <c r="K142" s="151">
        <f>IF(K$190&gt;$C$191,K208,IF(K$105&lt;=TabS!$G$5,K42*$H$87,IF(K$105&lt;=TabS!$G$6,K42*$H$88,IF(K$105&lt;=TabS!$G$7,K42*$H$89,IF(K$105&lt;=TabS!$G$8,K42*$H$90,IF(K$105&lt;=TabS!$G$9,K42*$H$91,IF(K$105&lt;=TabS!$G$10,K42*$H$92)))))))</f>
        <v>0</v>
      </c>
      <c r="L142" s="151">
        <f>IF(L$190&gt;$C$191,L208,IF(L$105&lt;=TabS!$G$5,L42*$H$87,IF(L$105&lt;=TabS!$G$6,L42*$H$88,IF(L$105&lt;=TabS!$G$7,L42*$H$89,IF(L$105&lt;=TabS!$G$8,L42*$H$90,IF(L$105&lt;=TabS!$G$9,L42*$H$91,IF(L$105&lt;=TabS!$G$10,L42*$H$92)))))))</f>
        <v>0</v>
      </c>
      <c r="M142" s="151">
        <f>IF(M$190&gt;$C$191,M208,IF(M$105&lt;=TabS!$G$5,M42*$H$87,IF(M$105&lt;=TabS!$G$6,M42*$H$88,IF(M$105&lt;=TabS!$G$7,M42*$H$89,IF(M$105&lt;=TabS!$G$8,M42*$H$90,IF(M$105&lt;=TabS!$G$9,M42*$H$91,IF(M$105&lt;=TabS!$G$10,M42*$H$92)))))))</f>
        <v>0</v>
      </c>
      <c r="N142" s="151">
        <f>IF(N$190&gt;$C$191,N208,IF(N$105&lt;=TabS!$G$5,N42*$H$87,IF(N$105&lt;=TabS!$G$6,N42*$H$88,IF(N$105&lt;=TabS!$G$7,N42*$H$89,IF(N$105&lt;=TabS!$G$8,N42*$H$90,IF(N$105&lt;=TabS!$G$9,N42*$H$91,IF(N$105&lt;=TabS!$G$10,N42*$H$92)))))))</f>
        <v>0</v>
      </c>
      <c r="O142" s="152">
        <f t="shared" si="54"/>
        <v>0</v>
      </c>
    </row>
    <row r="143" spans="2:15" ht="20.100000000000001" customHeight="1" x14ac:dyDescent="0.25">
      <c r="B143" s="168" t="s">
        <v>99</v>
      </c>
      <c r="C143" s="152">
        <f t="shared" ref="C143:N143" si="55">SUM(C137:C142)</f>
        <v>0</v>
      </c>
      <c r="D143" s="152">
        <f t="shared" si="55"/>
        <v>0</v>
      </c>
      <c r="E143" s="152">
        <f t="shared" si="55"/>
        <v>0</v>
      </c>
      <c r="F143" s="152">
        <f t="shared" si="55"/>
        <v>0</v>
      </c>
      <c r="G143" s="152">
        <f t="shared" si="55"/>
        <v>0</v>
      </c>
      <c r="H143" s="152">
        <f t="shared" si="55"/>
        <v>0</v>
      </c>
      <c r="I143" s="152">
        <f t="shared" si="55"/>
        <v>0</v>
      </c>
      <c r="J143" s="152">
        <f t="shared" si="55"/>
        <v>0</v>
      </c>
      <c r="K143" s="152">
        <f t="shared" si="55"/>
        <v>0</v>
      </c>
      <c r="L143" s="152">
        <f t="shared" si="55"/>
        <v>0</v>
      </c>
      <c r="M143" s="152">
        <f t="shared" si="55"/>
        <v>0</v>
      </c>
      <c r="N143" s="152">
        <f t="shared" si="55"/>
        <v>0</v>
      </c>
      <c r="O143" s="152">
        <f t="shared" si="54"/>
        <v>0</v>
      </c>
    </row>
    <row r="144" spans="2:15" ht="20.100000000000001" customHeight="1" x14ac:dyDescent="0.25">
      <c r="B144" s="164" t="s">
        <v>77</v>
      </c>
    </row>
    <row r="145" spans="2:15" ht="20.100000000000001" customHeight="1" x14ac:dyDescent="0.25">
      <c r="B145" s="149" t="s">
        <v>82</v>
      </c>
      <c r="C145" s="149" t="s">
        <v>83</v>
      </c>
      <c r="D145" s="149" t="s">
        <v>84</v>
      </c>
      <c r="E145" s="149" t="s">
        <v>85</v>
      </c>
      <c r="F145" s="149" t="s">
        <v>86</v>
      </c>
      <c r="G145" s="149" t="s">
        <v>87</v>
      </c>
      <c r="H145" s="149" t="s">
        <v>88</v>
      </c>
      <c r="I145" s="149" t="s">
        <v>89</v>
      </c>
      <c r="J145" s="149" t="s">
        <v>90</v>
      </c>
      <c r="K145" s="149" t="s">
        <v>91</v>
      </c>
      <c r="L145" s="149" t="s">
        <v>92</v>
      </c>
      <c r="M145" s="149" t="s">
        <v>93</v>
      </c>
      <c r="N145" s="149" t="s">
        <v>94</v>
      </c>
      <c r="O145" s="149" t="s">
        <v>95</v>
      </c>
    </row>
    <row r="146" spans="2:15" ht="20.100000000000001" customHeight="1" x14ac:dyDescent="0.25">
      <c r="B146" s="167" t="s">
        <v>97</v>
      </c>
      <c r="C146" s="151">
        <f>IF(C$105&lt;=TabS!$G$5,C49*$C$97,IF(C$105&lt;=TabS!$G$6,C49*$C$98,IF(C$105&lt;=TabS!$G$7,C49*$C$99,IF(C$105&lt;=TabS!$G$8,C49*$C$100,IF(C$105&lt;=TabS!$G$9,C49*$C$101,IF(C$105&lt;=TabS!$G$10,C49*$C$102))))))</f>
        <v>0</v>
      </c>
      <c r="D146" s="151">
        <f>IF(D$105&lt;=TabS!$G$5,D49*$C$97,IF(D$105&lt;=TabS!$G$6,D49*$C$98,IF(D$105&lt;=TabS!$G$7,D49*$C$99,IF(D$105&lt;=TabS!$G$8,D49*$C$100,IF(D$105&lt;=TabS!$G$9,D49*$C$101,IF(D$105&lt;=TabS!$G$10,D49*$C$102))))))</f>
        <v>0</v>
      </c>
      <c r="E146" s="151">
        <f>IF(E$105&lt;=TabS!$G$5,E49*$C$97,IF(E$105&lt;=TabS!$G$6,E49*$C$98,IF(E$105&lt;=TabS!$G$7,E49*$C$99,IF(E$105&lt;=TabS!$G$8,E49*$C$100,IF(E$105&lt;=TabS!$G$9,E49*$C$101,IF(E$105&lt;=TabS!$G$10,E49*$C$102))))))</f>
        <v>0</v>
      </c>
      <c r="F146" s="151">
        <f>IF(F$105&lt;=TabS!$G$5,F49*$C$97,IF(F$105&lt;=TabS!$G$6,F49*$C$98,IF(F$105&lt;=TabS!$G$7,F49*$C$99,IF(F$105&lt;=TabS!$G$8,F49*$C$100,IF(F$105&lt;=TabS!$G$9,F49*$C$101,IF(F$105&lt;=TabS!$G$10,F49*$C$102))))))</f>
        <v>0</v>
      </c>
      <c r="G146" s="151">
        <f>IF(G$105&lt;=TabS!$G$5,G49*$C$97,IF(G$105&lt;=TabS!$G$6,G49*$C$98,IF(G$105&lt;=TabS!$G$7,G49*$C$99,IF(G$105&lt;=TabS!$G$8,G49*$C$100,IF(G$105&lt;=TabS!$G$9,G49*$C$101,IF(G$105&lt;=TabS!$G$10,G49*$C$102))))))</f>
        <v>0</v>
      </c>
      <c r="H146" s="151">
        <f>IF(H$105&lt;=TabS!$G$5,H49*$C$97,IF(H$105&lt;=TabS!$G$6,H49*$C$98,IF(H$105&lt;=TabS!$G$7,H49*$C$99,IF(H$105&lt;=TabS!$G$8,H49*$C$100,IF(H$105&lt;=TabS!$G$9,H49*$C$101,IF(H$105&lt;=TabS!$G$10,H49*$C$102))))))</f>
        <v>0</v>
      </c>
      <c r="I146" s="151">
        <f>IF(I$105&lt;=TabS!$G$5,I49*$C$97,IF(I$105&lt;=TabS!$G$6,I49*$C$98,IF(I$105&lt;=TabS!$G$7,I49*$C$99,IF(I$105&lt;=TabS!$G$8,I49*$C$100,IF(I$105&lt;=TabS!$G$9,I49*$C$101,IF(I$105&lt;=TabS!$G$10,I49*$C$102))))))</f>
        <v>0</v>
      </c>
      <c r="J146" s="151">
        <f>IF(J$105&lt;=TabS!$G$5,J49*$C$97,IF(J$105&lt;=TabS!$G$6,J49*$C$98,IF(J$105&lt;=TabS!$G$7,J49*$C$99,IF(J$105&lt;=TabS!$G$8,J49*$C$100,IF(J$105&lt;=TabS!$G$9,J49*$C$101,IF(J$105&lt;=TabS!$G$10,J49*$C$102))))))</f>
        <v>0</v>
      </c>
      <c r="K146" s="151">
        <f>IF(K$105&lt;=TabS!$G$5,K49*$C$97,IF(K$105&lt;=TabS!$G$6,K49*$C$98,IF(K$105&lt;=TabS!$G$7,K49*$C$99,IF(K$105&lt;=TabS!$G$8,K49*$C$100,IF(K$105&lt;=TabS!$G$9,K49*$C$101,IF(K$105&lt;=TabS!$G$10,K49*$C$102))))))</f>
        <v>0</v>
      </c>
      <c r="L146" s="151">
        <f>IF(L$105&lt;=TabS!$G$5,L49*$C$97,IF(L$105&lt;=TabS!$G$6,L49*$C$98,IF(L$105&lt;=TabS!$G$7,L49*$C$99,IF(L$105&lt;=TabS!$G$8,L49*$C$100,IF(L$105&lt;=TabS!$G$9,L49*$C$101,IF(L$105&lt;=TabS!$G$10,L49*$C$102))))))</f>
        <v>0</v>
      </c>
      <c r="M146" s="151">
        <f>IF(M$105&lt;=TabS!$G$5,M49*$C$97,IF(M$105&lt;=TabS!$G$6,M49*$C$98,IF(M$105&lt;=TabS!$G$7,M49*$C$99,IF(M$105&lt;=TabS!$G$8,M49*$C$100,IF(M$105&lt;=TabS!$G$9,M49*$C$101,IF(M$105&lt;=TabS!$G$10,M49*$C$102))))))</f>
        <v>0</v>
      </c>
      <c r="N146" s="151">
        <f>IF(N$105&lt;=TabS!$G$5,N49*$C$97,IF(N$105&lt;=TabS!$G$6,N49*$C$98,IF(N$105&lt;=TabS!$G$7,N49*$C$99,IF(N$105&lt;=TabS!$G$8,N49*$C$100,IF(N$105&lt;=TabS!$G$9,N49*$C$101,IF(N$105&lt;=TabS!$G$10,N49*$C$102))))))</f>
        <v>0</v>
      </c>
      <c r="O146" s="152">
        <f t="shared" ref="O146:O151" si="56">SUM(C146:N146)</f>
        <v>0</v>
      </c>
    </row>
    <row r="147" spans="2:15" ht="20.100000000000001" customHeight="1" x14ac:dyDescent="0.25">
      <c r="B147" s="167" t="s">
        <v>98</v>
      </c>
      <c r="C147" s="151">
        <f>IF(C$105&lt;=TabS!$G$5,C49*$D$97,IF(C$105&lt;=TabS!$G$6,C49*$D$98,IF(C$105&lt;=TabS!$G$7,C49*$D$99,IF(C$105&lt;=TabS!$G$8,C49*$D$100,IF(C$105&lt;=TabS!$G$9,C49*$D$101,IF(C$105&lt;=TabS!$G$10,C49*$D$102))))))</f>
        <v>0</v>
      </c>
      <c r="D147" s="151">
        <f>IF(D$105&lt;=TabS!$G$5,D49*$D$97,IF(D$105&lt;=TabS!$G$6,D49*$D$98,IF(D$105&lt;=TabS!$G$7,D49*$D$99,IF(D$105&lt;=TabS!$G$8,D49*$D$100,IF(D$105&lt;=TabS!$G$9,D49*$D$101,IF(D$105&lt;=TabS!$G$10,D49*$D$102))))))</f>
        <v>0</v>
      </c>
      <c r="E147" s="151">
        <f>IF(E$105&lt;=TabS!$G$5,E49*$D$97,IF(E$105&lt;=TabS!$G$6,E49*$D$98,IF(E$105&lt;=TabS!$G$7,E49*$D$99,IF(E$105&lt;=TabS!$G$8,E49*$D$100,IF(E$105&lt;=TabS!$G$9,E49*$D$101,IF(E$105&lt;=TabS!$G$10,E49*$D$102))))))</f>
        <v>0</v>
      </c>
      <c r="F147" s="151">
        <f>IF(F$105&lt;=TabS!$G$5,F49*$D$97,IF(F$105&lt;=TabS!$G$6,F49*$D$98,IF(F$105&lt;=TabS!$G$7,F49*$D$99,IF(F$105&lt;=TabS!$G$8,F49*$D$100,IF(F$105&lt;=TabS!$G$9,F49*$D$101,IF(F$105&lt;=TabS!$G$10,F49*$D$102))))))</f>
        <v>0</v>
      </c>
      <c r="G147" s="151">
        <f>IF(G$105&lt;=TabS!$G$5,G49*$D$97,IF(G$105&lt;=TabS!$G$6,G49*$D$98,IF(G$105&lt;=TabS!$G$7,G49*$D$99,IF(G$105&lt;=TabS!$G$8,G49*$D$100,IF(G$105&lt;=TabS!$G$9,G49*$D$101,IF(G$105&lt;=TabS!$G$10,G49*$D$102))))))</f>
        <v>0</v>
      </c>
      <c r="H147" s="151">
        <f>IF(H$105&lt;=TabS!$G$5,H49*$D$97,IF(H$105&lt;=TabS!$G$6,H49*$D$98,IF(H$105&lt;=TabS!$G$7,H49*$D$99,IF(H$105&lt;=TabS!$G$8,H49*$D$100,IF(H$105&lt;=TabS!$G$9,H49*$D$101,IF(H$105&lt;=TabS!$G$10,H49*$D$102))))))</f>
        <v>0</v>
      </c>
      <c r="I147" s="151">
        <f>IF(I$105&lt;=TabS!$G$5,I49*$D$97,IF(I$105&lt;=TabS!$G$6,I49*$D$98,IF(I$105&lt;=TabS!$G$7,I49*$D$99,IF(I$105&lt;=TabS!$G$8,I49*$D$100,IF(I$105&lt;=TabS!$G$9,I49*$D$101,IF(I$105&lt;=TabS!$G$10,I49*$D$102))))))</f>
        <v>0</v>
      </c>
      <c r="J147" s="151">
        <f>IF(J$105&lt;=TabS!$G$5,J49*$D$97,IF(J$105&lt;=TabS!$G$6,J49*$D$98,IF(J$105&lt;=TabS!$G$7,J49*$D$99,IF(J$105&lt;=TabS!$G$8,J49*$D$100,IF(J$105&lt;=TabS!$G$9,J49*$D$101,IF(J$105&lt;=TabS!$G$10,J49*$D$102))))))</f>
        <v>0</v>
      </c>
      <c r="K147" s="151">
        <f>IF(K$105&lt;=TabS!$G$5,K49*$D$97,IF(K$105&lt;=TabS!$G$6,K49*$D$98,IF(K$105&lt;=TabS!$G$7,K49*$D$99,IF(K$105&lt;=TabS!$G$8,K49*$D$100,IF(K$105&lt;=TabS!$G$9,K49*$D$101,IF(K$105&lt;=TabS!$G$10,K49*$D$102))))))</f>
        <v>0</v>
      </c>
      <c r="L147" s="151">
        <f>IF(L$105&lt;=TabS!$G$5,L49*$D$97,IF(L$105&lt;=TabS!$G$6,L49*$D$98,IF(L$105&lt;=TabS!$G$7,L49*$D$99,IF(L$105&lt;=TabS!$G$8,L49*$D$100,IF(L$105&lt;=TabS!$G$9,L49*$D$101,IF(L$105&lt;=TabS!$G$10,L49*$D$102))))))</f>
        <v>0</v>
      </c>
      <c r="M147" s="151">
        <f>IF(M$105&lt;=TabS!$G$5,M49*$D$97,IF(M$105&lt;=TabS!$G$6,M49*$D$98,IF(M$105&lt;=TabS!$G$7,M49*$D$99,IF(M$105&lt;=TabS!$G$8,M49*$D$100,IF(M$105&lt;=TabS!$G$9,M49*$D$101,IF(M$105&lt;=TabS!$G$10,M49*$D$102))))))</f>
        <v>0</v>
      </c>
      <c r="N147" s="151">
        <f>IF(N$105&lt;=TabS!$G$5,N49*$D$97,IF(N$105&lt;=TabS!$G$6,N49*$D$98,IF(N$105&lt;=TabS!$G$7,N49*$D$99,IF(N$105&lt;=TabS!$G$8,N49*$D$100,IF(N$105&lt;=TabS!$G$9,N49*$D$101,IF(N$105&lt;=TabS!$G$10,N49*$D$102))))))</f>
        <v>0</v>
      </c>
      <c r="O147" s="152">
        <f t="shared" si="56"/>
        <v>0</v>
      </c>
    </row>
    <row r="148" spans="2:15" ht="20.100000000000001" customHeight="1" x14ac:dyDescent="0.25">
      <c r="B148" s="167" t="s">
        <v>39</v>
      </c>
      <c r="C148" s="151">
        <f>IF(C$105&lt;=TabS!$G$5,C49*$E$97,IF(C$105&lt;=TabS!$G$6,C49*$E$98,IF(C$105&lt;=TabS!$G$7,C49*$E$99,IF(C$105&lt;=TabS!$G$8,C49*$E$100,IF(C$105&lt;=TabS!$G$9,C49*$E$101,IF(C$105&lt;=TabS!$G$10,C49*$E$102))))))</f>
        <v>0</v>
      </c>
      <c r="D148" s="151">
        <f>IF(D$105&lt;=TabS!$G$5,D49*$E$97,IF(D$105&lt;=TabS!$G$6,D49*$E$98,IF(D$105&lt;=TabS!$G$7,D49*$E$99,IF(D$105&lt;=TabS!$G$8,D49*$E$100,IF(D$105&lt;=TabS!$G$9,D49*$E$101,IF(D$105&lt;=TabS!$G$10,D49*$E$102))))))</f>
        <v>0</v>
      </c>
      <c r="E148" s="151">
        <f>IF(E$105&lt;=TabS!$G$5,E49*$E$97,IF(E$105&lt;=TabS!$G$6,E49*$E$98,IF(E$105&lt;=TabS!$G$7,E49*$E$99,IF(E$105&lt;=TabS!$G$8,E49*$E$100,IF(E$105&lt;=TabS!$G$9,E49*$E$101,IF(E$105&lt;=TabS!$G$10,E49*$E$102))))))</f>
        <v>0</v>
      </c>
      <c r="F148" s="151">
        <f>IF(F$105&lt;=TabS!$G$5,F49*$E$97,IF(F$105&lt;=TabS!$G$6,F49*$E$98,IF(F$105&lt;=TabS!$G$7,F49*$E$99,IF(F$105&lt;=TabS!$G$8,F49*$E$100,IF(F$105&lt;=TabS!$G$9,F49*$E$101,IF(F$105&lt;=TabS!$G$10,F49*$E$102))))))</f>
        <v>0</v>
      </c>
      <c r="G148" s="151">
        <f>IF(G$105&lt;=TabS!$G$5,G49*$E$97,IF(G$105&lt;=TabS!$G$6,G49*$E$98,IF(G$105&lt;=TabS!$G$7,G49*$E$99,IF(G$105&lt;=TabS!$G$8,G49*$E$100,IF(G$105&lt;=TabS!$G$9,G49*$E$101,IF(G$105&lt;=TabS!$G$10,G49*$E$102))))))</f>
        <v>0</v>
      </c>
      <c r="H148" s="151">
        <f>IF(H$105&lt;=TabS!$G$5,H49*$E$97,IF(H$105&lt;=TabS!$G$6,H49*$E$98,IF(H$105&lt;=TabS!$G$7,H49*$E$99,IF(H$105&lt;=TabS!$G$8,H49*$E$100,IF(H$105&lt;=TabS!$G$9,H49*$E$101,IF(H$105&lt;=TabS!$G$10,H49*$E$102))))))</f>
        <v>0</v>
      </c>
      <c r="I148" s="151">
        <f>IF(I$105&lt;=TabS!$G$5,I49*$E$97,IF(I$105&lt;=TabS!$G$6,I49*$E$98,IF(I$105&lt;=TabS!$G$7,I49*$E$99,IF(I$105&lt;=TabS!$G$8,I49*$E$100,IF(I$105&lt;=TabS!$G$9,I49*$E$101,IF(I$105&lt;=TabS!$G$10,I49*$E$102))))))</f>
        <v>0</v>
      </c>
      <c r="J148" s="151">
        <f>IF(J$105&lt;=TabS!$G$5,J49*$E$97,IF(J$105&lt;=TabS!$G$6,J49*$E$98,IF(J$105&lt;=TabS!$G$7,J49*$E$99,IF(J$105&lt;=TabS!$G$8,J49*$E$100,IF(J$105&lt;=TabS!$G$9,J49*$E$101,IF(J$105&lt;=TabS!$G$10,J49*$E$102))))))</f>
        <v>0</v>
      </c>
      <c r="K148" s="151">
        <f>IF(K$105&lt;=TabS!$G$5,K49*$E$97,IF(K$105&lt;=TabS!$G$6,K49*$E$98,IF(K$105&lt;=TabS!$G$7,K49*$E$99,IF(K$105&lt;=TabS!$G$8,K49*$E$100,IF(K$105&lt;=TabS!$G$9,K49*$E$101,IF(K$105&lt;=TabS!$G$10,K49*$E$102))))))</f>
        <v>0</v>
      </c>
      <c r="L148" s="151">
        <f>IF(L$105&lt;=TabS!$G$5,L49*$E$97,IF(L$105&lt;=TabS!$G$6,L49*$E$98,IF(L$105&lt;=TabS!$G$7,L49*$E$99,IF(L$105&lt;=TabS!$G$8,L49*$E$100,IF(L$105&lt;=TabS!$G$9,L49*$E$101,IF(L$105&lt;=TabS!$G$10,L49*$E$102))))))</f>
        <v>0</v>
      </c>
      <c r="M148" s="151">
        <f>IF(M$105&lt;=TabS!$G$5,M49*$E$97,IF(M$105&lt;=TabS!$G$6,M49*$E$98,IF(M$105&lt;=TabS!$G$7,M49*$E$99,IF(M$105&lt;=TabS!$G$8,M49*$E$100,IF(M$105&lt;=TabS!$G$9,M49*$E$101,IF(M$105&lt;=TabS!$G$10,M49*$E$102))))))</f>
        <v>0</v>
      </c>
      <c r="N148" s="151">
        <f>IF(N$105&lt;=TabS!$G$5,N49*$E$97,IF(N$105&lt;=TabS!$G$6,N49*$E$98,IF(N$105&lt;=TabS!$G$7,N49*$E$99,IF(N$105&lt;=TabS!$G$8,N49*$E$100,IF(N$105&lt;=TabS!$G$9,N49*$E$101,IF(N$105&lt;=TabS!$G$10,N49*$E$102))))))</f>
        <v>0</v>
      </c>
      <c r="O148" s="152">
        <f t="shared" si="56"/>
        <v>0</v>
      </c>
    </row>
    <row r="149" spans="2:15" ht="20.100000000000001" customHeight="1" x14ac:dyDescent="0.25">
      <c r="B149" s="167" t="s">
        <v>129</v>
      </c>
      <c r="C149" s="151">
        <f>IF(C$105&lt;=TabS!$G$5,C49*$F$97,IF(C$105&lt;=TabS!$G$6,C49*$F$98,IF(C$105&lt;=TabS!$G$7,C49*$F$99,IF(C$105&lt;=TabS!$G$8,C49*$F$100,IF(C$105&lt;=TabS!$G$9,C49*$F$101,IF(C$105&lt;=TabS!$G$10,C49*$F$102))))))</f>
        <v>0</v>
      </c>
      <c r="D149" s="151">
        <f>IF(D$105&lt;=TabS!$G$5,D49*$F$97,IF(D$105&lt;=TabS!$G$6,D49*$F$98,IF(D$105&lt;=TabS!$G$7,D49*$F$99,IF(D$105&lt;=TabS!$G$8,D49*$F$100,IF(D$105&lt;=TabS!$G$9,D49*$F$101,IF(D$105&lt;=TabS!$G$10,D49*$F$102))))))</f>
        <v>0</v>
      </c>
      <c r="E149" s="151">
        <f>IF(E$105&lt;=TabS!$G$5,E49*$F$97,IF(E$105&lt;=TabS!$G$6,E49*$F$98,IF(E$105&lt;=TabS!$G$7,E49*$F$99,IF(E$105&lt;=TabS!$G$8,E49*$F$100,IF(E$105&lt;=TabS!$G$9,E49*$F$101,IF(E$105&lt;=TabS!$G$10,E49*$F$102))))))</f>
        <v>0</v>
      </c>
      <c r="F149" s="151">
        <f>IF(F$105&lt;=TabS!$G$5,F49*$F$97,IF(F$105&lt;=TabS!$G$6,F49*$F$98,IF(F$105&lt;=TabS!$G$7,F49*$F$99,IF(F$105&lt;=TabS!$G$8,F49*$F$100,IF(F$105&lt;=TabS!$G$9,F49*$F$101,IF(F$105&lt;=TabS!$G$10,F49*$F$102))))))</f>
        <v>0</v>
      </c>
      <c r="G149" s="151">
        <f>IF(G$105&lt;=TabS!$G$5,G49*$F$97,IF(G$105&lt;=TabS!$G$6,G49*$F$98,IF(G$105&lt;=TabS!$G$7,G49*$F$99,IF(G$105&lt;=TabS!$G$8,G49*$F$100,IF(G$105&lt;=TabS!$G$9,G49*$F$101,IF(G$105&lt;=TabS!$G$10,G49*$F$102))))))</f>
        <v>0</v>
      </c>
      <c r="H149" s="151">
        <f>IF(H$105&lt;=TabS!$G$5,H49*$F$97,IF(H$105&lt;=TabS!$G$6,H49*$F$98,IF(H$105&lt;=TabS!$G$7,H49*$F$99,IF(H$105&lt;=TabS!$G$8,H49*$F$100,IF(H$105&lt;=TabS!$G$9,H49*$F$101,IF(H$105&lt;=TabS!$G$10,H49*$F$102))))))</f>
        <v>0</v>
      </c>
      <c r="I149" s="151">
        <f>IF(I$105&lt;=TabS!$G$5,I49*$F$97,IF(I$105&lt;=TabS!$G$6,I49*$F$98,IF(I$105&lt;=TabS!$G$7,I49*$F$99,IF(I$105&lt;=TabS!$G$8,I49*$F$100,IF(I$105&lt;=TabS!$G$9,I49*$F$101,IF(I$105&lt;=TabS!$G$10,I49*$F$102))))))</f>
        <v>0</v>
      </c>
      <c r="J149" s="151">
        <f>IF(J$105&lt;=TabS!$G$5,J49*$F$97,IF(J$105&lt;=TabS!$G$6,J49*$F$98,IF(J$105&lt;=TabS!$G$7,J49*$F$99,IF(J$105&lt;=TabS!$G$8,J49*$F$100,IF(J$105&lt;=TabS!$G$9,J49*$F$101,IF(J$105&lt;=TabS!$G$10,J49*$F$102))))))</f>
        <v>0</v>
      </c>
      <c r="K149" s="151">
        <f>IF(K$105&lt;=TabS!$G$5,K49*$F$97,IF(K$105&lt;=TabS!$G$6,K49*$F$98,IF(K$105&lt;=TabS!$G$7,K49*$F$99,IF(K$105&lt;=TabS!$G$8,K49*$F$100,IF(K$105&lt;=TabS!$G$9,K49*$F$101,IF(K$105&lt;=TabS!$G$10,K49*$F$102))))))</f>
        <v>0</v>
      </c>
      <c r="L149" s="151">
        <f>IF(L$105&lt;=TabS!$G$5,L49*$F$97,IF(L$105&lt;=TabS!$G$6,L49*$F$98,IF(L$105&lt;=TabS!$G$7,L49*$F$99,IF(L$105&lt;=TabS!$G$8,L49*$F$100,IF(L$105&lt;=TabS!$G$9,L49*$F$101,IF(L$105&lt;=TabS!$G$10,L49*$F$102))))))</f>
        <v>0</v>
      </c>
      <c r="M149" s="151">
        <f>IF(M$105&lt;=TabS!$G$5,M49*$F$97,IF(M$105&lt;=TabS!$G$6,M49*$F$98,IF(M$105&lt;=TabS!$G$7,M49*$F$99,IF(M$105&lt;=TabS!$G$8,M49*$F$100,IF(M$105&lt;=TabS!$G$9,M49*$F$101,IF(M$105&lt;=TabS!$G$10,M49*$F$102))))))</f>
        <v>0</v>
      </c>
      <c r="N149" s="151">
        <f>IF(N$105&lt;=TabS!$G$5,N49*$F$97,IF(N$105&lt;=TabS!$G$6,N49*$F$98,IF(N$105&lt;=TabS!$G$7,N49*$F$99,IF(N$105&lt;=TabS!$G$8,N49*$F$100,IF(N$105&lt;=TabS!$G$9,N49*$F$101,IF(N$105&lt;=TabS!$G$10,N49*$F$102))))))</f>
        <v>0</v>
      </c>
      <c r="O149" s="152">
        <f t="shared" si="56"/>
        <v>0</v>
      </c>
    </row>
    <row r="150" spans="2:15" ht="20.100000000000001" customHeight="1" x14ac:dyDescent="0.25">
      <c r="B150" s="167" t="s">
        <v>42</v>
      </c>
      <c r="C150" s="151">
        <f>IF(C$105&lt;=TabS!$G$5,C49*$G$97,IF(C$105&lt;=TabS!$G$6,C49*$G$98,IF(C$105&lt;=TabS!$G$7,C49*$G$99,IF(C$105&lt;=TabS!$G$8,C49*$G$100,IF(C$105&lt;=TabS!$G$9,C49*$G$101,IF(C$105&lt;=TabS!$G$10,C49*$G$102))))))</f>
        <v>0</v>
      </c>
      <c r="D150" s="151">
        <f>IF(D$105&lt;=TabS!$G$5,D49*$G$97,IF(D$105&lt;=TabS!$G$6,D49*$G$98,IF(D$105&lt;=TabS!$G$7,D49*$G$99,IF(D$105&lt;=TabS!$G$8,D49*$G$100,IF(D$105&lt;=TabS!$G$9,D49*$G$101,IF(D$105&lt;=TabS!$G$10,D49*$G$102))))))</f>
        <v>0</v>
      </c>
      <c r="E150" s="151">
        <f>IF(E$105&lt;=TabS!$G$5,E49*$G$97,IF(E$105&lt;=TabS!$G$6,E49*$G$98,IF(E$105&lt;=TabS!$G$7,E49*$G$99,IF(E$105&lt;=TabS!$G$8,E49*$G$100,IF(E$105&lt;=TabS!$G$9,E49*$G$101,IF(E$105&lt;=TabS!$G$10,E49*$G$102))))))</f>
        <v>0</v>
      </c>
      <c r="F150" s="151">
        <f>IF(F$105&lt;=TabS!$G$5,F49*$G$97,IF(F$105&lt;=TabS!$G$6,F49*$G$98,IF(F$105&lt;=TabS!$G$7,F49*$G$99,IF(F$105&lt;=TabS!$G$8,F49*$G$100,IF(F$105&lt;=TabS!$G$9,F49*$G$101,IF(F$105&lt;=TabS!$G$10,F49*$G$102))))))</f>
        <v>0</v>
      </c>
      <c r="G150" s="151">
        <f>IF(G$105&lt;=TabS!$G$5,G49*$G$97,IF(G$105&lt;=TabS!$G$6,G49*$G$98,IF(G$105&lt;=TabS!$G$7,G49*$G$99,IF(G$105&lt;=TabS!$G$8,G49*$G$100,IF(G$105&lt;=TabS!$G$9,G49*$G$101,IF(G$105&lt;=TabS!$G$10,G49*$G$102))))))</f>
        <v>0</v>
      </c>
      <c r="H150" s="151">
        <f>IF(H$105&lt;=TabS!$G$5,H49*$G$97,IF(H$105&lt;=TabS!$G$6,H49*$G$98,IF(H$105&lt;=TabS!$G$7,H49*$G$99,IF(H$105&lt;=TabS!$G$8,H49*$G$100,IF(H$105&lt;=TabS!$G$9,H49*$G$101,IF(H$105&lt;=TabS!$G$10,H49*$G$102))))))</f>
        <v>0</v>
      </c>
      <c r="I150" s="151">
        <f>IF(I$105&lt;=TabS!$G$5,I49*$G$97,IF(I$105&lt;=TabS!$G$6,I49*$G$98,IF(I$105&lt;=TabS!$G$7,I49*$G$99,IF(I$105&lt;=TabS!$G$8,I49*$G$100,IF(I$105&lt;=TabS!$G$9,I49*$G$101,IF(I$105&lt;=TabS!$G$10,I49*$G$102))))))</f>
        <v>0</v>
      </c>
      <c r="J150" s="151">
        <f>IF(J$105&lt;=TabS!$G$5,J49*$G$97,IF(J$105&lt;=TabS!$G$6,J49*$G$98,IF(J$105&lt;=TabS!$G$7,J49*$G$99,IF(J$105&lt;=TabS!$G$8,J49*$G$100,IF(J$105&lt;=TabS!$G$9,J49*$G$101,IF(J$105&lt;=TabS!$G$10,J49*$G$102))))))</f>
        <v>0</v>
      </c>
      <c r="K150" s="151">
        <f>IF(K$105&lt;=TabS!$G$5,K49*$G$97,IF(K$105&lt;=TabS!$G$6,K49*$G$98,IF(K$105&lt;=TabS!$G$7,K49*$G$99,IF(K$105&lt;=TabS!$G$8,K49*$G$100,IF(K$105&lt;=TabS!$G$9,K49*$G$101,IF(K$105&lt;=TabS!$G$10,K49*$G$102))))))</f>
        <v>0</v>
      </c>
      <c r="L150" s="151">
        <f>IF(L$105&lt;=TabS!$G$5,L49*$G$97,IF(L$105&lt;=TabS!$G$6,L49*$G$98,IF(L$105&lt;=TabS!$G$7,L49*$G$99,IF(L$105&lt;=TabS!$G$8,L49*$G$100,IF(L$105&lt;=TabS!$G$9,L49*$G$101,IF(L$105&lt;=TabS!$G$10,L49*$G$102))))))</f>
        <v>0</v>
      </c>
      <c r="M150" s="151">
        <f>IF(M$105&lt;=TabS!$G$5,M49*$G$97,IF(M$105&lt;=TabS!$G$6,M49*$G$98,IF(M$105&lt;=TabS!$G$7,M49*$G$99,IF(M$105&lt;=TabS!$G$8,M49*$G$100,IF(M$105&lt;=TabS!$G$9,M49*$G$101,IF(M$105&lt;=TabS!$G$10,M49*$G$102))))))</f>
        <v>0</v>
      </c>
      <c r="N150" s="151">
        <f>IF(N$105&lt;=TabS!$G$5,N49*$G$97,IF(N$105&lt;=TabS!$G$6,N49*$G$98,IF(N$105&lt;=TabS!$G$7,N49*$G$99,IF(N$105&lt;=TabS!$G$8,N49*$G$100,IF(N$105&lt;=TabS!$G$9,N49*$G$101,IF(N$105&lt;=TabS!$G$10,N49*$G$102))))))</f>
        <v>0</v>
      </c>
      <c r="O150" s="152">
        <f t="shared" si="56"/>
        <v>0</v>
      </c>
    </row>
    <row r="151" spans="2:15" ht="20.100000000000001" customHeight="1" x14ac:dyDescent="0.25">
      <c r="B151" s="167" t="s">
        <v>40</v>
      </c>
      <c r="C151" s="151">
        <f>IF(C$105&lt;=TabS!$G$5,C49*$H$97,IF(C$105&lt;=TabS!$G$6,C49*$H$98,IF(C$105&lt;=TabS!$G$7,C49*$H$99,IF(C$105&lt;=TabS!$G$8,C49*$H$100,IF(C$105&lt;=TabS!$G$9,C49*$H$101,IF(C$105&lt;=TabS!$G$10,C49*$H$102))))))</f>
        <v>0</v>
      </c>
      <c r="D151" s="151">
        <f>IF(D$105&lt;=TabS!$G$5,D49*$H$97,IF(D$105&lt;=TabS!$G$6,D49*$H$98,IF(D$105&lt;=TabS!$G$7,D49*$H$99,IF(D$105&lt;=TabS!$G$8,D49*$H$100,IF(D$105&lt;=TabS!$G$9,D49*$H$101,IF(D$105&lt;=TabS!$G$10,D49*$H$102))))))</f>
        <v>0</v>
      </c>
      <c r="E151" s="151">
        <f>IF(E$105&lt;=TabS!$G$5,E49*$H$97,IF(E$105&lt;=TabS!$G$6,E49*$H$98,IF(E$105&lt;=TabS!$G$7,E49*$H$99,IF(E$105&lt;=TabS!$G$8,E49*$H$100,IF(E$105&lt;=TabS!$G$9,E49*$H$101,IF(E$105&lt;=TabS!$G$10,E49*$H$102))))))</f>
        <v>0</v>
      </c>
      <c r="F151" s="151">
        <f>IF(F$105&lt;=TabS!$G$5,F49*$H$97,IF(F$105&lt;=TabS!$G$6,F49*$H$98,IF(F$105&lt;=TabS!$G$7,F49*$H$99,IF(F$105&lt;=TabS!$G$8,F49*$H$100,IF(F$105&lt;=TabS!$G$9,F49*$H$101,IF(F$105&lt;=TabS!$G$10,F49*$H$102))))))</f>
        <v>0</v>
      </c>
      <c r="G151" s="151">
        <f>IF(G$105&lt;=TabS!$G$5,G49*$H$97,IF(G$105&lt;=TabS!$G$6,G49*$H$98,IF(G$105&lt;=TabS!$G$7,G49*$H$99,IF(G$105&lt;=TabS!$G$8,G49*$H$100,IF(G$105&lt;=TabS!$G$9,G49*$H$101,IF(G$105&lt;=TabS!$G$10,G49*$H$102))))))</f>
        <v>0</v>
      </c>
      <c r="H151" s="151">
        <f>IF(H$105&lt;=TabS!$G$5,H49*$H$97,IF(H$105&lt;=TabS!$G$6,H49*$H$98,IF(H$105&lt;=TabS!$G$7,H49*$H$99,IF(H$105&lt;=TabS!$G$8,H49*$H$100,IF(H$105&lt;=TabS!$G$9,H49*$H$101,IF(H$105&lt;=TabS!$G$10,H49*$H$102))))))</f>
        <v>0</v>
      </c>
      <c r="I151" s="151">
        <f>IF(I$105&lt;=TabS!$G$5,I49*$H$97,IF(I$105&lt;=TabS!$G$6,I49*$H$98,IF(I$105&lt;=TabS!$G$7,I49*$H$99,IF(I$105&lt;=TabS!$G$8,I49*$H$100,IF(I$105&lt;=TabS!$G$9,I49*$H$101,IF(I$105&lt;=TabS!$G$10,I49*$H$102))))))</f>
        <v>0</v>
      </c>
      <c r="J151" s="151">
        <f>IF(J$105&lt;=TabS!$G$5,J49*$H$97,IF(J$105&lt;=TabS!$G$6,J49*$H$98,IF(J$105&lt;=TabS!$G$7,J49*$H$99,IF(J$105&lt;=TabS!$G$8,J49*$H$100,IF(J$105&lt;=TabS!$G$9,J49*$H$101,IF(J$105&lt;=TabS!$G$10,J49*$H$102))))))</f>
        <v>0</v>
      </c>
      <c r="K151" s="151">
        <f>IF(K$105&lt;=TabS!$G$5,K49*$H$97,IF(K$105&lt;=TabS!$G$6,K49*$H$98,IF(K$105&lt;=TabS!$G$7,K49*$H$99,IF(K$105&lt;=TabS!$G$8,K49*$H$100,IF(K$105&lt;=TabS!$G$9,K49*$H$101,IF(K$105&lt;=TabS!$G$10,K49*$H$102))))))</f>
        <v>0</v>
      </c>
      <c r="L151" s="151">
        <f>IF(L$105&lt;=TabS!$G$5,L49*$H$97,IF(L$105&lt;=TabS!$G$6,L49*$H$98,IF(L$105&lt;=TabS!$G$7,L49*$H$99,IF(L$105&lt;=TabS!$G$8,L49*$H$100,IF(L$105&lt;=TabS!$G$9,L49*$H$101,IF(L$105&lt;=TabS!$G$10,L49*$H$102))))))</f>
        <v>0</v>
      </c>
      <c r="M151" s="151">
        <f>IF(M$105&lt;=TabS!$G$5,M49*$H$97,IF(M$105&lt;=TabS!$G$6,M49*$H$98,IF(M$105&lt;=TabS!$G$7,M49*$H$99,IF(M$105&lt;=TabS!$G$8,M49*$H$100,IF(M$105&lt;=TabS!$G$9,M49*$H$101,IF(M$105&lt;=TabS!$G$10,M49*$H$102))))))</f>
        <v>0</v>
      </c>
      <c r="N151" s="151">
        <f>IF(N$105&lt;=TabS!$G$5,N49*$H$97,IF(N$105&lt;=TabS!$G$6,N49*$H$98,IF(N$105&lt;=TabS!$G$7,N49*$H$99,IF(N$105&lt;=TabS!$G$8,N49*$H$100,IF(N$105&lt;=TabS!$G$9,N49*$H$101,IF(N$105&lt;=TabS!$G$10,N49*$H$102))))))</f>
        <v>0</v>
      </c>
      <c r="O151" s="152">
        <f t="shared" si="56"/>
        <v>0</v>
      </c>
    </row>
    <row r="152" spans="2:15" ht="20.100000000000001" customHeight="1" x14ac:dyDescent="0.25">
      <c r="B152" s="168" t="s">
        <v>99</v>
      </c>
      <c r="C152" s="152">
        <f t="shared" ref="C152:N152" si="57">SUM(C146:C151)</f>
        <v>0</v>
      </c>
      <c r="D152" s="152">
        <f t="shared" si="57"/>
        <v>0</v>
      </c>
      <c r="E152" s="152">
        <f t="shared" si="57"/>
        <v>0</v>
      </c>
      <c r="F152" s="152">
        <f t="shared" si="57"/>
        <v>0</v>
      </c>
      <c r="G152" s="152">
        <f t="shared" si="57"/>
        <v>0</v>
      </c>
      <c r="H152" s="152">
        <f t="shared" si="57"/>
        <v>0</v>
      </c>
      <c r="I152" s="152">
        <f t="shared" si="57"/>
        <v>0</v>
      </c>
      <c r="J152" s="152">
        <f t="shared" si="57"/>
        <v>0</v>
      </c>
      <c r="K152" s="152">
        <f t="shared" si="57"/>
        <v>0</v>
      </c>
      <c r="L152" s="152">
        <f t="shared" si="57"/>
        <v>0</v>
      </c>
      <c r="M152" s="152">
        <f t="shared" si="57"/>
        <v>0</v>
      </c>
      <c r="N152" s="152">
        <f t="shared" si="57"/>
        <v>0</v>
      </c>
      <c r="O152" s="152">
        <f>SUM(C152:N152)</f>
        <v>0</v>
      </c>
    </row>
    <row r="153" spans="2:15" ht="20.100000000000001" customHeight="1" x14ac:dyDescent="0.25">
      <c r="B153" s="278" t="s">
        <v>130</v>
      </c>
      <c r="C153" s="278"/>
      <c r="D153" s="278"/>
      <c r="E153" s="278"/>
      <c r="F153" s="278"/>
      <c r="G153" s="278"/>
      <c r="H153" s="278"/>
      <c r="I153" s="278"/>
      <c r="J153" s="278"/>
      <c r="K153" s="278"/>
      <c r="L153" s="278"/>
      <c r="M153" s="278"/>
      <c r="N153" s="278"/>
      <c r="O153" s="278"/>
    </row>
    <row r="154" spans="2:15" ht="20.100000000000001" customHeight="1" x14ac:dyDescent="0.25">
      <c r="B154" s="149" t="s">
        <v>82</v>
      </c>
      <c r="C154" s="149" t="s">
        <v>83</v>
      </c>
      <c r="D154" s="149" t="s">
        <v>84</v>
      </c>
      <c r="E154" s="149" t="s">
        <v>85</v>
      </c>
      <c r="F154" s="149" t="s">
        <v>86</v>
      </c>
      <c r="G154" s="149" t="s">
        <v>87</v>
      </c>
      <c r="H154" s="149" t="s">
        <v>88</v>
      </c>
      <c r="I154" s="149" t="s">
        <v>89</v>
      </c>
      <c r="J154" s="149" t="s">
        <v>90</v>
      </c>
      <c r="K154" s="149" t="s">
        <v>91</v>
      </c>
      <c r="L154" s="149" t="s">
        <v>92</v>
      </c>
      <c r="M154" s="149" t="s">
        <v>93</v>
      </c>
      <c r="N154" s="149" t="s">
        <v>94</v>
      </c>
      <c r="O154" s="149" t="s">
        <v>95</v>
      </c>
    </row>
    <row r="155" spans="2:15" ht="20.100000000000001" customHeight="1" x14ac:dyDescent="0.25">
      <c r="B155" s="167" t="s">
        <v>97</v>
      </c>
      <c r="C155" s="151">
        <f>C109+C118+C128+C137+C146</f>
        <v>0</v>
      </c>
      <c r="D155" s="151">
        <f t="shared" ref="D155:N155" si="58">D109+D118+D128+D137+D146</f>
        <v>0</v>
      </c>
      <c r="E155" s="151">
        <f t="shared" si="58"/>
        <v>0</v>
      </c>
      <c r="F155" s="151">
        <f t="shared" si="58"/>
        <v>0</v>
      </c>
      <c r="G155" s="151">
        <f t="shared" si="58"/>
        <v>0</v>
      </c>
      <c r="H155" s="151">
        <f t="shared" si="58"/>
        <v>0</v>
      </c>
      <c r="I155" s="151">
        <f t="shared" si="58"/>
        <v>0</v>
      </c>
      <c r="J155" s="151">
        <f t="shared" si="58"/>
        <v>0</v>
      </c>
      <c r="K155" s="151">
        <f t="shared" si="58"/>
        <v>0</v>
      </c>
      <c r="L155" s="151">
        <f t="shared" si="58"/>
        <v>0</v>
      </c>
      <c r="M155" s="151">
        <f t="shared" si="58"/>
        <v>0</v>
      </c>
      <c r="N155" s="151">
        <f t="shared" si="58"/>
        <v>0</v>
      </c>
      <c r="O155" s="152">
        <f>SUM(C155:N155)</f>
        <v>0</v>
      </c>
    </row>
    <row r="156" spans="2:15" ht="20.100000000000001" customHeight="1" x14ac:dyDescent="0.25">
      <c r="B156" s="167" t="s">
        <v>98</v>
      </c>
      <c r="C156" s="151">
        <f>C110+C119+C129+C138+C147</f>
        <v>0</v>
      </c>
      <c r="D156" s="151">
        <f t="shared" ref="D156:N156" si="59">D110+D119+D129+D138+D147</f>
        <v>0</v>
      </c>
      <c r="E156" s="151">
        <f t="shared" si="59"/>
        <v>0</v>
      </c>
      <c r="F156" s="151">
        <f t="shared" si="59"/>
        <v>0</v>
      </c>
      <c r="G156" s="151">
        <f t="shared" si="59"/>
        <v>0</v>
      </c>
      <c r="H156" s="151">
        <f t="shared" si="59"/>
        <v>0</v>
      </c>
      <c r="I156" s="151">
        <f t="shared" si="59"/>
        <v>0</v>
      </c>
      <c r="J156" s="151">
        <f t="shared" si="59"/>
        <v>0</v>
      </c>
      <c r="K156" s="151">
        <f t="shared" si="59"/>
        <v>0</v>
      </c>
      <c r="L156" s="151">
        <f t="shared" si="59"/>
        <v>0</v>
      </c>
      <c r="M156" s="151">
        <f t="shared" si="59"/>
        <v>0</v>
      </c>
      <c r="N156" s="151">
        <f t="shared" si="59"/>
        <v>0</v>
      </c>
      <c r="O156" s="152">
        <f>SUM(C156:N156)</f>
        <v>0</v>
      </c>
    </row>
    <row r="157" spans="2:15" ht="20.100000000000001" customHeight="1" x14ac:dyDescent="0.25">
      <c r="B157" s="167" t="s">
        <v>37</v>
      </c>
      <c r="C157" s="151">
        <f>C111+C120</f>
        <v>0</v>
      </c>
      <c r="D157" s="151">
        <f t="shared" ref="D157:N157" si="60">D111+D120</f>
        <v>0</v>
      </c>
      <c r="E157" s="151">
        <f t="shared" si="60"/>
        <v>0</v>
      </c>
      <c r="F157" s="151">
        <f t="shared" si="60"/>
        <v>0</v>
      </c>
      <c r="G157" s="151">
        <f t="shared" si="60"/>
        <v>0</v>
      </c>
      <c r="H157" s="151">
        <f t="shared" si="60"/>
        <v>0</v>
      </c>
      <c r="I157" s="151">
        <f t="shared" si="60"/>
        <v>0</v>
      </c>
      <c r="J157" s="151">
        <f t="shared" si="60"/>
        <v>0</v>
      </c>
      <c r="K157" s="151">
        <f t="shared" si="60"/>
        <v>0</v>
      </c>
      <c r="L157" s="151">
        <f t="shared" si="60"/>
        <v>0</v>
      </c>
      <c r="M157" s="151">
        <f t="shared" si="60"/>
        <v>0</v>
      </c>
      <c r="N157" s="151">
        <f t="shared" si="60"/>
        <v>0</v>
      </c>
      <c r="O157" s="152">
        <f t="shared" ref="O157:O162" si="61">SUM(C157:N157)</f>
        <v>0</v>
      </c>
    </row>
    <row r="158" spans="2:15" ht="20.100000000000001" customHeight="1" x14ac:dyDescent="0.25">
      <c r="B158" s="167" t="s">
        <v>38</v>
      </c>
      <c r="C158" s="151">
        <f>C124</f>
        <v>0</v>
      </c>
      <c r="D158" s="151">
        <f t="shared" ref="D158:N158" si="62">D124</f>
        <v>0</v>
      </c>
      <c r="E158" s="151">
        <f t="shared" si="62"/>
        <v>0</v>
      </c>
      <c r="F158" s="151">
        <f t="shared" si="62"/>
        <v>0</v>
      </c>
      <c r="G158" s="151">
        <f t="shared" si="62"/>
        <v>0</v>
      </c>
      <c r="H158" s="151">
        <f t="shared" si="62"/>
        <v>0</v>
      </c>
      <c r="I158" s="151">
        <f t="shared" si="62"/>
        <v>0</v>
      </c>
      <c r="J158" s="151">
        <f t="shared" si="62"/>
        <v>0</v>
      </c>
      <c r="K158" s="151">
        <f t="shared" si="62"/>
        <v>0</v>
      </c>
      <c r="L158" s="151">
        <f t="shared" si="62"/>
        <v>0</v>
      </c>
      <c r="M158" s="151">
        <f t="shared" si="62"/>
        <v>0</v>
      </c>
      <c r="N158" s="151">
        <f t="shared" si="62"/>
        <v>0</v>
      </c>
      <c r="O158" s="152">
        <f t="shared" si="61"/>
        <v>0</v>
      </c>
    </row>
    <row r="159" spans="2:15" ht="20.100000000000001" customHeight="1" x14ac:dyDescent="0.25">
      <c r="B159" s="167" t="s">
        <v>39</v>
      </c>
      <c r="C159" s="151">
        <f>C130+C139+C148</f>
        <v>0</v>
      </c>
      <c r="D159" s="151">
        <f t="shared" ref="D159:N159" si="63">D130+D139+D148</f>
        <v>0</v>
      </c>
      <c r="E159" s="151">
        <f t="shared" si="63"/>
        <v>0</v>
      </c>
      <c r="F159" s="151">
        <f t="shared" si="63"/>
        <v>0</v>
      </c>
      <c r="G159" s="151">
        <f t="shared" si="63"/>
        <v>0</v>
      </c>
      <c r="H159" s="151">
        <f t="shared" si="63"/>
        <v>0</v>
      </c>
      <c r="I159" s="151">
        <f t="shared" si="63"/>
        <v>0</v>
      </c>
      <c r="J159" s="151">
        <f t="shared" si="63"/>
        <v>0</v>
      </c>
      <c r="K159" s="151">
        <f t="shared" si="63"/>
        <v>0</v>
      </c>
      <c r="L159" s="151">
        <f t="shared" si="63"/>
        <v>0</v>
      </c>
      <c r="M159" s="151">
        <f t="shared" si="63"/>
        <v>0</v>
      </c>
      <c r="N159" s="151">
        <f t="shared" si="63"/>
        <v>0</v>
      </c>
      <c r="O159" s="152">
        <f t="shared" si="61"/>
        <v>0</v>
      </c>
    </row>
    <row r="160" spans="2:15" ht="20.100000000000001" customHeight="1" x14ac:dyDescent="0.25">
      <c r="B160" s="167" t="s">
        <v>129</v>
      </c>
      <c r="C160" s="151">
        <f>C121+C131+C140+C149+C112</f>
        <v>0</v>
      </c>
      <c r="D160" s="151">
        <f t="shared" ref="D160:N160" si="64">D121+D131+D140+D149+D112</f>
        <v>0</v>
      </c>
      <c r="E160" s="151">
        <f t="shared" si="64"/>
        <v>0</v>
      </c>
      <c r="F160" s="151">
        <f t="shared" si="64"/>
        <v>0</v>
      </c>
      <c r="G160" s="151">
        <f t="shared" si="64"/>
        <v>0</v>
      </c>
      <c r="H160" s="151">
        <f t="shared" si="64"/>
        <v>0</v>
      </c>
      <c r="I160" s="151">
        <f t="shared" si="64"/>
        <v>0</v>
      </c>
      <c r="J160" s="151">
        <f t="shared" si="64"/>
        <v>0</v>
      </c>
      <c r="K160" s="151">
        <f t="shared" si="64"/>
        <v>0</v>
      </c>
      <c r="L160" s="151">
        <f t="shared" si="64"/>
        <v>0</v>
      </c>
      <c r="M160" s="151">
        <f t="shared" si="64"/>
        <v>0</v>
      </c>
      <c r="N160" s="151">
        <f t="shared" si="64"/>
        <v>0</v>
      </c>
      <c r="O160" s="152">
        <f t="shared" si="61"/>
        <v>0</v>
      </c>
    </row>
    <row r="161" spans="1:15" ht="20.100000000000001" customHeight="1" x14ac:dyDescent="0.25">
      <c r="B161" s="167" t="s">
        <v>42</v>
      </c>
      <c r="C161" s="151">
        <f t="shared" ref="C161:N162" si="65">C122+C132+C141+C150+C113</f>
        <v>0</v>
      </c>
      <c r="D161" s="151">
        <f t="shared" si="65"/>
        <v>0</v>
      </c>
      <c r="E161" s="151">
        <f t="shared" si="65"/>
        <v>0</v>
      </c>
      <c r="F161" s="151">
        <f t="shared" si="65"/>
        <v>0</v>
      </c>
      <c r="G161" s="151">
        <f t="shared" si="65"/>
        <v>0</v>
      </c>
      <c r="H161" s="151">
        <f t="shared" si="65"/>
        <v>0</v>
      </c>
      <c r="I161" s="151">
        <f t="shared" si="65"/>
        <v>0</v>
      </c>
      <c r="J161" s="151">
        <f t="shared" si="65"/>
        <v>0</v>
      </c>
      <c r="K161" s="151">
        <f t="shared" si="65"/>
        <v>0</v>
      </c>
      <c r="L161" s="151">
        <f t="shared" si="65"/>
        <v>0</v>
      </c>
      <c r="M161" s="151">
        <f t="shared" si="65"/>
        <v>0</v>
      </c>
      <c r="N161" s="151">
        <f t="shared" si="65"/>
        <v>0</v>
      </c>
      <c r="O161" s="152">
        <f t="shared" si="61"/>
        <v>0</v>
      </c>
    </row>
    <row r="162" spans="1:15" ht="20.100000000000001" customHeight="1" x14ac:dyDescent="0.25">
      <c r="B162" s="167" t="s">
        <v>40</v>
      </c>
      <c r="C162" s="151">
        <f t="shared" si="65"/>
        <v>0</v>
      </c>
      <c r="D162" s="151">
        <f t="shared" si="65"/>
        <v>0</v>
      </c>
      <c r="E162" s="151">
        <f t="shared" si="65"/>
        <v>0</v>
      </c>
      <c r="F162" s="151">
        <f t="shared" si="65"/>
        <v>0</v>
      </c>
      <c r="G162" s="151">
        <f t="shared" si="65"/>
        <v>0</v>
      </c>
      <c r="H162" s="151">
        <f t="shared" si="65"/>
        <v>0</v>
      </c>
      <c r="I162" s="151">
        <f t="shared" si="65"/>
        <v>0</v>
      </c>
      <c r="J162" s="151">
        <f t="shared" si="65"/>
        <v>0</v>
      </c>
      <c r="K162" s="151">
        <f t="shared" si="65"/>
        <v>0</v>
      </c>
      <c r="L162" s="151">
        <f t="shared" si="65"/>
        <v>0</v>
      </c>
      <c r="M162" s="151">
        <f t="shared" si="65"/>
        <v>0</v>
      </c>
      <c r="N162" s="151">
        <f t="shared" si="65"/>
        <v>0</v>
      </c>
      <c r="O162" s="152">
        <f t="shared" si="61"/>
        <v>0</v>
      </c>
    </row>
    <row r="163" spans="1:15" ht="20.100000000000001" customHeight="1" x14ac:dyDescent="0.25">
      <c r="B163" s="168" t="s">
        <v>99</v>
      </c>
      <c r="C163" s="152">
        <f t="shared" ref="C163:N163" si="66">SUM(C155:C162)</f>
        <v>0</v>
      </c>
      <c r="D163" s="152">
        <f t="shared" si="66"/>
        <v>0</v>
      </c>
      <c r="E163" s="152">
        <f t="shared" si="66"/>
        <v>0</v>
      </c>
      <c r="F163" s="152">
        <f t="shared" si="66"/>
        <v>0</v>
      </c>
      <c r="G163" s="152">
        <f t="shared" si="66"/>
        <v>0</v>
      </c>
      <c r="H163" s="152">
        <f t="shared" si="66"/>
        <v>0</v>
      </c>
      <c r="I163" s="152">
        <f t="shared" si="66"/>
        <v>0</v>
      </c>
      <c r="J163" s="152">
        <f t="shared" si="66"/>
        <v>0</v>
      </c>
      <c r="K163" s="152">
        <f t="shared" si="66"/>
        <v>0</v>
      </c>
      <c r="L163" s="152">
        <f t="shared" si="66"/>
        <v>0</v>
      </c>
      <c r="M163" s="152">
        <f t="shared" si="66"/>
        <v>0</v>
      </c>
      <c r="N163" s="152">
        <f t="shared" si="66"/>
        <v>0</v>
      </c>
      <c r="O163" s="152">
        <f>SUM(C163:N163)</f>
        <v>0</v>
      </c>
    </row>
    <row r="165" spans="1:15" ht="20.100000000000001" customHeight="1" x14ac:dyDescent="0.25">
      <c r="B165" s="162" t="s">
        <v>136</v>
      </c>
    </row>
    <row r="167" spans="1:15" ht="20.100000000000001" customHeight="1" x14ac:dyDescent="0.25">
      <c r="B167" s="169" t="s">
        <v>131</v>
      </c>
      <c r="C167" s="155">
        <f>IF(C5&gt;TabS!$G$9,C34+R34,C34)</f>
        <v>0</v>
      </c>
      <c r="D167" s="155">
        <f>IF(D5&gt;TabS!$G$9,D34+S34,D34)</f>
        <v>0</v>
      </c>
      <c r="E167" s="155">
        <f>IF(E5&gt;TabS!$G$9,E34+T34,E34)</f>
        <v>0</v>
      </c>
      <c r="F167" s="155">
        <f>IF(F5&gt;TabS!$G$9,F34+U34,F34)</f>
        <v>0</v>
      </c>
      <c r="G167" s="155">
        <f>IF(G5&gt;TabS!$G$9,G34+V34,G34)</f>
        <v>0</v>
      </c>
      <c r="H167" s="155">
        <f>IF(H5&gt;TabS!$G$9,H34+W34,H34)</f>
        <v>0</v>
      </c>
      <c r="I167" s="155">
        <f>IF(I5&gt;TabS!$G$9,I34+X34,I34)</f>
        <v>0</v>
      </c>
      <c r="J167" s="155">
        <f>IF(J5&gt;TabS!$G$9,J34+Y34,J34)</f>
        <v>0</v>
      </c>
      <c r="K167" s="155">
        <f>IF(K5&gt;TabS!$G$9,K34+Z34,K34)</f>
        <v>0</v>
      </c>
      <c r="L167" s="155">
        <f>IF(L5&gt;TabS!$G$9,L34+AA34,L34)</f>
        <v>0</v>
      </c>
      <c r="M167" s="155">
        <f>IF(M5&gt;TabS!$G$9,M34+AB34,M34)</f>
        <v>0</v>
      </c>
      <c r="N167" s="155">
        <f>IF(N5&gt;TabS!$G$9,N34+AC34,N34)</f>
        <v>0</v>
      </c>
      <c r="O167" s="133"/>
    </row>
    <row r="168" spans="1:15" ht="20.100000000000001" customHeight="1" x14ac:dyDescent="0.25">
      <c r="B168" s="19" t="s">
        <v>132</v>
      </c>
      <c r="C168" s="154">
        <v>0.14925369999999999</v>
      </c>
    </row>
    <row r="169" spans="1:15" ht="20.100000000000001" customHeight="1" x14ac:dyDescent="0.25">
      <c r="B169" s="169" t="s">
        <v>133</v>
      </c>
      <c r="C169" s="156">
        <f>C167-5%</f>
        <v>-0.05</v>
      </c>
      <c r="D169" s="156">
        <f t="shared" ref="D169:N169" si="67">D167-5%</f>
        <v>-0.05</v>
      </c>
      <c r="E169" s="156">
        <f t="shared" si="67"/>
        <v>-0.05</v>
      </c>
      <c r="F169" s="156">
        <f t="shared" si="67"/>
        <v>-0.05</v>
      </c>
      <c r="G169" s="156">
        <f t="shared" si="67"/>
        <v>-0.05</v>
      </c>
      <c r="H169" s="156">
        <f t="shared" si="67"/>
        <v>-0.05</v>
      </c>
      <c r="I169" s="156">
        <f t="shared" si="67"/>
        <v>-0.05</v>
      </c>
      <c r="J169" s="156">
        <f t="shared" si="67"/>
        <v>-0.05</v>
      </c>
      <c r="K169" s="156">
        <f t="shared" si="67"/>
        <v>-0.05</v>
      </c>
      <c r="L169" s="156">
        <f t="shared" si="67"/>
        <v>-0.05</v>
      </c>
      <c r="M169" s="156">
        <f t="shared" si="67"/>
        <v>-0.05</v>
      </c>
      <c r="N169" s="156">
        <f t="shared" si="67"/>
        <v>-0.05</v>
      </c>
    </row>
    <row r="171" spans="1:15" ht="20.100000000000001" customHeight="1" x14ac:dyDescent="0.25">
      <c r="B171" s="149" t="s">
        <v>82</v>
      </c>
      <c r="C171" s="149" t="s">
        <v>83</v>
      </c>
      <c r="D171" s="149" t="s">
        <v>84</v>
      </c>
      <c r="E171" s="149" t="s">
        <v>85</v>
      </c>
      <c r="F171" s="149" t="s">
        <v>86</v>
      </c>
      <c r="G171" s="149" t="s">
        <v>87</v>
      </c>
      <c r="H171" s="149" t="s">
        <v>88</v>
      </c>
      <c r="I171" s="149" t="s">
        <v>89</v>
      </c>
      <c r="J171" s="149" t="s">
        <v>90</v>
      </c>
      <c r="K171" s="149" t="s">
        <v>91</v>
      </c>
      <c r="L171" s="149" t="s">
        <v>92</v>
      </c>
      <c r="M171" s="149" t="s">
        <v>93</v>
      </c>
      <c r="N171" s="149" t="s">
        <v>94</v>
      </c>
      <c r="O171" s="149" t="s">
        <v>95</v>
      </c>
    </row>
    <row r="172" spans="1:15" ht="20.100000000000001" customHeight="1" x14ac:dyDescent="0.25">
      <c r="A172" s="157">
        <v>4.1799999999999997E-2</v>
      </c>
      <c r="B172" s="9" t="s">
        <v>35</v>
      </c>
      <c r="C172" s="158" t="b">
        <f>IF(C$167&gt;$C$168,C$169*$A172)</f>
        <v>0</v>
      </c>
      <c r="D172" s="158" t="b">
        <f t="shared" ref="D172:N172" si="68">IF(D$167&gt;$C$168,D$169*$A172)</f>
        <v>0</v>
      </c>
      <c r="E172" s="158" t="b">
        <f t="shared" si="68"/>
        <v>0</v>
      </c>
      <c r="F172" s="158" t="b">
        <f t="shared" si="68"/>
        <v>0</v>
      </c>
      <c r="G172" s="158" t="b">
        <f t="shared" si="68"/>
        <v>0</v>
      </c>
      <c r="H172" s="158" t="b">
        <f t="shared" si="68"/>
        <v>0</v>
      </c>
      <c r="I172" s="158" t="b">
        <f t="shared" si="68"/>
        <v>0</v>
      </c>
      <c r="J172" s="158" t="b">
        <f t="shared" si="68"/>
        <v>0</v>
      </c>
      <c r="K172" s="158" t="b">
        <f t="shared" si="68"/>
        <v>0</v>
      </c>
      <c r="L172" s="158" t="b">
        <f t="shared" si="68"/>
        <v>0</v>
      </c>
      <c r="M172" s="158" t="b">
        <f t="shared" si="68"/>
        <v>0</v>
      </c>
      <c r="N172" s="158" t="b">
        <f t="shared" si="68"/>
        <v>0</v>
      </c>
    </row>
    <row r="173" spans="1:15" ht="20.100000000000001" customHeight="1" x14ac:dyDescent="0.25">
      <c r="A173" s="157">
        <v>0.1928</v>
      </c>
      <c r="B173" s="9" t="s">
        <v>36</v>
      </c>
      <c r="C173" s="158" t="b">
        <f t="shared" ref="C173:N177" si="69">IF(C$167&gt;$C$168,C$169*$A173)</f>
        <v>0</v>
      </c>
      <c r="D173" s="158" t="b">
        <f t="shared" si="69"/>
        <v>0</v>
      </c>
      <c r="E173" s="158" t="b">
        <f t="shared" si="69"/>
        <v>0</v>
      </c>
      <c r="F173" s="158" t="b">
        <f t="shared" si="69"/>
        <v>0</v>
      </c>
      <c r="G173" s="158" t="b">
        <f t="shared" si="69"/>
        <v>0</v>
      </c>
      <c r="H173" s="158" t="b">
        <f t="shared" si="69"/>
        <v>0</v>
      </c>
      <c r="I173" s="158" t="b">
        <f t="shared" si="69"/>
        <v>0</v>
      </c>
      <c r="J173" s="158" t="b">
        <f t="shared" si="69"/>
        <v>0</v>
      </c>
      <c r="K173" s="158" t="b">
        <f t="shared" si="69"/>
        <v>0</v>
      </c>
      <c r="L173" s="158" t="b">
        <f t="shared" si="69"/>
        <v>0</v>
      </c>
      <c r="M173" s="158" t="b">
        <f t="shared" si="69"/>
        <v>0</v>
      </c>
      <c r="N173" s="158" t="b">
        <f t="shared" si="69"/>
        <v>0</v>
      </c>
    </row>
    <row r="174" spans="1:15" ht="20.100000000000001" customHeight="1" x14ac:dyDescent="0.25">
      <c r="A174" s="157">
        <v>0.05</v>
      </c>
      <c r="B174" s="9" t="s">
        <v>39</v>
      </c>
      <c r="C174" s="158">
        <v>0.05</v>
      </c>
      <c r="D174" s="158">
        <v>0.05</v>
      </c>
      <c r="E174" s="158">
        <v>0.05</v>
      </c>
      <c r="F174" s="158">
        <v>0.05</v>
      </c>
      <c r="G174" s="158">
        <v>0.05</v>
      </c>
      <c r="H174" s="158">
        <v>0.05</v>
      </c>
      <c r="I174" s="158">
        <v>0.05</v>
      </c>
      <c r="J174" s="158">
        <v>0.05</v>
      </c>
      <c r="K174" s="158">
        <v>0.05</v>
      </c>
      <c r="L174" s="158">
        <v>0.05</v>
      </c>
      <c r="M174" s="158">
        <v>0.05</v>
      </c>
      <c r="N174" s="158">
        <v>0.05</v>
      </c>
    </row>
    <row r="175" spans="1:15" ht="20.100000000000001" customHeight="1" x14ac:dyDescent="0.25">
      <c r="A175" s="157">
        <v>0.65259999999999996</v>
      </c>
      <c r="B175" s="9" t="s">
        <v>129</v>
      </c>
      <c r="C175" s="158" t="b">
        <f t="shared" si="69"/>
        <v>0</v>
      </c>
      <c r="D175" s="158" t="b">
        <f t="shared" si="69"/>
        <v>0</v>
      </c>
      <c r="E175" s="158" t="b">
        <f t="shared" si="69"/>
        <v>0</v>
      </c>
      <c r="F175" s="158" t="b">
        <f t="shared" si="69"/>
        <v>0</v>
      </c>
      <c r="G175" s="158" t="b">
        <f t="shared" si="69"/>
        <v>0</v>
      </c>
      <c r="H175" s="158" t="b">
        <f t="shared" si="69"/>
        <v>0</v>
      </c>
      <c r="I175" s="158" t="b">
        <f t="shared" si="69"/>
        <v>0</v>
      </c>
      <c r="J175" s="158" t="b">
        <f t="shared" si="69"/>
        <v>0</v>
      </c>
      <c r="K175" s="158" t="b">
        <f t="shared" si="69"/>
        <v>0</v>
      </c>
      <c r="L175" s="158" t="b">
        <f t="shared" si="69"/>
        <v>0</v>
      </c>
      <c r="M175" s="158" t="b">
        <f t="shared" si="69"/>
        <v>0</v>
      </c>
      <c r="N175" s="158" t="b">
        <f t="shared" si="69"/>
        <v>0</v>
      </c>
    </row>
    <row r="176" spans="1:15" ht="20.100000000000001" customHeight="1" x14ac:dyDescent="0.25">
      <c r="A176" s="157">
        <v>5.2600000000000001E-2</v>
      </c>
      <c r="B176" s="9" t="s">
        <v>42</v>
      </c>
      <c r="C176" s="158" t="b">
        <f t="shared" si="69"/>
        <v>0</v>
      </c>
      <c r="D176" s="158" t="b">
        <f t="shared" si="69"/>
        <v>0</v>
      </c>
      <c r="E176" s="158" t="b">
        <f t="shared" si="69"/>
        <v>0</v>
      </c>
      <c r="F176" s="158" t="b">
        <f t="shared" si="69"/>
        <v>0</v>
      </c>
      <c r="G176" s="158" t="b">
        <f t="shared" si="69"/>
        <v>0</v>
      </c>
      <c r="H176" s="158" t="b">
        <f t="shared" si="69"/>
        <v>0</v>
      </c>
      <c r="I176" s="158" t="b">
        <f t="shared" si="69"/>
        <v>0</v>
      </c>
      <c r="J176" s="158" t="b">
        <f t="shared" si="69"/>
        <v>0</v>
      </c>
      <c r="K176" s="158" t="b">
        <f t="shared" si="69"/>
        <v>0</v>
      </c>
      <c r="L176" s="158" t="b">
        <f t="shared" si="69"/>
        <v>0</v>
      </c>
      <c r="M176" s="158" t="b">
        <f t="shared" si="69"/>
        <v>0</v>
      </c>
      <c r="N176" s="158" t="b">
        <f t="shared" si="69"/>
        <v>0</v>
      </c>
    </row>
    <row r="177" spans="1:15" ht="20.100000000000001" customHeight="1" x14ac:dyDescent="0.25">
      <c r="A177" s="157">
        <v>6.0199999999999997E-2</v>
      </c>
      <c r="B177" s="9" t="s">
        <v>134</v>
      </c>
      <c r="C177" s="158" t="b">
        <f t="shared" si="69"/>
        <v>0</v>
      </c>
      <c r="D177" s="158" t="b">
        <f t="shared" si="69"/>
        <v>0</v>
      </c>
      <c r="E177" s="158" t="b">
        <f t="shared" si="69"/>
        <v>0</v>
      </c>
      <c r="F177" s="158" t="b">
        <f t="shared" si="69"/>
        <v>0</v>
      </c>
      <c r="G177" s="158" t="b">
        <f t="shared" si="69"/>
        <v>0</v>
      </c>
      <c r="H177" s="158" t="b">
        <f t="shared" si="69"/>
        <v>0</v>
      </c>
      <c r="I177" s="158" t="b">
        <f t="shared" si="69"/>
        <v>0</v>
      </c>
      <c r="J177" s="158" t="b">
        <f t="shared" si="69"/>
        <v>0</v>
      </c>
      <c r="K177" s="158" t="b">
        <f t="shared" si="69"/>
        <v>0</v>
      </c>
      <c r="L177" s="158" t="b">
        <f t="shared" si="69"/>
        <v>0</v>
      </c>
      <c r="M177" s="158" t="b">
        <f t="shared" si="69"/>
        <v>0</v>
      </c>
      <c r="N177" s="158" t="b">
        <f t="shared" si="69"/>
        <v>0</v>
      </c>
    </row>
    <row r="179" spans="1:15" ht="20.100000000000001" customHeight="1" x14ac:dyDescent="0.25">
      <c r="B179" s="169" t="s">
        <v>135</v>
      </c>
      <c r="C179" s="159">
        <f>C31</f>
        <v>0</v>
      </c>
      <c r="D179" s="159">
        <f t="shared" ref="D179:N179" si="70">D31</f>
        <v>0</v>
      </c>
      <c r="E179" s="159">
        <f t="shared" si="70"/>
        <v>0</v>
      </c>
      <c r="F179" s="159">
        <f t="shared" si="70"/>
        <v>0</v>
      </c>
      <c r="G179" s="159">
        <f t="shared" si="70"/>
        <v>0</v>
      </c>
      <c r="H179" s="159">
        <f t="shared" si="70"/>
        <v>0</v>
      </c>
      <c r="I179" s="159">
        <f t="shared" si="70"/>
        <v>0</v>
      </c>
      <c r="J179" s="159">
        <f t="shared" si="70"/>
        <v>0</v>
      </c>
      <c r="K179" s="159">
        <f t="shared" si="70"/>
        <v>0</v>
      </c>
      <c r="L179" s="159">
        <f t="shared" si="70"/>
        <v>0</v>
      </c>
      <c r="M179" s="159">
        <f t="shared" si="70"/>
        <v>0</v>
      </c>
      <c r="N179" s="159">
        <f t="shared" si="70"/>
        <v>0</v>
      </c>
      <c r="O179" s="152">
        <f>SUM(C179:N179)</f>
        <v>0</v>
      </c>
    </row>
    <row r="180" spans="1:15" ht="20.100000000000001" customHeight="1" x14ac:dyDescent="0.25">
      <c r="B180" s="9" t="s">
        <v>35</v>
      </c>
      <c r="C180" s="151">
        <f>IFERROR(C$179*C172,0)</f>
        <v>0</v>
      </c>
      <c r="D180" s="151">
        <f t="shared" ref="D180:N180" si="71">IFERROR(D$179*D172,0)</f>
        <v>0</v>
      </c>
      <c r="E180" s="151">
        <f t="shared" si="71"/>
        <v>0</v>
      </c>
      <c r="F180" s="151">
        <f t="shared" si="71"/>
        <v>0</v>
      </c>
      <c r="G180" s="151">
        <f t="shared" si="71"/>
        <v>0</v>
      </c>
      <c r="H180" s="151">
        <f t="shared" si="71"/>
        <v>0</v>
      </c>
      <c r="I180" s="151">
        <f t="shared" si="71"/>
        <v>0</v>
      </c>
      <c r="J180" s="151">
        <f t="shared" si="71"/>
        <v>0</v>
      </c>
      <c r="K180" s="151">
        <f t="shared" si="71"/>
        <v>0</v>
      </c>
      <c r="L180" s="151">
        <f t="shared" si="71"/>
        <v>0</v>
      </c>
      <c r="M180" s="151">
        <f t="shared" si="71"/>
        <v>0</v>
      </c>
      <c r="N180" s="151">
        <f t="shared" si="71"/>
        <v>0</v>
      </c>
      <c r="O180" s="152">
        <f t="shared" ref="O180:O185" si="72">SUM(C180:N180)</f>
        <v>0</v>
      </c>
    </row>
    <row r="181" spans="1:15" ht="20.100000000000001" customHeight="1" x14ac:dyDescent="0.25">
      <c r="B181" s="9" t="s">
        <v>36</v>
      </c>
      <c r="C181" s="151">
        <f t="shared" ref="C181:N185" si="73">IFERROR(C$179*C173,0)</f>
        <v>0</v>
      </c>
      <c r="D181" s="151">
        <f t="shared" si="73"/>
        <v>0</v>
      </c>
      <c r="E181" s="151">
        <f t="shared" si="73"/>
        <v>0</v>
      </c>
      <c r="F181" s="151">
        <f t="shared" si="73"/>
        <v>0</v>
      </c>
      <c r="G181" s="151">
        <f t="shared" si="73"/>
        <v>0</v>
      </c>
      <c r="H181" s="151">
        <f t="shared" si="73"/>
        <v>0</v>
      </c>
      <c r="I181" s="151">
        <f t="shared" si="73"/>
        <v>0</v>
      </c>
      <c r="J181" s="151">
        <f t="shared" si="73"/>
        <v>0</v>
      </c>
      <c r="K181" s="151">
        <f t="shared" si="73"/>
        <v>0</v>
      </c>
      <c r="L181" s="151">
        <f t="shared" si="73"/>
        <v>0</v>
      </c>
      <c r="M181" s="151">
        <f t="shared" si="73"/>
        <v>0</v>
      </c>
      <c r="N181" s="151">
        <f t="shared" si="73"/>
        <v>0</v>
      </c>
      <c r="O181" s="152">
        <f t="shared" si="72"/>
        <v>0</v>
      </c>
    </row>
    <row r="182" spans="1:15" ht="20.100000000000001" customHeight="1" x14ac:dyDescent="0.25">
      <c r="B182" s="9" t="s">
        <v>39</v>
      </c>
      <c r="C182" s="151">
        <f t="shared" si="73"/>
        <v>0</v>
      </c>
      <c r="D182" s="151">
        <f t="shared" si="73"/>
        <v>0</v>
      </c>
      <c r="E182" s="151">
        <f t="shared" si="73"/>
        <v>0</v>
      </c>
      <c r="F182" s="151">
        <f t="shared" si="73"/>
        <v>0</v>
      </c>
      <c r="G182" s="151">
        <f t="shared" si="73"/>
        <v>0</v>
      </c>
      <c r="H182" s="151">
        <f t="shared" si="73"/>
        <v>0</v>
      </c>
      <c r="I182" s="151">
        <f t="shared" si="73"/>
        <v>0</v>
      </c>
      <c r="J182" s="151">
        <f t="shared" si="73"/>
        <v>0</v>
      </c>
      <c r="K182" s="151">
        <f t="shared" si="73"/>
        <v>0</v>
      </c>
      <c r="L182" s="151">
        <f t="shared" si="73"/>
        <v>0</v>
      </c>
      <c r="M182" s="151">
        <f t="shared" si="73"/>
        <v>0</v>
      </c>
      <c r="N182" s="151">
        <f t="shared" si="73"/>
        <v>0</v>
      </c>
      <c r="O182" s="152">
        <f t="shared" si="72"/>
        <v>0</v>
      </c>
    </row>
    <row r="183" spans="1:15" ht="20.100000000000001" customHeight="1" x14ac:dyDescent="0.25">
      <c r="B183" s="9" t="s">
        <v>129</v>
      </c>
      <c r="C183" s="151">
        <f t="shared" si="73"/>
        <v>0</v>
      </c>
      <c r="D183" s="151">
        <f t="shared" si="73"/>
        <v>0</v>
      </c>
      <c r="E183" s="151">
        <f t="shared" si="73"/>
        <v>0</v>
      </c>
      <c r="F183" s="151">
        <f t="shared" si="73"/>
        <v>0</v>
      </c>
      <c r="G183" s="151">
        <f t="shared" si="73"/>
        <v>0</v>
      </c>
      <c r="H183" s="151">
        <f t="shared" si="73"/>
        <v>0</v>
      </c>
      <c r="I183" s="151">
        <f t="shared" si="73"/>
        <v>0</v>
      </c>
      <c r="J183" s="151">
        <f t="shared" si="73"/>
        <v>0</v>
      </c>
      <c r="K183" s="151">
        <f t="shared" si="73"/>
        <v>0</v>
      </c>
      <c r="L183" s="151">
        <f t="shared" si="73"/>
        <v>0</v>
      </c>
      <c r="M183" s="151">
        <f t="shared" si="73"/>
        <v>0</v>
      </c>
      <c r="N183" s="151">
        <f t="shared" si="73"/>
        <v>0</v>
      </c>
      <c r="O183" s="152">
        <f t="shared" si="72"/>
        <v>0</v>
      </c>
    </row>
    <row r="184" spans="1:15" ht="20.100000000000001" customHeight="1" x14ac:dyDescent="0.25">
      <c r="B184" s="9" t="s">
        <v>42</v>
      </c>
      <c r="C184" s="151">
        <f t="shared" si="73"/>
        <v>0</v>
      </c>
      <c r="D184" s="151">
        <f t="shared" si="73"/>
        <v>0</v>
      </c>
      <c r="E184" s="151">
        <f t="shared" si="73"/>
        <v>0</v>
      </c>
      <c r="F184" s="151">
        <f t="shared" si="73"/>
        <v>0</v>
      </c>
      <c r="G184" s="151">
        <f t="shared" si="73"/>
        <v>0</v>
      </c>
      <c r="H184" s="151">
        <f t="shared" si="73"/>
        <v>0</v>
      </c>
      <c r="I184" s="151">
        <f t="shared" si="73"/>
        <v>0</v>
      </c>
      <c r="J184" s="151">
        <f t="shared" si="73"/>
        <v>0</v>
      </c>
      <c r="K184" s="151">
        <f t="shared" si="73"/>
        <v>0</v>
      </c>
      <c r="L184" s="151">
        <f t="shared" si="73"/>
        <v>0</v>
      </c>
      <c r="M184" s="151">
        <f t="shared" si="73"/>
        <v>0</v>
      </c>
      <c r="N184" s="151">
        <f t="shared" si="73"/>
        <v>0</v>
      </c>
      <c r="O184" s="152">
        <f t="shared" si="72"/>
        <v>0</v>
      </c>
    </row>
    <row r="185" spans="1:15" ht="20.100000000000001" customHeight="1" x14ac:dyDescent="0.25">
      <c r="B185" s="9" t="s">
        <v>134</v>
      </c>
      <c r="C185" s="151">
        <f t="shared" si="73"/>
        <v>0</v>
      </c>
      <c r="D185" s="151">
        <f t="shared" si="73"/>
        <v>0</v>
      </c>
      <c r="E185" s="151">
        <f t="shared" si="73"/>
        <v>0</v>
      </c>
      <c r="F185" s="151">
        <f t="shared" si="73"/>
        <v>0</v>
      </c>
      <c r="G185" s="151">
        <f t="shared" si="73"/>
        <v>0</v>
      </c>
      <c r="H185" s="151">
        <f t="shared" si="73"/>
        <v>0</v>
      </c>
      <c r="I185" s="151">
        <f t="shared" si="73"/>
        <v>0</v>
      </c>
      <c r="J185" s="151">
        <f t="shared" si="73"/>
        <v>0</v>
      </c>
      <c r="K185" s="151">
        <f t="shared" si="73"/>
        <v>0</v>
      </c>
      <c r="L185" s="151">
        <f t="shared" si="73"/>
        <v>0</v>
      </c>
      <c r="M185" s="151">
        <f t="shared" si="73"/>
        <v>0</v>
      </c>
      <c r="N185" s="151">
        <f t="shared" si="73"/>
        <v>0</v>
      </c>
      <c r="O185" s="152">
        <f t="shared" si="72"/>
        <v>0</v>
      </c>
    </row>
    <row r="186" spans="1:15" ht="20.100000000000001" customHeight="1" x14ac:dyDescent="0.25">
      <c r="B186" s="168" t="s">
        <v>99</v>
      </c>
      <c r="C186" s="152">
        <f>SUM(C180:C185)</f>
        <v>0</v>
      </c>
      <c r="D186" s="152">
        <f t="shared" ref="D186:N186" si="74">SUM(D180:D185)</f>
        <v>0</v>
      </c>
      <c r="E186" s="152">
        <f t="shared" si="74"/>
        <v>0</v>
      </c>
      <c r="F186" s="152">
        <f t="shared" si="74"/>
        <v>0</v>
      </c>
      <c r="G186" s="152">
        <f t="shared" si="74"/>
        <v>0</v>
      </c>
      <c r="H186" s="152">
        <f t="shared" si="74"/>
        <v>0</v>
      </c>
      <c r="I186" s="152">
        <f t="shared" si="74"/>
        <v>0</v>
      </c>
      <c r="J186" s="152">
        <f t="shared" si="74"/>
        <v>0</v>
      </c>
      <c r="K186" s="152">
        <f t="shared" si="74"/>
        <v>0</v>
      </c>
      <c r="L186" s="152">
        <f t="shared" si="74"/>
        <v>0</v>
      </c>
      <c r="M186" s="152">
        <f t="shared" si="74"/>
        <v>0</v>
      </c>
      <c r="N186" s="152">
        <f t="shared" si="74"/>
        <v>0</v>
      </c>
      <c r="O186" s="152">
        <f>SUM(C186:N186)</f>
        <v>0</v>
      </c>
    </row>
    <row r="188" spans="1:15" ht="20.100000000000001" customHeight="1" x14ac:dyDescent="0.25">
      <c r="B188" s="162" t="s">
        <v>137</v>
      </c>
    </row>
    <row r="190" spans="1:15" ht="20.100000000000001" customHeight="1" x14ac:dyDescent="0.25">
      <c r="B190" s="169" t="s">
        <v>131</v>
      </c>
      <c r="C190" s="155">
        <f>C41</f>
        <v>0</v>
      </c>
      <c r="D190" s="155">
        <f t="shared" ref="D190:N190" si="75">D41</f>
        <v>0</v>
      </c>
      <c r="E190" s="155">
        <f t="shared" si="75"/>
        <v>0</v>
      </c>
      <c r="F190" s="155">
        <f t="shared" si="75"/>
        <v>0</v>
      </c>
      <c r="G190" s="155">
        <f t="shared" si="75"/>
        <v>0</v>
      </c>
      <c r="H190" s="155">
        <f t="shared" si="75"/>
        <v>0</v>
      </c>
      <c r="I190" s="155">
        <f t="shared" si="75"/>
        <v>0</v>
      </c>
      <c r="J190" s="155">
        <f t="shared" si="75"/>
        <v>0</v>
      </c>
      <c r="K190" s="155">
        <f t="shared" si="75"/>
        <v>0</v>
      </c>
      <c r="L190" s="155">
        <f t="shared" si="75"/>
        <v>0</v>
      </c>
      <c r="M190" s="155">
        <f t="shared" si="75"/>
        <v>0</v>
      </c>
      <c r="N190" s="155">
        <f t="shared" si="75"/>
        <v>0</v>
      </c>
    </row>
    <row r="191" spans="1:15" ht="20.100000000000001" customHeight="1" x14ac:dyDescent="0.25">
      <c r="B191" s="19" t="s">
        <v>132</v>
      </c>
      <c r="C191" s="154">
        <v>0.125</v>
      </c>
    </row>
    <row r="192" spans="1:15" ht="20.100000000000001" customHeight="1" x14ac:dyDescent="0.25">
      <c r="B192" s="169" t="s">
        <v>133</v>
      </c>
      <c r="C192" s="156">
        <f>C190-5%</f>
        <v>-0.05</v>
      </c>
      <c r="D192" s="156">
        <f t="shared" ref="D192:N192" si="76">D190-5%</f>
        <v>-0.05</v>
      </c>
      <c r="E192" s="156">
        <f t="shared" si="76"/>
        <v>-0.05</v>
      </c>
      <c r="F192" s="156">
        <f t="shared" si="76"/>
        <v>-0.05</v>
      </c>
      <c r="G192" s="156">
        <f t="shared" si="76"/>
        <v>-0.05</v>
      </c>
      <c r="H192" s="156">
        <f t="shared" si="76"/>
        <v>-0.05</v>
      </c>
      <c r="I192" s="156">
        <f t="shared" si="76"/>
        <v>-0.05</v>
      </c>
      <c r="J192" s="156">
        <f t="shared" si="76"/>
        <v>-0.05</v>
      </c>
      <c r="K192" s="156">
        <f t="shared" si="76"/>
        <v>-0.05</v>
      </c>
      <c r="L192" s="156">
        <f t="shared" si="76"/>
        <v>-0.05</v>
      </c>
      <c r="M192" s="156">
        <f t="shared" si="76"/>
        <v>-0.05</v>
      </c>
      <c r="N192" s="156">
        <f t="shared" si="76"/>
        <v>-0.05</v>
      </c>
    </row>
    <row r="194" spans="1:15" ht="20.100000000000001" customHeight="1" x14ac:dyDescent="0.25">
      <c r="B194" s="149" t="s">
        <v>82</v>
      </c>
      <c r="C194" s="149" t="s">
        <v>83</v>
      </c>
      <c r="D194" s="149" t="s">
        <v>84</v>
      </c>
      <c r="E194" s="149" t="s">
        <v>85</v>
      </c>
      <c r="F194" s="149" t="s">
        <v>86</v>
      </c>
      <c r="G194" s="149" t="s">
        <v>87</v>
      </c>
      <c r="H194" s="149" t="s">
        <v>88</v>
      </c>
      <c r="I194" s="149" t="s">
        <v>89</v>
      </c>
      <c r="J194" s="149" t="s">
        <v>90</v>
      </c>
      <c r="K194" s="149" t="s">
        <v>91</v>
      </c>
      <c r="L194" s="149" t="s">
        <v>92</v>
      </c>
      <c r="M194" s="149" t="s">
        <v>93</v>
      </c>
      <c r="N194" s="149" t="s">
        <v>94</v>
      </c>
    </row>
    <row r="195" spans="1:15" ht="20.100000000000001" customHeight="1" x14ac:dyDescent="0.25">
      <c r="A195" s="157">
        <v>6.54E-2</v>
      </c>
      <c r="B195" s="9" t="s">
        <v>35</v>
      </c>
      <c r="C195" s="158" t="b">
        <f>IF(C$190&gt;$C$191,C$192*$A195)</f>
        <v>0</v>
      </c>
      <c r="D195" s="158" t="b">
        <f t="shared" ref="D195:N195" si="77">IF(D$190&gt;$C$191,D$192*$A195)</f>
        <v>0</v>
      </c>
      <c r="E195" s="158" t="b">
        <f t="shared" si="77"/>
        <v>0</v>
      </c>
      <c r="F195" s="158" t="b">
        <f t="shared" si="77"/>
        <v>0</v>
      </c>
      <c r="G195" s="158" t="b">
        <f t="shared" si="77"/>
        <v>0</v>
      </c>
      <c r="H195" s="158" t="b">
        <f t="shared" si="77"/>
        <v>0</v>
      </c>
      <c r="I195" s="158" t="b">
        <f t="shared" si="77"/>
        <v>0</v>
      </c>
      <c r="J195" s="158" t="b">
        <f t="shared" si="77"/>
        <v>0</v>
      </c>
      <c r="K195" s="158" t="b">
        <f t="shared" si="77"/>
        <v>0</v>
      </c>
      <c r="L195" s="158" t="b">
        <f t="shared" si="77"/>
        <v>0</v>
      </c>
      <c r="M195" s="158" t="b">
        <f t="shared" si="77"/>
        <v>0</v>
      </c>
      <c r="N195" s="158" t="b">
        <f t="shared" si="77"/>
        <v>0</v>
      </c>
    </row>
    <row r="196" spans="1:15" ht="20.100000000000001" customHeight="1" x14ac:dyDescent="0.25">
      <c r="A196" s="157">
        <v>0.30130000000000001</v>
      </c>
      <c r="B196" s="9" t="s">
        <v>36</v>
      </c>
      <c r="C196" s="158" t="b">
        <f t="shared" ref="C196:N200" si="78">IF(C$190&gt;$C$191,C$192*$A196)</f>
        <v>0</v>
      </c>
      <c r="D196" s="158" t="b">
        <f t="shared" si="78"/>
        <v>0</v>
      </c>
      <c r="E196" s="158" t="b">
        <f t="shared" si="78"/>
        <v>0</v>
      </c>
      <c r="F196" s="158" t="b">
        <f t="shared" si="78"/>
        <v>0</v>
      </c>
      <c r="G196" s="158" t="b">
        <f t="shared" si="78"/>
        <v>0</v>
      </c>
      <c r="H196" s="158" t="b">
        <f t="shared" si="78"/>
        <v>0</v>
      </c>
      <c r="I196" s="158" t="b">
        <f t="shared" si="78"/>
        <v>0</v>
      </c>
      <c r="J196" s="158" t="b">
        <f t="shared" si="78"/>
        <v>0</v>
      </c>
      <c r="K196" s="158" t="b">
        <f t="shared" si="78"/>
        <v>0</v>
      </c>
      <c r="L196" s="158" t="b">
        <f t="shared" si="78"/>
        <v>0</v>
      </c>
      <c r="M196" s="158" t="b">
        <f t="shared" si="78"/>
        <v>0</v>
      </c>
      <c r="N196" s="158" t="b">
        <f t="shared" si="78"/>
        <v>0</v>
      </c>
    </row>
    <row r="197" spans="1:15" ht="20.100000000000001" customHeight="1" x14ac:dyDescent="0.25">
      <c r="A197" s="157">
        <v>0.05</v>
      </c>
      <c r="B197" s="9" t="s">
        <v>39</v>
      </c>
      <c r="C197" s="158">
        <v>0.05</v>
      </c>
      <c r="D197" s="158">
        <v>0.05</v>
      </c>
      <c r="E197" s="158">
        <v>0.05</v>
      </c>
      <c r="F197" s="158">
        <v>0.05</v>
      </c>
      <c r="G197" s="158">
        <v>0.05</v>
      </c>
      <c r="H197" s="158">
        <v>0.05</v>
      </c>
      <c r="I197" s="158">
        <v>0.05</v>
      </c>
      <c r="J197" s="158">
        <v>0.05</v>
      </c>
      <c r="K197" s="158">
        <v>0.05</v>
      </c>
      <c r="L197" s="158">
        <v>0.05</v>
      </c>
      <c r="M197" s="158">
        <v>0.05</v>
      </c>
      <c r="N197" s="158">
        <v>0.05</v>
      </c>
    </row>
    <row r="198" spans="1:15" ht="20.100000000000001" customHeight="1" x14ac:dyDescent="0.25">
      <c r="A198" s="157">
        <v>0</v>
      </c>
      <c r="B198" s="9" t="s">
        <v>129</v>
      </c>
      <c r="C198" s="158" t="b">
        <f t="shared" si="78"/>
        <v>0</v>
      </c>
      <c r="D198" s="158" t="b">
        <f t="shared" si="78"/>
        <v>0</v>
      </c>
      <c r="E198" s="158" t="b">
        <f t="shared" si="78"/>
        <v>0</v>
      </c>
      <c r="F198" s="158" t="b">
        <f t="shared" si="78"/>
        <v>0</v>
      </c>
      <c r="G198" s="158" t="b">
        <f t="shared" si="78"/>
        <v>0</v>
      </c>
      <c r="H198" s="158" t="b">
        <f t="shared" si="78"/>
        <v>0</v>
      </c>
      <c r="I198" s="158" t="b">
        <f t="shared" si="78"/>
        <v>0</v>
      </c>
      <c r="J198" s="158" t="b">
        <f t="shared" si="78"/>
        <v>0</v>
      </c>
      <c r="K198" s="158" t="b">
        <f t="shared" si="78"/>
        <v>0</v>
      </c>
      <c r="L198" s="158" t="b">
        <f t="shared" si="78"/>
        <v>0</v>
      </c>
      <c r="M198" s="158" t="b">
        <f t="shared" si="78"/>
        <v>0</v>
      </c>
      <c r="N198" s="158" t="b">
        <f t="shared" si="78"/>
        <v>0</v>
      </c>
    </row>
    <row r="199" spans="1:15" ht="20.100000000000001" customHeight="1" x14ac:dyDescent="0.25">
      <c r="A199" s="157">
        <v>0.32</v>
      </c>
      <c r="B199" s="9" t="s">
        <v>42</v>
      </c>
      <c r="C199" s="158" t="b">
        <f t="shared" si="78"/>
        <v>0</v>
      </c>
      <c r="D199" s="158" t="b">
        <f t="shared" si="78"/>
        <v>0</v>
      </c>
      <c r="E199" s="158" t="b">
        <f t="shared" si="78"/>
        <v>0</v>
      </c>
      <c r="F199" s="158" t="b">
        <f t="shared" si="78"/>
        <v>0</v>
      </c>
      <c r="G199" s="158" t="b">
        <f t="shared" si="78"/>
        <v>0</v>
      </c>
      <c r="H199" s="158" t="b">
        <f t="shared" si="78"/>
        <v>0</v>
      </c>
      <c r="I199" s="158" t="b">
        <f t="shared" si="78"/>
        <v>0</v>
      </c>
      <c r="J199" s="158" t="b">
        <f t="shared" si="78"/>
        <v>0</v>
      </c>
      <c r="K199" s="158" t="b">
        <f t="shared" si="78"/>
        <v>0</v>
      </c>
      <c r="L199" s="158" t="b">
        <f t="shared" si="78"/>
        <v>0</v>
      </c>
      <c r="M199" s="158" t="b">
        <f t="shared" si="78"/>
        <v>0</v>
      </c>
      <c r="N199" s="158" t="b">
        <f t="shared" si="78"/>
        <v>0</v>
      </c>
    </row>
    <row r="200" spans="1:15" ht="20.100000000000001" customHeight="1" x14ac:dyDescent="0.25">
      <c r="A200" s="157">
        <v>0.31330000000000002</v>
      </c>
      <c r="B200" s="9" t="s">
        <v>134</v>
      </c>
      <c r="C200" s="158" t="b">
        <f t="shared" si="78"/>
        <v>0</v>
      </c>
      <c r="D200" s="158" t="b">
        <f t="shared" si="78"/>
        <v>0</v>
      </c>
      <c r="E200" s="158" t="b">
        <f t="shared" si="78"/>
        <v>0</v>
      </c>
      <c r="F200" s="158" t="b">
        <f t="shared" si="78"/>
        <v>0</v>
      </c>
      <c r="G200" s="158" t="b">
        <f t="shared" si="78"/>
        <v>0</v>
      </c>
      <c r="H200" s="158" t="b">
        <f t="shared" si="78"/>
        <v>0</v>
      </c>
      <c r="I200" s="158" t="b">
        <f t="shared" si="78"/>
        <v>0</v>
      </c>
      <c r="J200" s="158" t="b">
        <f t="shared" si="78"/>
        <v>0</v>
      </c>
      <c r="K200" s="158" t="b">
        <f t="shared" si="78"/>
        <v>0</v>
      </c>
      <c r="L200" s="158" t="b">
        <f t="shared" si="78"/>
        <v>0</v>
      </c>
      <c r="M200" s="158" t="b">
        <f t="shared" si="78"/>
        <v>0</v>
      </c>
      <c r="N200" s="158" t="b">
        <f t="shared" si="78"/>
        <v>0</v>
      </c>
    </row>
    <row r="202" spans="1:15" ht="20.100000000000001" customHeight="1" x14ac:dyDescent="0.25">
      <c r="B202" s="169" t="s">
        <v>135</v>
      </c>
      <c r="C202" s="159">
        <f>C38</f>
        <v>0</v>
      </c>
      <c r="D202" s="159">
        <f t="shared" ref="D202:N202" si="79">D38</f>
        <v>0</v>
      </c>
      <c r="E202" s="159">
        <f t="shared" si="79"/>
        <v>0</v>
      </c>
      <c r="F202" s="159">
        <f t="shared" si="79"/>
        <v>0</v>
      </c>
      <c r="G202" s="159">
        <f t="shared" si="79"/>
        <v>0</v>
      </c>
      <c r="H202" s="159">
        <f t="shared" si="79"/>
        <v>0</v>
      </c>
      <c r="I202" s="159">
        <f t="shared" si="79"/>
        <v>0</v>
      </c>
      <c r="J202" s="159">
        <f t="shared" si="79"/>
        <v>0</v>
      </c>
      <c r="K202" s="159">
        <f t="shared" si="79"/>
        <v>0</v>
      </c>
      <c r="L202" s="159">
        <f t="shared" si="79"/>
        <v>0</v>
      </c>
      <c r="M202" s="159">
        <f t="shared" si="79"/>
        <v>0</v>
      </c>
      <c r="N202" s="159">
        <f t="shared" si="79"/>
        <v>0</v>
      </c>
      <c r="O202" s="152">
        <f>SUM(C202:N202)</f>
        <v>0</v>
      </c>
    </row>
    <row r="203" spans="1:15" ht="20.100000000000001" customHeight="1" x14ac:dyDescent="0.25">
      <c r="B203" s="9" t="s">
        <v>35</v>
      </c>
      <c r="C203" s="151">
        <f>IFERROR(C$202*C195,0)</f>
        <v>0</v>
      </c>
      <c r="D203" s="151">
        <f t="shared" ref="D203:N203" si="80">IFERROR(D$202*D195,0)</f>
        <v>0</v>
      </c>
      <c r="E203" s="151">
        <f t="shared" si="80"/>
        <v>0</v>
      </c>
      <c r="F203" s="151">
        <f t="shared" si="80"/>
        <v>0</v>
      </c>
      <c r="G203" s="151">
        <f t="shared" si="80"/>
        <v>0</v>
      </c>
      <c r="H203" s="151">
        <f t="shared" si="80"/>
        <v>0</v>
      </c>
      <c r="I203" s="151">
        <f t="shared" si="80"/>
        <v>0</v>
      </c>
      <c r="J203" s="151">
        <f t="shared" si="80"/>
        <v>0</v>
      </c>
      <c r="K203" s="151">
        <f t="shared" si="80"/>
        <v>0</v>
      </c>
      <c r="L203" s="151">
        <f t="shared" si="80"/>
        <v>0</v>
      </c>
      <c r="M203" s="151">
        <f t="shared" si="80"/>
        <v>0</v>
      </c>
      <c r="N203" s="151">
        <f t="shared" si="80"/>
        <v>0</v>
      </c>
      <c r="O203" s="152">
        <f t="shared" ref="O203:O208" si="81">SUM(C203:N203)</f>
        <v>0</v>
      </c>
    </row>
    <row r="204" spans="1:15" ht="20.100000000000001" customHeight="1" x14ac:dyDescent="0.25">
      <c r="B204" s="9" t="s">
        <v>36</v>
      </c>
      <c r="C204" s="151">
        <f t="shared" ref="C204:N208" si="82">IFERROR(C$202*C196,0)</f>
        <v>0</v>
      </c>
      <c r="D204" s="151">
        <f t="shared" si="82"/>
        <v>0</v>
      </c>
      <c r="E204" s="151">
        <f t="shared" si="82"/>
        <v>0</v>
      </c>
      <c r="F204" s="151">
        <f t="shared" si="82"/>
        <v>0</v>
      </c>
      <c r="G204" s="151">
        <f t="shared" si="82"/>
        <v>0</v>
      </c>
      <c r="H204" s="151">
        <f t="shared" si="82"/>
        <v>0</v>
      </c>
      <c r="I204" s="151">
        <f t="shared" si="82"/>
        <v>0</v>
      </c>
      <c r="J204" s="151">
        <f t="shared" si="82"/>
        <v>0</v>
      </c>
      <c r="K204" s="151">
        <f t="shared" si="82"/>
        <v>0</v>
      </c>
      <c r="L204" s="151">
        <f t="shared" si="82"/>
        <v>0</v>
      </c>
      <c r="M204" s="151">
        <f t="shared" si="82"/>
        <v>0</v>
      </c>
      <c r="N204" s="151">
        <f t="shared" si="82"/>
        <v>0</v>
      </c>
      <c r="O204" s="152">
        <f t="shared" si="81"/>
        <v>0</v>
      </c>
    </row>
    <row r="205" spans="1:15" ht="20.100000000000001" customHeight="1" x14ac:dyDescent="0.25">
      <c r="B205" s="9" t="s">
        <v>39</v>
      </c>
      <c r="C205" s="151">
        <f t="shared" si="82"/>
        <v>0</v>
      </c>
      <c r="D205" s="151">
        <f t="shared" si="82"/>
        <v>0</v>
      </c>
      <c r="E205" s="151">
        <f t="shared" si="82"/>
        <v>0</v>
      </c>
      <c r="F205" s="151">
        <f t="shared" si="82"/>
        <v>0</v>
      </c>
      <c r="G205" s="151">
        <f t="shared" si="82"/>
        <v>0</v>
      </c>
      <c r="H205" s="151">
        <f t="shared" si="82"/>
        <v>0</v>
      </c>
      <c r="I205" s="151">
        <f t="shared" si="82"/>
        <v>0</v>
      </c>
      <c r="J205" s="151">
        <f t="shared" si="82"/>
        <v>0</v>
      </c>
      <c r="K205" s="151">
        <f t="shared" si="82"/>
        <v>0</v>
      </c>
      <c r="L205" s="151">
        <f t="shared" si="82"/>
        <v>0</v>
      </c>
      <c r="M205" s="151">
        <f t="shared" si="82"/>
        <v>0</v>
      </c>
      <c r="N205" s="151">
        <f t="shared" si="82"/>
        <v>0</v>
      </c>
      <c r="O205" s="152">
        <f t="shared" si="81"/>
        <v>0</v>
      </c>
    </row>
    <row r="206" spans="1:15" ht="20.100000000000001" customHeight="1" x14ac:dyDescent="0.25">
      <c r="B206" s="9" t="s">
        <v>129</v>
      </c>
      <c r="C206" s="151">
        <f t="shared" si="82"/>
        <v>0</v>
      </c>
      <c r="D206" s="151">
        <f t="shared" si="82"/>
        <v>0</v>
      </c>
      <c r="E206" s="151">
        <f t="shared" si="82"/>
        <v>0</v>
      </c>
      <c r="F206" s="151">
        <f t="shared" si="82"/>
        <v>0</v>
      </c>
      <c r="G206" s="151">
        <f t="shared" si="82"/>
        <v>0</v>
      </c>
      <c r="H206" s="151">
        <f t="shared" si="82"/>
        <v>0</v>
      </c>
      <c r="I206" s="151">
        <f t="shared" si="82"/>
        <v>0</v>
      </c>
      <c r="J206" s="151">
        <f t="shared" si="82"/>
        <v>0</v>
      </c>
      <c r="K206" s="151">
        <f t="shared" si="82"/>
        <v>0</v>
      </c>
      <c r="L206" s="151">
        <f t="shared" si="82"/>
        <v>0</v>
      </c>
      <c r="M206" s="151">
        <f t="shared" si="82"/>
        <v>0</v>
      </c>
      <c r="N206" s="151">
        <f t="shared" si="82"/>
        <v>0</v>
      </c>
      <c r="O206" s="152">
        <f t="shared" si="81"/>
        <v>0</v>
      </c>
    </row>
    <row r="207" spans="1:15" ht="20.100000000000001" customHeight="1" x14ac:dyDescent="0.25">
      <c r="B207" s="9" t="s">
        <v>42</v>
      </c>
      <c r="C207" s="151">
        <f t="shared" si="82"/>
        <v>0</v>
      </c>
      <c r="D207" s="151">
        <f t="shared" si="82"/>
        <v>0</v>
      </c>
      <c r="E207" s="151">
        <f t="shared" si="82"/>
        <v>0</v>
      </c>
      <c r="F207" s="151">
        <f t="shared" si="82"/>
        <v>0</v>
      </c>
      <c r="G207" s="151">
        <f t="shared" si="82"/>
        <v>0</v>
      </c>
      <c r="H207" s="151">
        <f t="shared" si="82"/>
        <v>0</v>
      </c>
      <c r="I207" s="151">
        <f t="shared" si="82"/>
        <v>0</v>
      </c>
      <c r="J207" s="151">
        <f t="shared" si="82"/>
        <v>0</v>
      </c>
      <c r="K207" s="151">
        <f t="shared" si="82"/>
        <v>0</v>
      </c>
      <c r="L207" s="151">
        <f t="shared" si="82"/>
        <v>0</v>
      </c>
      <c r="M207" s="151">
        <f t="shared" si="82"/>
        <v>0</v>
      </c>
      <c r="N207" s="151">
        <f t="shared" si="82"/>
        <v>0</v>
      </c>
      <c r="O207" s="152">
        <f t="shared" si="81"/>
        <v>0</v>
      </c>
    </row>
    <row r="208" spans="1:15" ht="20.100000000000001" customHeight="1" x14ac:dyDescent="0.25">
      <c r="B208" s="9" t="s">
        <v>134</v>
      </c>
      <c r="C208" s="151">
        <f t="shared" si="82"/>
        <v>0</v>
      </c>
      <c r="D208" s="151">
        <f t="shared" si="82"/>
        <v>0</v>
      </c>
      <c r="E208" s="151">
        <f t="shared" si="82"/>
        <v>0</v>
      </c>
      <c r="F208" s="151">
        <f t="shared" si="82"/>
        <v>0</v>
      </c>
      <c r="G208" s="151">
        <f t="shared" si="82"/>
        <v>0</v>
      </c>
      <c r="H208" s="151">
        <f t="shared" si="82"/>
        <v>0</v>
      </c>
      <c r="I208" s="151">
        <f t="shared" si="82"/>
        <v>0</v>
      </c>
      <c r="J208" s="151">
        <f t="shared" si="82"/>
        <v>0</v>
      </c>
      <c r="K208" s="151">
        <f t="shared" si="82"/>
        <v>0</v>
      </c>
      <c r="L208" s="151">
        <f t="shared" si="82"/>
        <v>0</v>
      </c>
      <c r="M208" s="151">
        <f t="shared" si="82"/>
        <v>0</v>
      </c>
      <c r="N208" s="151">
        <f t="shared" si="82"/>
        <v>0</v>
      </c>
      <c r="O208" s="152">
        <f t="shared" si="81"/>
        <v>0</v>
      </c>
    </row>
    <row r="209" spans="2:15" ht="20.100000000000001" customHeight="1" x14ac:dyDescent="0.25">
      <c r="B209" s="168" t="s">
        <v>99</v>
      </c>
      <c r="C209" s="152">
        <f t="shared" ref="C209:N209" si="83">SUM(C203:C208)</f>
        <v>0</v>
      </c>
      <c r="D209" s="152">
        <f t="shared" si="83"/>
        <v>0</v>
      </c>
      <c r="E209" s="152">
        <f t="shared" si="83"/>
        <v>0</v>
      </c>
      <c r="F209" s="152">
        <f t="shared" si="83"/>
        <v>0</v>
      </c>
      <c r="G209" s="152">
        <f t="shared" si="83"/>
        <v>0</v>
      </c>
      <c r="H209" s="152">
        <f t="shared" si="83"/>
        <v>0</v>
      </c>
      <c r="I209" s="152">
        <f t="shared" si="83"/>
        <v>0</v>
      </c>
      <c r="J209" s="152">
        <f t="shared" si="83"/>
        <v>0</v>
      </c>
      <c r="K209" s="152">
        <f t="shared" si="83"/>
        <v>0</v>
      </c>
      <c r="L209" s="152">
        <f t="shared" si="83"/>
        <v>0</v>
      </c>
      <c r="M209" s="152">
        <f t="shared" si="83"/>
        <v>0</v>
      </c>
      <c r="N209" s="152">
        <f t="shared" si="83"/>
        <v>0</v>
      </c>
      <c r="O209" s="152">
        <f>SUM(C209:N209)</f>
        <v>0</v>
      </c>
    </row>
  </sheetData>
  <mergeCells count="2">
    <mergeCell ref="B153:O153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8">
    <tabColor theme="9"/>
  </sheetPr>
  <dimension ref="A1:AD209"/>
  <sheetViews>
    <sheetView showGridLines="0" topLeftCell="A137" workbookViewId="0">
      <selection activeCell="C121" sqref="C121"/>
    </sheetView>
  </sheetViews>
  <sheetFormatPr defaultColWidth="20.7109375" defaultRowHeight="20.100000000000001" customHeight="1" x14ac:dyDescent="0.25"/>
  <cols>
    <col min="1" max="1" width="11" style="19" customWidth="1"/>
    <col min="2" max="15" width="12.7109375" style="19" customWidth="1"/>
    <col min="16" max="16" width="5.7109375" style="19" customWidth="1"/>
    <col min="17" max="17" width="12.7109375" style="144" customWidth="1"/>
    <col min="18" max="30" width="12.7109375" style="19" customWidth="1"/>
    <col min="31" max="16384" width="20.7109375" style="19"/>
  </cols>
  <sheetData>
    <row r="1" spans="2:30" s="20" customFormat="1" ht="20.100000000000001" customHeight="1" x14ac:dyDescent="0.25">
      <c r="Q1" s="143"/>
    </row>
    <row r="2" spans="2:30" s="22" customFormat="1" ht="20.100000000000001" customHeight="1" x14ac:dyDescent="0.25">
      <c r="B2" s="279" t="s">
        <v>144</v>
      </c>
      <c r="C2" s="279"/>
      <c r="D2" s="279"/>
      <c r="E2" s="279"/>
      <c r="Q2" s="170"/>
    </row>
    <row r="4" spans="2:30" ht="20.100000000000001" customHeight="1" x14ac:dyDescent="0.25">
      <c r="B4" s="112" t="s">
        <v>82</v>
      </c>
      <c r="C4" s="112" t="s">
        <v>83</v>
      </c>
      <c r="D4" s="112" t="s">
        <v>84</v>
      </c>
      <c r="E4" s="112" t="s">
        <v>85</v>
      </c>
      <c r="F4" s="112" t="s">
        <v>86</v>
      </c>
      <c r="G4" s="112" t="s">
        <v>87</v>
      </c>
      <c r="H4" s="112" t="s">
        <v>88</v>
      </c>
      <c r="I4" s="112" t="s">
        <v>89</v>
      </c>
      <c r="J4" s="112" t="s">
        <v>90</v>
      </c>
      <c r="K4" s="112" t="s">
        <v>91</v>
      </c>
      <c r="L4" s="112" t="s">
        <v>92</v>
      </c>
      <c r="M4" s="112" t="s">
        <v>93</v>
      </c>
      <c r="N4" s="112" t="s">
        <v>94</v>
      </c>
      <c r="O4" s="132"/>
    </row>
    <row r="5" spans="2:30" ht="20.100000000000001" customHeight="1" x14ac:dyDescent="0.25">
      <c r="B5" s="19" t="s">
        <v>120</v>
      </c>
      <c r="C5" s="132">
        <f>Simp1!D11</f>
        <v>0</v>
      </c>
      <c r="D5" s="132">
        <f>Simp1!E11</f>
        <v>0</v>
      </c>
      <c r="E5" s="132">
        <f>Simp1!F11</f>
        <v>0</v>
      </c>
      <c r="F5" s="132">
        <f>Simp1!G11</f>
        <v>0</v>
      </c>
      <c r="G5" s="132">
        <f>Simp1!H11</f>
        <v>0</v>
      </c>
      <c r="H5" s="132">
        <f>Simp1!I11</f>
        <v>0</v>
      </c>
      <c r="I5" s="132">
        <f>Simp1!J11</f>
        <v>0</v>
      </c>
      <c r="J5" s="132">
        <f>Simp1!K11</f>
        <v>0</v>
      </c>
      <c r="K5" s="132">
        <f>Simp1!L11</f>
        <v>0</v>
      </c>
      <c r="L5" s="132">
        <f>Simp1!M11</f>
        <v>0</v>
      </c>
      <c r="M5" s="132">
        <f>Simp1!N11</f>
        <v>0</v>
      </c>
      <c r="N5" s="132">
        <f>Simp1!O11</f>
        <v>0</v>
      </c>
      <c r="O5" s="132"/>
    </row>
    <row r="7" spans="2:30" ht="20.100000000000001" customHeight="1" x14ac:dyDescent="0.2">
      <c r="B7" s="120" t="s">
        <v>109</v>
      </c>
    </row>
    <row r="8" spans="2:30" ht="20.100000000000001" customHeight="1" x14ac:dyDescent="0.25">
      <c r="B8" s="112" t="s">
        <v>82</v>
      </c>
      <c r="C8" s="112" t="s">
        <v>83</v>
      </c>
      <c r="D8" s="112" t="s">
        <v>84</v>
      </c>
      <c r="E8" s="112" t="s">
        <v>85</v>
      </c>
      <c r="F8" s="112" t="s">
        <v>86</v>
      </c>
      <c r="G8" s="112" t="s">
        <v>87</v>
      </c>
      <c r="H8" s="112" t="s">
        <v>88</v>
      </c>
      <c r="I8" s="112" t="s">
        <v>89</v>
      </c>
      <c r="J8" s="112" t="s">
        <v>90</v>
      </c>
      <c r="K8" s="112" t="s">
        <v>91</v>
      </c>
      <c r="L8" s="112" t="s">
        <v>92</v>
      </c>
      <c r="M8" s="112" t="s">
        <v>93</v>
      </c>
      <c r="N8" s="112" t="s">
        <v>94</v>
      </c>
      <c r="O8" s="112" t="s">
        <v>95</v>
      </c>
    </row>
    <row r="9" spans="2:30" ht="20.100000000000001" customHeight="1" x14ac:dyDescent="0.25">
      <c r="B9" s="19" t="s">
        <v>80</v>
      </c>
      <c r="C9" s="116">
        <f>Simp2!D5</f>
        <v>0</v>
      </c>
      <c r="D9" s="116">
        <f>Simp2!E5</f>
        <v>0</v>
      </c>
      <c r="E9" s="116">
        <f>Simp2!F5</f>
        <v>0</v>
      </c>
      <c r="F9" s="116">
        <f>Simp2!G5</f>
        <v>0</v>
      </c>
      <c r="G9" s="116">
        <f>Simp2!H5</f>
        <v>0</v>
      </c>
      <c r="H9" s="116">
        <f>Simp2!I5</f>
        <v>0</v>
      </c>
      <c r="I9" s="116">
        <f>Simp2!J5</f>
        <v>0</v>
      </c>
      <c r="J9" s="116">
        <f>Simp2!K5</f>
        <v>0</v>
      </c>
      <c r="K9" s="116">
        <f>Simp2!L5</f>
        <v>0</v>
      </c>
      <c r="L9" s="116">
        <f>Simp2!M5</f>
        <v>0</v>
      </c>
      <c r="M9" s="116">
        <f>Simp2!N5</f>
        <v>0</v>
      </c>
      <c r="N9" s="116">
        <f>Simp2!O5</f>
        <v>0</v>
      </c>
      <c r="O9" s="119">
        <f t="shared" ref="O9:O14" si="0">SUM(C9:N9)</f>
        <v>0</v>
      </c>
    </row>
    <row r="10" spans="2:30" ht="20.100000000000001" customHeight="1" x14ac:dyDescent="0.25">
      <c r="B10" s="19" t="s">
        <v>81</v>
      </c>
      <c r="C10" s="116">
        <f>Simp2!D6</f>
        <v>0</v>
      </c>
      <c r="D10" s="116">
        <f>Simp2!E6</f>
        <v>0</v>
      </c>
      <c r="E10" s="116">
        <f>Simp2!F6</f>
        <v>0</v>
      </c>
      <c r="F10" s="116">
        <f>Simp2!G6</f>
        <v>0</v>
      </c>
      <c r="G10" s="116">
        <f>Simp2!H6</f>
        <v>0</v>
      </c>
      <c r="H10" s="116">
        <f>Simp2!I6</f>
        <v>0</v>
      </c>
      <c r="I10" s="116">
        <f>Simp2!J6</f>
        <v>0</v>
      </c>
      <c r="J10" s="116">
        <f>Simp2!K6</f>
        <v>0</v>
      </c>
      <c r="K10" s="116">
        <f>Simp2!L6</f>
        <v>0</v>
      </c>
      <c r="L10" s="116">
        <f>Simp2!M6</f>
        <v>0</v>
      </c>
      <c r="M10" s="116">
        <f>Simp2!N6</f>
        <v>0</v>
      </c>
      <c r="N10" s="116">
        <f>Simp2!O6</f>
        <v>0</v>
      </c>
      <c r="O10" s="119">
        <f t="shared" si="0"/>
        <v>0</v>
      </c>
    </row>
    <row r="11" spans="2:30" ht="20.100000000000001" customHeight="1" x14ac:dyDescent="0.25">
      <c r="B11" s="19" t="s">
        <v>75</v>
      </c>
      <c r="C11" s="116">
        <f>Simp2!D7</f>
        <v>0</v>
      </c>
      <c r="D11" s="116">
        <f>Simp2!E7</f>
        <v>0</v>
      </c>
      <c r="E11" s="116">
        <f>Simp2!F7</f>
        <v>0</v>
      </c>
      <c r="F11" s="116">
        <f>Simp2!G7</f>
        <v>0</v>
      </c>
      <c r="G11" s="116">
        <f>Simp2!H7</f>
        <v>0</v>
      </c>
      <c r="H11" s="116">
        <f>Simp2!I7</f>
        <v>0</v>
      </c>
      <c r="I11" s="116">
        <f>Simp2!J7</f>
        <v>0</v>
      </c>
      <c r="J11" s="116">
        <f>Simp2!K7</f>
        <v>0</v>
      </c>
      <c r="K11" s="116">
        <f>Simp2!L7</f>
        <v>0</v>
      </c>
      <c r="L11" s="116">
        <f>Simp2!M7</f>
        <v>0</v>
      </c>
      <c r="M11" s="116">
        <f>Simp2!N7</f>
        <v>0</v>
      </c>
      <c r="N11" s="116">
        <f>Simp2!O7</f>
        <v>0</v>
      </c>
      <c r="O11" s="119">
        <f t="shared" si="0"/>
        <v>0</v>
      </c>
    </row>
    <row r="12" spans="2:30" ht="20.100000000000001" customHeight="1" x14ac:dyDescent="0.25">
      <c r="B12" s="19" t="s">
        <v>76</v>
      </c>
      <c r="C12" s="116">
        <f>Simp2!D8</f>
        <v>0</v>
      </c>
      <c r="D12" s="116">
        <f>Simp2!E8</f>
        <v>0</v>
      </c>
      <c r="E12" s="116">
        <f>Simp2!F8</f>
        <v>0</v>
      </c>
      <c r="F12" s="116">
        <f>Simp2!G8</f>
        <v>0</v>
      </c>
      <c r="G12" s="116">
        <f>Simp2!H8</f>
        <v>0</v>
      </c>
      <c r="H12" s="116">
        <f>Simp2!I8</f>
        <v>0</v>
      </c>
      <c r="I12" s="116">
        <f>Simp2!J8</f>
        <v>0</v>
      </c>
      <c r="J12" s="116">
        <f>Simp2!K8</f>
        <v>0</v>
      </c>
      <c r="K12" s="116">
        <f>Simp2!L8</f>
        <v>0</v>
      </c>
      <c r="L12" s="116">
        <f>Simp2!M8</f>
        <v>0</v>
      </c>
      <c r="M12" s="116">
        <f>Simp2!N8</f>
        <v>0</v>
      </c>
      <c r="N12" s="116">
        <f>Simp2!O8</f>
        <v>0</v>
      </c>
      <c r="O12" s="119">
        <f t="shared" si="0"/>
        <v>0</v>
      </c>
    </row>
    <row r="13" spans="2:30" ht="20.100000000000001" customHeight="1" x14ac:dyDescent="0.25">
      <c r="B13" s="19" t="s">
        <v>77</v>
      </c>
      <c r="C13" s="116">
        <f>Simp2!D9</f>
        <v>0</v>
      </c>
      <c r="D13" s="116">
        <f>Simp2!E9</f>
        <v>0</v>
      </c>
      <c r="E13" s="116">
        <f>Simp2!F9</f>
        <v>0</v>
      </c>
      <c r="F13" s="116">
        <f>Simp2!G9</f>
        <v>0</v>
      </c>
      <c r="G13" s="116">
        <f>Simp2!H9</f>
        <v>0</v>
      </c>
      <c r="H13" s="116">
        <f>Simp2!I9</f>
        <v>0</v>
      </c>
      <c r="I13" s="116">
        <f>Simp2!J9</f>
        <v>0</v>
      </c>
      <c r="J13" s="116">
        <f>Simp2!K9</f>
        <v>0</v>
      </c>
      <c r="K13" s="116">
        <f>Simp2!L9</f>
        <v>0</v>
      </c>
      <c r="L13" s="116">
        <f>Simp2!M9</f>
        <v>0</v>
      </c>
      <c r="M13" s="116">
        <f>Simp2!N9</f>
        <v>0</v>
      </c>
      <c r="N13" s="116">
        <f>Simp2!O9</f>
        <v>0</v>
      </c>
      <c r="O13" s="119">
        <f t="shared" si="0"/>
        <v>0</v>
      </c>
    </row>
    <row r="14" spans="2:30" ht="20.100000000000001" customHeight="1" x14ac:dyDescent="0.25">
      <c r="B14" s="118" t="s">
        <v>99</v>
      </c>
      <c r="C14" s="119">
        <f>SUM(C9:C13)</f>
        <v>0</v>
      </c>
      <c r="D14" s="119">
        <f t="shared" ref="D14:N14" si="1">SUM(D9:D13)</f>
        <v>0</v>
      </c>
      <c r="E14" s="119">
        <f t="shared" si="1"/>
        <v>0</v>
      </c>
      <c r="F14" s="119">
        <f t="shared" si="1"/>
        <v>0</v>
      </c>
      <c r="G14" s="119">
        <f t="shared" si="1"/>
        <v>0</v>
      </c>
      <c r="H14" s="119">
        <f t="shared" si="1"/>
        <v>0</v>
      </c>
      <c r="I14" s="119">
        <f t="shared" si="1"/>
        <v>0</v>
      </c>
      <c r="J14" s="119">
        <f t="shared" si="1"/>
        <v>0</v>
      </c>
      <c r="K14" s="119">
        <f t="shared" si="1"/>
        <v>0</v>
      </c>
      <c r="L14" s="119">
        <f t="shared" si="1"/>
        <v>0</v>
      </c>
      <c r="M14" s="119">
        <f t="shared" si="1"/>
        <v>0</v>
      </c>
      <c r="N14" s="119">
        <f t="shared" si="1"/>
        <v>0</v>
      </c>
      <c r="O14" s="119">
        <f t="shared" si="0"/>
        <v>0</v>
      </c>
    </row>
    <row r="16" spans="2:30" ht="20.100000000000001" customHeight="1" x14ac:dyDescent="0.25">
      <c r="B16" s="112" t="s">
        <v>82</v>
      </c>
      <c r="C16" s="112" t="s">
        <v>83</v>
      </c>
      <c r="D16" s="112" t="s">
        <v>84</v>
      </c>
      <c r="E16" s="112" t="s">
        <v>85</v>
      </c>
      <c r="F16" s="112" t="s">
        <v>86</v>
      </c>
      <c r="G16" s="112" t="s">
        <v>87</v>
      </c>
      <c r="H16" s="112" t="s">
        <v>88</v>
      </c>
      <c r="I16" s="112" t="s">
        <v>89</v>
      </c>
      <c r="J16" s="112" t="s">
        <v>90</v>
      </c>
      <c r="K16" s="112" t="s">
        <v>91</v>
      </c>
      <c r="L16" s="112" t="s">
        <v>92</v>
      </c>
      <c r="M16" s="112" t="s">
        <v>93</v>
      </c>
      <c r="N16" s="112" t="s">
        <v>94</v>
      </c>
      <c r="O16" s="112" t="s">
        <v>95</v>
      </c>
      <c r="Q16" s="145" t="s">
        <v>82</v>
      </c>
      <c r="R16" s="112" t="s">
        <v>83</v>
      </c>
      <c r="S16" s="112" t="s">
        <v>84</v>
      </c>
      <c r="T16" s="112" t="s">
        <v>85</v>
      </c>
      <c r="U16" s="112" t="s">
        <v>86</v>
      </c>
      <c r="V16" s="112" t="s">
        <v>87</v>
      </c>
      <c r="W16" s="112" t="s">
        <v>88</v>
      </c>
      <c r="X16" s="112" t="s">
        <v>89</v>
      </c>
      <c r="Y16" s="112" t="s">
        <v>90</v>
      </c>
      <c r="Z16" s="112" t="s">
        <v>91</v>
      </c>
      <c r="AA16" s="112" t="s">
        <v>92</v>
      </c>
      <c r="AB16" s="112" t="s">
        <v>93</v>
      </c>
      <c r="AC16" s="112" t="s">
        <v>94</v>
      </c>
      <c r="AD16" s="112" t="s">
        <v>95</v>
      </c>
    </row>
    <row r="17" spans="2:30" ht="20.100000000000001" customHeight="1" x14ac:dyDescent="0.25">
      <c r="B17" s="19" t="s">
        <v>80</v>
      </c>
      <c r="C17" s="132">
        <f>C9</f>
        <v>0</v>
      </c>
      <c r="D17" s="132">
        <f t="shared" ref="D17:N17" si="2">D9</f>
        <v>0</v>
      </c>
      <c r="E17" s="132">
        <f t="shared" si="2"/>
        <v>0</v>
      </c>
      <c r="F17" s="132">
        <f t="shared" si="2"/>
        <v>0</v>
      </c>
      <c r="G17" s="132">
        <f t="shared" si="2"/>
        <v>0</v>
      </c>
      <c r="H17" s="132">
        <f t="shared" si="2"/>
        <v>0</v>
      </c>
      <c r="I17" s="132">
        <f t="shared" si="2"/>
        <v>0</v>
      </c>
      <c r="J17" s="132">
        <f t="shared" si="2"/>
        <v>0</v>
      </c>
      <c r="K17" s="132">
        <f t="shared" si="2"/>
        <v>0</v>
      </c>
      <c r="L17" s="132">
        <f t="shared" si="2"/>
        <v>0</v>
      </c>
      <c r="M17" s="132">
        <f t="shared" si="2"/>
        <v>0</v>
      </c>
      <c r="N17" s="132">
        <f t="shared" si="2"/>
        <v>0</v>
      </c>
      <c r="O17" s="119">
        <f t="shared" ref="O17:O22" si="3">SUM(C17:N17)</f>
        <v>0</v>
      </c>
      <c r="Q17" s="144" t="s">
        <v>80</v>
      </c>
      <c r="R17" s="132">
        <f>C9</f>
        <v>0</v>
      </c>
      <c r="S17" s="132">
        <f t="shared" ref="S17:AC17" si="4">D9</f>
        <v>0</v>
      </c>
      <c r="T17" s="132">
        <f t="shared" si="4"/>
        <v>0</v>
      </c>
      <c r="U17" s="132">
        <f t="shared" si="4"/>
        <v>0</v>
      </c>
      <c r="V17" s="132">
        <f t="shared" si="4"/>
        <v>0</v>
      </c>
      <c r="W17" s="132">
        <f t="shared" si="4"/>
        <v>0</v>
      </c>
      <c r="X17" s="132">
        <f t="shared" si="4"/>
        <v>0</v>
      </c>
      <c r="Y17" s="132">
        <f t="shared" si="4"/>
        <v>0</v>
      </c>
      <c r="Z17" s="132">
        <f t="shared" si="4"/>
        <v>0</v>
      </c>
      <c r="AA17" s="132">
        <f t="shared" si="4"/>
        <v>0</v>
      </c>
      <c r="AB17" s="132">
        <f t="shared" si="4"/>
        <v>0</v>
      </c>
      <c r="AC17" s="132">
        <f t="shared" si="4"/>
        <v>0</v>
      </c>
      <c r="AD17" s="119">
        <f t="shared" ref="AD17:AD22" si="5">SUM(R17:AC17)</f>
        <v>0</v>
      </c>
    </row>
    <row r="18" spans="2:30" ht="20.100000000000001" customHeight="1" x14ac:dyDescent="0.25">
      <c r="B18" s="19" t="s">
        <v>121</v>
      </c>
      <c r="C18" s="133">
        <f>IF(C5&lt;=TabS!$G$5,TabS!$H$5,IF(C5&lt;=TabS!$G$6,TabS!$H$6,IF(C5&lt;=TabS!$G$7,TabS!$H$7,IF(C5&lt;=TabS!$G$8,TabS!$H$8,IF(C5&lt;=TabS!$G$9,TabS!$H$9,IF(C5&lt;=TabS!$G$10,TabS!$H$10))))))</f>
        <v>0.04</v>
      </c>
      <c r="D18" s="133">
        <f>IF(D5&lt;=TabS!$G$5,TabS!$H$5,IF(D5&lt;=TabS!$G$6,TabS!$H$6,IF(D5&lt;=TabS!$G$7,TabS!$H$7,IF(D5&lt;=TabS!$G$8,TabS!$H$8,IF(D5&lt;=TabS!$G$9,TabS!$H$9,IF(D5&lt;=TabS!$G$10,TabS!$H$10))))))</f>
        <v>0.04</v>
      </c>
      <c r="E18" s="133">
        <f>IF(E5&lt;=TabS!$G$5,TabS!$H$5,IF(E5&lt;=TabS!$G$6,TabS!$H$6,IF(E5&lt;=TabS!$G$7,TabS!$H$7,IF(E5&lt;=TabS!$G$8,TabS!$H$8,IF(E5&lt;=TabS!$G$9,TabS!$H$9,IF(E5&lt;=TabS!$G$10,TabS!$H$10))))))</f>
        <v>0.04</v>
      </c>
      <c r="F18" s="133">
        <f>IF(F5&lt;=TabS!$G$5,TabS!$H$5,IF(F5&lt;=TabS!$G$6,TabS!$H$6,IF(F5&lt;=TabS!$G$7,TabS!$H$7,IF(F5&lt;=TabS!$G$8,TabS!$H$8,IF(F5&lt;=TabS!$G$9,TabS!$H$9,IF(F5&lt;=TabS!$G$10,TabS!$H$10))))))</f>
        <v>0.04</v>
      </c>
      <c r="G18" s="133">
        <f>IF(G5&lt;=TabS!$G$5,TabS!$H$5,IF(G5&lt;=TabS!$G$6,TabS!$H$6,IF(G5&lt;=TabS!$G$7,TabS!$H$7,IF(G5&lt;=TabS!$G$8,TabS!$H$8,IF(G5&lt;=TabS!$G$9,TabS!$H$9,IF(G5&lt;=TabS!$G$10,TabS!$H$10))))))</f>
        <v>0.04</v>
      </c>
      <c r="H18" s="133">
        <f>IF(H5&lt;=TabS!$G$5,TabS!$H$5,IF(H5&lt;=TabS!$G$6,TabS!$H$6,IF(H5&lt;=TabS!$G$7,TabS!$H$7,IF(H5&lt;=TabS!$G$8,TabS!$H$8,IF(H5&lt;=TabS!$G$9,TabS!$H$9,IF(H5&lt;=TabS!$G$10,TabS!$H$10))))))</f>
        <v>0.04</v>
      </c>
      <c r="I18" s="133">
        <f>IF(I5&lt;=TabS!$G$5,TabS!$H$5,IF(I5&lt;=TabS!$G$6,TabS!$H$6,IF(I5&lt;=TabS!$G$7,TabS!$H$7,IF(I5&lt;=TabS!$G$8,TabS!$H$8,IF(I5&lt;=TabS!$G$9,TabS!$H$9,IF(I5&lt;=TabS!$G$10,TabS!$H$10))))))</f>
        <v>0.04</v>
      </c>
      <c r="J18" s="133">
        <f>IF(J5&lt;=TabS!$G$5,TabS!$H$5,IF(J5&lt;=TabS!$G$6,TabS!$H$6,IF(J5&lt;=TabS!$G$7,TabS!$H$7,IF(J5&lt;=TabS!$G$8,TabS!$H$8,IF(J5&lt;=TabS!$G$9,TabS!$H$9,IF(J5&lt;=TabS!$G$10,TabS!$H$10))))))</f>
        <v>0.04</v>
      </c>
      <c r="K18" s="133">
        <f>IF(K5&lt;=TabS!$G$5,TabS!$H$5,IF(K5&lt;=TabS!$G$6,TabS!$H$6,IF(K5&lt;=TabS!$G$7,TabS!$H$7,IF(K5&lt;=TabS!$G$8,TabS!$H$8,IF(K5&lt;=TabS!$G$9,TabS!$H$9,IF(K5&lt;=TabS!$G$10,TabS!$H$10))))))</f>
        <v>0.04</v>
      </c>
      <c r="L18" s="133">
        <f>IF(L5&lt;=TabS!$G$5,TabS!$H$5,IF(L5&lt;=TabS!$G$6,TabS!$H$6,IF(L5&lt;=TabS!$G$7,TabS!$H$7,IF(L5&lt;=TabS!$G$8,TabS!$H$8,IF(L5&lt;=TabS!$G$9,TabS!$H$9,IF(L5&lt;=TabS!$G$10,TabS!$H$10))))))</f>
        <v>0.04</v>
      </c>
      <c r="M18" s="133">
        <f>IF(M5&lt;=TabS!$G$5,TabS!$H$5,IF(M5&lt;=TabS!$G$6,TabS!$H$6,IF(M5&lt;=TabS!$G$7,TabS!$H$7,IF(M5&lt;=TabS!$G$8,TabS!$H$8,IF(M5&lt;=TabS!$G$9,TabS!$H$9,IF(M5&lt;=TabS!$G$10,TabS!$H$10))))))</f>
        <v>0.04</v>
      </c>
      <c r="N18" s="133">
        <f>IF(N5&lt;=TabS!$G$5,TabS!$H$5,IF(N5&lt;=TabS!$G$6,TabS!$H$6,IF(N5&lt;=TabS!$G$7,TabS!$H$7,IF(N5&lt;=TabS!$G$8,TabS!$H$8,IF(N5&lt;=TabS!$G$9,TabS!$H$9,IF(N5&lt;=TabS!$G$10,TabS!$H$10))))))</f>
        <v>0.04</v>
      </c>
      <c r="O18" s="134">
        <f t="shared" si="3"/>
        <v>0.47999999999999993</v>
      </c>
      <c r="Q18" s="144" t="s">
        <v>121</v>
      </c>
      <c r="R18" s="133">
        <f>IF(C5&lt;=TabS!$G$5,TabS!$H$5,IF(C5&lt;=TabS!$G$6,TabS!$H$6,IF(C5&lt;=TabS!$G$7,TabS!$H$7,IF(C5&lt;=TabS!$G$8,TabS!$H$8,IF(C5&lt;=TabS!$G$9,TabS!$H$9,IF(C5&lt;=TabS!$G$10,TabS!$H$10))))))</f>
        <v>0.04</v>
      </c>
      <c r="S18" s="133">
        <f>IF(D5&lt;=TabS!$G$5,TabS!$H$5,IF(D5&lt;=TabS!$G$6,TabS!$H$6,IF(D5&lt;=TabS!$G$7,TabS!$H$7,IF(D5&lt;=TabS!$G$8,TabS!$H$8,IF(D5&lt;=TabS!$G$9,TabS!$H$9,IF(D5&lt;=TabS!$G$10,TabS!$H$10))))))</f>
        <v>0.04</v>
      </c>
      <c r="T18" s="133">
        <f>IF(E5&lt;=TabS!$G$5,TabS!$H$5,IF(E5&lt;=TabS!$G$6,TabS!$H$6,IF(E5&lt;=TabS!$G$7,TabS!$H$7,IF(E5&lt;=TabS!$G$8,TabS!$H$8,IF(E5&lt;=TabS!$G$9,TabS!$H$9,IF(E5&lt;=TabS!$G$10,TabS!$H$10))))))</f>
        <v>0.04</v>
      </c>
      <c r="U18" s="133">
        <f>IF(F5&lt;=TabS!$G$5,TabS!$H$5,IF(F5&lt;=TabS!$G$6,TabS!$H$6,IF(F5&lt;=TabS!$G$7,TabS!$H$7,IF(F5&lt;=TabS!$G$8,TabS!$H$8,IF(F5&lt;=TabS!$G$9,TabS!$H$9,IF(F5&lt;=TabS!$G$10,TabS!$H$10))))))</f>
        <v>0.04</v>
      </c>
      <c r="V18" s="133">
        <f>IF(G5&lt;=TabS!$G$5,TabS!$H$5,IF(G5&lt;=TabS!$G$6,TabS!$H$6,IF(G5&lt;=TabS!$G$7,TabS!$H$7,IF(G5&lt;=TabS!$G$8,TabS!$H$8,IF(G5&lt;=TabS!$G$9,TabS!$H$9,IF(G5&lt;=TabS!$G$10,TabS!$H$10))))))</f>
        <v>0.04</v>
      </c>
      <c r="W18" s="133">
        <f>IF(H5&lt;=TabS!$G$5,TabS!$H$5,IF(H5&lt;=TabS!$G$6,TabS!$H$6,IF(H5&lt;=TabS!$G$7,TabS!$H$7,IF(H5&lt;=TabS!$G$8,TabS!$H$8,IF(H5&lt;=TabS!$G$9,TabS!$H$9,IF(H5&lt;=TabS!$G$10,TabS!$H$10))))))</f>
        <v>0.04</v>
      </c>
      <c r="X18" s="133">
        <f>IF(I5&lt;=TabS!$G$5,TabS!$H$5,IF(I5&lt;=TabS!$G$6,TabS!$H$6,IF(I5&lt;=TabS!$G$7,TabS!$H$7,IF(I5&lt;=TabS!$G$8,TabS!$H$8,IF(I5&lt;=TabS!$G$9,TabS!$H$9,IF(I5&lt;=TabS!$G$10,TabS!$H$10))))))</f>
        <v>0.04</v>
      </c>
      <c r="Y18" s="133">
        <f>IF(J5&lt;=TabS!$G$5,TabS!$H$5,IF(J5&lt;=TabS!$G$6,TabS!$H$6,IF(J5&lt;=TabS!$G$7,TabS!$H$7,IF(J5&lt;=TabS!$G$8,TabS!$H$8,IF(J5&lt;=TabS!$G$9,TabS!$H$9,IF(J5&lt;=TabS!$G$10,TabS!$H$10))))))</f>
        <v>0.04</v>
      </c>
      <c r="Z18" s="133">
        <f>IF(K5&lt;=TabS!$G$5,TabS!$H$5,IF(K5&lt;=TabS!$G$6,TabS!$H$6,IF(K5&lt;=TabS!$G$7,TabS!$H$7,IF(K5&lt;=TabS!$G$8,TabS!$H$8,IF(K5&lt;=TabS!$G$9,TabS!$H$9,IF(K5&lt;=TabS!$G$10,TabS!$H$10))))))</f>
        <v>0.04</v>
      </c>
      <c r="AA18" s="133">
        <f>IF(L5&lt;=TabS!$G$5,TabS!$H$5,IF(L5&lt;=TabS!$G$6,TabS!$H$6,IF(L5&lt;=TabS!$G$7,TabS!$H$7,IF(L5&lt;=TabS!$G$8,TabS!$H$8,IF(L5&lt;=TabS!$G$9,TabS!$H$9,IF(L5&lt;=TabS!$G$10,TabS!$H$10))))))</f>
        <v>0.04</v>
      </c>
      <c r="AB18" s="133">
        <f>IF(M5&lt;=TabS!$G$5,TabS!$H$5,IF(M5&lt;=TabS!$G$6,TabS!$H$6,IF(M5&lt;=TabS!$G$7,TabS!$H$7,IF(M5&lt;=TabS!$G$8,TabS!$H$8,IF(M5&lt;=TabS!$G$9,TabS!$H$9,IF(M5&lt;=TabS!$G$10,TabS!$H$10))))))</f>
        <v>0.04</v>
      </c>
      <c r="AC18" s="133">
        <f>IF(N5&lt;=TabS!$G$5,TabS!$H$5,IF(N5&lt;=TabS!$G$6,TabS!$H$6,IF(N5&lt;=TabS!$G$7,TabS!$H$7,IF(N5&lt;=TabS!$G$8,TabS!$H$8,IF(N5&lt;=TabS!$G$9,TabS!$H$9,IF(N5&lt;=TabS!$G$10,TabS!$H$10))))))</f>
        <v>0.04</v>
      </c>
      <c r="AD18" s="134">
        <f t="shared" si="5"/>
        <v>0.47999999999999993</v>
      </c>
    </row>
    <row r="19" spans="2:30" ht="20.100000000000001" customHeight="1" x14ac:dyDescent="0.25">
      <c r="B19" s="19" t="s">
        <v>122</v>
      </c>
      <c r="C19" s="132">
        <f>IF(C5&lt;=TabS!$G$5,TabS!$I$5,IF(C5&lt;=TabS!$G$6,TabS!$I$6,IF(C5&lt;=TabS!$G$7,TabS!$I$7,IF(C5&lt;=TabS!$G$8,TabS!$I$8,IF(C5&lt;=TabS!$G$9,TabS!$I$9,IF(C5&lt;=TabS!$G$10,TabS!$I$10))))))</f>
        <v>0</v>
      </c>
      <c r="D19" s="132">
        <f>IF(D5&lt;=TabS!$G$5,TabS!$I$5,IF(D5&lt;=TabS!$G$6,TabS!$I$6,IF(D5&lt;=TabS!$G$7,TabS!$I$7,IF(D5&lt;=TabS!$G$8,TabS!$I$8,IF(D5&lt;=TabS!$G$9,TabS!$I$9,IF(D5&lt;=TabS!$G$10,TabS!$I$10))))))</f>
        <v>0</v>
      </c>
      <c r="E19" s="132">
        <f>IF(E5&lt;=TabS!$G$5,TabS!$I$5,IF(E5&lt;=TabS!$G$6,TabS!$I$6,IF(E5&lt;=TabS!$G$7,TabS!$I$7,IF(E5&lt;=TabS!$G$8,TabS!$I$8,IF(E5&lt;=TabS!$G$9,TabS!$I$9,IF(E5&lt;=TabS!$G$10,TabS!$I$10))))))</f>
        <v>0</v>
      </c>
      <c r="F19" s="132">
        <f>IF(F5&lt;=TabS!$G$5,TabS!$I$5,IF(F5&lt;=TabS!$G$6,TabS!$I$6,IF(F5&lt;=TabS!$G$7,TabS!$I$7,IF(F5&lt;=TabS!$G$8,TabS!$I$8,IF(F5&lt;=TabS!$G$9,TabS!$I$9,IF(F5&lt;=TabS!$G$10,TabS!$I$10))))))</f>
        <v>0</v>
      </c>
      <c r="G19" s="132">
        <f>IF(G5&lt;=TabS!$G$5,TabS!$I$5,IF(G5&lt;=TabS!$G$6,TabS!$I$6,IF(G5&lt;=TabS!$G$7,TabS!$I$7,IF(G5&lt;=TabS!$G$8,TabS!$I$8,IF(G5&lt;=TabS!$G$9,TabS!$I$9,IF(G5&lt;=TabS!$G$10,TabS!$I$10))))))</f>
        <v>0</v>
      </c>
      <c r="H19" s="132">
        <f>IF(H5&lt;=TabS!$G$5,TabS!$I$5,IF(H5&lt;=TabS!$G$6,TabS!$I$6,IF(H5&lt;=TabS!$G$7,TabS!$I$7,IF(H5&lt;=TabS!$G$8,TabS!$I$8,IF(H5&lt;=TabS!$G$9,TabS!$I$9,IF(H5&lt;=TabS!$G$10,TabS!$I$10))))))</f>
        <v>0</v>
      </c>
      <c r="I19" s="132">
        <f>IF(I5&lt;=TabS!$G$5,TabS!$I$5,IF(I5&lt;=TabS!$G$6,TabS!$I$6,IF(I5&lt;=TabS!$G$7,TabS!$I$7,IF(I5&lt;=TabS!$G$8,TabS!$I$8,IF(I5&lt;=TabS!$G$9,TabS!$I$9,IF(I5&lt;=TabS!$G$10,TabS!$I$10))))))</f>
        <v>0</v>
      </c>
      <c r="J19" s="132">
        <f>IF(J5&lt;=TabS!$G$5,TabS!$I$5,IF(J5&lt;=TabS!$G$6,TabS!$I$6,IF(J5&lt;=TabS!$G$7,TabS!$I$7,IF(J5&lt;=TabS!$G$8,TabS!$I$8,IF(J5&lt;=TabS!$G$9,TabS!$I$9,IF(J5&lt;=TabS!$G$10,TabS!$I$10))))))</f>
        <v>0</v>
      </c>
      <c r="K19" s="132">
        <f>IF(K5&lt;=TabS!$G$5,TabS!$I$5,IF(K5&lt;=TabS!$G$6,TabS!$I$6,IF(K5&lt;=TabS!$G$7,TabS!$I$7,IF(K5&lt;=TabS!$G$8,TabS!$I$8,IF(K5&lt;=TabS!$G$9,TabS!$I$9,IF(K5&lt;=TabS!$G$10,TabS!$I$10))))))</f>
        <v>0</v>
      </c>
      <c r="L19" s="132">
        <f>IF(L5&lt;=TabS!$G$5,TabS!$I$5,IF(L5&lt;=TabS!$G$6,TabS!$I$6,IF(L5&lt;=TabS!$G$7,TabS!$I$7,IF(L5&lt;=TabS!$G$8,TabS!$I$8,IF(L5&lt;=TabS!$G$9,TabS!$I$9,IF(L5&lt;=TabS!$G$10,TabS!$I$10))))))</f>
        <v>0</v>
      </c>
      <c r="M19" s="132">
        <f>IF(M5&lt;=TabS!$G$5,TabS!$I$5,IF(M5&lt;=TabS!$G$6,TabS!$I$6,IF(M5&lt;=TabS!$G$7,TabS!$I$7,IF(M5&lt;=TabS!$G$8,TabS!$I$8,IF(M5&lt;=TabS!$G$9,TabS!$I$9,IF(M5&lt;=TabS!$G$10,TabS!$I$10))))))</f>
        <v>0</v>
      </c>
      <c r="N19" s="132">
        <f>IF(N5&lt;=TabS!$G$5,TabS!$I$5,IF(N5&lt;=TabS!$G$6,TabS!$I$6,IF(N5&lt;=TabS!$G$7,TabS!$I$7,IF(N5&lt;=TabS!$G$8,TabS!$I$8,IF(N5&lt;=TabS!$G$9,TabS!$I$9,IF(N5&lt;=TabS!$G$10,TabS!$I$10))))))</f>
        <v>0</v>
      </c>
      <c r="O19" s="119">
        <f t="shared" si="3"/>
        <v>0</v>
      </c>
      <c r="Q19" s="144" t="s">
        <v>122</v>
      </c>
      <c r="R19" s="132">
        <f>IF(C5&lt;=TabS!$G$5,TabS!$I$5,IF(C5&lt;=TabS!$G$6,TabS!$I$6,IF(C5&lt;=TabS!$G$7,TabS!$I$7,IF(C5&lt;=TabS!$G$8,TabS!$I$8,IF(C5&lt;=TabS!$G$9,TabS!$I$9,IF(C5&lt;=TabS!$G$10,TabS!$I$10))))))</f>
        <v>0</v>
      </c>
      <c r="S19" s="132">
        <f>IF(D5&lt;=TabS!$G$5,TabS!$I$5,IF(D5&lt;=TabS!$G$6,TabS!$I$6,IF(D5&lt;=TabS!$G$7,TabS!$I$7,IF(D5&lt;=TabS!$G$8,TabS!$I$8,IF(D5&lt;=TabS!$G$9,TabS!$I$9,IF(D5&lt;=TabS!$G$10,TabS!$I$10))))))</f>
        <v>0</v>
      </c>
      <c r="T19" s="132">
        <f>IF(E5&lt;=TabS!$G$5,TabS!$I$5,IF(E5&lt;=TabS!$G$6,TabS!$I$6,IF(E5&lt;=TabS!$G$7,TabS!$I$7,IF(E5&lt;=TabS!$G$8,TabS!$I$8,IF(E5&lt;=TabS!$G$9,TabS!$I$9,IF(E5&lt;=TabS!$G$10,TabS!$I$10))))))</f>
        <v>0</v>
      </c>
      <c r="U19" s="132">
        <f>IF(F5&lt;=TabS!$G$5,TabS!$I$5,IF(F5&lt;=TabS!$G$6,TabS!$I$6,IF(F5&lt;=TabS!$G$7,TabS!$I$7,IF(F5&lt;=TabS!$G$8,TabS!$I$8,IF(F5&lt;=TabS!$G$9,TabS!$I$9,IF(F5&lt;=TabS!$G$10,TabS!$I$10))))))</f>
        <v>0</v>
      </c>
      <c r="V19" s="132">
        <f>IF(G5&lt;=TabS!$G$5,TabS!$I$5,IF(G5&lt;=TabS!$G$6,TabS!$I$6,IF(G5&lt;=TabS!$G$7,TabS!$I$7,IF(G5&lt;=TabS!$G$8,TabS!$I$8,IF(G5&lt;=TabS!$G$9,TabS!$I$9,IF(G5&lt;=TabS!$G$10,TabS!$I$10))))))</f>
        <v>0</v>
      </c>
      <c r="W19" s="132">
        <f>IF(H5&lt;=TabS!$G$5,TabS!$I$5,IF(H5&lt;=TabS!$G$6,TabS!$I$6,IF(H5&lt;=TabS!$G$7,TabS!$I$7,IF(H5&lt;=TabS!$G$8,TabS!$I$8,IF(H5&lt;=TabS!$G$9,TabS!$I$9,IF(H5&lt;=TabS!$G$10,TabS!$I$10))))))</f>
        <v>0</v>
      </c>
      <c r="X19" s="132">
        <f>IF(I5&lt;=TabS!$G$5,TabS!$I$5,IF(I5&lt;=TabS!$G$6,TabS!$I$6,IF(I5&lt;=TabS!$G$7,TabS!$I$7,IF(I5&lt;=TabS!$G$8,TabS!$I$8,IF(I5&lt;=TabS!$G$9,TabS!$I$9,IF(I5&lt;=TabS!$G$10,TabS!$I$10))))))</f>
        <v>0</v>
      </c>
      <c r="Y19" s="132">
        <f>IF(J5&lt;=TabS!$G$5,TabS!$I$5,IF(J5&lt;=TabS!$G$6,TabS!$I$6,IF(J5&lt;=TabS!$G$7,TabS!$I$7,IF(J5&lt;=TabS!$G$8,TabS!$I$8,IF(J5&lt;=TabS!$G$9,TabS!$I$9,IF(J5&lt;=TabS!$G$10,TabS!$I$10))))))</f>
        <v>0</v>
      </c>
      <c r="Z19" s="132">
        <f>IF(K5&lt;=TabS!$G$5,TabS!$I$5,IF(K5&lt;=TabS!$G$6,TabS!$I$6,IF(K5&lt;=TabS!$G$7,TabS!$I$7,IF(K5&lt;=TabS!$G$8,TabS!$I$8,IF(K5&lt;=TabS!$G$9,TabS!$I$9,IF(K5&lt;=TabS!$G$10,TabS!$I$10))))))</f>
        <v>0</v>
      </c>
      <c r="AA19" s="132">
        <f>IF(L5&lt;=TabS!$G$5,TabS!$I$5,IF(L5&lt;=TabS!$G$6,TabS!$I$6,IF(L5&lt;=TabS!$G$7,TabS!$I$7,IF(L5&lt;=TabS!$G$8,TabS!$I$8,IF(L5&lt;=TabS!$G$9,TabS!$I$9,IF(L5&lt;=TabS!$G$10,TabS!$I$10))))))</f>
        <v>0</v>
      </c>
      <c r="AB19" s="132">
        <f>IF(M5&lt;=TabS!$G$5,TabS!$I$5,IF(M5&lt;=TabS!$G$6,TabS!$I$6,IF(M5&lt;=TabS!$G$7,TabS!$I$7,IF(M5&lt;=TabS!$G$8,TabS!$I$8,IF(M5&lt;=TabS!$G$9,TabS!$I$9,IF(M5&lt;=TabS!$G$10,TabS!$I$10))))))</f>
        <v>0</v>
      </c>
      <c r="AC19" s="132">
        <f>IF(N5&lt;=TabS!$G$5,TabS!$I$5,IF(N5&lt;=TabS!$G$6,TabS!$I$6,IF(N5&lt;=TabS!$G$7,TabS!$I$7,IF(N5&lt;=TabS!$G$8,TabS!$I$8,IF(N5&lt;=TabS!$G$9,TabS!$I$9,IF(N5&lt;=TabS!$G$10,TabS!$I$10))))))</f>
        <v>0</v>
      </c>
      <c r="AD19" s="119">
        <f t="shared" si="5"/>
        <v>0</v>
      </c>
    </row>
    <row r="20" spans="2:30" ht="20.100000000000001" customHeight="1" x14ac:dyDescent="0.25">
      <c r="B20" s="49" t="s">
        <v>123</v>
      </c>
      <c r="C20" s="135">
        <f>IFERROR(C22/C5,0)</f>
        <v>0</v>
      </c>
      <c r="D20" s="135">
        <f t="shared" ref="D20:N20" si="6">IFERROR(D22/D5,0)</f>
        <v>0</v>
      </c>
      <c r="E20" s="135">
        <f t="shared" si="6"/>
        <v>0</v>
      </c>
      <c r="F20" s="135">
        <f t="shared" si="6"/>
        <v>0</v>
      </c>
      <c r="G20" s="135">
        <f t="shared" si="6"/>
        <v>0</v>
      </c>
      <c r="H20" s="135">
        <f t="shared" si="6"/>
        <v>0</v>
      </c>
      <c r="I20" s="135">
        <f t="shared" si="6"/>
        <v>0</v>
      </c>
      <c r="J20" s="135">
        <f t="shared" si="6"/>
        <v>0</v>
      </c>
      <c r="K20" s="135">
        <f t="shared" si="6"/>
        <v>0</v>
      </c>
      <c r="L20" s="135">
        <f t="shared" si="6"/>
        <v>0</v>
      </c>
      <c r="M20" s="135">
        <f t="shared" si="6"/>
        <v>0</v>
      </c>
      <c r="N20" s="135">
        <f t="shared" si="6"/>
        <v>0</v>
      </c>
      <c r="O20" s="136">
        <f t="shared" si="3"/>
        <v>0</v>
      </c>
      <c r="Q20" s="130" t="s">
        <v>123</v>
      </c>
      <c r="R20" s="135">
        <f>IFERROR(R22/C5,0)</f>
        <v>0</v>
      </c>
      <c r="S20" s="135">
        <f t="shared" ref="S20:AC20" si="7">IFERROR(S22/D5,0)</f>
        <v>0</v>
      </c>
      <c r="T20" s="135">
        <f t="shared" si="7"/>
        <v>0</v>
      </c>
      <c r="U20" s="135">
        <f t="shared" si="7"/>
        <v>0</v>
      </c>
      <c r="V20" s="135">
        <f t="shared" si="7"/>
        <v>0</v>
      </c>
      <c r="W20" s="135">
        <f t="shared" si="7"/>
        <v>0</v>
      </c>
      <c r="X20" s="135">
        <f t="shared" si="7"/>
        <v>0</v>
      </c>
      <c r="Y20" s="135">
        <f t="shared" si="7"/>
        <v>0</v>
      </c>
      <c r="Z20" s="135">
        <f t="shared" si="7"/>
        <v>0</v>
      </c>
      <c r="AA20" s="135">
        <f t="shared" si="7"/>
        <v>0</v>
      </c>
      <c r="AB20" s="135">
        <f t="shared" si="7"/>
        <v>0</v>
      </c>
      <c r="AC20" s="135">
        <f t="shared" si="7"/>
        <v>0</v>
      </c>
      <c r="AD20" s="136">
        <f t="shared" si="5"/>
        <v>0</v>
      </c>
    </row>
    <row r="21" spans="2:30" ht="20.100000000000001" customHeight="1" x14ac:dyDescent="0.25">
      <c r="B21" s="161" t="s">
        <v>125</v>
      </c>
      <c r="C21" s="137">
        <f>C17*C20</f>
        <v>0</v>
      </c>
      <c r="D21" s="137">
        <f t="shared" ref="D21:N21" si="8">D17*D20</f>
        <v>0</v>
      </c>
      <c r="E21" s="137">
        <f t="shared" si="8"/>
        <v>0</v>
      </c>
      <c r="F21" s="137">
        <f t="shared" si="8"/>
        <v>0</v>
      </c>
      <c r="G21" s="137">
        <f t="shared" si="8"/>
        <v>0</v>
      </c>
      <c r="H21" s="137">
        <f t="shared" si="8"/>
        <v>0</v>
      </c>
      <c r="I21" s="137">
        <f t="shared" si="8"/>
        <v>0</v>
      </c>
      <c r="J21" s="137">
        <f t="shared" si="8"/>
        <v>0</v>
      </c>
      <c r="K21" s="137">
        <f t="shared" si="8"/>
        <v>0</v>
      </c>
      <c r="L21" s="137">
        <f t="shared" si="8"/>
        <v>0</v>
      </c>
      <c r="M21" s="137">
        <f t="shared" si="8"/>
        <v>0</v>
      </c>
      <c r="N21" s="137">
        <f t="shared" si="8"/>
        <v>0</v>
      </c>
      <c r="O21" s="138">
        <f>SUM(C21:N21)</f>
        <v>0</v>
      </c>
      <c r="Q21" s="146" t="s">
        <v>125</v>
      </c>
      <c r="R21" s="137">
        <f>R17*R20</f>
        <v>0</v>
      </c>
      <c r="S21" s="137">
        <f t="shared" ref="S21:AC21" si="9">S17*S20</f>
        <v>0</v>
      </c>
      <c r="T21" s="137">
        <f t="shared" si="9"/>
        <v>0</v>
      </c>
      <c r="U21" s="137">
        <f t="shared" si="9"/>
        <v>0</v>
      </c>
      <c r="V21" s="137">
        <f t="shared" si="9"/>
        <v>0</v>
      </c>
      <c r="W21" s="137">
        <f t="shared" si="9"/>
        <v>0</v>
      </c>
      <c r="X21" s="137">
        <f t="shared" si="9"/>
        <v>0</v>
      </c>
      <c r="Y21" s="137">
        <f t="shared" si="9"/>
        <v>0</v>
      </c>
      <c r="Z21" s="137">
        <f t="shared" si="9"/>
        <v>0</v>
      </c>
      <c r="AA21" s="137">
        <f t="shared" si="9"/>
        <v>0</v>
      </c>
      <c r="AB21" s="137">
        <f t="shared" si="9"/>
        <v>0</v>
      </c>
      <c r="AC21" s="137">
        <f t="shared" si="9"/>
        <v>0</v>
      </c>
      <c r="AD21" s="138">
        <f t="shared" si="5"/>
        <v>0</v>
      </c>
    </row>
    <row r="22" spans="2:30" ht="20.100000000000001" customHeight="1" x14ac:dyDescent="0.25">
      <c r="B22" s="19" t="s">
        <v>124</v>
      </c>
      <c r="C22" s="132">
        <f>IFERROR((C5*C18)-C19,0)</f>
        <v>0</v>
      </c>
      <c r="D22" s="132">
        <f t="shared" ref="D22:N22" si="10">IFERROR((D5*D18)-D19,0)</f>
        <v>0</v>
      </c>
      <c r="E22" s="132">
        <f t="shared" si="10"/>
        <v>0</v>
      </c>
      <c r="F22" s="132">
        <f t="shared" si="10"/>
        <v>0</v>
      </c>
      <c r="G22" s="132">
        <f t="shared" si="10"/>
        <v>0</v>
      </c>
      <c r="H22" s="132">
        <f t="shared" si="10"/>
        <v>0</v>
      </c>
      <c r="I22" s="132">
        <f t="shared" si="10"/>
        <v>0</v>
      </c>
      <c r="J22" s="132">
        <f t="shared" si="10"/>
        <v>0</v>
      </c>
      <c r="K22" s="132">
        <f t="shared" si="10"/>
        <v>0</v>
      </c>
      <c r="L22" s="132">
        <f t="shared" si="10"/>
        <v>0</v>
      </c>
      <c r="M22" s="132">
        <f t="shared" si="10"/>
        <v>0</v>
      </c>
      <c r="N22" s="132">
        <f t="shared" si="10"/>
        <v>0</v>
      </c>
      <c r="O22" s="119">
        <f t="shared" si="3"/>
        <v>0</v>
      </c>
      <c r="Q22" s="144" t="s">
        <v>124</v>
      </c>
      <c r="R22" s="132">
        <f>IFERROR((C5*R18)-R19,0)</f>
        <v>0</v>
      </c>
      <c r="S22" s="132">
        <f t="shared" ref="S22:AC22" si="11">IFERROR((D5*S18)-S19,0)</f>
        <v>0</v>
      </c>
      <c r="T22" s="132">
        <f t="shared" si="11"/>
        <v>0</v>
      </c>
      <c r="U22" s="132">
        <f t="shared" si="11"/>
        <v>0</v>
      </c>
      <c r="V22" s="132">
        <f t="shared" si="11"/>
        <v>0</v>
      </c>
      <c r="W22" s="132">
        <f t="shared" si="11"/>
        <v>0</v>
      </c>
      <c r="X22" s="132">
        <f t="shared" si="11"/>
        <v>0</v>
      </c>
      <c r="Y22" s="132">
        <f t="shared" si="11"/>
        <v>0</v>
      </c>
      <c r="Z22" s="132">
        <f t="shared" si="11"/>
        <v>0</v>
      </c>
      <c r="AA22" s="132">
        <f t="shared" si="11"/>
        <v>0</v>
      </c>
      <c r="AB22" s="132">
        <f t="shared" si="11"/>
        <v>0</v>
      </c>
      <c r="AC22" s="132">
        <f t="shared" si="11"/>
        <v>0</v>
      </c>
      <c r="AD22" s="119">
        <f t="shared" si="5"/>
        <v>0</v>
      </c>
    </row>
    <row r="23" spans="2:30" ht="20.100000000000001" customHeight="1" x14ac:dyDescent="0.25">
      <c r="B23" s="112" t="s">
        <v>82</v>
      </c>
      <c r="C23" s="112" t="s">
        <v>83</v>
      </c>
      <c r="D23" s="112" t="s">
        <v>84</v>
      </c>
      <c r="E23" s="112" t="s">
        <v>85</v>
      </c>
      <c r="F23" s="112" t="s">
        <v>86</v>
      </c>
      <c r="G23" s="112" t="s">
        <v>87</v>
      </c>
      <c r="H23" s="112" t="s">
        <v>88</v>
      </c>
      <c r="I23" s="112" t="s">
        <v>89</v>
      </c>
      <c r="J23" s="112" t="s">
        <v>90</v>
      </c>
      <c r="K23" s="112" t="s">
        <v>91</v>
      </c>
      <c r="L23" s="112" t="s">
        <v>92</v>
      </c>
      <c r="M23" s="112" t="s">
        <v>93</v>
      </c>
      <c r="N23" s="112" t="s">
        <v>94</v>
      </c>
      <c r="O23" s="112" t="s">
        <v>95</v>
      </c>
    </row>
    <row r="24" spans="2:30" ht="20.100000000000001" customHeight="1" x14ac:dyDescent="0.25">
      <c r="B24" s="19" t="s">
        <v>81</v>
      </c>
      <c r="C24" s="132">
        <f>C10</f>
        <v>0</v>
      </c>
      <c r="D24" s="132">
        <f t="shared" ref="D24:N24" si="12">D10</f>
        <v>0</v>
      </c>
      <c r="E24" s="132">
        <f t="shared" si="12"/>
        <v>0</v>
      </c>
      <c r="F24" s="132">
        <f t="shared" si="12"/>
        <v>0</v>
      </c>
      <c r="G24" s="132">
        <f t="shared" si="12"/>
        <v>0</v>
      </c>
      <c r="H24" s="132">
        <f t="shared" si="12"/>
        <v>0</v>
      </c>
      <c r="I24" s="132">
        <f t="shared" si="12"/>
        <v>0</v>
      </c>
      <c r="J24" s="132">
        <f t="shared" si="12"/>
        <v>0</v>
      </c>
      <c r="K24" s="132">
        <f t="shared" si="12"/>
        <v>0</v>
      </c>
      <c r="L24" s="132">
        <f t="shared" si="12"/>
        <v>0</v>
      </c>
      <c r="M24" s="132">
        <f t="shared" si="12"/>
        <v>0</v>
      </c>
      <c r="N24" s="132">
        <f t="shared" si="12"/>
        <v>0</v>
      </c>
      <c r="O24" s="119">
        <f t="shared" ref="O24:O29" si="13">SUM(C24:N24)</f>
        <v>0</v>
      </c>
    </row>
    <row r="25" spans="2:30" ht="20.100000000000001" customHeight="1" x14ac:dyDescent="0.25">
      <c r="B25" s="19" t="s">
        <v>121</v>
      </c>
      <c r="C25" s="133">
        <f>IF(C5&lt;=TabS!$G$11,TabS!$H$11,IF(C5&lt;=TabS!$G$12,TabS!$H$12,IF(C5&lt;=TabS!$G$13,TabS!$H$13,IF(C5&lt;=TabS!$G$14,TabS!$H$14,IF(C5&lt;=TabS!$G$15,TabS!$H$15,IF(C5&lt;=TabS!$G$16,TabS!$H$16))))))</f>
        <v>4.4999999999999998E-2</v>
      </c>
      <c r="D25" s="133">
        <f>IF(D5&lt;=TabS!$G$11,TabS!$H$11,IF(D5&lt;=TabS!$G$12,TabS!$H$12,IF(D5&lt;=TabS!$G$13,TabS!$H$13,IF(D5&lt;=TabS!$G$14,TabS!$H$14,IF(D5&lt;=TabS!$G$15,TabS!$H$15,IF(D5&lt;=TabS!$G$16,TabS!$H$16))))))</f>
        <v>4.4999999999999998E-2</v>
      </c>
      <c r="E25" s="133">
        <f>IF(E5&lt;=TabS!$G$11,TabS!$H$11,IF(E5&lt;=TabS!$G$12,TabS!$H$12,IF(E5&lt;=TabS!$G$13,TabS!$H$13,IF(E5&lt;=TabS!$G$14,TabS!$H$14,IF(E5&lt;=TabS!$G$15,TabS!$H$15,IF(E5&lt;=TabS!$G$16,TabS!$H$16))))))</f>
        <v>4.4999999999999998E-2</v>
      </c>
      <c r="F25" s="133">
        <f>IF(F5&lt;=TabS!$G$11,TabS!$H$11,IF(F5&lt;=TabS!$G$12,TabS!$H$12,IF(F5&lt;=TabS!$G$13,TabS!$H$13,IF(F5&lt;=TabS!$G$14,TabS!$H$14,IF(F5&lt;=TabS!$G$15,TabS!$H$15,IF(F5&lt;=TabS!$G$16,TabS!$H$16))))))</f>
        <v>4.4999999999999998E-2</v>
      </c>
      <c r="G25" s="133">
        <f>IF(G5&lt;=TabS!$G$11,TabS!$H$11,IF(G5&lt;=TabS!$G$12,TabS!$H$12,IF(G5&lt;=TabS!$G$13,TabS!$H$13,IF(G5&lt;=TabS!$G$14,TabS!$H$14,IF(G5&lt;=TabS!$G$15,TabS!$H$15,IF(G5&lt;=TabS!$G$16,TabS!$H$16))))))</f>
        <v>4.4999999999999998E-2</v>
      </c>
      <c r="H25" s="133">
        <f>IF(H5&lt;=TabS!$G$11,TabS!$H$11,IF(H5&lt;=TabS!$G$12,TabS!$H$12,IF(H5&lt;=TabS!$G$13,TabS!$H$13,IF(H5&lt;=TabS!$G$14,TabS!$H$14,IF(H5&lt;=TabS!$G$15,TabS!$H$15,IF(H5&lt;=TabS!$G$16,TabS!$H$16))))))</f>
        <v>4.4999999999999998E-2</v>
      </c>
      <c r="I25" s="133">
        <f>IF(I5&lt;=TabS!$G$11,TabS!$H$11,IF(I5&lt;=TabS!$G$12,TabS!$H$12,IF(I5&lt;=TabS!$G$13,TabS!$H$13,IF(I5&lt;=TabS!$G$14,TabS!$H$14,IF(I5&lt;=TabS!$G$15,TabS!$H$15,IF(I5&lt;=TabS!$G$16,TabS!$H$16))))))</f>
        <v>4.4999999999999998E-2</v>
      </c>
      <c r="J25" s="133">
        <f>IF(J5&lt;=TabS!$G$11,TabS!$H$11,IF(J5&lt;=TabS!$G$12,TabS!$H$12,IF(J5&lt;=TabS!$G$13,TabS!$H$13,IF(J5&lt;=TabS!$G$14,TabS!$H$14,IF(J5&lt;=TabS!$G$15,TabS!$H$15,IF(J5&lt;=TabS!$G$16,TabS!$H$16))))))</f>
        <v>4.4999999999999998E-2</v>
      </c>
      <c r="K25" s="133">
        <f>IF(K5&lt;=TabS!$G$11,TabS!$H$11,IF(K5&lt;=TabS!$G$12,TabS!$H$12,IF(K5&lt;=TabS!$G$13,TabS!$H$13,IF(K5&lt;=TabS!$G$14,TabS!$H$14,IF(K5&lt;=TabS!$G$15,TabS!$H$15,IF(K5&lt;=TabS!$G$16,TabS!$H$16))))))</f>
        <v>4.4999999999999998E-2</v>
      </c>
      <c r="L25" s="133">
        <f>IF(L5&lt;=TabS!$G$11,TabS!$H$11,IF(L5&lt;=TabS!$G$12,TabS!$H$12,IF(L5&lt;=TabS!$G$13,TabS!$H$13,IF(L5&lt;=TabS!$G$14,TabS!$H$14,IF(L5&lt;=TabS!$G$15,TabS!$H$15,IF(L5&lt;=TabS!$G$16,TabS!$H$16))))))</f>
        <v>4.4999999999999998E-2</v>
      </c>
      <c r="M25" s="133">
        <f>IF(M5&lt;=TabS!$G$11,TabS!$H$11,IF(M5&lt;=TabS!$G$12,TabS!$H$12,IF(M5&lt;=TabS!$G$13,TabS!$H$13,IF(M5&lt;=TabS!$G$14,TabS!$H$14,IF(M5&lt;=TabS!$G$15,TabS!$H$15,IF(M5&lt;=TabS!$G$16,TabS!$H$16))))))</f>
        <v>4.4999999999999998E-2</v>
      </c>
      <c r="N25" s="133">
        <f>IF(N5&lt;=TabS!$G$11,TabS!$H$11,IF(N5&lt;=TabS!$G$12,TabS!$H$12,IF(N5&lt;=TabS!$G$13,TabS!$H$13,IF(N5&lt;=TabS!$G$14,TabS!$H$14,IF(N5&lt;=TabS!$G$15,TabS!$H$15,IF(N5&lt;=TabS!$G$16,TabS!$H$16))))))</f>
        <v>4.4999999999999998E-2</v>
      </c>
      <c r="O25" s="134">
        <f t="shared" si="13"/>
        <v>0.53999999999999992</v>
      </c>
    </row>
    <row r="26" spans="2:30" ht="20.100000000000001" customHeight="1" x14ac:dyDescent="0.25">
      <c r="B26" s="19" t="s">
        <v>122</v>
      </c>
      <c r="C26" s="132">
        <f>IF(C5&lt;=TabS!$G$11,TabS!$I$11,IF(C5&lt;=TabS!$G$12,TabS!$I$12,IF(C5&lt;=TabS!$G$13,TabS!$I$13,IF(C5&lt;=TabS!$G$14,TabS!$I$14,IF(C5&lt;=TabS!$G$15,TabS!$I$15,IF(C5&lt;=TabS!$G$16,TabS!$I$16))))))</f>
        <v>0</v>
      </c>
      <c r="D26" s="132">
        <f>IF(D5&lt;=TabS!$G$11,TabS!$I$11,IF(D5&lt;=TabS!$G$12,TabS!$I$12,IF(D5&lt;=TabS!$G$13,TabS!$I$13,IF(D5&lt;=TabS!$G$14,TabS!$I$14,IF(D5&lt;=TabS!$G$15,TabS!$I$15,IF(D5&lt;=TabS!$G$16,TabS!$I$16))))))</f>
        <v>0</v>
      </c>
      <c r="E26" s="132">
        <f>IF(E5&lt;=TabS!$G$11,TabS!$I$11,IF(E5&lt;=TabS!$G$12,TabS!$I$12,IF(E5&lt;=TabS!$G$13,TabS!$I$13,IF(E5&lt;=TabS!$G$14,TabS!$I$14,IF(E5&lt;=TabS!$G$15,TabS!$I$15,IF(E5&lt;=TabS!$G$16,TabS!$I$16))))))</f>
        <v>0</v>
      </c>
      <c r="F26" s="132">
        <f>IF(F5&lt;=TabS!$G$11,TabS!$I$11,IF(F5&lt;=TabS!$G$12,TabS!$I$12,IF(F5&lt;=TabS!$G$13,TabS!$I$13,IF(F5&lt;=TabS!$G$14,TabS!$I$14,IF(F5&lt;=TabS!$G$15,TabS!$I$15,IF(F5&lt;=TabS!$G$16,TabS!$I$16))))))</f>
        <v>0</v>
      </c>
      <c r="G26" s="132">
        <f>IF(G5&lt;=TabS!$G$11,TabS!$I$11,IF(G5&lt;=TabS!$G$12,TabS!$I$12,IF(G5&lt;=TabS!$G$13,TabS!$I$13,IF(G5&lt;=TabS!$G$14,TabS!$I$14,IF(G5&lt;=TabS!$G$15,TabS!$I$15,IF(G5&lt;=TabS!$G$16,TabS!$I$16))))))</f>
        <v>0</v>
      </c>
      <c r="H26" s="132">
        <f>IF(H5&lt;=TabS!$G$11,TabS!$I$11,IF(H5&lt;=TabS!$G$12,TabS!$I$12,IF(H5&lt;=TabS!$G$13,TabS!$I$13,IF(H5&lt;=TabS!$G$14,TabS!$I$14,IF(H5&lt;=TabS!$G$15,TabS!$I$15,IF(H5&lt;=TabS!$G$16,TabS!$I$16))))))</f>
        <v>0</v>
      </c>
      <c r="I26" s="132">
        <f>IF(I5&lt;=TabS!$G$11,TabS!$I$11,IF(I5&lt;=TabS!$G$12,TabS!$I$12,IF(I5&lt;=TabS!$G$13,TabS!$I$13,IF(I5&lt;=TabS!$G$14,TabS!$I$14,IF(I5&lt;=TabS!$G$15,TabS!$I$15,IF(I5&lt;=TabS!$G$16,TabS!$I$16))))))</f>
        <v>0</v>
      </c>
      <c r="J26" s="132">
        <f>IF(J5&lt;=TabS!$G$11,TabS!$I$11,IF(J5&lt;=TabS!$G$12,TabS!$I$12,IF(J5&lt;=TabS!$G$13,TabS!$I$13,IF(J5&lt;=TabS!$G$14,TabS!$I$14,IF(J5&lt;=TabS!$G$15,TabS!$I$15,IF(J5&lt;=TabS!$G$16,TabS!$I$16))))))</f>
        <v>0</v>
      </c>
      <c r="K26" s="132">
        <f>IF(K5&lt;=TabS!$G$11,TabS!$I$11,IF(K5&lt;=TabS!$G$12,TabS!$I$12,IF(K5&lt;=TabS!$G$13,TabS!$I$13,IF(K5&lt;=TabS!$G$14,TabS!$I$14,IF(K5&lt;=TabS!$G$15,TabS!$I$15,IF(K5&lt;=TabS!$G$16,TabS!$I$16))))))</f>
        <v>0</v>
      </c>
      <c r="L26" s="132">
        <f>IF(L5&lt;=TabS!$G$11,TabS!$I$11,IF(L5&lt;=TabS!$G$12,TabS!$I$12,IF(L5&lt;=TabS!$G$13,TabS!$I$13,IF(L5&lt;=TabS!$G$14,TabS!$I$14,IF(L5&lt;=TabS!$G$15,TabS!$I$15,IF(L5&lt;=TabS!$G$16,TabS!$I$16))))))</f>
        <v>0</v>
      </c>
      <c r="M26" s="132">
        <f>IF(M5&lt;=TabS!$G$11,TabS!$I$11,IF(M5&lt;=TabS!$G$12,TabS!$I$12,IF(M5&lt;=TabS!$G$13,TabS!$I$13,IF(M5&lt;=TabS!$G$14,TabS!$I$14,IF(M5&lt;=TabS!$G$15,TabS!$I$15,IF(M5&lt;=TabS!$G$16,TabS!$I$16))))))</f>
        <v>0</v>
      </c>
      <c r="N26" s="132">
        <f>IF(N5&lt;=TabS!$G$11,TabS!$I$11,IF(N5&lt;=TabS!$G$12,TabS!$I$12,IF(N5&lt;=TabS!$G$13,TabS!$I$13,IF(N5&lt;=TabS!$G$14,TabS!$I$14,IF(N5&lt;=TabS!$G$15,TabS!$I$15,IF(N5&lt;=TabS!$G$16,TabS!$I$16))))))</f>
        <v>0</v>
      </c>
      <c r="O26" s="119">
        <f t="shared" si="13"/>
        <v>0</v>
      </c>
    </row>
    <row r="27" spans="2:30" ht="20.100000000000001" customHeight="1" x14ac:dyDescent="0.25">
      <c r="B27" s="49" t="s">
        <v>123</v>
      </c>
      <c r="C27" s="135">
        <f>IFERROR(C29/C5,0)</f>
        <v>0</v>
      </c>
      <c r="D27" s="135">
        <f t="shared" ref="D27:N27" si="14">IFERROR(D29/D5,0)</f>
        <v>0</v>
      </c>
      <c r="E27" s="135">
        <f t="shared" si="14"/>
        <v>0</v>
      </c>
      <c r="F27" s="135">
        <f t="shared" si="14"/>
        <v>0</v>
      </c>
      <c r="G27" s="135">
        <f t="shared" si="14"/>
        <v>0</v>
      </c>
      <c r="H27" s="135">
        <f t="shared" si="14"/>
        <v>0</v>
      </c>
      <c r="I27" s="135">
        <f t="shared" si="14"/>
        <v>0</v>
      </c>
      <c r="J27" s="135">
        <f t="shared" si="14"/>
        <v>0</v>
      </c>
      <c r="K27" s="135">
        <f t="shared" si="14"/>
        <v>0</v>
      </c>
      <c r="L27" s="135">
        <f t="shared" si="14"/>
        <v>0</v>
      </c>
      <c r="M27" s="135">
        <f t="shared" si="14"/>
        <v>0</v>
      </c>
      <c r="N27" s="135">
        <f t="shared" si="14"/>
        <v>0</v>
      </c>
      <c r="O27" s="136">
        <f t="shared" si="13"/>
        <v>0</v>
      </c>
    </row>
    <row r="28" spans="2:30" ht="20.100000000000001" customHeight="1" x14ac:dyDescent="0.25">
      <c r="B28" s="161" t="s">
        <v>125</v>
      </c>
      <c r="C28" s="137">
        <f>C24*C27</f>
        <v>0</v>
      </c>
      <c r="D28" s="137">
        <f t="shared" ref="D28:N28" si="15">D24*D27</f>
        <v>0</v>
      </c>
      <c r="E28" s="137">
        <f t="shared" si="15"/>
        <v>0</v>
      </c>
      <c r="F28" s="137">
        <f t="shared" si="15"/>
        <v>0</v>
      </c>
      <c r="G28" s="137">
        <f t="shared" si="15"/>
        <v>0</v>
      </c>
      <c r="H28" s="137">
        <f t="shared" si="15"/>
        <v>0</v>
      </c>
      <c r="I28" s="137">
        <f t="shared" si="15"/>
        <v>0</v>
      </c>
      <c r="J28" s="137">
        <f t="shared" si="15"/>
        <v>0</v>
      </c>
      <c r="K28" s="137">
        <f t="shared" si="15"/>
        <v>0</v>
      </c>
      <c r="L28" s="137">
        <f t="shared" si="15"/>
        <v>0</v>
      </c>
      <c r="M28" s="137">
        <f t="shared" si="15"/>
        <v>0</v>
      </c>
      <c r="N28" s="137">
        <f t="shared" si="15"/>
        <v>0</v>
      </c>
      <c r="O28" s="138">
        <f>SUM(C28:N28)</f>
        <v>0</v>
      </c>
    </row>
    <row r="29" spans="2:30" ht="20.100000000000001" customHeight="1" x14ac:dyDescent="0.25">
      <c r="B29" s="19" t="s">
        <v>124</v>
      </c>
      <c r="C29" s="132">
        <f>IFERROR((C5*C25)-C26,0)</f>
        <v>0</v>
      </c>
      <c r="D29" s="132">
        <f t="shared" ref="D29:N29" si="16">IFERROR((D5*D25)-D26,0)</f>
        <v>0</v>
      </c>
      <c r="E29" s="132">
        <f t="shared" si="16"/>
        <v>0</v>
      </c>
      <c r="F29" s="132">
        <f t="shared" si="16"/>
        <v>0</v>
      </c>
      <c r="G29" s="132">
        <f t="shared" si="16"/>
        <v>0</v>
      </c>
      <c r="H29" s="132">
        <f t="shared" si="16"/>
        <v>0</v>
      </c>
      <c r="I29" s="132">
        <f t="shared" si="16"/>
        <v>0</v>
      </c>
      <c r="J29" s="132">
        <f t="shared" si="16"/>
        <v>0</v>
      </c>
      <c r="K29" s="132">
        <f t="shared" si="16"/>
        <v>0</v>
      </c>
      <c r="L29" s="132">
        <f t="shared" si="16"/>
        <v>0</v>
      </c>
      <c r="M29" s="132">
        <f t="shared" si="16"/>
        <v>0</v>
      </c>
      <c r="N29" s="132">
        <f t="shared" si="16"/>
        <v>0</v>
      </c>
      <c r="O29" s="119">
        <f t="shared" si="13"/>
        <v>0</v>
      </c>
    </row>
    <row r="30" spans="2:30" ht="20.100000000000001" customHeight="1" x14ac:dyDescent="0.25">
      <c r="B30" s="112" t="s">
        <v>82</v>
      </c>
      <c r="C30" s="112" t="s">
        <v>83</v>
      </c>
      <c r="D30" s="112" t="s">
        <v>84</v>
      </c>
      <c r="E30" s="112" t="s">
        <v>85</v>
      </c>
      <c r="F30" s="112" t="s">
        <v>86</v>
      </c>
      <c r="G30" s="112" t="s">
        <v>87</v>
      </c>
      <c r="H30" s="112" t="s">
        <v>88</v>
      </c>
      <c r="I30" s="112" t="s">
        <v>89</v>
      </c>
      <c r="J30" s="112" t="s">
        <v>90</v>
      </c>
      <c r="K30" s="112" t="s">
        <v>91</v>
      </c>
      <c r="L30" s="112" t="s">
        <v>92</v>
      </c>
      <c r="M30" s="112" t="s">
        <v>93</v>
      </c>
      <c r="N30" s="112" t="s">
        <v>94</v>
      </c>
      <c r="O30" s="112" t="s">
        <v>95</v>
      </c>
      <c r="Q30" s="145" t="s">
        <v>82</v>
      </c>
      <c r="R30" s="112" t="s">
        <v>83</v>
      </c>
      <c r="S30" s="112" t="s">
        <v>84</v>
      </c>
      <c r="T30" s="112" t="s">
        <v>85</v>
      </c>
      <c r="U30" s="112" t="s">
        <v>86</v>
      </c>
      <c r="V30" s="112" t="s">
        <v>87</v>
      </c>
      <c r="W30" s="112" t="s">
        <v>88</v>
      </c>
      <c r="X30" s="112" t="s">
        <v>89</v>
      </c>
      <c r="Y30" s="112" t="s">
        <v>90</v>
      </c>
      <c r="Z30" s="112" t="s">
        <v>91</v>
      </c>
      <c r="AA30" s="112" t="s">
        <v>92</v>
      </c>
      <c r="AB30" s="112" t="s">
        <v>93</v>
      </c>
      <c r="AC30" s="112" t="s">
        <v>94</v>
      </c>
      <c r="AD30" s="112" t="s">
        <v>95</v>
      </c>
    </row>
    <row r="31" spans="2:30" ht="20.100000000000001" customHeight="1" x14ac:dyDescent="0.25">
      <c r="B31" s="19" t="s">
        <v>75</v>
      </c>
      <c r="C31" s="132">
        <f>C11</f>
        <v>0</v>
      </c>
      <c r="D31" s="132">
        <f t="shared" ref="D31:N31" si="17">D11</f>
        <v>0</v>
      </c>
      <c r="E31" s="132">
        <f t="shared" si="17"/>
        <v>0</v>
      </c>
      <c r="F31" s="132">
        <f t="shared" si="17"/>
        <v>0</v>
      </c>
      <c r="G31" s="132">
        <f t="shared" si="17"/>
        <v>0</v>
      </c>
      <c r="H31" s="132">
        <f t="shared" si="17"/>
        <v>0</v>
      </c>
      <c r="I31" s="132">
        <f t="shared" si="17"/>
        <v>0</v>
      </c>
      <c r="J31" s="132">
        <f t="shared" si="17"/>
        <v>0</v>
      </c>
      <c r="K31" s="132">
        <f t="shared" si="17"/>
        <v>0</v>
      </c>
      <c r="L31" s="132">
        <f t="shared" si="17"/>
        <v>0</v>
      </c>
      <c r="M31" s="132">
        <f t="shared" si="17"/>
        <v>0</v>
      </c>
      <c r="N31" s="132">
        <f t="shared" si="17"/>
        <v>0</v>
      </c>
      <c r="O31" s="119">
        <f t="shared" ref="O31:O36" si="18">SUM(C31:N31)</f>
        <v>0</v>
      </c>
      <c r="Q31" s="144" t="s">
        <v>75</v>
      </c>
      <c r="R31" s="132">
        <f>C11</f>
        <v>0</v>
      </c>
      <c r="S31" s="132">
        <f t="shared" ref="S31:AC31" si="19">D11</f>
        <v>0</v>
      </c>
      <c r="T31" s="132">
        <f t="shared" si="19"/>
        <v>0</v>
      </c>
      <c r="U31" s="132">
        <f t="shared" si="19"/>
        <v>0</v>
      </c>
      <c r="V31" s="132">
        <f t="shared" si="19"/>
        <v>0</v>
      </c>
      <c r="W31" s="132">
        <f t="shared" si="19"/>
        <v>0</v>
      </c>
      <c r="X31" s="132">
        <f t="shared" si="19"/>
        <v>0</v>
      </c>
      <c r="Y31" s="132">
        <f t="shared" si="19"/>
        <v>0</v>
      </c>
      <c r="Z31" s="132">
        <f t="shared" si="19"/>
        <v>0</v>
      </c>
      <c r="AA31" s="132">
        <f t="shared" si="19"/>
        <v>0</v>
      </c>
      <c r="AB31" s="132">
        <f t="shared" si="19"/>
        <v>0</v>
      </c>
      <c r="AC31" s="132">
        <f t="shared" si="19"/>
        <v>0</v>
      </c>
      <c r="AD31" s="119">
        <f t="shared" ref="AD31:AD36" si="20">SUM(R31:AC31)</f>
        <v>0</v>
      </c>
    </row>
    <row r="32" spans="2:30" ht="20.100000000000001" customHeight="1" x14ac:dyDescent="0.25">
      <c r="B32" s="19" t="s">
        <v>121</v>
      </c>
      <c r="C32" s="133">
        <f>IF(C5&lt;=TabS!$G$17,TabS!$H$17,IF(C5&lt;=TabS!$G$18,TabS!$H$18,IF(C5&lt;=TabS!$G$19,TabS!$H$19,IF(C5&lt;=TabS!$G$20,TabS!$H$20,IF(C5&lt;=TabS!$G$21,TabS!$H$21,IF(C5&lt;=TabS!$G$22,TabS!$H$22))))))</f>
        <v>0.06</v>
      </c>
      <c r="D32" s="133">
        <f>IF(D5&lt;=TabS!$G$17,TabS!$H$17,IF(D5&lt;=TabS!$G$18,TabS!$H$18,IF(D5&lt;=TabS!$G$19,TabS!$H$19,IF(D5&lt;=TabS!$G$20,TabS!$H$20,IF(D5&lt;=TabS!$G$21,TabS!$H$21,IF(D5&lt;=TabS!$G$22,TabS!$H$22))))))</f>
        <v>0.06</v>
      </c>
      <c r="E32" s="133">
        <f>IF(E5&lt;=TabS!$G$17,TabS!$H$17,IF(E5&lt;=TabS!$G$18,TabS!$H$18,IF(E5&lt;=TabS!$G$19,TabS!$H$19,IF(E5&lt;=TabS!$G$20,TabS!$H$20,IF(E5&lt;=TabS!$G$21,TabS!$H$21,IF(E5&lt;=TabS!$G$22,TabS!$H$22))))))</f>
        <v>0.06</v>
      </c>
      <c r="F32" s="133">
        <f>IF(F5&lt;=TabS!$G$17,TabS!$H$17,IF(F5&lt;=TabS!$G$18,TabS!$H$18,IF(F5&lt;=TabS!$G$19,TabS!$H$19,IF(F5&lt;=TabS!$G$20,TabS!$H$20,IF(F5&lt;=TabS!$G$21,TabS!$H$21,IF(F5&lt;=TabS!$G$22,TabS!$H$22))))))</f>
        <v>0.06</v>
      </c>
      <c r="G32" s="133">
        <f>IF(G5&lt;=TabS!$G$17,TabS!$H$17,IF(G5&lt;=TabS!$G$18,TabS!$H$18,IF(G5&lt;=TabS!$G$19,TabS!$H$19,IF(G5&lt;=TabS!$G$20,TabS!$H$20,IF(G5&lt;=TabS!$G$21,TabS!$H$21,IF(G5&lt;=TabS!$G$22,TabS!$H$22))))))</f>
        <v>0.06</v>
      </c>
      <c r="H32" s="133">
        <f>IF(H5&lt;=TabS!$G$17,TabS!$H$17,IF(H5&lt;=TabS!$G$18,TabS!$H$18,IF(H5&lt;=TabS!$G$19,TabS!$H$19,IF(H5&lt;=TabS!$G$20,TabS!$H$20,IF(H5&lt;=TabS!$G$21,TabS!$H$21,IF(H5&lt;=TabS!$G$22,TabS!$H$22))))))</f>
        <v>0.06</v>
      </c>
      <c r="I32" s="133">
        <f>IF(I5&lt;=TabS!$G$17,TabS!$H$17,IF(I5&lt;=TabS!$G$18,TabS!$H$18,IF(I5&lt;=TabS!$G$19,TabS!$H$19,IF(I5&lt;=TabS!$G$20,TabS!$H$20,IF(I5&lt;=TabS!$G$21,TabS!$H$21,IF(I5&lt;=TabS!$G$22,TabS!$H$22))))))</f>
        <v>0.06</v>
      </c>
      <c r="J32" s="133">
        <f>IF(J5&lt;=TabS!$G$17,TabS!$H$17,IF(J5&lt;=TabS!$G$18,TabS!$H$18,IF(J5&lt;=TabS!$G$19,TabS!$H$19,IF(J5&lt;=TabS!$G$20,TabS!$H$20,IF(J5&lt;=TabS!$G$21,TabS!$H$21,IF(J5&lt;=TabS!$G$22,TabS!$H$22))))))</f>
        <v>0.06</v>
      </c>
      <c r="K32" s="133">
        <f>IF(K5&lt;=TabS!$G$17,TabS!$H$17,IF(K5&lt;=TabS!$G$18,TabS!$H$18,IF(K5&lt;=TabS!$G$19,TabS!$H$19,IF(K5&lt;=TabS!$G$20,TabS!$H$20,IF(K5&lt;=TabS!$G$21,TabS!$H$21,IF(K5&lt;=TabS!$G$22,TabS!$H$22))))))</f>
        <v>0.06</v>
      </c>
      <c r="L32" s="133">
        <f>IF(L5&lt;=TabS!$G$17,TabS!$H$17,IF(L5&lt;=TabS!$G$18,TabS!$H$18,IF(L5&lt;=TabS!$G$19,TabS!$H$19,IF(L5&lt;=TabS!$G$20,TabS!$H$20,IF(L5&lt;=TabS!$G$21,TabS!$H$21,IF(L5&lt;=TabS!$G$22,TabS!$H$22))))))</f>
        <v>0.06</v>
      </c>
      <c r="M32" s="133">
        <f>IF(M5&lt;=TabS!$G$17,TabS!$H$17,IF(M5&lt;=TabS!$G$18,TabS!$H$18,IF(M5&lt;=TabS!$G$19,TabS!$H$19,IF(M5&lt;=TabS!$G$20,TabS!$H$20,IF(M5&lt;=TabS!$G$21,TabS!$H$21,IF(M5&lt;=TabS!$G$22,TabS!$H$22))))))</f>
        <v>0.06</v>
      </c>
      <c r="N32" s="133">
        <f>IF(N5&lt;=TabS!$G$17,TabS!$H$17,IF(N5&lt;=TabS!$G$18,TabS!$H$18,IF(N5&lt;=TabS!$G$19,TabS!$H$19,IF(N5&lt;=TabS!$G$20,TabS!$H$20,IF(N5&lt;=TabS!$G$21,TabS!$H$21,IF(N5&lt;=TabS!$G$22,TabS!$H$22))))))</f>
        <v>0.06</v>
      </c>
      <c r="O32" s="134">
        <f t="shared" si="18"/>
        <v>0.7200000000000002</v>
      </c>
      <c r="Q32" s="144" t="s">
        <v>121</v>
      </c>
      <c r="R32" s="133">
        <f>IF(C5&gt;TabS!$G$21,TabS!$H$21,0)</f>
        <v>0</v>
      </c>
      <c r="S32" s="133">
        <f>IF(D5&gt;TabS!$G$21,TabS!$H$21,0)</f>
        <v>0</v>
      </c>
      <c r="T32" s="133">
        <f>IF(E5&gt;TabS!$G$21,TabS!$H$21,0)</f>
        <v>0</v>
      </c>
      <c r="U32" s="133">
        <f>IF(F5&gt;TabS!$G$21,TabS!$H$21,0)</f>
        <v>0</v>
      </c>
      <c r="V32" s="133">
        <f>IF(G5&gt;TabS!$G$21,TabS!$H$21,0)</f>
        <v>0</v>
      </c>
      <c r="W32" s="133">
        <f>IF(H5&gt;TabS!$G$21,TabS!$H$21,0)</f>
        <v>0</v>
      </c>
      <c r="X32" s="133">
        <f>IF(I5&gt;TabS!$G$21,TabS!$H$21,0)</f>
        <v>0</v>
      </c>
      <c r="Y32" s="133">
        <f>IF(J5&gt;TabS!$G$21,TabS!$H$21,0)</f>
        <v>0</v>
      </c>
      <c r="Z32" s="133">
        <f>IF(K5&gt;TabS!$G$21,TabS!$H$21,0)</f>
        <v>0</v>
      </c>
      <c r="AA32" s="133">
        <f>IF(L5&gt;TabS!$G$21,TabS!$H$21,0)</f>
        <v>0</v>
      </c>
      <c r="AB32" s="133">
        <f>IF(M5&gt;TabS!$G$21,TabS!$H$21,0)</f>
        <v>0</v>
      </c>
      <c r="AC32" s="133">
        <f>IF(N5&gt;TabS!$G$21,TabS!$H$21,0)</f>
        <v>0</v>
      </c>
      <c r="AD32" s="134">
        <f t="shared" si="20"/>
        <v>0</v>
      </c>
    </row>
    <row r="33" spans="2:30" ht="20.100000000000001" customHeight="1" x14ac:dyDescent="0.25">
      <c r="B33" s="19" t="s">
        <v>122</v>
      </c>
      <c r="C33" s="132">
        <f>IF(C5&lt;=TabS!$G$17,TabS!$I$17,IF(C5&lt;=TabS!$G$18,TabS!$I$18,IF(C5&lt;=TabS!$G$19,TabS!$I$19,IF(C5&lt;=TabS!$G$20,TabS!$I$20,IF(C5&lt;=TabS!$G$21,TabS!$I$21,IF(C5&lt;=TabS!$G$22,TabS!$I$22))))))</f>
        <v>0</v>
      </c>
      <c r="D33" s="132">
        <f>IF(D5&lt;=TabS!$G$17,TabS!$I$17,IF(D5&lt;=TabS!$G$18,TabS!$I$18,IF(D5&lt;=TabS!$G$19,TabS!$I$19,IF(D5&lt;=TabS!$G$20,TabS!$I$20,IF(D5&lt;=TabS!$G$21,TabS!$I$21,IF(D5&lt;=TabS!$G$22,TabS!$I$22))))))</f>
        <v>0</v>
      </c>
      <c r="E33" s="132">
        <f>IF(E5&lt;=TabS!$G$17,TabS!$I$17,IF(E5&lt;=TabS!$G$18,TabS!$I$18,IF(E5&lt;=TabS!$G$19,TabS!$I$19,IF(E5&lt;=TabS!$G$20,TabS!$I$20,IF(E5&lt;=TabS!$G$21,TabS!$I$21,IF(E5&lt;=TabS!$G$22,TabS!$I$22))))))</f>
        <v>0</v>
      </c>
      <c r="F33" s="132">
        <f>IF(F5&lt;=TabS!$G$17,TabS!$I$17,IF(F5&lt;=TabS!$G$18,TabS!$I$18,IF(F5&lt;=TabS!$G$19,TabS!$I$19,IF(F5&lt;=TabS!$G$20,TabS!$I$20,IF(F5&lt;=TabS!$G$21,TabS!$I$21,IF(F5&lt;=TabS!$G$22,TabS!$I$22))))))</f>
        <v>0</v>
      </c>
      <c r="G33" s="132">
        <f>IF(G5&lt;=TabS!$G$17,TabS!$I$17,IF(G5&lt;=TabS!$G$18,TabS!$I$18,IF(G5&lt;=TabS!$G$19,TabS!$I$19,IF(G5&lt;=TabS!$G$20,TabS!$I$20,IF(G5&lt;=TabS!$G$21,TabS!$I$21,IF(G5&lt;=TabS!$G$22,TabS!$I$22))))))</f>
        <v>0</v>
      </c>
      <c r="H33" s="132">
        <f>IF(H5&lt;=TabS!$G$17,TabS!$I$17,IF(H5&lt;=TabS!$G$18,TabS!$I$18,IF(H5&lt;=TabS!$G$19,TabS!$I$19,IF(H5&lt;=TabS!$G$20,TabS!$I$20,IF(H5&lt;=TabS!$G$21,TabS!$I$21,IF(H5&lt;=TabS!$G$22,TabS!$I$22))))))</f>
        <v>0</v>
      </c>
      <c r="I33" s="132">
        <f>IF(I5&lt;=TabS!$G$17,TabS!$I$17,IF(I5&lt;=TabS!$G$18,TabS!$I$18,IF(I5&lt;=TabS!$G$19,TabS!$I$19,IF(I5&lt;=TabS!$G$20,TabS!$I$20,IF(I5&lt;=TabS!$G$21,TabS!$I$21,IF(I5&lt;=TabS!$G$22,TabS!$I$22))))))</f>
        <v>0</v>
      </c>
      <c r="J33" s="132">
        <f>IF(J5&lt;=TabS!$G$17,TabS!$I$17,IF(J5&lt;=TabS!$G$18,TabS!$I$18,IF(J5&lt;=TabS!$G$19,TabS!$I$19,IF(J5&lt;=TabS!$G$20,TabS!$I$20,IF(J5&lt;=TabS!$G$21,TabS!$I$21,IF(J5&lt;=TabS!$G$22,TabS!$I$22))))))</f>
        <v>0</v>
      </c>
      <c r="K33" s="132">
        <f>IF(K5&lt;=TabS!$G$17,TabS!$I$17,IF(K5&lt;=TabS!$G$18,TabS!$I$18,IF(K5&lt;=TabS!$G$19,TabS!$I$19,IF(K5&lt;=TabS!$G$20,TabS!$I$20,IF(K5&lt;=TabS!$G$21,TabS!$I$21,IF(K5&lt;=TabS!$G$22,TabS!$I$22))))))</f>
        <v>0</v>
      </c>
      <c r="L33" s="132">
        <f>IF(L5&lt;=TabS!$G$17,TabS!$I$17,IF(L5&lt;=TabS!$G$18,TabS!$I$18,IF(L5&lt;=TabS!$G$19,TabS!$I$19,IF(L5&lt;=TabS!$G$20,TabS!$I$20,IF(L5&lt;=TabS!$G$21,TabS!$I$21,IF(L5&lt;=TabS!$G$22,TabS!$I$22))))))</f>
        <v>0</v>
      </c>
      <c r="M33" s="132">
        <f>IF(M5&lt;=TabS!$G$17,TabS!$I$17,IF(M5&lt;=TabS!$G$18,TabS!$I$18,IF(M5&lt;=TabS!$G$19,TabS!$I$19,IF(M5&lt;=TabS!$G$20,TabS!$I$20,IF(M5&lt;=TabS!$G$21,TabS!$I$21,IF(M5&lt;=TabS!$G$22,TabS!$I$22))))))</f>
        <v>0</v>
      </c>
      <c r="N33" s="132">
        <f>IF(N5&lt;=TabS!$G$17,TabS!$I$17,IF(N5&lt;=TabS!$G$18,TabS!$I$18,IF(N5&lt;=TabS!$G$19,TabS!$I$19,IF(N5&lt;=TabS!$G$20,TabS!$I$20,IF(N5&lt;=TabS!$G$21,TabS!$I$21,IF(N5&lt;=TabS!$G$22,TabS!$I$22))))))</f>
        <v>0</v>
      </c>
      <c r="O33" s="119">
        <f t="shared" si="18"/>
        <v>0</v>
      </c>
      <c r="Q33" s="144" t="s">
        <v>122</v>
      </c>
      <c r="R33" s="132">
        <f>IF(C5&gt;TabS!$G$21,TabS!$I$21,0)</f>
        <v>0</v>
      </c>
      <c r="S33" s="132">
        <f>IF(D5&gt;TabS!$G$21,TabS!$I$21,0)</f>
        <v>0</v>
      </c>
      <c r="T33" s="132">
        <f>IF(E5&gt;TabS!$G$21,TabS!$I$21,0)</f>
        <v>0</v>
      </c>
      <c r="U33" s="132">
        <f>IF(F5&gt;TabS!$G$21,TabS!$I$21,0)</f>
        <v>0</v>
      </c>
      <c r="V33" s="132">
        <f>IF(G5&gt;TabS!$G$21,TabS!$I$21,0)</f>
        <v>0</v>
      </c>
      <c r="W33" s="132">
        <f>IF(H5&gt;TabS!$G$21,TabS!$I$21,0)</f>
        <v>0</v>
      </c>
      <c r="X33" s="132">
        <f>IF(I5&gt;TabS!$G$21,TabS!$I$21,0)</f>
        <v>0</v>
      </c>
      <c r="Y33" s="132">
        <f>IF(J5&gt;TabS!$G$21,TabS!$I$21,0)</f>
        <v>0</v>
      </c>
      <c r="Z33" s="132">
        <f>IF(K5&gt;TabS!$G$21,TabS!$I$21,0)</f>
        <v>0</v>
      </c>
      <c r="AA33" s="132">
        <f>IF(L5&gt;TabS!$G$21,TabS!$I$21,0)</f>
        <v>0</v>
      </c>
      <c r="AB33" s="132">
        <f>IF(M5&gt;TabS!$G$21,TabS!$I$21,0)</f>
        <v>0</v>
      </c>
      <c r="AC33" s="132">
        <f>IF(N5&gt;TabS!$G$21,TabS!$I$21,0)</f>
        <v>0</v>
      </c>
      <c r="AD33" s="119">
        <f t="shared" si="20"/>
        <v>0</v>
      </c>
    </row>
    <row r="34" spans="2:30" ht="20.100000000000001" customHeight="1" x14ac:dyDescent="0.25">
      <c r="B34" s="49" t="s">
        <v>123</v>
      </c>
      <c r="C34" s="135">
        <f>IFERROR(C36/C5,0)</f>
        <v>0</v>
      </c>
      <c r="D34" s="135">
        <f t="shared" ref="D34:N34" si="21">IFERROR(D36/D5,0)</f>
        <v>0</v>
      </c>
      <c r="E34" s="135">
        <f t="shared" si="21"/>
        <v>0</v>
      </c>
      <c r="F34" s="135">
        <f t="shared" si="21"/>
        <v>0</v>
      </c>
      <c r="G34" s="135">
        <f t="shared" si="21"/>
        <v>0</v>
      </c>
      <c r="H34" s="135">
        <f t="shared" si="21"/>
        <v>0</v>
      </c>
      <c r="I34" s="135">
        <f t="shared" si="21"/>
        <v>0</v>
      </c>
      <c r="J34" s="135">
        <f t="shared" si="21"/>
        <v>0</v>
      </c>
      <c r="K34" s="135">
        <f t="shared" si="21"/>
        <v>0</v>
      </c>
      <c r="L34" s="135">
        <f t="shared" si="21"/>
        <v>0</v>
      </c>
      <c r="M34" s="135">
        <f t="shared" si="21"/>
        <v>0</v>
      </c>
      <c r="N34" s="135">
        <f t="shared" si="21"/>
        <v>0</v>
      </c>
      <c r="O34" s="136">
        <f t="shared" si="18"/>
        <v>0</v>
      </c>
      <c r="Q34" s="130" t="s">
        <v>123</v>
      </c>
      <c r="R34" s="135">
        <f>IFERROR(R36/C5,0)</f>
        <v>0</v>
      </c>
      <c r="S34" s="135">
        <f t="shared" ref="S34:AC34" si="22">IFERROR(S36/D5,0)</f>
        <v>0</v>
      </c>
      <c r="T34" s="135">
        <f t="shared" si="22"/>
        <v>0</v>
      </c>
      <c r="U34" s="135">
        <f t="shared" si="22"/>
        <v>0</v>
      </c>
      <c r="V34" s="135">
        <f t="shared" si="22"/>
        <v>0</v>
      </c>
      <c r="W34" s="135">
        <f t="shared" si="22"/>
        <v>0</v>
      </c>
      <c r="X34" s="135">
        <f t="shared" si="22"/>
        <v>0</v>
      </c>
      <c r="Y34" s="135">
        <f t="shared" si="22"/>
        <v>0</v>
      </c>
      <c r="Z34" s="135">
        <f t="shared" si="22"/>
        <v>0</v>
      </c>
      <c r="AA34" s="135">
        <f t="shared" si="22"/>
        <v>0</v>
      </c>
      <c r="AB34" s="135">
        <f t="shared" si="22"/>
        <v>0</v>
      </c>
      <c r="AC34" s="135">
        <f t="shared" si="22"/>
        <v>0</v>
      </c>
      <c r="AD34" s="136">
        <f t="shared" si="20"/>
        <v>0</v>
      </c>
    </row>
    <row r="35" spans="2:30" ht="20.100000000000001" customHeight="1" x14ac:dyDescent="0.25">
      <c r="B35" s="161" t="s">
        <v>125</v>
      </c>
      <c r="C35" s="137">
        <f>C31*C34</f>
        <v>0</v>
      </c>
      <c r="D35" s="137">
        <f t="shared" ref="D35:N35" si="23">D31*D34</f>
        <v>0</v>
      </c>
      <c r="E35" s="137">
        <f t="shared" si="23"/>
        <v>0</v>
      </c>
      <c r="F35" s="137">
        <f t="shared" si="23"/>
        <v>0</v>
      </c>
      <c r="G35" s="137">
        <f t="shared" si="23"/>
        <v>0</v>
      </c>
      <c r="H35" s="137">
        <f t="shared" si="23"/>
        <v>0</v>
      </c>
      <c r="I35" s="137">
        <f t="shared" si="23"/>
        <v>0</v>
      </c>
      <c r="J35" s="137">
        <f t="shared" si="23"/>
        <v>0</v>
      </c>
      <c r="K35" s="137">
        <f t="shared" si="23"/>
        <v>0</v>
      </c>
      <c r="L35" s="137">
        <f t="shared" si="23"/>
        <v>0</v>
      </c>
      <c r="M35" s="137">
        <f t="shared" si="23"/>
        <v>0</v>
      </c>
      <c r="N35" s="137">
        <f t="shared" si="23"/>
        <v>0</v>
      </c>
      <c r="O35" s="138">
        <f>SUM(C35:N35)</f>
        <v>0</v>
      </c>
      <c r="Q35" s="146" t="s">
        <v>125</v>
      </c>
      <c r="R35" s="137">
        <f>R31*R34</f>
        <v>0</v>
      </c>
      <c r="S35" s="137">
        <f t="shared" ref="S35:AC35" si="24">S31*S34</f>
        <v>0</v>
      </c>
      <c r="T35" s="137">
        <f t="shared" si="24"/>
        <v>0</v>
      </c>
      <c r="U35" s="137">
        <f t="shared" si="24"/>
        <v>0</v>
      </c>
      <c r="V35" s="137">
        <f t="shared" si="24"/>
        <v>0</v>
      </c>
      <c r="W35" s="137">
        <f t="shared" si="24"/>
        <v>0</v>
      </c>
      <c r="X35" s="137">
        <f t="shared" si="24"/>
        <v>0</v>
      </c>
      <c r="Y35" s="137">
        <f t="shared" si="24"/>
        <v>0</v>
      </c>
      <c r="Z35" s="137">
        <f t="shared" si="24"/>
        <v>0</v>
      </c>
      <c r="AA35" s="137">
        <f t="shared" si="24"/>
        <v>0</v>
      </c>
      <c r="AB35" s="137">
        <f t="shared" si="24"/>
        <v>0</v>
      </c>
      <c r="AC35" s="137">
        <f t="shared" si="24"/>
        <v>0</v>
      </c>
      <c r="AD35" s="138">
        <f t="shared" si="20"/>
        <v>0</v>
      </c>
    </row>
    <row r="36" spans="2:30" ht="20.100000000000001" customHeight="1" x14ac:dyDescent="0.25">
      <c r="B36" s="19" t="s">
        <v>124</v>
      </c>
      <c r="C36" s="132">
        <f>IFERROR((C5*C32)-C33,0)</f>
        <v>0</v>
      </c>
      <c r="D36" s="132">
        <f t="shared" ref="D36:N36" si="25">IFERROR((D5*D32)-D33,0)</f>
        <v>0</v>
      </c>
      <c r="E36" s="132">
        <f t="shared" si="25"/>
        <v>0</v>
      </c>
      <c r="F36" s="132">
        <f t="shared" si="25"/>
        <v>0</v>
      </c>
      <c r="G36" s="132">
        <f t="shared" si="25"/>
        <v>0</v>
      </c>
      <c r="H36" s="132">
        <f t="shared" si="25"/>
        <v>0</v>
      </c>
      <c r="I36" s="132">
        <f t="shared" si="25"/>
        <v>0</v>
      </c>
      <c r="J36" s="132">
        <f t="shared" si="25"/>
        <v>0</v>
      </c>
      <c r="K36" s="132">
        <f t="shared" si="25"/>
        <v>0</v>
      </c>
      <c r="L36" s="132">
        <f t="shared" si="25"/>
        <v>0</v>
      </c>
      <c r="M36" s="132">
        <f t="shared" si="25"/>
        <v>0</v>
      </c>
      <c r="N36" s="132">
        <f t="shared" si="25"/>
        <v>0</v>
      </c>
      <c r="O36" s="119">
        <f t="shared" si="18"/>
        <v>0</v>
      </c>
      <c r="Q36" s="144" t="s">
        <v>124</v>
      </c>
      <c r="R36" s="132">
        <f>IFERROR((C5*R32)-R33,0)</f>
        <v>0</v>
      </c>
      <c r="S36" s="132">
        <f t="shared" ref="S36:AC36" si="26">IFERROR((D5*S32)-S33,0)</f>
        <v>0</v>
      </c>
      <c r="T36" s="132">
        <f t="shared" si="26"/>
        <v>0</v>
      </c>
      <c r="U36" s="132">
        <f t="shared" si="26"/>
        <v>0</v>
      </c>
      <c r="V36" s="132">
        <f t="shared" si="26"/>
        <v>0</v>
      </c>
      <c r="W36" s="132">
        <f t="shared" si="26"/>
        <v>0</v>
      </c>
      <c r="X36" s="132">
        <f t="shared" si="26"/>
        <v>0</v>
      </c>
      <c r="Y36" s="132">
        <f t="shared" si="26"/>
        <v>0</v>
      </c>
      <c r="Z36" s="132">
        <f t="shared" si="26"/>
        <v>0</v>
      </c>
      <c r="AA36" s="132">
        <f t="shared" si="26"/>
        <v>0</v>
      </c>
      <c r="AB36" s="132">
        <f t="shared" si="26"/>
        <v>0</v>
      </c>
      <c r="AC36" s="132">
        <f t="shared" si="26"/>
        <v>0</v>
      </c>
      <c r="AD36" s="119">
        <f t="shared" si="20"/>
        <v>0</v>
      </c>
    </row>
    <row r="37" spans="2:30" ht="20.100000000000001" customHeight="1" x14ac:dyDescent="0.25">
      <c r="B37" s="112" t="s">
        <v>82</v>
      </c>
      <c r="C37" s="112" t="s">
        <v>83</v>
      </c>
      <c r="D37" s="112" t="s">
        <v>84</v>
      </c>
      <c r="E37" s="112" t="s">
        <v>85</v>
      </c>
      <c r="F37" s="112" t="s">
        <v>86</v>
      </c>
      <c r="G37" s="112" t="s">
        <v>87</v>
      </c>
      <c r="H37" s="112" t="s">
        <v>88</v>
      </c>
      <c r="I37" s="112" t="s">
        <v>89</v>
      </c>
      <c r="J37" s="112" t="s">
        <v>90</v>
      </c>
      <c r="K37" s="112" t="s">
        <v>91</v>
      </c>
      <c r="L37" s="112" t="s">
        <v>92</v>
      </c>
      <c r="M37" s="112" t="s">
        <v>93</v>
      </c>
      <c r="N37" s="112" t="s">
        <v>94</v>
      </c>
      <c r="O37" s="112" t="s">
        <v>95</v>
      </c>
      <c r="Q37" s="145" t="s">
        <v>82</v>
      </c>
      <c r="R37" s="112" t="s">
        <v>83</v>
      </c>
      <c r="S37" s="112" t="s">
        <v>84</v>
      </c>
      <c r="T37" s="112" t="s">
        <v>85</v>
      </c>
      <c r="U37" s="112" t="s">
        <v>86</v>
      </c>
      <c r="V37" s="112" t="s">
        <v>87</v>
      </c>
      <c r="W37" s="112" t="s">
        <v>88</v>
      </c>
      <c r="X37" s="112" t="s">
        <v>89</v>
      </c>
      <c r="Y37" s="112" t="s">
        <v>90</v>
      </c>
      <c r="Z37" s="112" t="s">
        <v>91</v>
      </c>
      <c r="AA37" s="112" t="s">
        <v>92</v>
      </c>
      <c r="AB37" s="112" t="s">
        <v>93</v>
      </c>
      <c r="AC37" s="112" t="s">
        <v>94</v>
      </c>
      <c r="AD37" s="112" t="s">
        <v>95</v>
      </c>
    </row>
    <row r="38" spans="2:30" ht="20.100000000000001" customHeight="1" x14ac:dyDescent="0.25">
      <c r="B38" s="19" t="s">
        <v>76</v>
      </c>
      <c r="C38" s="132">
        <f>C12</f>
        <v>0</v>
      </c>
      <c r="D38" s="132">
        <f t="shared" ref="D38:N38" si="27">D12</f>
        <v>0</v>
      </c>
      <c r="E38" s="132">
        <f t="shared" si="27"/>
        <v>0</v>
      </c>
      <c r="F38" s="132">
        <f t="shared" si="27"/>
        <v>0</v>
      </c>
      <c r="G38" s="132">
        <f t="shared" si="27"/>
        <v>0</v>
      </c>
      <c r="H38" s="132">
        <f t="shared" si="27"/>
        <v>0</v>
      </c>
      <c r="I38" s="132">
        <f t="shared" si="27"/>
        <v>0</v>
      </c>
      <c r="J38" s="132">
        <f t="shared" si="27"/>
        <v>0</v>
      </c>
      <c r="K38" s="132">
        <f t="shared" si="27"/>
        <v>0</v>
      </c>
      <c r="L38" s="132">
        <f t="shared" si="27"/>
        <v>0</v>
      </c>
      <c r="M38" s="132">
        <f t="shared" si="27"/>
        <v>0</v>
      </c>
      <c r="N38" s="132">
        <f t="shared" si="27"/>
        <v>0</v>
      </c>
      <c r="O38" s="119">
        <f t="shared" ref="O38:O43" si="28">SUM(C38:N38)</f>
        <v>0</v>
      </c>
      <c r="Q38" s="144" t="s">
        <v>76</v>
      </c>
      <c r="R38" s="132">
        <f>C12</f>
        <v>0</v>
      </c>
      <c r="S38" s="132">
        <f t="shared" ref="S38:AC38" si="29">D12</f>
        <v>0</v>
      </c>
      <c r="T38" s="132">
        <f t="shared" si="29"/>
        <v>0</v>
      </c>
      <c r="U38" s="132">
        <f t="shared" si="29"/>
        <v>0</v>
      </c>
      <c r="V38" s="132">
        <f t="shared" si="29"/>
        <v>0</v>
      </c>
      <c r="W38" s="132">
        <f t="shared" si="29"/>
        <v>0</v>
      </c>
      <c r="X38" s="132">
        <f t="shared" si="29"/>
        <v>0</v>
      </c>
      <c r="Y38" s="132">
        <f t="shared" si="29"/>
        <v>0</v>
      </c>
      <c r="Z38" s="132">
        <f t="shared" si="29"/>
        <v>0</v>
      </c>
      <c r="AA38" s="132">
        <f t="shared" si="29"/>
        <v>0</v>
      </c>
      <c r="AB38" s="132">
        <f t="shared" si="29"/>
        <v>0</v>
      </c>
      <c r="AC38" s="132">
        <f t="shared" si="29"/>
        <v>0</v>
      </c>
      <c r="AD38" s="119">
        <f t="shared" ref="AD38:AD43" si="30">SUM(R38:AC38)</f>
        <v>0</v>
      </c>
    </row>
    <row r="39" spans="2:30" ht="20.100000000000001" customHeight="1" x14ac:dyDescent="0.25">
      <c r="B39" s="19" t="s">
        <v>121</v>
      </c>
      <c r="C39" s="133">
        <f>IF(C5&lt;=TabS!$G$23,TabS!$H$23,IF(C5&lt;=TabS!$G$24,TabS!$H$24,IF(C5&lt;=TabS!$G$25,TabS!$H$25,IF(C5&lt;=TabS!$G$26,TabS!$H$26,IF(C5&lt;=TabS!$G$27,TabS!$H$27,IF(C5&lt;=TabS!$G$28,TabS!$H$28))))))</f>
        <v>4.4999999999999998E-2</v>
      </c>
      <c r="D39" s="133">
        <f>IF(D5&lt;=TabS!$G$23,TabS!$H$23,IF(D5&lt;=TabS!$G$24,TabS!$H$24,IF(D5&lt;=TabS!$G$25,TabS!$H$25,IF(D5&lt;=TabS!$G$26,TabS!$H$26,IF(D5&lt;=TabS!$G$27,TabS!$H$27,IF(D5&lt;=TabS!$G$28,TabS!$H$28))))))</f>
        <v>4.4999999999999998E-2</v>
      </c>
      <c r="E39" s="133">
        <f>IF(E5&lt;=TabS!$G$23,TabS!$H$23,IF(E5&lt;=TabS!$G$24,TabS!$H$24,IF(E5&lt;=TabS!$G$25,TabS!$H$25,IF(E5&lt;=TabS!$G$26,TabS!$H$26,IF(E5&lt;=TabS!$G$27,TabS!$H$27,IF(E5&lt;=TabS!$G$28,TabS!$H$28))))))</f>
        <v>4.4999999999999998E-2</v>
      </c>
      <c r="F39" s="133">
        <f>IF(F5&lt;=TabS!$G$23,TabS!$H$23,IF(F5&lt;=TabS!$G$24,TabS!$H$24,IF(F5&lt;=TabS!$G$25,TabS!$H$25,IF(F5&lt;=TabS!$G$26,TabS!$H$26,IF(F5&lt;=TabS!$G$27,TabS!$H$27,IF(F5&lt;=TabS!$G$28,TabS!$H$28))))))</f>
        <v>4.4999999999999998E-2</v>
      </c>
      <c r="G39" s="133">
        <f>IF(G5&lt;=TabS!$G$23,TabS!$H$23,IF(G5&lt;=TabS!$G$24,TabS!$H$24,IF(G5&lt;=TabS!$G$25,TabS!$H$25,IF(G5&lt;=TabS!$G$26,TabS!$H$26,IF(G5&lt;=TabS!$G$27,TabS!$H$27,IF(G5&lt;=TabS!$G$28,TabS!$H$28))))))</f>
        <v>4.4999999999999998E-2</v>
      </c>
      <c r="H39" s="133">
        <f>IF(H5&lt;=TabS!$G$23,TabS!$H$23,IF(H5&lt;=TabS!$G$24,TabS!$H$24,IF(H5&lt;=TabS!$G$25,TabS!$H$25,IF(H5&lt;=TabS!$G$26,TabS!$H$26,IF(H5&lt;=TabS!$G$27,TabS!$H$27,IF(H5&lt;=TabS!$G$28,TabS!$H$28))))))</f>
        <v>4.4999999999999998E-2</v>
      </c>
      <c r="I39" s="133">
        <f>IF(I5&lt;=TabS!$G$23,TabS!$H$23,IF(I5&lt;=TabS!$G$24,TabS!$H$24,IF(I5&lt;=TabS!$G$25,TabS!$H$25,IF(I5&lt;=TabS!$G$26,TabS!$H$26,IF(I5&lt;=TabS!$G$27,TabS!$H$27,IF(I5&lt;=TabS!$G$28,TabS!$H$28))))))</f>
        <v>4.4999999999999998E-2</v>
      </c>
      <c r="J39" s="133">
        <f>IF(J5&lt;=TabS!$G$23,TabS!$H$23,IF(J5&lt;=TabS!$G$24,TabS!$H$24,IF(J5&lt;=TabS!$G$25,TabS!$H$25,IF(J5&lt;=TabS!$G$26,TabS!$H$26,IF(J5&lt;=TabS!$G$27,TabS!$H$27,IF(J5&lt;=TabS!$G$28,TabS!$H$28))))))</f>
        <v>4.4999999999999998E-2</v>
      </c>
      <c r="K39" s="133">
        <f>IF(K5&lt;=TabS!$G$23,TabS!$H$23,IF(K5&lt;=TabS!$G$24,TabS!$H$24,IF(K5&lt;=TabS!$G$25,TabS!$H$25,IF(K5&lt;=TabS!$G$26,TabS!$H$26,IF(K5&lt;=TabS!$G$27,TabS!$H$27,IF(K5&lt;=TabS!$G$28,TabS!$H$28))))))</f>
        <v>4.4999999999999998E-2</v>
      </c>
      <c r="L39" s="133">
        <f>IF(L5&lt;=TabS!$G$23,TabS!$H$23,IF(L5&lt;=TabS!$G$24,TabS!$H$24,IF(L5&lt;=TabS!$G$25,TabS!$H$25,IF(L5&lt;=TabS!$G$26,TabS!$H$26,IF(L5&lt;=TabS!$G$27,TabS!$H$27,IF(L5&lt;=TabS!$G$28,TabS!$H$28))))))</f>
        <v>4.4999999999999998E-2</v>
      </c>
      <c r="M39" s="133">
        <f>IF(M5&lt;=TabS!$G$23,TabS!$H$23,IF(M5&lt;=TabS!$G$24,TabS!$H$24,IF(M5&lt;=TabS!$G$25,TabS!$H$25,IF(M5&lt;=TabS!$G$26,TabS!$H$26,IF(M5&lt;=TabS!$G$27,TabS!$H$27,IF(M5&lt;=TabS!$G$28,TabS!$H$28))))))</f>
        <v>4.4999999999999998E-2</v>
      </c>
      <c r="N39" s="133">
        <f>IF(N5&lt;=TabS!$G$23,TabS!$H$23,IF(N5&lt;=TabS!$G$24,TabS!$H$24,IF(N5&lt;=TabS!$G$25,TabS!$H$25,IF(N5&lt;=TabS!$G$26,TabS!$H$26,IF(N5&lt;=TabS!$G$27,TabS!$H$27,IF(N5&lt;=TabS!$G$28,TabS!$H$28))))))</f>
        <v>4.4999999999999998E-2</v>
      </c>
      <c r="O39" s="134">
        <f t="shared" si="28"/>
        <v>0.53999999999999992</v>
      </c>
      <c r="Q39" s="144" t="s">
        <v>121</v>
      </c>
      <c r="R39" s="133">
        <f>IF(C5&gt;TabS!$G$27,TabS!$H$27,0)</f>
        <v>0</v>
      </c>
      <c r="S39" s="133">
        <f>IF(D5&gt;TabS!$G$27,TabS!$H$27,0)</f>
        <v>0</v>
      </c>
      <c r="T39" s="133">
        <f>IF(E5&gt;TabS!$G$27,TabS!$H$27,0)</f>
        <v>0</v>
      </c>
      <c r="U39" s="133">
        <f>IF(F5&gt;TabS!$G$27,TabS!$H$27,0)</f>
        <v>0</v>
      </c>
      <c r="V39" s="133">
        <f>IF(G5&gt;TabS!$G$27,TabS!$H$27,0)</f>
        <v>0</v>
      </c>
      <c r="W39" s="133">
        <f>IF(H5&gt;TabS!$G$27,TabS!$H$27,0)</f>
        <v>0</v>
      </c>
      <c r="X39" s="133">
        <f>IF(I5&gt;TabS!$G$27,TabS!$H$27,0)</f>
        <v>0</v>
      </c>
      <c r="Y39" s="133">
        <f>IF(J5&gt;TabS!$G$27,TabS!$H$27,0)</f>
        <v>0</v>
      </c>
      <c r="Z39" s="133">
        <f>IF(K5&gt;TabS!$G$27,TabS!$H$27,0)</f>
        <v>0</v>
      </c>
      <c r="AA39" s="133">
        <f>IF(L5&gt;TabS!$G$27,TabS!$H$27,0)</f>
        <v>0</v>
      </c>
      <c r="AB39" s="133">
        <f>IF(M5&gt;TabS!$G$27,TabS!$H$27,0)</f>
        <v>0</v>
      </c>
      <c r="AC39" s="133">
        <f>IF(N5&gt;TabS!$G$27,TabS!$H$27,0)</f>
        <v>0</v>
      </c>
      <c r="AD39" s="134">
        <f t="shared" si="30"/>
        <v>0</v>
      </c>
    </row>
    <row r="40" spans="2:30" ht="20.100000000000001" customHeight="1" x14ac:dyDescent="0.25">
      <c r="B40" s="19" t="s">
        <v>122</v>
      </c>
      <c r="C40" s="132">
        <f>IF(C5&lt;=TabS!$G$23,TabS!$I$23,IF(C5&lt;=TabS!$G$24,TabS!$I$24,IF(C5&lt;=TabS!$G$25,TabS!$I$25,IF(C5&lt;=TabS!$G$26,TabS!$I$26,IF(C5&lt;=TabS!$G$27,TabS!$I$27,IF(C5&lt;=TabS!$G$28,TabS!$I$28))))))</f>
        <v>0</v>
      </c>
      <c r="D40" s="132">
        <f>IF(D5&lt;=TabS!$G$23,TabS!$I$23,IF(D5&lt;=TabS!$G$24,TabS!$I$24,IF(D5&lt;=TabS!$G$25,TabS!$I$25,IF(D5&lt;=TabS!$G$26,TabS!$I$26,IF(D5&lt;=TabS!$G$27,TabS!$I$27,IF(D5&lt;=TabS!$G$28,TabS!$I$28))))))</f>
        <v>0</v>
      </c>
      <c r="E40" s="132">
        <f>IF(E5&lt;=TabS!$G$23,TabS!$I$23,IF(E5&lt;=TabS!$G$24,TabS!$I$24,IF(E5&lt;=TabS!$G$25,TabS!$I$25,IF(E5&lt;=TabS!$G$26,TabS!$I$26,IF(E5&lt;=TabS!$G$27,TabS!$I$27,IF(E5&lt;=TabS!$G$28,TabS!$I$28))))))</f>
        <v>0</v>
      </c>
      <c r="F40" s="132">
        <f>IF(F5&lt;=TabS!$G$23,TabS!$I$23,IF(F5&lt;=TabS!$G$24,TabS!$I$24,IF(F5&lt;=TabS!$G$25,TabS!$I$25,IF(F5&lt;=TabS!$G$26,TabS!$I$26,IF(F5&lt;=TabS!$G$27,TabS!$I$27,IF(F5&lt;=TabS!$G$28,TabS!$I$28))))))</f>
        <v>0</v>
      </c>
      <c r="G40" s="132">
        <f>IF(G5&lt;=TabS!$G$23,TabS!$I$23,IF(G5&lt;=TabS!$G$24,TabS!$I$24,IF(G5&lt;=TabS!$G$25,TabS!$I$25,IF(G5&lt;=TabS!$G$26,TabS!$I$26,IF(G5&lt;=TabS!$G$27,TabS!$I$27,IF(G5&lt;=TabS!$G$28,TabS!$I$28))))))</f>
        <v>0</v>
      </c>
      <c r="H40" s="132">
        <f>IF(H5&lt;=TabS!$G$23,TabS!$I$23,IF(H5&lt;=TabS!$G$24,TabS!$I$24,IF(H5&lt;=TabS!$G$25,TabS!$I$25,IF(H5&lt;=TabS!$G$26,TabS!$I$26,IF(H5&lt;=TabS!$G$27,TabS!$I$27,IF(H5&lt;=TabS!$G$28,TabS!$I$28))))))</f>
        <v>0</v>
      </c>
      <c r="I40" s="132">
        <f>IF(I5&lt;=TabS!$G$23,TabS!$I$23,IF(I5&lt;=TabS!$G$24,TabS!$I$24,IF(I5&lt;=TabS!$G$25,TabS!$I$25,IF(I5&lt;=TabS!$G$26,TabS!$I$26,IF(I5&lt;=TabS!$G$27,TabS!$I$27,IF(I5&lt;=TabS!$G$28,TabS!$I$28))))))</f>
        <v>0</v>
      </c>
      <c r="J40" s="132">
        <f>IF(J5&lt;=TabS!$G$23,TabS!$I$23,IF(J5&lt;=TabS!$G$24,TabS!$I$24,IF(J5&lt;=TabS!$G$25,TabS!$I$25,IF(J5&lt;=TabS!$G$26,TabS!$I$26,IF(J5&lt;=TabS!$G$27,TabS!$I$27,IF(J5&lt;=TabS!$G$28,TabS!$I$28))))))</f>
        <v>0</v>
      </c>
      <c r="K40" s="132">
        <f>IF(K5&lt;=TabS!$G$23,TabS!$I$23,IF(K5&lt;=TabS!$G$24,TabS!$I$24,IF(K5&lt;=TabS!$G$25,TabS!$I$25,IF(K5&lt;=TabS!$G$26,TabS!$I$26,IF(K5&lt;=TabS!$G$27,TabS!$I$27,IF(K5&lt;=TabS!$G$28,TabS!$I$28))))))</f>
        <v>0</v>
      </c>
      <c r="L40" s="132">
        <f>IF(L5&lt;=TabS!$G$23,TabS!$I$23,IF(L5&lt;=TabS!$G$24,TabS!$I$24,IF(L5&lt;=TabS!$G$25,TabS!$I$25,IF(L5&lt;=TabS!$G$26,TabS!$I$26,IF(L5&lt;=TabS!$G$27,TabS!$I$27,IF(L5&lt;=TabS!$G$28,TabS!$I$28))))))</f>
        <v>0</v>
      </c>
      <c r="M40" s="132">
        <f>IF(M5&lt;=TabS!$G$23,TabS!$I$23,IF(M5&lt;=TabS!$G$24,TabS!$I$24,IF(M5&lt;=TabS!$G$25,TabS!$I$25,IF(M5&lt;=TabS!$G$26,TabS!$I$26,IF(M5&lt;=TabS!$G$27,TabS!$I$27,IF(M5&lt;=TabS!$G$28,TabS!$I$28))))))</f>
        <v>0</v>
      </c>
      <c r="N40" s="132">
        <f>IF(N5&lt;=TabS!$G$23,TabS!$I$23,IF(N5&lt;=TabS!$G$24,TabS!$I$24,IF(N5&lt;=TabS!$G$25,TabS!$I$25,IF(N5&lt;=TabS!$G$26,TabS!$I$26,IF(N5&lt;=TabS!$G$27,TabS!$I$27,IF(N5&lt;=TabS!$G$28,TabS!$I$28))))))</f>
        <v>0</v>
      </c>
      <c r="O40" s="119">
        <f t="shared" si="28"/>
        <v>0</v>
      </c>
      <c r="Q40" s="144" t="s">
        <v>122</v>
      </c>
      <c r="R40" s="132">
        <f>IF(C5&gt;TabS!$G$27,TabS!$I$27,0)</f>
        <v>0</v>
      </c>
      <c r="S40" s="132">
        <f>IF(D5&gt;TabS!$G$27,TabS!$I$27,0)</f>
        <v>0</v>
      </c>
      <c r="T40" s="132">
        <f>IF(E5&gt;TabS!$G$27,TabS!$I$27,0)</f>
        <v>0</v>
      </c>
      <c r="U40" s="132">
        <f>IF(F5&gt;TabS!$G$27,TabS!$I$27,0)</f>
        <v>0</v>
      </c>
      <c r="V40" s="132">
        <f>IF(G5&gt;TabS!$G$27,TabS!$I$27,0)</f>
        <v>0</v>
      </c>
      <c r="W40" s="132">
        <f>IF(H5&gt;TabS!$G$27,TabS!$I$27,0)</f>
        <v>0</v>
      </c>
      <c r="X40" s="132">
        <f>IF(I5&gt;TabS!$G$27,TabS!$I$27,0)</f>
        <v>0</v>
      </c>
      <c r="Y40" s="132">
        <f>IF(J5&gt;TabS!$G$27,TabS!$I$27,0)</f>
        <v>0</v>
      </c>
      <c r="Z40" s="132">
        <f>IF(K5&gt;TabS!$G$27,TabS!$I$27,0)</f>
        <v>0</v>
      </c>
      <c r="AA40" s="132">
        <f>IF(L5&gt;TabS!$G$27,TabS!$I$27,0)</f>
        <v>0</v>
      </c>
      <c r="AB40" s="132">
        <f>IF(M5&gt;TabS!$G$27,TabS!$I$27,0)</f>
        <v>0</v>
      </c>
      <c r="AC40" s="132">
        <f>IF(N5&gt;TabS!$G$27,TabS!$I$27,0)</f>
        <v>0</v>
      </c>
      <c r="AD40" s="119">
        <f t="shared" si="30"/>
        <v>0</v>
      </c>
    </row>
    <row r="41" spans="2:30" ht="20.100000000000001" customHeight="1" x14ac:dyDescent="0.25">
      <c r="B41" s="49" t="s">
        <v>123</v>
      </c>
      <c r="C41" s="135">
        <f>IFERROR(C43/C5,0)</f>
        <v>0</v>
      </c>
      <c r="D41" s="135">
        <f t="shared" ref="D41:N41" si="31">IFERROR(D43/D5,0)</f>
        <v>0</v>
      </c>
      <c r="E41" s="135">
        <f t="shared" si="31"/>
        <v>0</v>
      </c>
      <c r="F41" s="135">
        <f t="shared" si="31"/>
        <v>0</v>
      </c>
      <c r="G41" s="135">
        <f t="shared" si="31"/>
        <v>0</v>
      </c>
      <c r="H41" s="135">
        <f t="shared" si="31"/>
        <v>0</v>
      </c>
      <c r="I41" s="135">
        <f t="shared" si="31"/>
        <v>0</v>
      </c>
      <c r="J41" s="135">
        <f t="shared" si="31"/>
        <v>0</v>
      </c>
      <c r="K41" s="135">
        <f t="shared" si="31"/>
        <v>0</v>
      </c>
      <c r="L41" s="135">
        <f t="shared" si="31"/>
        <v>0</v>
      </c>
      <c r="M41" s="135">
        <f t="shared" si="31"/>
        <v>0</v>
      </c>
      <c r="N41" s="135">
        <f t="shared" si="31"/>
        <v>0</v>
      </c>
      <c r="O41" s="136">
        <f t="shared" si="28"/>
        <v>0</v>
      </c>
      <c r="Q41" s="130" t="s">
        <v>123</v>
      </c>
      <c r="R41" s="135">
        <f>IFERROR(R43/C5,0)</f>
        <v>0</v>
      </c>
      <c r="S41" s="135">
        <f t="shared" ref="S41:AC41" si="32">IFERROR(S43/D5,0)</f>
        <v>0</v>
      </c>
      <c r="T41" s="135">
        <f t="shared" si="32"/>
        <v>0</v>
      </c>
      <c r="U41" s="135">
        <f t="shared" si="32"/>
        <v>0</v>
      </c>
      <c r="V41" s="135">
        <f t="shared" si="32"/>
        <v>0</v>
      </c>
      <c r="W41" s="135">
        <f t="shared" si="32"/>
        <v>0</v>
      </c>
      <c r="X41" s="135">
        <f t="shared" si="32"/>
        <v>0</v>
      </c>
      <c r="Y41" s="135">
        <f t="shared" si="32"/>
        <v>0</v>
      </c>
      <c r="Z41" s="135">
        <f t="shared" si="32"/>
        <v>0</v>
      </c>
      <c r="AA41" s="135">
        <f t="shared" si="32"/>
        <v>0</v>
      </c>
      <c r="AB41" s="135">
        <f t="shared" si="32"/>
        <v>0</v>
      </c>
      <c r="AC41" s="135">
        <f t="shared" si="32"/>
        <v>0</v>
      </c>
      <c r="AD41" s="136">
        <f t="shared" si="30"/>
        <v>0</v>
      </c>
    </row>
    <row r="42" spans="2:30" ht="20.100000000000001" customHeight="1" x14ac:dyDescent="0.25">
      <c r="B42" s="161" t="s">
        <v>125</v>
      </c>
      <c r="C42" s="137">
        <f>C38*C41</f>
        <v>0</v>
      </c>
      <c r="D42" s="137">
        <f t="shared" ref="D42:N42" si="33">D38*D41</f>
        <v>0</v>
      </c>
      <c r="E42" s="137">
        <f t="shared" si="33"/>
        <v>0</v>
      </c>
      <c r="F42" s="137">
        <f t="shared" si="33"/>
        <v>0</v>
      </c>
      <c r="G42" s="137">
        <f t="shared" si="33"/>
        <v>0</v>
      </c>
      <c r="H42" s="137">
        <f t="shared" si="33"/>
        <v>0</v>
      </c>
      <c r="I42" s="137">
        <f t="shared" si="33"/>
        <v>0</v>
      </c>
      <c r="J42" s="137">
        <f t="shared" si="33"/>
        <v>0</v>
      </c>
      <c r="K42" s="137">
        <f t="shared" si="33"/>
        <v>0</v>
      </c>
      <c r="L42" s="137">
        <f t="shared" si="33"/>
        <v>0</v>
      </c>
      <c r="M42" s="137">
        <f t="shared" si="33"/>
        <v>0</v>
      </c>
      <c r="N42" s="137">
        <f t="shared" si="33"/>
        <v>0</v>
      </c>
      <c r="O42" s="138">
        <f>SUM(C42:N42)</f>
        <v>0</v>
      </c>
      <c r="Q42" s="146" t="s">
        <v>125</v>
      </c>
      <c r="R42" s="137">
        <f>R38*R41</f>
        <v>0</v>
      </c>
      <c r="S42" s="137">
        <f t="shared" ref="S42:AC42" si="34">S38*S41</f>
        <v>0</v>
      </c>
      <c r="T42" s="137">
        <f t="shared" si="34"/>
        <v>0</v>
      </c>
      <c r="U42" s="137">
        <f t="shared" si="34"/>
        <v>0</v>
      </c>
      <c r="V42" s="137">
        <f t="shared" si="34"/>
        <v>0</v>
      </c>
      <c r="W42" s="137">
        <f t="shared" si="34"/>
        <v>0</v>
      </c>
      <c r="X42" s="137">
        <f t="shared" si="34"/>
        <v>0</v>
      </c>
      <c r="Y42" s="137">
        <f t="shared" si="34"/>
        <v>0</v>
      </c>
      <c r="Z42" s="137">
        <f t="shared" si="34"/>
        <v>0</v>
      </c>
      <c r="AA42" s="137">
        <f t="shared" si="34"/>
        <v>0</v>
      </c>
      <c r="AB42" s="137">
        <f t="shared" si="34"/>
        <v>0</v>
      </c>
      <c r="AC42" s="137">
        <f t="shared" si="34"/>
        <v>0</v>
      </c>
      <c r="AD42" s="138">
        <f t="shared" si="30"/>
        <v>0</v>
      </c>
    </row>
    <row r="43" spans="2:30" ht="20.100000000000001" customHeight="1" x14ac:dyDescent="0.25">
      <c r="B43" s="19" t="s">
        <v>124</v>
      </c>
      <c r="C43" s="132">
        <f>IFERROR((C5*C39)-C40,0)</f>
        <v>0</v>
      </c>
      <c r="D43" s="132">
        <f t="shared" ref="D43:N43" si="35">IFERROR((D5*D39)-D40,0)</f>
        <v>0</v>
      </c>
      <c r="E43" s="132">
        <f t="shared" si="35"/>
        <v>0</v>
      </c>
      <c r="F43" s="132">
        <f t="shared" si="35"/>
        <v>0</v>
      </c>
      <c r="G43" s="132">
        <f t="shared" si="35"/>
        <v>0</v>
      </c>
      <c r="H43" s="132">
        <f t="shared" si="35"/>
        <v>0</v>
      </c>
      <c r="I43" s="132">
        <f t="shared" si="35"/>
        <v>0</v>
      </c>
      <c r="J43" s="132">
        <f t="shared" si="35"/>
        <v>0</v>
      </c>
      <c r="K43" s="132">
        <f t="shared" si="35"/>
        <v>0</v>
      </c>
      <c r="L43" s="132">
        <f t="shared" si="35"/>
        <v>0</v>
      </c>
      <c r="M43" s="132">
        <f t="shared" si="35"/>
        <v>0</v>
      </c>
      <c r="N43" s="132">
        <f t="shared" si="35"/>
        <v>0</v>
      </c>
      <c r="O43" s="119">
        <f t="shared" si="28"/>
        <v>0</v>
      </c>
      <c r="Q43" s="144" t="s">
        <v>124</v>
      </c>
      <c r="R43" s="132">
        <f>IFERROR((C5*R39)-R40,0)</f>
        <v>0</v>
      </c>
      <c r="S43" s="132">
        <f t="shared" ref="S43:AC43" si="36">IFERROR((D5*S39)-S40,0)</f>
        <v>0</v>
      </c>
      <c r="T43" s="132">
        <f t="shared" si="36"/>
        <v>0</v>
      </c>
      <c r="U43" s="132">
        <f t="shared" si="36"/>
        <v>0</v>
      </c>
      <c r="V43" s="132">
        <f t="shared" si="36"/>
        <v>0</v>
      </c>
      <c r="W43" s="132">
        <f t="shared" si="36"/>
        <v>0</v>
      </c>
      <c r="X43" s="132">
        <f t="shared" si="36"/>
        <v>0</v>
      </c>
      <c r="Y43" s="132">
        <f t="shared" si="36"/>
        <v>0</v>
      </c>
      <c r="Z43" s="132">
        <f t="shared" si="36"/>
        <v>0</v>
      </c>
      <c r="AA43" s="132">
        <f t="shared" si="36"/>
        <v>0</v>
      </c>
      <c r="AB43" s="132">
        <f t="shared" si="36"/>
        <v>0</v>
      </c>
      <c r="AC43" s="132">
        <f t="shared" si="36"/>
        <v>0</v>
      </c>
      <c r="AD43" s="119">
        <f t="shared" si="30"/>
        <v>0</v>
      </c>
    </row>
    <row r="44" spans="2:30" ht="20.100000000000001" customHeight="1" x14ac:dyDescent="0.25">
      <c r="B44" s="112" t="s">
        <v>82</v>
      </c>
      <c r="C44" s="112" t="s">
        <v>83</v>
      </c>
      <c r="D44" s="112" t="s">
        <v>84</v>
      </c>
      <c r="E44" s="112" t="s">
        <v>85</v>
      </c>
      <c r="F44" s="112" t="s">
        <v>86</v>
      </c>
      <c r="G44" s="112" t="s">
        <v>87</v>
      </c>
      <c r="H44" s="112" t="s">
        <v>88</v>
      </c>
      <c r="I44" s="112" t="s">
        <v>89</v>
      </c>
      <c r="J44" s="112" t="s">
        <v>90</v>
      </c>
      <c r="K44" s="112" t="s">
        <v>91</v>
      </c>
      <c r="L44" s="112" t="s">
        <v>92</v>
      </c>
      <c r="M44" s="112" t="s">
        <v>93</v>
      </c>
      <c r="N44" s="112" t="s">
        <v>94</v>
      </c>
      <c r="O44" s="112" t="s">
        <v>95</v>
      </c>
    </row>
    <row r="45" spans="2:30" ht="20.100000000000001" customHeight="1" x14ac:dyDescent="0.25">
      <c r="B45" s="19" t="s">
        <v>77</v>
      </c>
      <c r="C45" s="132">
        <f>C13</f>
        <v>0</v>
      </c>
      <c r="D45" s="132">
        <f t="shared" ref="D45:N45" si="37">D13</f>
        <v>0</v>
      </c>
      <c r="E45" s="132">
        <f t="shared" si="37"/>
        <v>0</v>
      </c>
      <c r="F45" s="132">
        <f t="shared" si="37"/>
        <v>0</v>
      </c>
      <c r="G45" s="132">
        <f t="shared" si="37"/>
        <v>0</v>
      </c>
      <c r="H45" s="132">
        <f t="shared" si="37"/>
        <v>0</v>
      </c>
      <c r="I45" s="132">
        <f t="shared" si="37"/>
        <v>0</v>
      </c>
      <c r="J45" s="132">
        <f t="shared" si="37"/>
        <v>0</v>
      </c>
      <c r="K45" s="132">
        <f t="shared" si="37"/>
        <v>0</v>
      </c>
      <c r="L45" s="132">
        <f t="shared" si="37"/>
        <v>0</v>
      </c>
      <c r="M45" s="132">
        <f t="shared" si="37"/>
        <v>0</v>
      </c>
      <c r="N45" s="132">
        <f t="shared" si="37"/>
        <v>0</v>
      </c>
      <c r="O45" s="119">
        <f t="shared" ref="O45:O50" si="38">SUM(C45:N45)</f>
        <v>0</v>
      </c>
    </row>
    <row r="46" spans="2:30" ht="20.100000000000001" customHeight="1" x14ac:dyDescent="0.25">
      <c r="B46" s="19" t="s">
        <v>121</v>
      </c>
      <c r="C46" s="133">
        <f>IF(C5&lt;=TabS!$G$29,TabS!$H$29,IF(C5&lt;=TabS!$G$30,TabS!$H$30,IF(C5&lt;=TabS!$G$31,TabS!$H$31,IF(C5&lt;=TabS!$G$32,TabS!$H$32,IF(C5&lt;=TabS!$G$33,TabS!$H$33,IF(C5&lt;=TabS!$G$34,TabS!$H$34))))))</f>
        <v>0.155</v>
      </c>
      <c r="D46" s="133">
        <f>IF(D5&lt;=TabS!$G$29,TabS!$H$29,IF(D5&lt;=TabS!$G$30,TabS!$H$30,IF(D5&lt;=TabS!$G$31,TabS!$H$31,IF(D5&lt;=TabS!$G$32,TabS!$H$32,IF(D5&lt;=TabS!$G$33,TabS!$H$33,IF(D5&lt;=TabS!$G$34,TabS!$H$34))))))</f>
        <v>0.155</v>
      </c>
      <c r="E46" s="133">
        <f>IF(E5&lt;=TabS!$G$29,TabS!$H$29,IF(E5&lt;=TabS!$G$30,TabS!$H$30,IF(E5&lt;=TabS!$G$31,TabS!$H$31,IF(E5&lt;=TabS!$G$32,TabS!$H$32,IF(E5&lt;=TabS!$G$33,TabS!$H$33,IF(E5&lt;=TabS!$G$34,TabS!$H$34))))))</f>
        <v>0.155</v>
      </c>
      <c r="F46" s="133">
        <f>IF(F5&lt;=TabS!$G$29,TabS!$H$29,IF(F5&lt;=TabS!$G$30,TabS!$H$30,IF(F5&lt;=TabS!$G$31,TabS!$H$31,IF(F5&lt;=TabS!$G$32,TabS!$H$32,IF(F5&lt;=TabS!$G$33,TabS!$H$33,IF(F5&lt;=TabS!$G$34,TabS!$H$34))))))</f>
        <v>0.155</v>
      </c>
      <c r="G46" s="133">
        <f>IF(G5&lt;=TabS!$G$29,TabS!$H$29,IF(G5&lt;=TabS!$G$30,TabS!$H$30,IF(G5&lt;=TabS!$G$31,TabS!$H$31,IF(G5&lt;=TabS!$G$32,TabS!$H$32,IF(G5&lt;=TabS!$G$33,TabS!$H$33,IF(G5&lt;=TabS!$G$34,TabS!$H$34))))))</f>
        <v>0.155</v>
      </c>
      <c r="H46" s="133">
        <f>IF(H5&lt;=TabS!$G$29,TabS!$H$29,IF(H5&lt;=TabS!$G$30,TabS!$H$30,IF(H5&lt;=TabS!$G$31,TabS!$H$31,IF(H5&lt;=TabS!$G$32,TabS!$H$32,IF(H5&lt;=TabS!$G$33,TabS!$H$33,IF(H5&lt;=TabS!$G$34,TabS!$H$34))))))</f>
        <v>0.155</v>
      </c>
      <c r="I46" s="133">
        <f>IF(I5&lt;=TabS!$G$29,TabS!$H$29,IF(I5&lt;=TabS!$G$30,TabS!$H$30,IF(I5&lt;=TabS!$G$31,TabS!$H$31,IF(I5&lt;=TabS!$G$32,TabS!$H$32,IF(I5&lt;=TabS!$G$33,TabS!$H$33,IF(I5&lt;=TabS!$G$34,TabS!$H$34))))))</f>
        <v>0.155</v>
      </c>
      <c r="J46" s="133">
        <f>IF(J5&lt;=TabS!$G$29,TabS!$H$29,IF(J5&lt;=TabS!$G$30,TabS!$H$30,IF(J5&lt;=TabS!$G$31,TabS!$H$31,IF(J5&lt;=TabS!$G$32,TabS!$H$32,IF(J5&lt;=TabS!$G$33,TabS!$H$33,IF(J5&lt;=TabS!$G$34,TabS!$H$34))))))</f>
        <v>0.155</v>
      </c>
      <c r="K46" s="133">
        <f>IF(K5&lt;=TabS!$G$29,TabS!$H$29,IF(K5&lt;=TabS!$G$30,TabS!$H$30,IF(K5&lt;=TabS!$G$31,TabS!$H$31,IF(K5&lt;=TabS!$G$32,TabS!$H$32,IF(K5&lt;=TabS!$G$33,TabS!$H$33,IF(K5&lt;=TabS!$G$34,TabS!$H$34))))))</f>
        <v>0.155</v>
      </c>
      <c r="L46" s="133">
        <f>IF(L5&lt;=TabS!$G$29,TabS!$H$29,IF(L5&lt;=TabS!$G$30,TabS!$H$30,IF(L5&lt;=TabS!$G$31,TabS!$H$31,IF(L5&lt;=TabS!$G$32,TabS!$H$32,IF(L5&lt;=TabS!$G$33,TabS!$H$33,IF(L5&lt;=TabS!$G$34,TabS!$H$34))))))</f>
        <v>0.155</v>
      </c>
      <c r="M46" s="133">
        <f>IF(M5&lt;=TabS!$G$29,TabS!$H$29,IF(M5&lt;=TabS!$G$30,TabS!$H$30,IF(M5&lt;=TabS!$G$31,TabS!$H$31,IF(M5&lt;=TabS!$G$32,TabS!$H$32,IF(M5&lt;=TabS!$G$33,TabS!$H$33,IF(M5&lt;=TabS!$G$34,TabS!$H$34))))))</f>
        <v>0.155</v>
      </c>
      <c r="N46" s="133">
        <f>IF(N5&lt;=TabS!$G$29,TabS!$H$29,IF(N5&lt;=TabS!$G$30,TabS!$H$30,IF(N5&lt;=TabS!$G$31,TabS!$H$31,IF(N5&lt;=TabS!$G$32,TabS!$H$32,IF(N5&lt;=TabS!$G$33,TabS!$H$33,IF(N5&lt;=TabS!$G$34,TabS!$H$34))))))</f>
        <v>0.155</v>
      </c>
      <c r="O46" s="134">
        <f t="shared" si="38"/>
        <v>1.86</v>
      </c>
    </row>
    <row r="47" spans="2:30" ht="20.100000000000001" customHeight="1" x14ac:dyDescent="0.25">
      <c r="B47" s="19" t="s">
        <v>122</v>
      </c>
      <c r="C47" s="132">
        <f>IF(C5&lt;=TabS!$G$29,TabS!$I$29,IF(C5&lt;=TabS!$G$30,TabS!$I$30,IF(C5&lt;=TabS!$G$31,TabS!$I$31,IF(C5&lt;=TabS!$G$32,TabS!$I$32,IF(C5&lt;=TabS!$G$33,TabS!$I$33,IF(C5&lt;=TabS!$G$34,TabS!$I$34))))))</f>
        <v>0</v>
      </c>
      <c r="D47" s="132">
        <f>IF(D5&lt;=TabS!$G$29,TabS!$I$29,IF(D5&lt;=TabS!$G$30,TabS!$I$30,IF(D5&lt;=TabS!$G$31,TabS!$I$31,IF(D5&lt;=TabS!$G$32,TabS!$I$32,IF(D5&lt;=TabS!$G$33,TabS!$I$33,IF(D5&lt;=TabS!$G$34,TabS!$I$34))))))</f>
        <v>0</v>
      </c>
      <c r="E47" s="132">
        <f>IF(E5&lt;=TabS!$G$29,TabS!$I$29,IF(E5&lt;=TabS!$G$30,TabS!$I$30,IF(E5&lt;=TabS!$G$31,TabS!$I$31,IF(E5&lt;=TabS!$G$32,TabS!$I$32,IF(E5&lt;=TabS!$G$33,TabS!$I$33,IF(E5&lt;=TabS!$G$34,TabS!$I$34))))))</f>
        <v>0</v>
      </c>
      <c r="F47" s="132">
        <f>IF(F5&lt;=TabS!$G$29,TabS!$I$29,IF(F5&lt;=TabS!$G$30,TabS!$I$30,IF(F5&lt;=TabS!$G$31,TabS!$I$31,IF(F5&lt;=TabS!$G$32,TabS!$I$32,IF(F5&lt;=TabS!$G$33,TabS!$I$33,IF(F5&lt;=TabS!$G$34,TabS!$I$34))))))</f>
        <v>0</v>
      </c>
      <c r="G47" s="132">
        <f>IF(G5&lt;=TabS!$G$29,TabS!$I$29,IF(G5&lt;=TabS!$G$30,TabS!$I$30,IF(G5&lt;=TabS!$G$31,TabS!$I$31,IF(G5&lt;=TabS!$G$32,TabS!$I$32,IF(G5&lt;=TabS!$G$33,TabS!$I$33,IF(G5&lt;=TabS!$G$34,TabS!$I$34))))))</f>
        <v>0</v>
      </c>
      <c r="H47" s="132">
        <f>IF(H5&lt;=TabS!$G$29,TabS!$I$29,IF(H5&lt;=TabS!$G$30,TabS!$I$30,IF(H5&lt;=TabS!$G$31,TabS!$I$31,IF(H5&lt;=TabS!$G$32,TabS!$I$32,IF(H5&lt;=TabS!$G$33,TabS!$I$33,IF(H5&lt;=TabS!$G$34,TabS!$I$34))))))</f>
        <v>0</v>
      </c>
      <c r="I47" s="132">
        <f>IF(I5&lt;=TabS!$G$29,TabS!$I$29,IF(I5&lt;=TabS!$G$30,TabS!$I$30,IF(I5&lt;=TabS!$G$31,TabS!$I$31,IF(I5&lt;=TabS!$G$32,TabS!$I$32,IF(I5&lt;=TabS!$G$33,TabS!$I$33,IF(I5&lt;=TabS!$G$34,TabS!$I$34))))))</f>
        <v>0</v>
      </c>
      <c r="J47" s="132">
        <f>IF(J5&lt;=TabS!$G$29,TabS!$I$29,IF(J5&lt;=TabS!$G$30,TabS!$I$30,IF(J5&lt;=TabS!$G$31,TabS!$I$31,IF(J5&lt;=TabS!$G$32,TabS!$I$32,IF(J5&lt;=TabS!$G$33,TabS!$I$33,IF(J5&lt;=TabS!$G$34,TabS!$I$34))))))</f>
        <v>0</v>
      </c>
      <c r="K47" s="132">
        <f>IF(K5&lt;=TabS!$G$29,TabS!$I$29,IF(K5&lt;=TabS!$G$30,TabS!$I$30,IF(K5&lt;=TabS!$G$31,TabS!$I$31,IF(K5&lt;=TabS!$G$32,TabS!$I$32,IF(K5&lt;=TabS!$G$33,TabS!$I$33,IF(K5&lt;=TabS!$G$34,TabS!$I$34))))))</f>
        <v>0</v>
      </c>
      <c r="L47" s="132">
        <f>IF(L5&lt;=TabS!$G$29,TabS!$I$29,IF(L5&lt;=TabS!$G$30,TabS!$I$30,IF(L5&lt;=TabS!$G$31,TabS!$I$31,IF(L5&lt;=TabS!$G$32,TabS!$I$32,IF(L5&lt;=TabS!$G$33,TabS!$I$33,IF(L5&lt;=TabS!$G$34,TabS!$I$34))))))</f>
        <v>0</v>
      </c>
      <c r="M47" s="132">
        <f>IF(M5&lt;=TabS!$G$29,TabS!$I$29,IF(M5&lt;=TabS!$G$30,TabS!$I$30,IF(M5&lt;=TabS!$G$31,TabS!$I$31,IF(M5&lt;=TabS!$G$32,TabS!$I$32,IF(M5&lt;=TabS!$G$33,TabS!$I$33,IF(M5&lt;=TabS!$G$34,TabS!$I$34))))))</f>
        <v>0</v>
      </c>
      <c r="N47" s="132">
        <f>IF(N5&lt;=TabS!$G$29,TabS!$I$29,IF(N5&lt;=TabS!$G$30,TabS!$I$30,IF(N5&lt;=TabS!$G$31,TabS!$I$31,IF(N5&lt;=TabS!$G$32,TabS!$I$32,IF(N5&lt;=TabS!$G$33,TabS!$I$33,IF(N5&lt;=TabS!$G$34,TabS!$I$34))))))</f>
        <v>0</v>
      </c>
      <c r="O47" s="119">
        <f t="shared" si="38"/>
        <v>0</v>
      </c>
    </row>
    <row r="48" spans="2:30" ht="20.100000000000001" customHeight="1" x14ac:dyDescent="0.25">
      <c r="B48" s="49" t="s">
        <v>123</v>
      </c>
      <c r="C48" s="135">
        <f>IFERROR(C50/C5,0)</f>
        <v>0</v>
      </c>
      <c r="D48" s="135">
        <f t="shared" ref="D48:N48" si="39">IFERROR(D50/D5,0)</f>
        <v>0</v>
      </c>
      <c r="E48" s="135">
        <f t="shared" si="39"/>
        <v>0</v>
      </c>
      <c r="F48" s="135">
        <f t="shared" si="39"/>
        <v>0</v>
      </c>
      <c r="G48" s="135">
        <f t="shared" si="39"/>
        <v>0</v>
      </c>
      <c r="H48" s="135">
        <f t="shared" si="39"/>
        <v>0</v>
      </c>
      <c r="I48" s="135">
        <f t="shared" si="39"/>
        <v>0</v>
      </c>
      <c r="J48" s="135">
        <f t="shared" si="39"/>
        <v>0</v>
      </c>
      <c r="K48" s="135">
        <f t="shared" si="39"/>
        <v>0</v>
      </c>
      <c r="L48" s="135">
        <f t="shared" si="39"/>
        <v>0</v>
      </c>
      <c r="M48" s="135">
        <f t="shared" si="39"/>
        <v>0</v>
      </c>
      <c r="N48" s="135">
        <f t="shared" si="39"/>
        <v>0</v>
      </c>
      <c r="O48" s="136">
        <f t="shared" si="38"/>
        <v>0</v>
      </c>
    </row>
    <row r="49" spans="2:15" ht="20.100000000000001" customHeight="1" x14ac:dyDescent="0.25">
      <c r="B49" s="161" t="s">
        <v>125</v>
      </c>
      <c r="C49" s="137">
        <f>C45*C48</f>
        <v>0</v>
      </c>
      <c r="D49" s="137">
        <f t="shared" ref="D49:N49" si="40">D45*D48</f>
        <v>0</v>
      </c>
      <c r="E49" s="137">
        <f t="shared" si="40"/>
        <v>0</v>
      </c>
      <c r="F49" s="137">
        <f t="shared" si="40"/>
        <v>0</v>
      </c>
      <c r="G49" s="137">
        <f t="shared" si="40"/>
        <v>0</v>
      </c>
      <c r="H49" s="137">
        <f t="shared" si="40"/>
        <v>0</v>
      </c>
      <c r="I49" s="137">
        <f t="shared" si="40"/>
        <v>0</v>
      </c>
      <c r="J49" s="137">
        <f t="shared" si="40"/>
        <v>0</v>
      </c>
      <c r="K49" s="137">
        <f t="shared" si="40"/>
        <v>0</v>
      </c>
      <c r="L49" s="137">
        <f t="shared" si="40"/>
        <v>0</v>
      </c>
      <c r="M49" s="137">
        <f t="shared" si="40"/>
        <v>0</v>
      </c>
      <c r="N49" s="137">
        <f t="shared" si="40"/>
        <v>0</v>
      </c>
      <c r="O49" s="138">
        <f>SUM(C49:N49)</f>
        <v>0</v>
      </c>
    </row>
    <row r="50" spans="2:15" ht="20.100000000000001" customHeight="1" x14ac:dyDescent="0.25">
      <c r="B50" s="19" t="s">
        <v>124</v>
      </c>
      <c r="C50" s="132">
        <f>IFERROR((C5*C46)-C47,0)</f>
        <v>0</v>
      </c>
      <c r="D50" s="132">
        <f t="shared" ref="D50:N50" si="41">IFERROR((D5*D46)-D47,0)</f>
        <v>0</v>
      </c>
      <c r="E50" s="132">
        <f t="shared" si="41"/>
        <v>0</v>
      </c>
      <c r="F50" s="132">
        <f t="shared" si="41"/>
        <v>0</v>
      </c>
      <c r="G50" s="132">
        <f t="shared" si="41"/>
        <v>0</v>
      </c>
      <c r="H50" s="132">
        <f t="shared" si="41"/>
        <v>0</v>
      </c>
      <c r="I50" s="132">
        <f t="shared" si="41"/>
        <v>0</v>
      </c>
      <c r="J50" s="132">
        <f t="shared" si="41"/>
        <v>0</v>
      </c>
      <c r="K50" s="132">
        <f t="shared" si="41"/>
        <v>0</v>
      </c>
      <c r="L50" s="132">
        <f t="shared" si="41"/>
        <v>0</v>
      </c>
      <c r="M50" s="132">
        <f t="shared" si="41"/>
        <v>0</v>
      </c>
      <c r="N50" s="132">
        <f t="shared" si="41"/>
        <v>0</v>
      </c>
      <c r="O50" s="119">
        <f t="shared" si="38"/>
        <v>0</v>
      </c>
    </row>
    <row r="52" spans="2:15" ht="29.25" customHeight="1" x14ac:dyDescent="0.25">
      <c r="B52" s="162" t="s">
        <v>126</v>
      </c>
      <c r="C52" s="139"/>
      <c r="D52" s="139"/>
      <c r="E52" s="139"/>
      <c r="F52" s="139"/>
      <c r="G52" s="139"/>
      <c r="H52" s="139"/>
    </row>
    <row r="53" spans="2:15" ht="20.100000000000001" customHeight="1" x14ac:dyDescent="0.25">
      <c r="B53" s="163"/>
      <c r="C53" s="139"/>
      <c r="D53" s="139"/>
      <c r="E53" s="139"/>
      <c r="F53" s="139"/>
      <c r="G53" s="139"/>
      <c r="H53" s="139"/>
    </row>
    <row r="54" spans="2:15" ht="20.100000000000001" customHeight="1" x14ac:dyDescent="0.25">
      <c r="B54" s="164" t="s">
        <v>80</v>
      </c>
      <c r="C54" s="139"/>
      <c r="D54" s="139"/>
      <c r="E54" s="139"/>
      <c r="F54" s="139"/>
      <c r="G54" s="139"/>
      <c r="H54" s="139"/>
    </row>
    <row r="55" spans="2:15" ht="20.100000000000001" customHeight="1" x14ac:dyDescent="0.25">
      <c r="B55" s="163"/>
      <c r="C55" s="139"/>
      <c r="D55" s="139"/>
      <c r="E55" s="139"/>
      <c r="F55" s="139"/>
      <c r="G55" s="139"/>
      <c r="H55" s="139"/>
    </row>
    <row r="56" spans="2:15" ht="20.100000000000001" customHeight="1" x14ac:dyDescent="0.25">
      <c r="B56" s="165" t="s">
        <v>127</v>
      </c>
      <c r="C56" s="140" t="s">
        <v>97</v>
      </c>
      <c r="D56" s="140" t="s">
        <v>98</v>
      </c>
      <c r="E56" s="140" t="s">
        <v>128</v>
      </c>
      <c r="F56" s="140" t="s">
        <v>129</v>
      </c>
      <c r="G56" s="140" t="s">
        <v>42</v>
      </c>
      <c r="H56" s="140" t="s">
        <v>40</v>
      </c>
    </row>
    <row r="57" spans="2:15" ht="20.100000000000001" customHeight="1" x14ac:dyDescent="0.25">
      <c r="B57" s="163" t="s">
        <v>69</v>
      </c>
      <c r="C57" s="141">
        <v>0</v>
      </c>
      <c r="D57" s="141">
        <v>0</v>
      </c>
      <c r="E57" s="141">
        <v>0.34</v>
      </c>
      <c r="F57" s="141">
        <v>0.41499999999999998</v>
      </c>
      <c r="G57" s="141">
        <v>3.5000000000000003E-2</v>
      </c>
      <c r="H57" s="141">
        <v>5.5E-2</v>
      </c>
    </row>
    <row r="58" spans="2:15" ht="20.100000000000001" customHeight="1" x14ac:dyDescent="0.25">
      <c r="B58" s="163" t="s">
        <v>70</v>
      </c>
      <c r="C58" s="141">
        <v>0</v>
      </c>
      <c r="D58" s="141">
        <v>0</v>
      </c>
      <c r="E58" s="141">
        <v>0.34</v>
      </c>
      <c r="F58" s="141">
        <v>0.41499999999999998</v>
      </c>
      <c r="G58" s="141">
        <v>3.5000000000000003E-2</v>
      </c>
      <c r="H58" s="141">
        <v>5.5E-2</v>
      </c>
    </row>
    <row r="59" spans="2:15" ht="20.100000000000001" customHeight="1" x14ac:dyDescent="0.25">
      <c r="B59" s="163" t="s">
        <v>71</v>
      </c>
      <c r="C59" s="141">
        <v>0</v>
      </c>
      <c r="D59" s="141">
        <v>0</v>
      </c>
      <c r="E59" s="141">
        <v>0.33500000000000002</v>
      </c>
      <c r="F59" s="141">
        <v>0.42</v>
      </c>
      <c r="G59" s="141">
        <v>3.5000000000000003E-2</v>
      </c>
      <c r="H59" s="141">
        <v>5.5E-2</v>
      </c>
    </row>
    <row r="60" spans="2:15" ht="20.100000000000001" customHeight="1" x14ac:dyDescent="0.25">
      <c r="B60" s="163" t="s">
        <v>72</v>
      </c>
      <c r="C60" s="141">
        <v>0</v>
      </c>
      <c r="D60" s="141">
        <v>0</v>
      </c>
      <c r="E60" s="141">
        <v>0.33500000000000002</v>
      </c>
      <c r="F60" s="141">
        <v>0.42</v>
      </c>
      <c r="G60" s="141">
        <v>3.5000000000000003E-2</v>
      </c>
      <c r="H60" s="141">
        <v>5.5E-2</v>
      </c>
    </row>
    <row r="61" spans="2:15" ht="20.100000000000001" customHeight="1" x14ac:dyDescent="0.25">
      <c r="B61" s="163" t="s">
        <v>73</v>
      </c>
      <c r="C61" s="141">
        <v>0</v>
      </c>
      <c r="D61" s="141">
        <v>0</v>
      </c>
      <c r="E61" s="141">
        <v>0.33500000000000002</v>
      </c>
      <c r="F61" s="141">
        <v>0.42</v>
      </c>
      <c r="G61" s="141">
        <v>3.5000000000000003E-2</v>
      </c>
      <c r="H61" s="141">
        <v>5.5E-2</v>
      </c>
    </row>
    <row r="62" spans="2:15" ht="20.100000000000001" customHeight="1" x14ac:dyDescent="0.25">
      <c r="B62" s="172" t="s">
        <v>74</v>
      </c>
      <c r="C62" s="173">
        <v>0</v>
      </c>
      <c r="D62" s="173">
        <v>0</v>
      </c>
      <c r="E62" s="142">
        <v>0</v>
      </c>
      <c r="F62" s="142">
        <v>0.42099999999999999</v>
      </c>
      <c r="G62" s="142">
        <v>0.1</v>
      </c>
      <c r="H62" s="142">
        <v>0.13500000000000001</v>
      </c>
    </row>
    <row r="63" spans="2:15" ht="20.100000000000001" customHeight="1" x14ac:dyDescent="0.25">
      <c r="B63" s="163"/>
      <c r="C63" s="139"/>
      <c r="D63" s="139"/>
      <c r="E63" s="139"/>
      <c r="F63" s="139"/>
      <c r="G63" s="139"/>
      <c r="H63" s="139"/>
    </row>
    <row r="64" spans="2:15" ht="20.100000000000001" customHeight="1" x14ac:dyDescent="0.25">
      <c r="B64" s="164" t="s">
        <v>81</v>
      </c>
      <c r="C64" s="139"/>
      <c r="D64" s="139"/>
      <c r="E64" s="139"/>
      <c r="F64" s="139"/>
      <c r="G64" s="139"/>
      <c r="H64" s="139"/>
    </row>
    <row r="65" spans="2:9" ht="20.100000000000001" customHeight="1" x14ac:dyDescent="0.25">
      <c r="B65" s="163"/>
      <c r="C65" s="139"/>
      <c r="D65" s="139"/>
      <c r="E65" s="139"/>
      <c r="F65" s="139"/>
      <c r="G65" s="139"/>
      <c r="H65" s="139"/>
    </row>
    <row r="66" spans="2:9" ht="20.100000000000001" customHeight="1" x14ac:dyDescent="0.25">
      <c r="B66" s="165" t="s">
        <v>127</v>
      </c>
      <c r="C66" s="140" t="s">
        <v>97</v>
      </c>
      <c r="D66" s="140" t="s">
        <v>98</v>
      </c>
      <c r="E66" s="140" t="s">
        <v>128</v>
      </c>
      <c r="F66" s="140" t="s">
        <v>129</v>
      </c>
      <c r="G66" s="140" t="s">
        <v>42</v>
      </c>
      <c r="H66" s="140" t="s">
        <v>40</v>
      </c>
      <c r="I66" s="140" t="s">
        <v>38</v>
      </c>
    </row>
    <row r="67" spans="2:9" ht="20.100000000000001" customHeight="1" x14ac:dyDescent="0.25">
      <c r="B67" s="163" t="s">
        <v>69</v>
      </c>
      <c r="C67" s="141">
        <v>0</v>
      </c>
      <c r="D67" s="141">
        <v>0</v>
      </c>
      <c r="E67" s="141">
        <v>0.32</v>
      </c>
      <c r="F67" s="141">
        <v>0.375</v>
      </c>
      <c r="G67" s="141">
        <v>3.5000000000000003E-2</v>
      </c>
      <c r="H67" s="141">
        <v>5.5E-2</v>
      </c>
      <c r="I67" s="141">
        <v>7.4999999999999997E-2</v>
      </c>
    </row>
    <row r="68" spans="2:9" ht="20.100000000000001" customHeight="1" x14ac:dyDescent="0.25">
      <c r="B68" s="163" t="s">
        <v>70</v>
      </c>
      <c r="C68" s="141">
        <v>0</v>
      </c>
      <c r="D68" s="141">
        <v>0</v>
      </c>
      <c r="E68" s="141">
        <v>0.32</v>
      </c>
      <c r="F68" s="141">
        <v>0.375</v>
      </c>
      <c r="G68" s="141">
        <v>3.5000000000000003E-2</v>
      </c>
      <c r="H68" s="141">
        <v>5.5E-2</v>
      </c>
      <c r="I68" s="141">
        <v>7.4999999999999997E-2</v>
      </c>
    </row>
    <row r="69" spans="2:9" ht="20.100000000000001" customHeight="1" x14ac:dyDescent="0.25">
      <c r="B69" s="163" t="s">
        <v>71</v>
      </c>
      <c r="C69" s="141">
        <v>0</v>
      </c>
      <c r="D69" s="141">
        <v>0</v>
      </c>
      <c r="E69" s="141">
        <v>0.32</v>
      </c>
      <c r="F69" s="141">
        <v>0.375</v>
      </c>
      <c r="G69" s="141">
        <v>3.5000000000000003E-2</v>
      </c>
      <c r="H69" s="141">
        <v>5.5E-2</v>
      </c>
      <c r="I69" s="141">
        <v>7.4999999999999997E-2</v>
      </c>
    </row>
    <row r="70" spans="2:9" ht="20.100000000000001" customHeight="1" x14ac:dyDescent="0.25">
      <c r="B70" s="163" t="s">
        <v>72</v>
      </c>
      <c r="C70" s="141">
        <v>0</v>
      </c>
      <c r="D70" s="141">
        <v>0</v>
      </c>
      <c r="E70" s="141">
        <v>0.32</v>
      </c>
      <c r="F70" s="141">
        <v>0.375</v>
      </c>
      <c r="G70" s="141">
        <v>3.5000000000000003E-2</v>
      </c>
      <c r="H70" s="141">
        <v>5.5E-2</v>
      </c>
      <c r="I70" s="141">
        <v>7.4999999999999997E-2</v>
      </c>
    </row>
    <row r="71" spans="2:9" ht="20.100000000000001" customHeight="1" x14ac:dyDescent="0.25">
      <c r="B71" s="163" t="s">
        <v>73</v>
      </c>
      <c r="C71" s="141">
        <v>0</v>
      </c>
      <c r="D71" s="141">
        <v>0</v>
      </c>
      <c r="E71" s="141">
        <v>0.32</v>
      </c>
      <c r="F71" s="141">
        <v>0.375</v>
      </c>
      <c r="G71" s="141">
        <v>3.5000000000000003E-2</v>
      </c>
      <c r="H71" s="141">
        <v>5.5E-2</v>
      </c>
      <c r="I71" s="141">
        <v>7.4999999999999997E-2</v>
      </c>
    </row>
    <row r="72" spans="2:9" ht="20.100000000000001" customHeight="1" x14ac:dyDescent="0.25">
      <c r="B72" s="166" t="s">
        <v>74</v>
      </c>
      <c r="C72" s="173">
        <v>0</v>
      </c>
      <c r="D72" s="173">
        <v>0</v>
      </c>
      <c r="E72" s="142">
        <v>0</v>
      </c>
      <c r="F72" s="142">
        <v>0.23499999999999999</v>
      </c>
      <c r="G72" s="142">
        <v>7.4999999999999997E-2</v>
      </c>
      <c r="H72" s="142">
        <v>8.5000000000000006E-2</v>
      </c>
      <c r="I72" s="142">
        <v>0.35</v>
      </c>
    </row>
    <row r="73" spans="2:9" ht="20.100000000000001" customHeight="1" x14ac:dyDescent="0.25">
      <c r="B73" s="163"/>
      <c r="C73" s="139"/>
      <c r="D73" s="139"/>
      <c r="E73" s="139"/>
      <c r="F73" s="139"/>
      <c r="G73" s="139"/>
      <c r="H73" s="139"/>
    </row>
    <row r="74" spans="2:9" ht="20.100000000000001" customHeight="1" x14ac:dyDescent="0.25">
      <c r="B74" s="164" t="s">
        <v>75</v>
      </c>
      <c r="C74" s="139"/>
      <c r="D74" s="139"/>
      <c r="E74" s="139"/>
      <c r="F74" s="139"/>
      <c r="G74" s="139"/>
      <c r="H74" s="139"/>
    </row>
    <row r="75" spans="2:9" ht="20.100000000000001" customHeight="1" x14ac:dyDescent="0.25">
      <c r="B75" s="163"/>
      <c r="C75" s="139"/>
      <c r="D75" s="139"/>
      <c r="E75" s="139"/>
      <c r="F75" s="139"/>
      <c r="G75" s="139"/>
      <c r="H75" s="139"/>
    </row>
    <row r="76" spans="2:9" ht="20.100000000000001" customHeight="1" x14ac:dyDescent="0.25">
      <c r="B76" s="165" t="s">
        <v>127</v>
      </c>
      <c r="C76" s="140" t="s">
        <v>97</v>
      </c>
      <c r="D76" s="140" t="s">
        <v>98</v>
      </c>
      <c r="E76" s="140" t="s">
        <v>39</v>
      </c>
      <c r="F76" s="140" t="s">
        <v>129</v>
      </c>
      <c r="G76" s="140" t="s">
        <v>42</v>
      </c>
      <c r="H76" s="140" t="s">
        <v>40</v>
      </c>
    </row>
    <row r="77" spans="2:9" ht="20.100000000000001" customHeight="1" x14ac:dyDescent="0.25">
      <c r="B77" s="163" t="s">
        <v>69</v>
      </c>
      <c r="C77" s="141">
        <v>0</v>
      </c>
      <c r="D77" s="141">
        <v>0</v>
      </c>
      <c r="E77" s="141">
        <v>0.33500000000000002</v>
      </c>
      <c r="F77" s="141">
        <v>0.434</v>
      </c>
      <c r="G77" s="141">
        <v>3.5000000000000003E-2</v>
      </c>
      <c r="H77" s="141">
        <v>0.04</v>
      </c>
    </row>
    <row r="78" spans="2:9" ht="20.100000000000001" customHeight="1" x14ac:dyDescent="0.25">
      <c r="B78" s="163" t="s">
        <v>70</v>
      </c>
      <c r="C78" s="141">
        <v>0</v>
      </c>
      <c r="D78" s="141">
        <v>0</v>
      </c>
      <c r="E78" s="141">
        <v>0.32</v>
      </c>
      <c r="F78" s="141">
        <v>0.434</v>
      </c>
      <c r="G78" s="141">
        <v>3.5000000000000003E-2</v>
      </c>
      <c r="H78" s="141">
        <v>0.04</v>
      </c>
    </row>
    <row r="79" spans="2:9" ht="20.100000000000001" customHeight="1" x14ac:dyDescent="0.25">
      <c r="B79" s="163" t="s">
        <v>71</v>
      </c>
      <c r="C79" s="141">
        <v>0</v>
      </c>
      <c r="D79" s="141">
        <v>0</v>
      </c>
      <c r="E79" s="141">
        <v>0.32500000000000001</v>
      </c>
      <c r="F79" s="141">
        <v>0.434</v>
      </c>
      <c r="G79" s="141">
        <v>3.5000000000000003E-2</v>
      </c>
      <c r="H79" s="141">
        <v>0.04</v>
      </c>
    </row>
    <row r="80" spans="2:9" ht="20.100000000000001" customHeight="1" x14ac:dyDescent="0.25">
      <c r="B80" s="163" t="s">
        <v>72</v>
      </c>
      <c r="C80" s="141">
        <v>0</v>
      </c>
      <c r="D80" s="141">
        <v>0</v>
      </c>
      <c r="E80" s="141">
        <v>0.32500000000000001</v>
      </c>
      <c r="F80" s="141">
        <v>0.434</v>
      </c>
      <c r="G80" s="141">
        <v>3.5000000000000003E-2</v>
      </c>
      <c r="H80" s="141">
        <v>0.04</v>
      </c>
    </row>
    <row r="81" spans="2:8" ht="20.100000000000001" customHeight="1" x14ac:dyDescent="0.25">
      <c r="B81" s="163" t="s">
        <v>73</v>
      </c>
      <c r="C81" s="141">
        <v>0</v>
      </c>
      <c r="D81" s="141">
        <v>0</v>
      </c>
      <c r="E81" s="141">
        <v>0.33500000000000002</v>
      </c>
      <c r="F81" s="141">
        <v>0.434</v>
      </c>
      <c r="G81" s="141">
        <v>3.5000000000000003E-2</v>
      </c>
      <c r="H81" s="141">
        <v>0.04</v>
      </c>
    </row>
    <row r="82" spans="2:8" ht="20.100000000000001" customHeight="1" x14ac:dyDescent="0.25">
      <c r="B82" s="166" t="s">
        <v>74</v>
      </c>
      <c r="C82" s="173">
        <v>0</v>
      </c>
      <c r="D82" s="173">
        <v>0</v>
      </c>
      <c r="E82" s="142">
        <v>0.05</v>
      </c>
      <c r="F82" s="142">
        <v>0.30499999999999999</v>
      </c>
      <c r="G82" s="142">
        <v>0.15</v>
      </c>
      <c r="H82" s="142">
        <v>0.35</v>
      </c>
    </row>
    <row r="83" spans="2:8" ht="20.100000000000001" customHeight="1" x14ac:dyDescent="0.25">
      <c r="B83" s="163"/>
      <c r="C83" s="139"/>
      <c r="D83" s="139"/>
      <c r="E83" s="139"/>
      <c r="F83" s="139"/>
      <c r="G83" s="139"/>
      <c r="H83" s="139"/>
    </row>
    <row r="84" spans="2:8" ht="20.100000000000001" customHeight="1" x14ac:dyDescent="0.25">
      <c r="B84" s="164" t="s">
        <v>76</v>
      </c>
      <c r="C84" s="139"/>
      <c r="D84" s="139"/>
      <c r="E84" s="139"/>
      <c r="F84" s="139"/>
      <c r="G84" s="139"/>
      <c r="H84" s="139"/>
    </row>
    <row r="85" spans="2:8" ht="20.100000000000001" customHeight="1" x14ac:dyDescent="0.25">
      <c r="B85" s="163"/>
      <c r="C85" s="139"/>
      <c r="D85" s="139"/>
      <c r="E85" s="139"/>
      <c r="F85" s="139"/>
      <c r="G85" s="139"/>
      <c r="H85" s="139"/>
    </row>
    <row r="86" spans="2:8" ht="20.100000000000001" customHeight="1" x14ac:dyDescent="0.25">
      <c r="B86" s="165" t="s">
        <v>127</v>
      </c>
      <c r="C86" s="140" t="s">
        <v>97</v>
      </c>
      <c r="D86" s="140" t="s">
        <v>98</v>
      </c>
      <c r="E86" s="140" t="s">
        <v>39</v>
      </c>
      <c r="F86" s="140" t="s">
        <v>129</v>
      </c>
      <c r="G86" s="140" t="s">
        <v>42</v>
      </c>
      <c r="H86" s="140" t="s">
        <v>40</v>
      </c>
    </row>
    <row r="87" spans="2:8" ht="20.100000000000001" customHeight="1" x14ac:dyDescent="0.25">
      <c r="B87" s="163" t="s">
        <v>69</v>
      </c>
      <c r="C87" s="141">
        <v>0</v>
      </c>
      <c r="D87" s="141">
        <v>0</v>
      </c>
      <c r="E87" s="141">
        <v>0.44500000000000001</v>
      </c>
      <c r="F87" s="141">
        <v>0</v>
      </c>
      <c r="G87" s="141">
        <v>0.152</v>
      </c>
      <c r="H87" s="141">
        <v>0.188</v>
      </c>
    </row>
    <row r="88" spans="2:8" ht="20.100000000000001" customHeight="1" x14ac:dyDescent="0.25">
      <c r="B88" s="163" t="s">
        <v>70</v>
      </c>
      <c r="C88" s="141">
        <v>0</v>
      </c>
      <c r="D88" s="141">
        <v>0</v>
      </c>
      <c r="E88" s="141">
        <v>0.4</v>
      </c>
      <c r="F88" s="141">
        <v>0</v>
      </c>
      <c r="G88" s="141">
        <v>0.152</v>
      </c>
      <c r="H88" s="141">
        <v>0.19800000000000001</v>
      </c>
    </row>
    <row r="89" spans="2:8" ht="20.100000000000001" customHeight="1" x14ac:dyDescent="0.25">
      <c r="B89" s="163" t="s">
        <v>71</v>
      </c>
      <c r="C89" s="141">
        <v>0</v>
      </c>
      <c r="D89" s="141">
        <v>0</v>
      </c>
      <c r="E89" s="141">
        <v>0.4</v>
      </c>
      <c r="F89" s="141">
        <v>0</v>
      </c>
      <c r="G89" s="141">
        <v>0.152</v>
      </c>
      <c r="H89" s="141">
        <v>0.20799999999999999</v>
      </c>
    </row>
    <row r="90" spans="2:8" ht="20.100000000000001" customHeight="1" x14ac:dyDescent="0.25">
      <c r="B90" s="163" t="s">
        <v>72</v>
      </c>
      <c r="C90" s="141">
        <v>0</v>
      </c>
      <c r="D90" s="141">
        <v>0</v>
      </c>
      <c r="E90" s="141">
        <v>0.4</v>
      </c>
      <c r="F90" s="141">
        <v>0</v>
      </c>
      <c r="G90" s="141">
        <v>0.192</v>
      </c>
      <c r="H90" s="141">
        <v>0.17799999999999999</v>
      </c>
    </row>
    <row r="91" spans="2:8" ht="20.100000000000001" customHeight="1" x14ac:dyDescent="0.25">
      <c r="B91" s="163" t="s">
        <v>73</v>
      </c>
      <c r="C91" s="141">
        <v>0</v>
      </c>
      <c r="D91" s="141">
        <v>0</v>
      </c>
      <c r="E91" s="141">
        <v>0.4</v>
      </c>
      <c r="F91" s="141">
        <v>0</v>
      </c>
      <c r="G91" s="141">
        <v>0.192</v>
      </c>
      <c r="H91" s="141">
        <v>0.188</v>
      </c>
    </row>
    <row r="92" spans="2:8" ht="20.100000000000001" customHeight="1" x14ac:dyDescent="0.25">
      <c r="B92" s="166" t="s">
        <v>74</v>
      </c>
      <c r="C92" s="173">
        <v>0</v>
      </c>
      <c r="D92" s="173">
        <v>0</v>
      </c>
      <c r="E92" s="142">
        <v>0</v>
      </c>
      <c r="F92" s="142">
        <v>0</v>
      </c>
      <c r="G92" s="142">
        <v>0.215</v>
      </c>
      <c r="H92" s="142">
        <v>0.53500000000000003</v>
      </c>
    </row>
    <row r="93" spans="2:8" ht="20.100000000000001" customHeight="1" x14ac:dyDescent="0.25">
      <c r="B93" s="163"/>
      <c r="C93" s="139"/>
      <c r="D93" s="139"/>
      <c r="E93" s="139"/>
      <c r="F93" s="139"/>
      <c r="G93" s="139"/>
      <c r="H93" s="139"/>
    </row>
    <row r="94" spans="2:8" ht="20.100000000000001" customHeight="1" x14ac:dyDescent="0.25">
      <c r="B94" s="164" t="s">
        <v>77</v>
      </c>
      <c r="C94" s="139"/>
      <c r="D94" s="139"/>
      <c r="E94" s="139"/>
      <c r="F94" s="139"/>
      <c r="G94" s="139"/>
      <c r="H94" s="139"/>
    </row>
    <row r="95" spans="2:8" ht="20.100000000000001" customHeight="1" x14ac:dyDescent="0.25">
      <c r="B95" s="163"/>
      <c r="C95" s="139"/>
      <c r="D95" s="139"/>
      <c r="E95" s="139"/>
      <c r="F95" s="139"/>
      <c r="G95" s="139"/>
      <c r="H95" s="139"/>
    </row>
    <row r="96" spans="2:8" ht="20.100000000000001" customHeight="1" x14ac:dyDescent="0.25">
      <c r="B96" s="165" t="s">
        <v>127</v>
      </c>
      <c r="C96" s="140" t="s">
        <v>97</v>
      </c>
      <c r="D96" s="140" t="s">
        <v>98</v>
      </c>
      <c r="E96" s="140" t="s">
        <v>39</v>
      </c>
      <c r="F96" s="140" t="s">
        <v>129</v>
      </c>
      <c r="G96" s="140" t="s">
        <v>42</v>
      </c>
      <c r="H96" s="140" t="s">
        <v>40</v>
      </c>
    </row>
    <row r="97" spans="2:30" ht="20.100000000000001" customHeight="1" x14ac:dyDescent="0.25">
      <c r="B97" s="163" t="s">
        <v>69</v>
      </c>
      <c r="C97" s="141">
        <v>0</v>
      </c>
      <c r="D97" s="141">
        <v>0</v>
      </c>
      <c r="E97" s="141">
        <v>0.14000000000000001</v>
      </c>
      <c r="F97" s="141">
        <v>0.28849999999999998</v>
      </c>
      <c r="G97" s="141">
        <v>0.15</v>
      </c>
      <c r="H97" s="141">
        <v>0.25</v>
      </c>
    </row>
    <row r="98" spans="2:30" ht="20.100000000000001" customHeight="1" x14ac:dyDescent="0.25">
      <c r="B98" s="163" t="s">
        <v>70</v>
      </c>
      <c r="C98" s="141">
        <v>0</v>
      </c>
      <c r="D98" s="141">
        <v>0</v>
      </c>
      <c r="E98" s="141">
        <v>0.17</v>
      </c>
      <c r="F98" s="141">
        <v>0.27850000000000003</v>
      </c>
      <c r="G98" s="141">
        <v>0.15</v>
      </c>
      <c r="H98" s="141">
        <v>0.23</v>
      </c>
    </row>
    <row r="99" spans="2:30" ht="20.100000000000001" customHeight="1" x14ac:dyDescent="0.25">
      <c r="B99" s="163" t="s">
        <v>71</v>
      </c>
      <c r="C99" s="141">
        <v>0</v>
      </c>
      <c r="D99" s="141">
        <v>0</v>
      </c>
      <c r="E99" s="141">
        <v>0.19</v>
      </c>
      <c r="F99" s="141">
        <v>0.23849999999999999</v>
      </c>
      <c r="G99" s="141">
        <v>0.15</v>
      </c>
      <c r="H99" s="141">
        <v>0.24</v>
      </c>
    </row>
    <row r="100" spans="2:30" ht="20.100000000000001" customHeight="1" x14ac:dyDescent="0.25">
      <c r="B100" s="163" t="s">
        <v>72</v>
      </c>
      <c r="C100" s="141">
        <v>0</v>
      </c>
      <c r="D100" s="141">
        <v>0</v>
      </c>
      <c r="E100" s="141">
        <v>0.21</v>
      </c>
      <c r="F100" s="141">
        <v>0.23849999999999999</v>
      </c>
      <c r="G100" s="141">
        <v>0.15</v>
      </c>
      <c r="H100" s="141">
        <v>0.21</v>
      </c>
    </row>
    <row r="101" spans="2:30" ht="20.100000000000001" customHeight="1" x14ac:dyDescent="0.25">
      <c r="B101" s="163" t="s">
        <v>73</v>
      </c>
      <c r="C101" s="141">
        <v>0</v>
      </c>
      <c r="D101" s="141">
        <v>0</v>
      </c>
      <c r="E101" s="141">
        <v>0.23499999999999999</v>
      </c>
      <c r="F101" s="141">
        <v>0.23849999999999999</v>
      </c>
      <c r="G101" s="141">
        <v>0.125</v>
      </c>
      <c r="H101" s="141">
        <v>0.23</v>
      </c>
    </row>
    <row r="102" spans="2:30" ht="20.100000000000001" customHeight="1" x14ac:dyDescent="0.25">
      <c r="B102" s="166" t="s">
        <v>74</v>
      </c>
      <c r="C102" s="173">
        <v>0</v>
      </c>
      <c r="D102" s="173">
        <v>0</v>
      </c>
      <c r="E102" s="142">
        <v>0</v>
      </c>
      <c r="F102" s="142">
        <v>0.29499999999999998</v>
      </c>
      <c r="G102" s="142">
        <v>0.155</v>
      </c>
      <c r="H102" s="142">
        <v>0.35</v>
      </c>
    </row>
    <row r="104" spans="2:30" ht="20.100000000000001" customHeight="1" x14ac:dyDescent="0.25">
      <c r="B104" s="112" t="s">
        <v>82</v>
      </c>
      <c r="C104" s="112" t="s">
        <v>83</v>
      </c>
      <c r="D104" s="112" t="s">
        <v>84</v>
      </c>
      <c r="E104" s="112" t="s">
        <v>85</v>
      </c>
      <c r="F104" s="112" t="s">
        <v>86</v>
      </c>
      <c r="G104" s="112" t="s">
        <v>87</v>
      </c>
      <c r="H104" s="112" t="s">
        <v>88</v>
      </c>
      <c r="I104" s="112" t="s">
        <v>89</v>
      </c>
      <c r="J104" s="112" t="s">
        <v>90</v>
      </c>
      <c r="K104" s="112" t="s">
        <v>91</v>
      </c>
      <c r="L104" s="112" t="s">
        <v>92</v>
      </c>
      <c r="M104" s="112" t="s">
        <v>93</v>
      </c>
      <c r="N104" s="112" t="s">
        <v>94</v>
      </c>
      <c r="Q104" s="145" t="s">
        <v>82</v>
      </c>
      <c r="R104" s="112" t="s">
        <v>83</v>
      </c>
      <c r="S104" s="112" t="s">
        <v>84</v>
      </c>
      <c r="T104" s="112" t="s">
        <v>85</v>
      </c>
      <c r="U104" s="112" t="s">
        <v>86</v>
      </c>
      <c r="V104" s="112" t="s">
        <v>87</v>
      </c>
      <c r="W104" s="112" t="s">
        <v>88</v>
      </c>
      <c r="X104" s="112" t="s">
        <v>89</v>
      </c>
      <c r="Y104" s="112" t="s">
        <v>90</v>
      </c>
      <c r="Z104" s="112" t="s">
        <v>91</v>
      </c>
      <c r="AA104" s="112" t="s">
        <v>92</v>
      </c>
      <c r="AB104" s="112" t="s">
        <v>93</v>
      </c>
      <c r="AC104" s="112" t="s">
        <v>94</v>
      </c>
    </row>
    <row r="105" spans="2:30" ht="20.100000000000001" customHeight="1" x14ac:dyDescent="0.25">
      <c r="B105" s="19" t="s">
        <v>120</v>
      </c>
      <c r="C105" s="132">
        <f>C5</f>
        <v>0</v>
      </c>
      <c r="D105" s="132">
        <f t="shared" ref="D105:N105" si="42">D5</f>
        <v>0</v>
      </c>
      <c r="E105" s="132">
        <f t="shared" si="42"/>
        <v>0</v>
      </c>
      <c r="F105" s="132">
        <f t="shared" si="42"/>
        <v>0</v>
      </c>
      <c r="G105" s="132">
        <f t="shared" si="42"/>
        <v>0</v>
      </c>
      <c r="H105" s="132">
        <f t="shared" si="42"/>
        <v>0</v>
      </c>
      <c r="I105" s="132">
        <f t="shared" si="42"/>
        <v>0</v>
      </c>
      <c r="J105" s="132">
        <f t="shared" si="42"/>
        <v>0</v>
      </c>
      <c r="K105" s="132">
        <f t="shared" si="42"/>
        <v>0</v>
      </c>
      <c r="L105" s="132">
        <f t="shared" si="42"/>
        <v>0</v>
      </c>
      <c r="M105" s="132">
        <f t="shared" si="42"/>
        <v>0</v>
      </c>
      <c r="N105" s="132">
        <f t="shared" si="42"/>
        <v>0</v>
      </c>
      <c r="Q105" s="144" t="s">
        <v>120</v>
      </c>
      <c r="R105" s="132">
        <f>C105</f>
        <v>0</v>
      </c>
      <c r="S105" s="132">
        <f t="shared" ref="S105:AC105" si="43">D105</f>
        <v>0</v>
      </c>
      <c r="T105" s="132">
        <f t="shared" si="43"/>
        <v>0</v>
      </c>
      <c r="U105" s="132">
        <f t="shared" si="43"/>
        <v>0</v>
      </c>
      <c r="V105" s="132">
        <f t="shared" si="43"/>
        <v>0</v>
      </c>
      <c r="W105" s="132">
        <f t="shared" si="43"/>
        <v>0</v>
      </c>
      <c r="X105" s="132">
        <f t="shared" si="43"/>
        <v>0</v>
      </c>
      <c r="Y105" s="132">
        <f t="shared" si="43"/>
        <v>0</v>
      </c>
      <c r="Z105" s="132">
        <f t="shared" si="43"/>
        <v>0</v>
      </c>
      <c r="AA105" s="132">
        <f t="shared" si="43"/>
        <v>0</v>
      </c>
      <c r="AB105" s="132">
        <f t="shared" si="43"/>
        <v>0</v>
      </c>
      <c r="AC105" s="132">
        <f t="shared" si="43"/>
        <v>0</v>
      </c>
    </row>
    <row r="106" spans="2:30" ht="20.100000000000001" customHeight="1" x14ac:dyDescent="0.25">
      <c r="Q106" s="144" t="s">
        <v>138</v>
      </c>
      <c r="R106" s="132">
        <v>3600000</v>
      </c>
      <c r="S106" s="132">
        <v>3600000</v>
      </c>
      <c r="T106" s="132">
        <v>3600000</v>
      </c>
      <c r="U106" s="132">
        <v>3600000</v>
      </c>
      <c r="V106" s="132">
        <v>3600000</v>
      </c>
      <c r="W106" s="132">
        <v>3600000</v>
      </c>
      <c r="X106" s="132">
        <v>3600000</v>
      </c>
      <c r="Y106" s="132">
        <v>3600000</v>
      </c>
      <c r="Z106" s="132">
        <v>3600000</v>
      </c>
      <c r="AA106" s="132">
        <v>3600000</v>
      </c>
      <c r="AB106" s="132">
        <v>3600000</v>
      </c>
      <c r="AC106" s="132">
        <v>3600000</v>
      </c>
    </row>
    <row r="107" spans="2:30" ht="20.100000000000001" customHeight="1" x14ac:dyDescent="0.25">
      <c r="B107" s="164" t="s">
        <v>80</v>
      </c>
      <c r="Q107" s="144" t="s">
        <v>139</v>
      </c>
      <c r="R107" s="132">
        <v>4320000</v>
      </c>
      <c r="S107" s="132">
        <v>4320000</v>
      </c>
      <c r="T107" s="132">
        <v>4320000</v>
      </c>
      <c r="U107" s="132">
        <v>4320000</v>
      </c>
      <c r="V107" s="132">
        <v>4320000</v>
      </c>
      <c r="W107" s="132">
        <v>4320000</v>
      </c>
      <c r="X107" s="132">
        <v>4320000</v>
      </c>
      <c r="Y107" s="132">
        <v>4320000</v>
      </c>
      <c r="Z107" s="132">
        <v>4320000</v>
      </c>
      <c r="AA107" s="132">
        <v>4320000</v>
      </c>
      <c r="AB107" s="132">
        <v>4320000</v>
      </c>
      <c r="AC107" s="132">
        <v>4320000</v>
      </c>
    </row>
    <row r="108" spans="2:30" ht="20.100000000000001" customHeight="1" x14ac:dyDescent="0.25">
      <c r="B108" s="149" t="s">
        <v>82</v>
      </c>
      <c r="C108" s="149" t="s">
        <v>83</v>
      </c>
      <c r="D108" s="149" t="s">
        <v>84</v>
      </c>
      <c r="E108" s="149" t="s">
        <v>85</v>
      </c>
      <c r="F108" s="149" t="s">
        <v>86</v>
      </c>
      <c r="G108" s="149" t="s">
        <v>87</v>
      </c>
      <c r="H108" s="149" t="s">
        <v>88</v>
      </c>
      <c r="I108" s="149" t="s">
        <v>89</v>
      </c>
      <c r="J108" s="149" t="s">
        <v>90</v>
      </c>
      <c r="K108" s="149" t="s">
        <v>91</v>
      </c>
      <c r="L108" s="149" t="s">
        <v>92</v>
      </c>
      <c r="M108" s="149" t="s">
        <v>93</v>
      </c>
      <c r="N108" s="149" t="s">
        <v>94</v>
      </c>
      <c r="O108" s="149" t="s">
        <v>95</v>
      </c>
      <c r="Q108" s="171" t="s">
        <v>82</v>
      </c>
      <c r="R108" s="149" t="s">
        <v>83</v>
      </c>
      <c r="S108" s="149" t="s">
        <v>84</v>
      </c>
      <c r="T108" s="149" t="s">
        <v>85</v>
      </c>
      <c r="U108" s="149" t="s">
        <v>86</v>
      </c>
      <c r="V108" s="149" t="s">
        <v>87</v>
      </c>
      <c r="W108" s="149" t="s">
        <v>88</v>
      </c>
      <c r="X108" s="149" t="s">
        <v>89</v>
      </c>
      <c r="Y108" s="149" t="s">
        <v>90</v>
      </c>
      <c r="Z108" s="149" t="s">
        <v>91</v>
      </c>
      <c r="AA108" s="149" t="s">
        <v>92</v>
      </c>
      <c r="AB108" s="149" t="s">
        <v>93</v>
      </c>
      <c r="AC108" s="149" t="s">
        <v>94</v>
      </c>
      <c r="AD108" s="149" t="s">
        <v>95</v>
      </c>
    </row>
    <row r="109" spans="2:30" ht="20.100000000000001" customHeight="1" x14ac:dyDescent="0.25">
      <c r="B109" s="167" t="s">
        <v>97</v>
      </c>
      <c r="C109" s="151">
        <f>IF(C$105&lt;=TabS!$G$5,C21*$C$57,IF(C$105&lt;=TabS!$G$6,C21*$C$58,IF(C$105&lt;=TabS!$G$7,C21*$C$59,IF(C$105&lt;=TabS!$G$8,C21*$C$60,IF(C$105&lt;=TabS!$G$9,C21*$C$61,IF(C$105&lt;=TabS!$G$10,C21*$C$62))))))</f>
        <v>0</v>
      </c>
      <c r="D109" s="151">
        <f>IF(D$105&lt;=TabS!$G$5,D21*$C$57,IF(D$105&lt;=TabS!$G$6,D21*$C$58,IF(D$105&lt;=TabS!$G$7,D21*$C$59,IF(D$105&lt;=TabS!$G$8,D21*$C$60,IF(D$105&lt;=TabS!$G$9,D21*$C$61,IF(D$105&lt;=TabS!$G$10,D21*$C$62))))))</f>
        <v>0</v>
      </c>
      <c r="E109" s="151">
        <f>IF(E$105&lt;=TabS!$G$5,E21*$C$57,IF(E$105&lt;=TabS!$G$6,E21*$C$58,IF(E$105&lt;=TabS!$G$7,E21*$C$59,IF(E$105&lt;=TabS!$G$8,E21*$C$60,IF(E$105&lt;=TabS!$G$9,E21*$C$61,IF(E$105&lt;=TabS!$G$10,E21*$C$62))))))</f>
        <v>0</v>
      </c>
      <c r="F109" s="151">
        <f>IF(F$105&lt;=TabS!$G$5,F21*$C$57,IF(F$105&lt;=TabS!$G$6,F21*$C$58,IF(F$105&lt;=TabS!$G$7,F21*$C$59,IF(F$105&lt;=TabS!$G$8,F21*$C$60,IF(F$105&lt;=TabS!$G$9,F21*$C$61,IF(F$105&lt;=TabS!$G$10,F21*$C$62))))))</f>
        <v>0</v>
      </c>
      <c r="G109" s="151">
        <f>IF(G$105&lt;=TabS!$G$5,G21*$C$57,IF(G$105&lt;=TabS!$G$6,G21*$C$58,IF(G$105&lt;=TabS!$G$7,G21*$C$59,IF(G$105&lt;=TabS!$G$8,G21*$C$60,IF(G$105&lt;=TabS!$G$9,G21*$C$61,IF(G$105&lt;=TabS!$G$10,G21*$C$62))))))</f>
        <v>0</v>
      </c>
      <c r="H109" s="151">
        <f>IF(H$105&lt;=TabS!$G$5,H21*$C$57,IF(H$105&lt;=TabS!$G$6,H21*$C$58,IF(H$105&lt;=TabS!$G$7,H21*$C$59,IF(H$105&lt;=TabS!$G$8,H21*$C$60,IF(H$105&lt;=TabS!$G$9,H21*$C$61,IF(H$105&lt;=TabS!$G$10,H21*$C$62))))))</f>
        <v>0</v>
      </c>
      <c r="I109" s="151">
        <f>IF(I$105&lt;=TabS!$G$5,I21*$C$57,IF(I$105&lt;=TabS!$G$6,I21*$C$58,IF(I$105&lt;=TabS!$G$7,I21*$C$59,IF(I$105&lt;=TabS!$G$8,I21*$C$60,IF(I$105&lt;=TabS!$G$9,I21*$C$61,IF(I$105&lt;=TabS!$G$10,I21*$C$62))))))</f>
        <v>0</v>
      </c>
      <c r="J109" s="151">
        <f>IF(J$105&lt;=TabS!$G$5,J21*$C$57,IF(J$105&lt;=TabS!$G$6,J21*$C$58,IF(J$105&lt;=TabS!$G$7,J21*$C$59,IF(J$105&lt;=TabS!$G$8,J21*$C$60,IF(J$105&lt;=TabS!$G$9,J21*$C$61,IF(J$105&lt;=TabS!$G$10,J21*$C$62))))))</f>
        <v>0</v>
      </c>
      <c r="K109" s="151">
        <f>IF(K$105&lt;=TabS!$G$5,K21*$C$57,IF(K$105&lt;=TabS!$G$6,K21*$C$58,IF(K$105&lt;=TabS!$G$7,K21*$C$59,IF(K$105&lt;=TabS!$G$8,K21*$C$60,IF(K$105&lt;=TabS!$G$9,K21*$C$61,IF(K$105&lt;=TabS!$G$10,K21*$C$62))))))</f>
        <v>0</v>
      </c>
      <c r="L109" s="151">
        <f>IF(L$105&lt;=TabS!$G$5,L21*$C$57,IF(L$105&lt;=TabS!$G$6,L21*$C$58,IF(L$105&lt;=TabS!$G$7,L21*$C$59,IF(L$105&lt;=TabS!$G$8,L21*$C$60,IF(L$105&lt;=TabS!$G$9,L21*$C$61,IF(L$105&lt;=TabS!$G$10,L21*$C$62))))))</f>
        <v>0</v>
      </c>
      <c r="M109" s="151">
        <f>IF(M$105&lt;=TabS!$G$5,M21*$C$57,IF(M$105&lt;=TabS!$G$6,M21*$C$58,IF(M$105&lt;=TabS!$G$7,M21*$C$59,IF(M$105&lt;=TabS!$G$8,M21*$C$60,IF(M$105&lt;=TabS!$G$9,M21*$C$61,IF(M$105&lt;=TabS!$G$10,M21*$C$62))))))</f>
        <v>0</v>
      </c>
      <c r="N109" s="151">
        <f>IF(N$105&lt;=TabS!$G$5,N21*$C$57,IF(N$105&lt;=TabS!$G$6,N21*$C$58,IF(N$105&lt;=TabS!$G$7,N21*$C$59,IF(N$105&lt;=TabS!$G$8,N21*$C$60,IF(N$105&lt;=TabS!$G$9,N21*$C$61,IF(N$105&lt;=TabS!$G$10,N21*$C$62))))))</f>
        <v>0</v>
      </c>
      <c r="O109" s="152">
        <f t="shared" ref="O109:O115" si="44">SUM(C109:N109)</f>
        <v>0</v>
      </c>
      <c r="Q109" s="150" t="s">
        <v>97</v>
      </c>
      <c r="R109" s="151">
        <f>IF(R$105&lt;=TabS!$G$5,R21*$C$57,IF(R$105&lt;=TabS!$G$6,R21*$C$58,IF(R$105&lt;=TabS!$G$7,R21*$C$59,IF(R$105&lt;=TabS!$G$8,R21*$C$60,IF(R$105&lt;=TabS!$G$9,R21*$C$61,IF(R$105&lt;=TabS!$G$10,R21*$C$62))))))</f>
        <v>0</v>
      </c>
      <c r="S109" s="151">
        <f>IF(S$105&lt;=TabS!$G$5,S21*$C$57,IF(S$105&lt;=TabS!$G$6,S21*$C$58,IF(S$105&lt;=TabS!$G$7,S21*$C$59,IF(S$105&lt;=TabS!$G$8,S21*$C$60,IF(S$105&lt;=TabS!$G$9,S21*$C$61,IF(S$105&lt;=TabS!$G$10,S21*$C$62))))))</f>
        <v>0</v>
      </c>
      <c r="T109" s="151">
        <f>IF(T$105&lt;=TabS!$G$5,T21*$C$57,IF(T$105&lt;=TabS!$G$6,T21*$C$58,IF(T$105&lt;=TabS!$G$7,T21*$C$59,IF(T$105&lt;=TabS!$G$8,T21*$C$60,IF(T$105&lt;=TabS!$G$9,T21*$C$61,IF(T$105&lt;=TabS!$G$10,T21*$C$62))))))</f>
        <v>0</v>
      </c>
      <c r="U109" s="151">
        <f>IF(U$105&lt;=TabS!$G$5,U21*$C$57,IF(U$105&lt;=TabS!$G$6,U21*$C$58,IF(U$105&lt;=TabS!$G$7,U21*$C$59,IF(U$105&lt;=TabS!$G$8,U21*$C$60,IF(U$105&lt;=TabS!$G$9,U21*$C$61,IF(U$105&lt;=TabS!$G$10,U21*$C$62))))))</f>
        <v>0</v>
      </c>
      <c r="V109" s="151">
        <f>IF(V$105&lt;=TabS!$G$5,V21*$C$57,IF(V$105&lt;=TabS!$G$6,V21*$C$58,IF(V$105&lt;=TabS!$G$7,V21*$C$59,IF(V$105&lt;=TabS!$G$8,V21*$C$60,IF(V$105&lt;=TabS!$G$9,V21*$C$61,IF(V$105&lt;=TabS!$G$10,V21*$C$62))))))</f>
        <v>0</v>
      </c>
      <c r="W109" s="151">
        <f>IF(W$105&lt;=TabS!$G$5,W21*$C$57,IF(W$105&lt;=TabS!$G$6,W21*$C$58,IF(W$105&lt;=TabS!$G$7,W21*$C$59,IF(W$105&lt;=TabS!$G$8,W21*$C$60,IF(W$105&lt;=TabS!$G$9,W21*$C$61,IF(W$105&lt;=TabS!$G$10,W21*$C$62))))))</f>
        <v>0</v>
      </c>
      <c r="X109" s="151">
        <f>IF(X$105&lt;=TabS!$G$5,X21*$C$57,IF(X$105&lt;=TabS!$G$6,X21*$C$58,IF(X$105&lt;=TabS!$G$7,X21*$C$59,IF(X$105&lt;=TabS!$G$8,X21*$C$60,IF(X$105&lt;=TabS!$G$9,X21*$C$61,IF(X$105&lt;=TabS!$G$10,X21*$C$62))))))</f>
        <v>0</v>
      </c>
      <c r="Y109" s="151">
        <f>IF(Y$105&lt;=TabS!$G$5,Y21*$C$57,IF(Y$105&lt;=TabS!$G$6,Y21*$C$58,IF(Y$105&lt;=TabS!$G$7,Y21*$C$59,IF(Y$105&lt;=TabS!$G$8,Y21*$C$60,IF(Y$105&lt;=TabS!$G$9,Y21*$C$61,IF(Y$105&lt;=TabS!$G$10,Y21*$C$62))))))</f>
        <v>0</v>
      </c>
      <c r="Z109" s="151">
        <f>IF(Z$105&lt;=TabS!$G$5,Z21*$C$57,IF(Z$105&lt;=TabS!$G$6,Z21*$C$58,IF(Z$105&lt;=TabS!$G$7,Z21*$C$59,IF(Z$105&lt;=TabS!$G$8,Z21*$C$60,IF(Z$105&lt;=TabS!$G$9,Z21*$C$61,IF(Z$105&lt;=TabS!$G$10,Z21*$C$62))))))</f>
        <v>0</v>
      </c>
      <c r="AA109" s="151">
        <f>IF(AA$105&lt;=TabS!$G$5,AA21*$C$57,IF(AA$105&lt;=TabS!$G$6,AA21*$C$58,IF(AA$105&lt;=TabS!$G$7,AA21*$C$59,IF(AA$105&lt;=TabS!$G$8,AA21*$C$60,IF(AA$105&lt;=TabS!$G$9,AA21*$C$61,IF(AA$105&lt;=TabS!$G$10,AA21*$C$62))))))</f>
        <v>0</v>
      </c>
      <c r="AB109" s="151">
        <f>IF(AB$105&lt;=TabS!$G$5,AB21*$C$57,IF(AB$105&lt;=TabS!$G$6,AB21*$C$58,IF(AB$105&lt;=TabS!$G$7,AB21*$C$59,IF(AB$105&lt;=TabS!$G$8,AB21*$C$60,IF(AB$105&lt;=TabS!$G$9,AB21*$C$61,IF(AB$105&lt;=TabS!$G$10,AB21*$C$62))))))</f>
        <v>0</v>
      </c>
      <c r="AC109" s="151">
        <f>IF(AC$105&lt;=TabS!$G$5,AC21*$C$57,IF(AC$105&lt;=TabS!$G$6,AC21*$C$58,IF(AC$105&lt;=TabS!$G$7,AC21*$C$59,IF(AC$105&lt;=TabS!$G$8,AC21*$C$60,IF(AC$105&lt;=TabS!$G$9,AC21*$C$61,IF(AC$105&lt;=TabS!$G$10,AC21*$C$62))))))</f>
        <v>0</v>
      </c>
      <c r="AD109" s="152">
        <f t="shared" ref="AD109:AD115" si="45">SUM(R109:AC109)</f>
        <v>0</v>
      </c>
    </row>
    <row r="110" spans="2:30" ht="20.100000000000001" customHeight="1" x14ac:dyDescent="0.25">
      <c r="B110" s="167" t="s">
        <v>98</v>
      </c>
      <c r="C110" s="151">
        <f>IF(C$105&lt;=TabS!$G$5,C21*$D$57,IF(C$105&lt;=TabS!$G$6,C21*$D$58,IF(C$105&lt;=TabS!$G$7,C21*$D$59,IF(C$105&lt;=TabS!$G$8,C21*$D$60,IF(C$105&lt;=TabS!$G$9,C21*$D$61,IF(C$105&lt;=TabS!$G$10,C21*$D$62))))))</f>
        <v>0</v>
      </c>
      <c r="D110" s="151">
        <f>IF(D$105&lt;=TabS!$G$5,D21*$D$57,IF(D$105&lt;=TabS!$G$6,D21*$D$58,IF(D$105&lt;=TabS!$G$7,D21*$D$59,IF(D$105&lt;=TabS!$G$8,D21*$D$60,IF(D$105&lt;=TabS!$G$9,D21*$D$61,IF(D$105&lt;=TabS!$G$10,D21*$D$62))))))</f>
        <v>0</v>
      </c>
      <c r="E110" s="151">
        <f>IF(E$105&lt;=TabS!$G$5,E21*$D$57,IF(E$105&lt;=TabS!$G$6,E21*$D$58,IF(E$105&lt;=TabS!$G$7,E21*$D$59,IF(E$105&lt;=TabS!$G$8,E21*$D$60,IF(E$105&lt;=TabS!$G$9,E21*$D$61,IF(E$105&lt;=TabS!$G$10,E21*$D$62))))))</f>
        <v>0</v>
      </c>
      <c r="F110" s="151">
        <f>IF(F$105&lt;=TabS!$G$5,F21*$D$57,IF(F$105&lt;=TabS!$G$6,F21*$D$58,IF(F$105&lt;=TabS!$G$7,F21*$D$59,IF(F$105&lt;=TabS!$G$8,F21*$D$60,IF(F$105&lt;=TabS!$G$9,F21*$D$61,IF(F$105&lt;=TabS!$G$10,F21*$D$62))))))</f>
        <v>0</v>
      </c>
      <c r="G110" s="151">
        <f>IF(G$105&lt;=TabS!$G$5,G21*$D$57,IF(G$105&lt;=TabS!$G$6,G21*$D$58,IF(G$105&lt;=TabS!$G$7,G21*$D$59,IF(G$105&lt;=TabS!$G$8,G21*$D$60,IF(G$105&lt;=TabS!$G$9,G21*$D$61,IF(G$105&lt;=TabS!$G$10,G21*$D$62))))))</f>
        <v>0</v>
      </c>
      <c r="H110" s="151">
        <f>IF(H$105&lt;=TabS!$G$5,H21*$D$57,IF(H$105&lt;=TabS!$G$6,H21*$D$58,IF(H$105&lt;=TabS!$G$7,H21*$D$59,IF(H$105&lt;=TabS!$G$8,H21*$D$60,IF(H$105&lt;=TabS!$G$9,H21*$D$61,IF(H$105&lt;=TabS!$G$10,H21*$D$62))))))</f>
        <v>0</v>
      </c>
      <c r="I110" s="151">
        <f>IF(I$105&lt;=TabS!$G$5,I21*$D$57,IF(I$105&lt;=TabS!$G$6,I21*$D$58,IF(I$105&lt;=TabS!$G$7,I21*$D$59,IF(I$105&lt;=TabS!$G$8,I21*$D$60,IF(I$105&lt;=TabS!$G$9,I21*$D$61,IF(I$105&lt;=TabS!$G$10,I21*$D$62))))))</f>
        <v>0</v>
      </c>
      <c r="J110" s="151">
        <f>IF(J$105&lt;=TabS!$G$5,J21*$D$57,IF(J$105&lt;=TabS!$G$6,J21*$D$58,IF(J$105&lt;=TabS!$G$7,J21*$D$59,IF(J$105&lt;=TabS!$G$8,J21*$D$60,IF(J$105&lt;=TabS!$G$9,J21*$D$61,IF(J$105&lt;=TabS!$G$10,J21*$D$62))))))</f>
        <v>0</v>
      </c>
      <c r="K110" s="151">
        <f>IF(K$105&lt;=TabS!$G$5,K21*$D$57,IF(K$105&lt;=TabS!$G$6,K21*$D$58,IF(K$105&lt;=TabS!$G$7,K21*$D$59,IF(K$105&lt;=TabS!$G$8,K21*$D$60,IF(K$105&lt;=TabS!$G$9,K21*$D$61,IF(K$105&lt;=TabS!$G$10,K21*$D$62))))))</f>
        <v>0</v>
      </c>
      <c r="L110" s="151">
        <f>IF(L$105&lt;=TabS!$G$5,L21*$D$57,IF(L$105&lt;=TabS!$G$6,L21*$D$58,IF(L$105&lt;=TabS!$G$7,L21*$D$59,IF(L$105&lt;=TabS!$G$8,L21*$D$60,IF(L$105&lt;=TabS!$G$9,L21*$D$61,IF(L$105&lt;=TabS!$G$10,L21*$D$62))))))</f>
        <v>0</v>
      </c>
      <c r="M110" s="151">
        <f>IF(M$105&lt;=TabS!$G$5,M21*$D$57,IF(M$105&lt;=TabS!$G$6,M21*$D$58,IF(M$105&lt;=TabS!$G$7,M21*$D$59,IF(M$105&lt;=TabS!$G$8,M21*$D$60,IF(M$105&lt;=TabS!$G$9,M21*$D$61,IF(M$105&lt;=TabS!$G$10,M21*$D$62))))))</f>
        <v>0</v>
      </c>
      <c r="N110" s="151">
        <f>IF(N$105&lt;=TabS!$G$5,N21*$D$57,IF(N$105&lt;=TabS!$G$6,N21*$D$58,IF(N$105&lt;=TabS!$G$7,N21*$D$59,IF(N$105&lt;=TabS!$G$8,N21*$D$60,IF(N$105&lt;=TabS!$G$9,N21*$D$61,IF(N$105&lt;=TabS!$G$10,N21*$D$62))))))</f>
        <v>0</v>
      </c>
      <c r="O110" s="152">
        <f t="shared" si="44"/>
        <v>0</v>
      </c>
      <c r="Q110" s="150" t="s">
        <v>98</v>
      </c>
      <c r="R110" s="151">
        <f>IF(R$105&lt;=TabS!$G$5,R21*$D$57,IF(R$105&lt;=TabS!$G$6,R21*$D$58,IF(R$105&lt;=TabS!$G$7,R21*$D$59,IF(R$105&lt;=TabS!$G$8,R21*$D$60,IF(R$105&lt;=TabS!$G$9,R21*$D$61,IF(R$105&lt;=TabS!$G$10,R21*$D$62))))))</f>
        <v>0</v>
      </c>
      <c r="S110" s="151">
        <f>IF(S$105&lt;=TabS!$G$5,S21*$D$57,IF(S$105&lt;=TabS!$G$6,S21*$D$58,IF(S$105&lt;=TabS!$G$7,S21*$D$59,IF(S$105&lt;=TabS!$G$8,S21*$D$60,IF(S$105&lt;=TabS!$G$9,S21*$D$61,IF(S$105&lt;=TabS!$G$10,S21*$D$62))))))</f>
        <v>0</v>
      </c>
      <c r="T110" s="151">
        <f>IF(T$105&lt;=TabS!$G$5,T21*$D$57,IF(T$105&lt;=TabS!$G$6,T21*$D$58,IF(T$105&lt;=TabS!$G$7,T21*$D$59,IF(T$105&lt;=TabS!$G$8,T21*$D$60,IF(T$105&lt;=TabS!$G$9,T21*$D$61,IF(T$105&lt;=TabS!$G$10,T21*$D$62))))))</f>
        <v>0</v>
      </c>
      <c r="U110" s="151">
        <f>IF(U$105&lt;=TabS!$G$5,U21*$D$57,IF(U$105&lt;=TabS!$G$6,U21*$D$58,IF(U$105&lt;=TabS!$G$7,U21*$D$59,IF(U$105&lt;=TabS!$G$8,U21*$D$60,IF(U$105&lt;=TabS!$G$9,U21*$D$61,IF(U$105&lt;=TabS!$G$10,U21*$D$62))))))</f>
        <v>0</v>
      </c>
      <c r="V110" s="151">
        <f>IF(V$105&lt;=TabS!$G$5,V21*$D$57,IF(V$105&lt;=TabS!$G$6,V21*$D$58,IF(V$105&lt;=TabS!$G$7,V21*$D$59,IF(V$105&lt;=TabS!$G$8,V21*$D$60,IF(V$105&lt;=TabS!$G$9,V21*$D$61,IF(V$105&lt;=TabS!$G$10,V21*$D$62))))))</f>
        <v>0</v>
      </c>
      <c r="W110" s="151">
        <f>IF(W$105&lt;=TabS!$G$5,W21*$D$57,IF(W$105&lt;=TabS!$G$6,W21*$D$58,IF(W$105&lt;=TabS!$G$7,W21*$D$59,IF(W$105&lt;=TabS!$G$8,W21*$D$60,IF(W$105&lt;=TabS!$G$9,W21*$D$61,IF(W$105&lt;=TabS!$G$10,W21*$D$62))))))</f>
        <v>0</v>
      </c>
      <c r="X110" s="151">
        <f>IF(X$105&lt;=TabS!$G$5,X21*$D$57,IF(X$105&lt;=TabS!$G$6,X21*$D$58,IF(X$105&lt;=TabS!$G$7,X21*$D$59,IF(X$105&lt;=TabS!$G$8,X21*$D$60,IF(X$105&lt;=TabS!$G$9,X21*$D$61,IF(X$105&lt;=TabS!$G$10,X21*$D$62))))))</f>
        <v>0</v>
      </c>
      <c r="Y110" s="151">
        <f>IF(Y$105&lt;=TabS!$G$5,Y21*$D$57,IF(Y$105&lt;=TabS!$G$6,Y21*$D$58,IF(Y$105&lt;=TabS!$G$7,Y21*$D$59,IF(Y$105&lt;=TabS!$G$8,Y21*$D$60,IF(Y$105&lt;=TabS!$G$9,Y21*$D$61,IF(Y$105&lt;=TabS!$G$10,Y21*$D$62))))))</f>
        <v>0</v>
      </c>
      <c r="Z110" s="151">
        <f>IF(Z$105&lt;=TabS!$G$5,Z21*$D$57,IF(Z$105&lt;=TabS!$G$6,Z21*$D$58,IF(Z$105&lt;=TabS!$G$7,Z21*$D$59,IF(Z$105&lt;=TabS!$G$8,Z21*$D$60,IF(Z$105&lt;=TabS!$G$9,Z21*$D$61,IF(Z$105&lt;=TabS!$G$10,Z21*$D$62))))))</f>
        <v>0</v>
      </c>
      <c r="AA110" s="151">
        <f>IF(AA$105&lt;=TabS!$G$5,AA21*$D$57,IF(AA$105&lt;=TabS!$G$6,AA21*$D$58,IF(AA$105&lt;=TabS!$G$7,AA21*$D$59,IF(AA$105&lt;=TabS!$G$8,AA21*$D$60,IF(AA$105&lt;=TabS!$G$9,AA21*$D$61,IF(AA$105&lt;=TabS!$G$10,AA21*$D$62))))))</f>
        <v>0</v>
      </c>
      <c r="AB110" s="151">
        <f>IF(AB$105&lt;=TabS!$G$5,AB21*$D$57,IF(AB$105&lt;=TabS!$G$6,AB21*$D$58,IF(AB$105&lt;=TabS!$G$7,AB21*$D$59,IF(AB$105&lt;=TabS!$G$8,AB21*$D$60,IF(AB$105&lt;=TabS!$G$9,AB21*$D$61,IF(AB$105&lt;=TabS!$G$10,AB21*$D$62))))))</f>
        <v>0</v>
      </c>
      <c r="AC110" s="151">
        <f>IF(AC$105&lt;=TabS!$G$5,AC21*$D$57,IF(AC$105&lt;=TabS!$G$6,AC21*$D$58,IF(AC$105&lt;=TabS!$G$7,AC21*$D$59,IF(AC$105&lt;=TabS!$G$8,AC21*$D$60,IF(AC$105&lt;=TabS!$G$9,AC21*$D$61,IF(AC$105&lt;=TabS!$G$10,AC21*$D$62))))))</f>
        <v>0</v>
      </c>
      <c r="AD110" s="152">
        <f t="shared" si="45"/>
        <v>0</v>
      </c>
    </row>
    <row r="111" spans="2:30" ht="20.100000000000001" customHeight="1" x14ac:dyDescent="0.25">
      <c r="B111" s="167" t="s">
        <v>37</v>
      </c>
      <c r="C111" s="151">
        <f>R111</f>
        <v>0</v>
      </c>
      <c r="D111" s="151">
        <f t="shared" ref="D111:N111" si="46">S111</f>
        <v>0</v>
      </c>
      <c r="E111" s="151">
        <f t="shared" si="46"/>
        <v>0</v>
      </c>
      <c r="F111" s="151">
        <f t="shared" si="46"/>
        <v>0</v>
      </c>
      <c r="G111" s="151">
        <f t="shared" si="46"/>
        <v>0</v>
      </c>
      <c r="H111" s="151">
        <f t="shared" si="46"/>
        <v>0</v>
      </c>
      <c r="I111" s="151">
        <f t="shared" si="46"/>
        <v>0</v>
      </c>
      <c r="J111" s="151">
        <f t="shared" si="46"/>
        <v>0</v>
      </c>
      <c r="K111" s="151">
        <f t="shared" si="46"/>
        <v>0</v>
      </c>
      <c r="L111" s="151">
        <f t="shared" si="46"/>
        <v>0</v>
      </c>
      <c r="M111" s="151">
        <f t="shared" si="46"/>
        <v>0</v>
      </c>
      <c r="N111" s="151">
        <f t="shared" si="46"/>
        <v>0</v>
      </c>
      <c r="O111" s="152">
        <f t="shared" si="44"/>
        <v>0</v>
      </c>
      <c r="Q111" s="150" t="s">
        <v>37</v>
      </c>
      <c r="R111" s="151">
        <f>IF(R105&lt;R106,IF(R105&lt;=TabS!$G$5,R21*$E$57,IF(R105&lt;=TabS!$G$6,R21*$E$58,IF(R105&lt;=TabS!$G$7,R21*$E$59,IF(R105&lt;=TabS!$G$8,R21*$E$60,IF(R105&lt;=TabS!$G$9,R21*$E$61,IF(R105&lt;=TabS!$G$10,R21*$E$62)))))),C17*R116)</f>
        <v>0</v>
      </c>
      <c r="S111" s="151">
        <f>IF(S105&lt;S106,IF(S105&lt;=TabS!$G$5,S21*$E$57,IF(S105&lt;=TabS!$G$6,S21*$E$58,IF(S105&lt;=TabS!$G$7,S21*$E$59,IF(S105&lt;=TabS!$G$8,S21*$E$60,IF(S105&lt;=TabS!$G$9,S21*$E$61,IF(S105&lt;=TabS!$G$10,S21*$E$62)))))),D17*S116)</f>
        <v>0</v>
      </c>
      <c r="T111" s="151">
        <f>IF(T105&lt;T106,IF(T105&lt;=TabS!$G$5,T21*$E$57,IF(T105&lt;=TabS!$G$6,T21*$E$58,IF(T105&lt;=TabS!$G$7,T21*$E$59,IF(T105&lt;=TabS!$G$8,T21*$E$60,IF(T105&lt;=TabS!$G$9,T21*$E$61,IF(T105&lt;=TabS!$G$10,T21*$E$62)))))),E17*T116)</f>
        <v>0</v>
      </c>
      <c r="U111" s="151">
        <f>IF(U105&lt;U106,IF(U105&lt;=TabS!$G$5,U21*$E$57,IF(U105&lt;=TabS!$G$6,U21*$E$58,IF(U105&lt;=TabS!$G$7,U21*$E$59,IF(U105&lt;=TabS!$G$8,U21*$E$60,IF(U105&lt;=TabS!$G$9,U21*$E$61,IF(U105&lt;=TabS!$G$10,U21*$E$62)))))),F17*U116)</f>
        <v>0</v>
      </c>
      <c r="V111" s="151">
        <f>IF(V105&lt;V106,IF(V105&lt;=TabS!$G$5,V21*$E$57,IF(V105&lt;=TabS!$G$6,V21*$E$58,IF(V105&lt;=TabS!$G$7,V21*$E$59,IF(V105&lt;=TabS!$G$8,V21*$E$60,IF(V105&lt;=TabS!$G$9,V21*$E$61,IF(V105&lt;=TabS!$G$10,V21*$E$62)))))),G17*V116)</f>
        <v>0</v>
      </c>
      <c r="W111" s="151">
        <f>IF(W105&lt;W106,IF(W105&lt;=TabS!$G$5,W21*$E$57,IF(W105&lt;=TabS!$G$6,W21*$E$58,IF(W105&lt;=TabS!$G$7,W21*$E$59,IF(W105&lt;=TabS!$G$8,W21*$E$60,IF(W105&lt;=TabS!$G$9,W21*$E$61,IF(W105&lt;=TabS!$G$10,W21*$E$62)))))),H17*W116)</f>
        <v>0</v>
      </c>
      <c r="X111" s="151">
        <f>IF(X105&lt;X106,IF(X105&lt;=TabS!$G$5,X21*$E$57,IF(X105&lt;=TabS!$G$6,X21*$E$58,IF(X105&lt;=TabS!$G$7,X21*$E$59,IF(X105&lt;=TabS!$G$8,X21*$E$60,IF(X105&lt;=TabS!$G$9,X21*$E$61,IF(X105&lt;=TabS!$G$10,X21*$E$62)))))),I17*X116)</f>
        <v>0</v>
      </c>
      <c r="Y111" s="151">
        <f>IF(Y105&lt;Y106,IF(Y105&lt;=TabS!$G$5,Y21*$E$57,IF(Y105&lt;=TabS!$G$6,Y21*$E$58,IF(Y105&lt;=TabS!$G$7,Y21*$E$59,IF(Y105&lt;=TabS!$G$8,Y21*$E$60,IF(Y105&lt;=TabS!$G$9,Y21*$E$61,IF(Y105&lt;=TabS!$G$10,Y21*$E$62)))))),J17*Y116)</f>
        <v>0</v>
      </c>
      <c r="Z111" s="151">
        <f>IF(Z105&lt;Z106,IF(Z105&lt;=TabS!$G$5,Z21*$E$57,IF(Z105&lt;=TabS!$G$6,Z21*$E$58,IF(Z105&lt;=TabS!$G$7,Z21*$E$59,IF(Z105&lt;=TabS!$G$8,Z21*$E$60,IF(Z105&lt;=TabS!$G$9,Z21*$E$61,IF(Z105&lt;=TabS!$G$10,Z21*$E$62)))))),K17*Z116)</f>
        <v>0</v>
      </c>
      <c r="AA111" s="151">
        <f>IF(AA105&lt;AA106,IF(AA105&lt;=TabS!$G$5,AA21*$E$57,IF(AA105&lt;=TabS!$G$6,AA21*$E$58,IF(AA105&lt;=TabS!$G$7,AA21*$E$59,IF(AA105&lt;=TabS!$G$8,AA21*$E$60,IF(AA105&lt;=TabS!$G$9,AA21*$E$61,IF(AA105&lt;=TabS!$G$10,AA21*$E$62)))))),L17*AA116)</f>
        <v>0</v>
      </c>
      <c r="AB111" s="151">
        <f>IF(AB105&lt;AB106,IF(AB105&lt;=TabS!$G$5,AB21*$E$57,IF(AB105&lt;=TabS!$G$6,AB21*$E$58,IF(AB105&lt;=TabS!$G$7,AB21*$E$59,IF(AB105&lt;=TabS!$G$8,AB21*$E$60,IF(AB105&lt;=TabS!$G$9,AB21*$E$61,IF(AB105&lt;=TabS!$G$10,AB21*$E$62)))))),M17*AB116)</f>
        <v>0</v>
      </c>
      <c r="AC111" s="151">
        <f>IF(AC105&lt;AC106,IF(AC105&lt;=TabS!$G$5,AC21*$E$57,IF(AC105&lt;=TabS!$G$6,AC21*$E$58,IF(AC105&lt;=TabS!$G$7,AC21*$E$59,IF(AC105&lt;=TabS!$G$8,AC21*$E$60,IF(AC105&lt;=TabS!$G$9,AC21*$E$61,IF(AC105&lt;=TabS!$G$10,AC21*$E$62)))))),N17*AC116)</f>
        <v>0</v>
      </c>
      <c r="AD111" s="152">
        <f t="shared" si="45"/>
        <v>0</v>
      </c>
    </row>
    <row r="112" spans="2:30" ht="20.100000000000001" customHeight="1" x14ac:dyDescent="0.25">
      <c r="B112" s="167" t="s">
        <v>129</v>
      </c>
      <c r="C112" s="151">
        <f>IF(C$105&lt;=TabS!$G$5,C21*$F$57,IF(C$105&lt;=TabS!$G$6,C21*$F$58,IF(C$105&lt;=TabS!$G$7,C21*$F$59,IF(C$105&lt;=TabS!$G$8,C21*$F$60,IF(C$105&lt;=TabS!$G$9,C21*$F$61,IF(C$105&lt;=TabS!$G$10,C21*$F$62))))))</f>
        <v>0</v>
      </c>
      <c r="D112" s="151">
        <f>IF(D$105&lt;=TabS!$G$5,D21*$F$57,IF(D$105&lt;=TabS!$G$6,D21*$F$58,IF(D$105&lt;=TabS!$G$7,D21*$F$59,IF(D$105&lt;=TabS!$G$8,D21*$F$60,IF(D$105&lt;=TabS!$G$9,D21*$F$61,IF(D$105&lt;=TabS!$G$10,D21*$F$62))))))</f>
        <v>0</v>
      </c>
      <c r="E112" s="151">
        <f>IF(E$105&lt;=TabS!$G$5,E21*$F$57,IF(E$105&lt;=TabS!$G$6,E21*$F$58,IF(E$105&lt;=TabS!$G$7,E21*$F$59,IF(E$105&lt;=TabS!$G$8,E21*$F$60,IF(E$105&lt;=TabS!$G$9,E21*$F$61,IF(E$105&lt;=TabS!$G$10,E21*$F$62))))))</f>
        <v>0</v>
      </c>
      <c r="F112" s="151">
        <f>IF(F$105&lt;=TabS!$G$5,F21*$F$57,IF(F$105&lt;=TabS!$G$6,F21*$F$58,IF(F$105&lt;=TabS!$G$7,F21*$F$59,IF(F$105&lt;=TabS!$G$8,F21*$F$60,IF(F$105&lt;=TabS!$G$9,F21*$F$61,IF(F$105&lt;=TabS!$G$10,F21*$F$62))))))</f>
        <v>0</v>
      </c>
      <c r="G112" s="151">
        <f>IF(G$105&lt;=TabS!$G$5,G21*$F$57,IF(G$105&lt;=TabS!$G$6,G21*$F$58,IF(G$105&lt;=TabS!$G$7,G21*$F$59,IF(G$105&lt;=TabS!$G$8,G21*$F$60,IF(G$105&lt;=TabS!$G$9,G21*$F$61,IF(G$105&lt;=TabS!$G$10,G21*$F$62))))))</f>
        <v>0</v>
      </c>
      <c r="H112" s="151">
        <f>IF(H$105&lt;=TabS!$G$5,H21*$F$57,IF(H$105&lt;=TabS!$G$6,H21*$F$58,IF(H$105&lt;=TabS!$G$7,H21*$F$59,IF(H$105&lt;=TabS!$G$8,H21*$F$60,IF(H$105&lt;=TabS!$G$9,H21*$F$61,IF(H$105&lt;=TabS!$G$10,H21*$F$62))))))</f>
        <v>0</v>
      </c>
      <c r="I112" s="151">
        <f>IF(I$105&lt;=TabS!$G$5,I21*$F$57,IF(I$105&lt;=TabS!$G$6,I21*$F$58,IF(I$105&lt;=TabS!$G$7,I21*$F$59,IF(I$105&lt;=TabS!$G$8,I21*$F$60,IF(I$105&lt;=TabS!$G$9,I21*$F$61,IF(I$105&lt;=TabS!$G$10,I21*$F$62))))))</f>
        <v>0</v>
      </c>
      <c r="J112" s="151">
        <f>IF(J$105&lt;=TabS!$G$5,J21*$F$57,IF(J$105&lt;=TabS!$G$6,J21*$F$58,IF(J$105&lt;=TabS!$G$7,J21*$F$59,IF(J$105&lt;=TabS!$G$8,J21*$F$60,IF(J$105&lt;=TabS!$G$9,J21*$F$61,IF(J$105&lt;=TabS!$G$10,J21*$F$62))))))</f>
        <v>0</v>
      </c>
      <c r="K112" s="151">
        <f>IF(K$105&lt;=TabS!$G$5,K21*$F$57,IF(K$105&lt;=TabS!$G$6,K21*$F$58,IF(K$105&lt;=TabS!$G$7,K21*$F$59,IF(K$105&lt;=TabS!$G$8,K21*$F$60,IF(K$105&lt;=TabS!$G$9,K21*$F$61,IF(K$105&lt;=TabS!$G$10,K21*$F$62))))))</f>
        <v>0</v>
      </c>
      <c r="L112" s="151">
        <f>IF(L$105&lt;=TabS!$G$5,L21*$F$57,IF(L$105&lt;=TabS!$G$6,L21*$F$58,IF(L$105&lt;=TabS!$G$7,L21*$F$59,IF(L$105&lt;=TabS!$G$8,L21*$F$60,IF(L$105&lt;=TabS!$G$9,L21*$F$61,IF(L$105&lt;=TabS!$G$10,L21*$F$62))))))</f>
        <v>0</v>
      </c>
      <c r="M112" s="151">
        <f>IF(M$105&lt;=TabS!$G$5,M21*$F$57,IF(M$105&lt;=TabS!$G$6,M21*$F$58,IF(M$105&lt;=TabS!$G$7,M21*$F$59,IF(M$105&lt;=TabS!$G$8,M21*$F$60,IF(M$105&lt;=TabS!$G$9,M21*$F$61,IF(M$105&lt;=TabS!$G$10,M21*$F$62))))))</f>
        <v>0</v>
      </c>
      <c r="N112" s="151">
        <f>IF(N$105&lt;=TabS!$G$5,N21*$F$57,IF(N$105&lt;=TabS!$G$6,N21*$F$58,IF(N$105&lt;=TabS!$G$7,N21*$F$59,IF(N$105&lt;=TabS!$G$8,N21*$F$60,IF(N$105&lt;=TabS!$G$9,N21*$F$61,IF(N$105&lt;=TabS!$G$10,N21*$F$62))))))</f>
        <v>0</v>
      </c>
      <c r="O112" s="152">
        <f t="shared" si="44"/>
        <v>0</v>
      </c>
      <c r="Q112" s="150" t="s">
        <v>129</v>
      </c>
      <c r="R112" s="151">
        <f>IF(R$105&lt;=TabS!$G$5,R21*$F$57,IF(R$105&lt;=TabS!$G$6,R21*$F$58,IF(R$105&lt;=TabS!$G$7,R21*$F$59,IF(R$105&lt;=TabS!$G$8,R21*$F$60,IF(R$105&lt;=TabS!$G$9,R21*$F$61,IF(R$105&lt;=TabS!$G$10,R21*$F$62))))))</f>
        <v>0</v>
      </c>
      <c r="S112" s="151">
        <f>IF(S$105&lt;=TabS!$G$5,S21*$F$57,IF(S$105&lt;=TabS!$G$6,S21*$F$58,IF(S$105&lt;=TabS!$G$7,S21*$F$59,IF(S$105&lt;=TabS!$G$8,S21*$F$60,IF(S$105&lt;=TabS!$G$9,S21*$F$61,IF(S$105&lt;=TabS!$G$10,S21*$F$62))))))</f>
        <v>0</v>
      </c>
      <c r="T112" s="151">
        <f>IF(T$105&lt;=TabS!$G$5,T21*$F$57,IF(T$105&lt;=TabS!$G$6,T21*$F$58,IF(T$105&lt;=TabS!$G$7,T21*$F$59,IF(T$105&lt;=TabS!$G$8,T21*$F$60,IF(T$105&lt;=TabS!$G$9,T21*$F$61,IF(T$105&lt;=TabS!$G$10,T21*$F$62))))))</f>
        <v>0</v>
      </c>
      <c r="U112" s="151">
        <f>IF(U$105&lt;=TabS!$G$5,U21*$F$57,IF(U$105&lt;=TabS!$G$6,U21*$F$58,IF(U$105&lt;=TabS!$G$7,U21*$F$59,IF(U$105&lt;=TabS!$G$8,U21*$F$60,IF(U$105&lt;=TabS!$G$9,U21*$F$61,IF(U$105&lt;=TabS!$G$10,U21*$F$62))))))</f>
        <v>0</v>
      </c>
      <c r="V112" s="151">
        <f>IF(V$105&lt;=TabS!$G$5,V21*$F$57,IF(V$105&lt;=TabS!$G$6,V21*$F$58,IF(V$105&lt;=TabS!$G$7,V21*$F$59,IF(V$105&lt;=TabS!$G$8,V21*$F$60,IF(V$105&lt;=TabS!$G$9,V21*$F$61,IF(V$105&lt;=TabS!$G$10,V21*$F$62))))))</f>
        <v>0</v>
      </c>
      <c r="W112" s="151">
        <f>IF(W$105&lt;=TabS!$G$5,W21*$F$57,IF(W$105&lt;=TabS!$G$6,W21*$F$58,IF(W$105&lt;=TabS!$G$7,W21*$F$59,IF(W$105&lt;=TabS!$G$8,W21*$F$60,IF(W$105&lt;=TabS!$G$9,W21*$F$61,IF(W$105&lt;=TabS!$G$10,W21*$F$62))))))</f>
        <v>0</v>
      </c>
      <c r="X112" s="151">
        <f>IF(X$105&lt;=TabS!$G$5,X21*$F$57,IF(X$105&lt;=TabS!$G$6,X21*$F$58,IF(X$105&lt;=TabS!$G$7,X21*$F$59,IF(X$105&lt;=TabS!$G$8,X21*$F$60,IF(X$105&lt;=TabS!$G$9,X21*$F$61,IF(X$105&lt;=TabS!$G$10,X21*$F$62))))))</f>
        <v>0</v>
      </c>
      <c r="Y112" s="151">
        <f>IF(Y$105&lt;=TabS!$G$5,Y21*$F$57,IF(Y$105&lt;=TabS!$G$6,Y21*$F$58,IF(Y$105&lt;=TabS!$G$7,Y21*$F$59,IF(Y$105&lt;=TabS!$G$8,Y21*$F$60,IF(Y$105&lt;=TabS!$G$9,Y21*$F$61,IF(Y$105&lt;=TabS!$G$10,Y21*$F$62))))))</f>
        <v>0</v>
      </c>
      <c r="Z112" s="151">
        <f>IF(Z$105&lt;=TabS!$G$5,Z21*$F$57,IF(Z$105&lt;=TabS!$G$6,Z21*$F$58,IF(Z$105&lt;=TabS!$G$7,Z21*$F$59,IF(Z$105&lt;=TabS!$G$8,Z21*$F$60,IF(Z$105&lt;=TabS!$G$9,Z21*$F$61,IF(Z$105&lt;=TabS!$G$10,Z21*$F$62))))))</f>
        <v>0</v>
      </c>
      <c r="AA112" s="151">
        <f>IF(AA$105&lt;=TabS!$G$5,AA21*$F$57,IF(AA$105&lt;=TabS!$G$6,AA21*$F$58,IF(AA$105&lt;=TabS!$G$7,AA21*$F$59,IF(AA$105&lt;=TabS!$G$8,AA21*$F$60,IF(AA$105&lt;=TabS!$G$9,AA21*$F$61,IF(AA$105&lt;=TabS!$G$10,AA21*$F$62))))))</f>
        <v>0</v>
      </c>
      <c r="AB112" s="151">
        <f>IF(AB$105&lt;=TabS!$G$5,AB21*$F$57,IF(AB$105&lt;=TabS!$G$6,AB21*$F$58,IF(AB$105&lt;=TabS!$G$7,AB21*$F$59,IF(AB$105&lt;=TabS!$G$8,AB21*$F$60,IF(AB$105&lt;=TabS!$G$9,AB21*$F$61,IF(AB$105&lt;=TabS!$G$10,AB21*$F$62))))))</f>
        <v>0</v>
      </c>
      <c r="AC112" s="151">
        <f>IF(AC$105&lt;=TabS!$G$5,AC21*$F$57,IF(AC$105&lt;=TabS!$G$6,AC21*$F$58,IF(AC$105&lt;=TabS!$G$7,AC21*$F$59,IF(AC$105&lt;=TabS!$G$8,AC21*$F$60,IF(AC$105&lt;=TabS!$G$9,AC21*$F$61,IF(AC$105&lt;=TabS!$G$10,AC21*$F$62))))))</f>
        <v>0</v>
      </c>
      <c r="AD112" s="152">
        <f t="shared" si="45"/>
        <v>0</v>
      </c>
    </row>
    <row r="113" spans="2:30" ht="20.100000000000001" customHeight="1" x14ac:dyDescent="0.25">
      <c r="B113" s="167" t="s">
        <v>42</v>
      </c>
      <c r="C113" s="151">
        <f>IF(C$105&lt;=TabS!$G$5,C21*$G$57,IF(C$105&lt;=TabS!$G$6,C21*$G$58,IF(C$105&lt;=TabS!$G$7,C21*$G$59,IF(C$105&lt;=TabS!$G$8,C21*$G$60,IF(C$105&lt;=TabS!$G$9,C21*$G$61,IF(C$105&lt;=TabS!$G$10,C21*$G$62))))))</f>
        <v>0</v>
      </c>
      <c r="D113" s="151">
        <f>IF(D$105&lt;=TabS!$G$5,D21*$G$57,IF(D$105&lt;=TabS!$G$6,D21*$G$58,IF(D$105&lt;=TabS!$G$7,D21*$G$59,IF(D$105&lt;=TabS!$G$8,D21*$G$60,IF(D$105&lt;=TabS!$G$9,D21*$G$61,IF(D$105&lt;=TabS!$G$10,D21*$G$62))))))</f>
        <v>0</v>
      </c>
      <c r="E113" s="151">
        <f>IF(E$105&lt;=TabS!$G$5,E21*$G$57,IF(E$105&lt;=TabS!$G$6,E21*$G$58,IF(E$105&lt;=TabS!$G$7,E21*$G$59,IF(E$105&lt;=TabS!$G$8,E21*$G$60,IF(E$105&lt;=TabS!$G$9,E21*$G$61,IF(E$105&lt;=TabS!$G$10,E21*$G$62))))))</f>
        <v>0</v>
      </c>
      <c r="F113" s="151">
        <f>IF(F$105&lt;=TabS!$G$5,F21*$G$57,IF(F$105&lt;=TabS!$G$6,F21*$G$58,IF(F$105&lt;=TabS!$G$7,F21*$G$59,IF(F$105&lt;=TabS!$G$8,F21*$G$60,IF(F$105&lt;=TabS!$G$9,F21*$G$61,IF(F$105&lt;=TabS!$G$10,F21*$G$62))))))</f>
        <v>0</v>
      </c>
      <c r="G113" s="151">
        <f>IF(G$105&lt;=TabS!$G$5,G21*$G$57,IF(G$105&lt;=TabS!$G$6,G21*$G$58,IF(G$105&lt;=TabS!$G$7,G21*$G$59,IF(G$105&lt;=TabS!$G$8,G21*$G$60,IF(G$105&lt;=TabS!$G$9,G21*$G$61,IF(G$105&lt;=TabS!$G$10,G21*$G$62))))))</f>
        <v>0</v>
      </c>
      <c r="H113" s="151">
        <f>IF(H$105&lt;=TabS!$G$5,H21*$G$57,IF(H$105&lt;=TabS!$G$6,H21*$G$58,IF(H$105&lt;=TabS!$G$7,H21*$G$59,IF(H$105&lt;=TabS!$G$8,H21*$G$60,IF(H$105&lt;=TabS!$G$9,H21*$G$61,IF(H$105&lt;=TabS!$G$10,H21*$G$62))))))</f>
        <v>0</v>
      </c>
      <c r="I113" s="151">
        <f>IF(I$105&lt;=TabS!$G$5,I21*$G$57,IF(I$105&lt;=TabS!$G$6,I21*$G$58,IF(I$105&lt;=TabS!$G$7,I21*$G$59,IF(I$105&lt;=TabS!$G$8,I21*$G$60,IF(I$105&lt;=TabS!$G$9,I21*$G$61,IF(I$105&lt;=TabS!$G$10,I21*$G$62))))))</f>
        <v>0</v>
      </c>
      <c r="J113" s="151">
        <f>IF(J$105&lt;=TabS!$G$5,J21*$G$57,IF(J$105&lt;=TabS!$G$6,J21*$G$58,IF(J$105&lt;=TabS!$G$7,J21*$G$59,IF(J$105&lt;=TabS!$G$8,J21*$G$60,IF(J$105&lt;=TabS!$G$9,J21*$G$61,IF(J$105&lt;=TabS!$G$10,J21*$G$62))))))</f>
        <v>0</v>
      </c>
      <c r="K113" s="151">
        <f>IF(K$105&lt;=TabS!$G$5,K21*$G$57,IF(K$105&lt;=TabS!$G$6,K21*$G$58,IF(K$105&lt;=TabS!$G$7,K21*$G$59,IF(K$105&lt;=TabS!$G$8,K21*$G$60,IF(K$105&lt;=TabS!$G$9,K21*$G$61,IF(K$105&lt;=TabS!$G$10,K21*$G$62))))))</f>
        <v>0</v>
      </c>
      <c r="L113" s="151">
        <f>IF(L$105&lt;=TabS!$G$5,L21*$G$57,IF(L$105&lt;=TabS!$G$6,L21*$G$58,IF(L$105&lt;=TabS!$G$7,L21*$G$59,IF(L$105&lt;=TabS!$G$8,L21*$G$60,IF(L$105&lt;=TabS!$G$9,L21*$G$61,IF(L$105&lt;=TabS!$G$10,L21*$G$62))))))</f>
        <v>0</v>
      </c>
      <c r="M113" s="151">
        <f>IF(M$105&lt;=TabS!$G$5,M21*$G$57,IF(M$105&lt;=TabS!$G$6,M21*$G$58,IF(M$105&lt;=TabS!$G$7,M21*$G$59,IF(M$105&lt;=TabS!$G$8,M21*$G$60,IF(M$105&lt;=TabS!$G$9,M21*$G$61,IF(M$105&lt;=TabS!$G$10,M21*$G$62))))))</f>
        <v>0</v>
      </c>
      <c r="N113" s="151">
        <f>IF(N$105&lt;=TabS!$G$5,N21*$G$57,IF(N$105&lt;=TabS!$G$6,N21*$G$58,IF(N$105&lt;=TabS!$G$7,N21*$G$59,IF(N$105&lt;=TabS!$G$8,N21*$G$60,IF(N$105&lt;=TabS!$G$9,N21*$G$61,IF(N$105&lt;=TabS!$G$10,N21*$G$62))))))</f>
        <v>0</v>
      </c>
      <c r="O113" s="152">
        <f t="shared" si="44"/>
        <v>0</v>
      </c>
      <c r="Q113" s="150" t="s">
        <v>42</v>
      </c>
      <c r="R113" s="151">
        <f>IF(R$105&lt;=TabS!$G$5,R21*$G$57,IF(R$105&lt;=TabS!$G$6,R21*$G$58,IF(R$105&lt;=TabS!$G$7,R21*$G$59,IF(R$105&lt;=TabS!$G$8,R21*$G$60,IF(R$105&lt;=TabS!$G$9,R21*$G$61,IF(R$105&lt;=TabS!$G$10,R21*$G$62))))))</f>
        <v>0</v>
      </c>
      <c r="S113" s="151">
        <f>IF(S$105&lt;=TabS!$G$5,S21*$G$57,IF(S$105&lt;=TabS!$G$6,S21*$G$58,IF(S$105&lt;=TabS!$G$7,S21*$G$59,IF(S$105&lt;=TabS!$G$8,S21*$G$60,IF(S$105&lt;=TabS!$G$9,S21*$G$61,IF(S$105&lt;=TabS!$G$10,S21*$G$62))))))</f>
        <v>0</v>
      </c>
      <c r="T113" s="151">
        <f>IF(T$105&lt;=TabS!$G$5,T21*$G$57,IF(T$105&lt;=TabS!$G$6,T21*$G$58,IF(T$105&lt;=TabS!$G$7,T21*$G$59,IF(T$105&lt;=TabS!$G$8,T21*$G$60,IF(T$105&lt;=TabS!$G$9,T21*$G$61,IF(T$105&lt;=TabS!$G$10,T21*$G$62))))))</f>
        <v>0</v>
      </c>
      <c r="U113" s="151">
        <f>IF(U$105&lt;=TabS!$G$5,U21*$G$57,IF(U$105&lt;=TabS!$G$6,U21*$G$58,IF(U$105&lt;=TabS!$G$7,U21*$G$59,IF(U$105&lt;=TabS!$G$8,U21*$G$60,IF(U$105&lt;=TabS!$G$9,U21*$G$61,IF(U$105&lt;=TabS!$G$10,U21*$G$62))))))</f>
        <v>0</v>
      </c>
      <c r="V113" s="151">
        <f>IF(V$105&lt;=TabS!$G$5,V21*$G$57,IF(V$105&lt;=TabS!$G$6,V21*$G$58,IF(V$105&lt;=TabS!$G$7,V21*$G$59,IF(V$105&lt;=TabS!$G$8,V21*$G$60,IF(V$105&lt;=TabS!$G$9,V21*$G$61,IF(V$105&lt;=TabS!$G$10,V21*$G$62))))))</f>
        <v>0</v>
      </c>
      <c r="W113" s="151">
        <f>IF(W$105&lt;=TabS!$G$5,W21*$G$57,IF(W$105&lt;=TabS!$G$6,W21*$G$58,IF(W$105&lt;=TabS!$G$7,W21*$G$59,IF(W$105&lt;=TabS!$G$8,W21*$G$60,IF(W$105&lt;=TabS!$G$9,W21*$G$61,IF(W$105&lt;=TabS!$G$10,W21*$G$62))))))</f>
        <v>0</v>
      </c>
      <c r="X113" s="151">
        <f>IF(X$105&lt;=TabS!$G$5,X21*$G$57,IF(X$105&lt;=TabS!$G$6,X21*$G$58,IF(X$105&lt;=TabS!$G$7,X21*$G$59,IF(X$105&lt;=TabS!$G$8,X21*$G$60,IF(X$105&lt;=TabS!$G$9,X21*$G$61,IF(X$105&lt;=TabS!$G$10,X21*$G$62))))))</f>
        <v>0</v>
      </c>
      <c r="Y113" s="151">
        <f>IF(Y$105&lt;=TabS!$G$5,Y21*$G$57,IF(Y$105&lt;=TabS!$G$6,Y21*$G$58,IF(Y$105&lt;=TabS!$G$7,Y21*$G$59,IF(Y$105&lt;=TabS!$G$8,Y21*$G$60,IF(Y$105&lt;=TabS!$G$9,Y21*$G$61,IF(Y$105&lt;=TabS!$G$10,Y21*$G$62))))))</f>
        <v>0</v>
      </c>
      <c r="Z113" s="151">
        <f>IF(Z$105&lt;=TabS!$G$5,Z21*$G$57,IF(Z$105&lt;=TabS!$G$6,Z21*$G$58,IF(Z$105&lt;=TabS!$G$7,Z21*$G$59,IF(Z$105&lt;=TabS!$G$8,Z21*$G$60,IF(Z$105&lt;=TabS!$G$9,Z21*$G$61,IF(Z$105&lt;=TabS!$G$10,Z21*$G$62))))))</f>
        <v>0</v>
      </c>
      <c r="AA113" s="151">
        <f>IF(AA$105&lt;=TabS!$G$5,AA21*$G$57,IF(AA$105&lt;=TabS!$G$6,AA21*$G$58,IF(AA$105&lt;=TabS!$G$7,AA21*$G$59,IF(AA$105&lt;=TabS!$G$8,AA21*$G$60,IF(AA$105&lt;=TabS!$G$9,AA21*$G$61,IF(AA$105&lt;=TabS!$G$10,AA21*$G$62))))))</f>
        <v>0</v>
      </c>
      <c r="AB113" s="151">
        <f>IF(AB$105&lt;=TabS!$G$5,AB21*$G$57,IF(AB$105&lt;=TabS!$G$6,AB21*$G$58,IF(AB$105&lt;=TabS!$G$7,AB21*$G$59,IF(AB$105&lt;=TabS!$G$8,AB21*$G$60,IF(AB$105&lt;=TabS!$G$9,AB21*$G$61,IF(AB$105&lt;=TabS!$G$10,AB21*$G$62))))))</f>
        <v>0</v>
      </c>
      <c r="AC113" s="151">
        <f>IF(AC$105&lt;=TabS!$G$5,AC21*$G$57,IF(AC$105&lt;=TabS!$G$6,AC21*$G$58,IF(AC$105&lt;=TabS!$G$7,AC21*$G$59,IF(AC$105&lt;=TabS!$G$8,AC21*$G$60,IF(AC$105&lt;=TabS!$G$9,AC21*$G$61,IF(AC$105&lt;=TabS!$G$10,AC21*$G$62))))))</f>
        <v>0</v>
      </c>
      <c r="AD113" s="152">
        <f t="shared" si="45"/>
        <v>0</v>
      </c>
    </row>
    <row r="114" spans="2:30" ht="20.100000000000001" customHeight="1" x14ac:dyDescent="0.25">
      <c r="B114" s="167" t="s">
        <v>40</v>
      </c>
      <c r="C114" s="151">
        <f>IF(C$105&lt;=TabS!$G$5,C21*$H$57,IF(C$105&lt;=TabS!$G$6,C21*$H$58,IF(C$105&lt;=TabS!$G$7,C21*$H$59,IF(C$105&lt;=TabS!$G$8,C21*$H$60,IF(C$105&lt;=TabS!$G$9,C21*$H$61,IF(C$105&lt;=TabS!$G$10,C21*$H$62))))))</f>
        <v>0</v>
      </c>
      <c r="D114" s="151">
        <f>IF(D$105&lt;=TabS!$G$5,D21*$H$57,IF(D$105&lt;=TabS!$G$6,D21*$H$58,IF(D$105&lt;=TabS!$G$7,D21*$H$59,IF(D$105&lt;=TabS!$G$8,D21*$H$60,IF(D$105&lt;=TabS!$G$9,D21*$H$61,IF(D$105&lt;=TabS!$G$10,D21*$H$62))))))</f>
        <v>0</v>
      </c>
      <c r="E114" s="151">
        <f>IF(E$105&lt;=TabS!$G$5,E21*$H$57,IF(E$105&lt;=TabS!$G$6,E21*$H$58,IF(E$105&lt;=TabS!$G$7,E21*$H$59,IF(E$105&lt;=TabS!$G$8,E21*$H$60,IF(E$105&lt;=TabS!$G$9,E21*$H$61,IF(E$105&lt;=TabS!$G$10,E21*$H$62))))))</f>
        <v>0</v>
      </c>
      <c r="F114" s="151">
        <f>IF(F$105&lt;=TabS!$G$5,F21*$H$57,IF(F$105&lt;=TabS!$G$6,F21*$H$58,IF(F$105&lt;=TabS!$G$7,F21*$H$59,IF(F$105&lt;=TabS!$G$8,F21*$H$60,IF(F$105&lt;=TabS!$G$9,F21*$H$61,IF(F$105&lt;=TabS!$G$10,F21*$H$62))))))</f>
        <v>0</v>
      </c>
      <c r="G114" s="151">
        <f>IF(G$105&lt;=TabS!$G$5,G21*$H$57,IF(G$105&lt;=TabS!$G$6,G21*$H$58,IF(G$105&lt;=TabS!$G$7,G21*$H$59,IF(G$105&lt;=TabS!$G$8,G21*$H$60,IF(G$105&lt;=TabS!$G$9,G21*$H$61,IF(G$105&lt;=TabS!$G$10,G21*$H$62))))))</f>
        <v>0</v>
      </c>
      <c r="H114" s="151">
        <f>IF(H$105&lt;=TabS!$G$5,H21*$H$57,IF(H$105&lt;=TabS!$G$6,H21*$H$58,IF(H$105&lt;=TabS!$G$7,H21*$H$59,IF(H$105&lt;=TabS!$G$8,H21*$H$60,IF(H$105&lt;=TabS!$G$9,H21*$H$61,IF(H$105&lt;=TabS!$G$10,H21*$H$62))))))</f>
        <v>0</v>
      </c>
      <c r="I114" s="151">
        <f>IF(I$105&lt;=TabS!$G$5,I21*$H$57,IF(I$105&lt;=TabS!$G$6,I21*$H$58,IF(I$105&lt;=TabS!$G$7,I21*$H$59,IF(I$105&lt;=TabS!$G$8,I21*$H$60,IF(I$105&lt;=TabS!$G$9,I21*$H$61,IF(I$105&lt;=TabS!$G$10,I21*$H$62))))))</f>
        <v>0</v>
      </c>
      <c r="J114" s="151">
        <f>IF(J$105&lt;=TabS!$G$5,J21*$H$57,IF(J$105&lt;=TabS!$G$6,J21*$H$58,IF(J$105&lt;=TabS!$G$7,J21*$H$59,IF(J$105&lt;=TabS!$G$8,J21*$H$60,IF(J$105&lt;=TabS!$G$9,J21*$H$61,IF(J$105&lt;=TabS!$G$10,J21*$H$62))))))</f>
        <v>0</v>
      </c>
      <c r="K114" s="151">
        <f>IF(K$105&lt;=TabS!$G$5,K21*$H$57,IF(K$105&lt;=TabS!$G$6,K21*$H$58,IF(K$105&lt;=TabS!$G$7,K21*$H$59,IF(K$105&lt;=TabS!$G$8,K21*$H$60,IF(K$105&lt;=TabS!$G$9,K21*$H$61,IF(K$105&lt;=TabS!$G$10,K21*$H$62))))))</f>
        <v>0</v>
      </c>
      <c r="L114" s="151">
        <f>IF(L$105&lt;=TabS!$G$5,L21*$H$57,IF(L$105&lt;=TabS!$G$6,L21*$H$58,IF(L$105&lt;=TabS!$G$7,L21*$H$59,IF(L$105&lt;=TabS!$G$8,L21*$H$60,IF(L$105&lt;=TabS!$G$9,L21*$H$61,IF(L$105&lt;=TabS!$G$10,L21*$H$62))))))</f>
        <v>0</v>
      </c>
      <c r="M114" s="151">
        <f>IF(M$105&lt;=TabS!$G$5,M21*$H$57,IF(M$105&lt;=TabS!$G$6,M21*$H$58,IF(M$105&lt;=TabS!$G$7,M21*$H$59,IF(M$105&lt;=TabS!$G$8,M21*$H$60,IF(M$105&lt;=TabS!$G$9,M21*$H$61,IF(M$105&lt;=TabS!$G$10,M21*$H$62))))))</f>
        <v>0</v>
      </c>
      <c r="N114" s="151">
        <f>IF(N$105&lt;=TabS!$G$5,N21*$H$57,IF(N$105&lt;=TabS!$G$6,N21*$H$58,IF(N$105&lt;=TabS!$G$7,N21*$H$59,IF(N$105&lt;=TabS!$G$8,N21*$H$60,IF(N$105&lt;=TabS!$G$9,N21*$H$61,IF(N$105&lt;=TabS!$G$10,N21*$H$62))))))</f>
        <v>0</v>
      </c>
      <c r="O114" s="152">
        <f t="shared" si="44"/>
        <v>0</v>
      </c>
      <c r="Q114" s="150" t="s">
        <v>40</v>
      </c>
      <c r="R114" s="151">
        <f>IF(R$105&lt;=TabS!$G$5,R21*$H$57,IF(R$105&lt;=TabS!$G$6,R21*$H$58,IF(R$105&lt;=TabS!$G$7,R21*$H$59,IF(R$105&lt;=TabS!$G$8,R21*$H$60,IF(R$105&lt;=TabS!$G$9,R21*$H$61,IF(R$105&lt;=TabS!$G$10,R21*$H$62))))))</f>
        <v>0</v>
      </c>
      <c r="S114" s="151">
        <f>IF(S$105&lt;=TabS!$G$5,S21*$H$57,IF(S$105&lt;=TabS!$G$6,S21*$H$58,IF(S$105&lt;=TabS!$G$7,S21*$H$59,IF(S$105&lt;=TabS!$G$8,S21*$H$60,IF(S$105&lt;=TabS!$G$9,S21*$H$61,IF(S$105&lt;=TabS!$G$10,S21*$H$62))))))</f>
        <v>0</v>
      </c>
      <c r="T114" s="151">
        <f>IF(T$105&lt;=TabS!$G$5,T21*$H$57,IF(T$105&lt;=TabS!$G$6,T21*$H$58,IF(T$105&lt;=TabS!$G$7,T21*$H$59,IF(T$105&lt;=TabS!$G$8,T21*$H$60,IF(T$105&lt;=TabS!$G$9,T21*$H$61,IF(T$105&lt;=TabS!$G$10,T21*$H$62))))))</f>
        <v>0</v>
      </c>
      <c r="U114" s="151">
        <f>IF(U$105&lt;=TabS!$G$5,U21*$H$57,IF(U$105&lt;=TabS!$G$6,U21*$H$58,IF(U$105&lt;=TabS!$G$7,U21*$H$59,IF(U$105&lt;=TabS!$G$8,U21*$H$60,IF(U$105&lt;=TabS!$G$9,U21*$H$61,IF(U$105&lt;=TabS!$G$10,U21*$H$62))))))</f>
        <v>0</v>
      </c>
      <c r="V114" s="151">
        <f>IF(V$105&lt;=TabS!$G$5,V21*$H$57,IF(V$105&lt;=TabS!$G$6,V21*$H$58,IF(V$105&lt;=TabS!$G$7,V21*$H$59,IF(V$105&lt;=TabS!$G$8,V21*$H$60,IF(V$105&lt;=TabS!$G$9,V21*$H$61,IF(V$105&lt;=TabS!$G$10,V21*$H$62))))))</f>
        <v>0</v>
      </c>
      <c r="W114" s="151">
        <f>IF(W$105&lt;=TabS!$G$5,W21*$H$57,IF(W$105&lt;=TabS!$G$6,W21*$H$58,IF(W$105&lt;=TabS!$G$7,W21*$H$59,IF(W$105&lt;=TabS!$G$8,W21*$H$60,IF(W$105&lt;=TabS!$G$9,W21*$H$61,IF(W$105&lt;=TabS!$G$10,W21*$H$62))))))</f>
        <v>0</v>
      </c>
      <c r="X114" s="151">
        <f>IF(X$105&lt;=TabS!$G$5,X21*$H$57,IF(X$105&lt;=TabS!$G$6,X21*$H$58,IF(X$105&lt;=TabS!$G$7,X21*$H$59,IF(X$105&lt;=TabS!$G$8,X21*$H$60,IF(X$105&lt;=TabS!$G$9,X21*$H$61,IF(X$105&lt;=TabS!$G$10,X21*$H$62))))))</f>
        <v>0</v>
      </c>
      <c r="Y114" s="151">
        <f>IF(Y$105&lt;=TabS!$G$5,Y21*$H$57,IF(Y$105&lt;=TabS!$G$6,Y21*$H$58,IF(Y$105&lt;=TabS!$G$7,Y21*$H$59,IF(Y$105&lt;=TabS!$G$8,Y21*$H$60,IF(Y$105&lt;=TabS!$G$9,Y21*$H$61,IF(Y$105&lt;=TabS!$G$10,Y21*$H$62))))))</f>
        <v>0</v>
      </c>
      <c r="Z114" s="151">
        <f>IF(Z$105&lt;=TabS!$G$5,Z21*$H$57,IF(Z$105&lt;=TabS!$G$6,Z21*$H$58,IF(Z$105&lt;=TabS!$G$7,Z21*$H$59,IF(Z$105&lt;=TabS!$G$8,Z21*$H$60,IF(Z$105&lt;=TabS!$G$9,Z21*$H$61,IF(Z$105&lt;=TabS!$G$10,Z21*$H$62))))))</f>
        <v>0</v>
      </c>
      <c r="AA114" s="151">
        <f>IF(AA$105&lt;=TabS!$G$5,AA21*$H$57,IF(AA$105&lt;=TabS!$G$6,AA21*$H$58,IF(AA$105&lt;=TabS!$G$7,AA21*$H$59,IF(AA$105&lt;=TabS!$G$8,AA21*$H$60,IF(AA$105&lt;=TabS!$G$9,AA21*$H$61,IF(AA$105&lt;=TabS!$G$10,AA21*$H$62))))))</f>
        <v>0</v>
      </c>
      <c r="AB114" s="151">
        <f>IF(AB$105&lt;=TabS!$G$5,AB21*$H$57,IF(AB$105&lt;=TabS!$G$6,AB21*$H$58,IF(AB$105&lt;=TabS!$G$7,AB21*$H$59,IF(AB$105&lt;=TabS!$G$8,AB21*$H$60,IF(AB$105&lt;=TabS!$G$9,AB21*$H$61,IF(AB$105&lt;=TabS!$G$10,AB21*$H$62))))))</f>
        <v>0</v>
      </c>
      <c r="AC114" s="151">
        <f>IF(AC$105&lt;=TabS!$G$5,AC21*$H$57,IF(AC$105&lt;=TabS!$G$6,AC21*$H$58,IF(AC$105&lt;=TabS!$G$7,AC21*$H$59,IF(AC$105&lt;=TabS!$G$8,AC21*$H$60,IF(AC$105&lt;=TabS!$G$9,AC21*$H$61,IF(AC$105&lt;=TabS!$G$10,AC21*$H$62))))))</f>
        <v>0</v>
      </c>
      <c r="AD114" s="152">
        <f t="shared" si="45"/>
        <v>0</v>
      </c>
    </row>
    <row r="115" spans="2:30" ht="20.100000000000001" customHeight="1" x14ac:dyDescent="0.25">
      <c r="B115" s="168" t="s">
        <v>99</v>
      </c>
      <c r="C115" s="152">
        <f>SUM(C109:C114)</f>
        <v>0</v>
      </c>
      <c r="D115" s="152">
        <f t="shared" ref="D115:N115" si="47">SUM(D109:D114)</f>
        <v>0</v>
      </c>
      <c r="E115" s="152">
        <f t="shared" si="47"/>
        <v>0</v>
      </c>
      <c r="F115" s="152">
        <f t="shared" si="47"/>
        <v>0</v>
      </c>
      <c r="G115" s="152">
        <f t="shared" si="47"/>
        <v>0</v>
      </c>
      <c r="H115" s="152">
        <f t="shared" si="47"/>
        <v>0</v>
      </c>
      <c r="I115" s="152">
        <f t="shared" si="47"/>
        <v>0</v>
      </c>
      <c r="J115" s="152">
        <f t="shared" si="47"/>
        <v>0</v>
      </c>
      <c r="K115" s="152">
        <f t="shared" si="47"/>
        <v>0</v>
      </c>
      <c r="L115" s="152">
        <f t="shared" si="47"/>
        <v>0</v>
      </c>
      <c r="M115" s="152">
        <f t="shared" si="47"/>
        <v>0</v>
      </c>
      <c r="N115" s="152">
        <f t="shared" si="47"/>
        <v>0</v>
      </c>
      <c r="O115" s="152">
        <f t="shared" si="44"/>
        <v>0</v>
      </c>
      <c r="Q115" s="153" t="s">
        <v>99</v>
      </c>
      <c r="R115" s="152">
        <f>SUM(R109:R114)</f>
        <v>0</v>
      </c>
      <c r="S115" s="152">
        <f t="shared" ref="S115:AC115" si="48">SUM(S109:S114)</f>
        <v>0</v>
      </c>
      <c r="T115" s="152">
        <f t="shared" si="48"/>
        <v>0</v>
      </c>
      <c r="U115" s="152">
        <f t="shared" si="48"/>
        <v>0</v>
      </c>
      <c r="V115" s="152">
        <f t="shared" si="48"/>
        <v>0</v>
      </c>
      <c r="W115" s="152">
        <f t="shared" si="48"/>
        <v>0</v>
      </c>
      <c r="X115" s="152">
        <f t="shared" si="48"/>
        <v>0</v>
      </c>
      <c r="Y115" s="152">
        <f t="shared" si="48"/>
        <v>0</v>
      </c>
      <c r="Z115" s="152">
        <f t="shared" si="48"/>
        <v>0</v>
      </c>
      <c r="AA115" s="152">
        <f t="shared" si="48"/>
        <v>0</v>
      </c>
      <c r="AB115" s="152">
        <f t="shared" si="48"/>
        <v>0</v>
      </c>
      <c r="AC115" s="152">
        <f t="shared" si="48"/>
        <v>0</v>
      </c>
      <c r="AD115" s="152">
        <f t="shared" si="45"/>
        <v>0</v>
      </c>
    </row>
    <row r="116" spans="2:30" ht="20.100000000000001" customHeight="1" x14ac:dyDescent="0.25">
      <c r="B116" s="164" t="s">
        <v>81</v>
      </c>
      <c r="Q116" s="144" t="s">
        <v>140</v>
      </c>
      <c r="R116" s="158">
        <f>IFERROR((R105*TabS!$H$9-TabS!$I$9)/R105*$E$61,0)</f>
        <v>0</v>
      </c>
      <c r="S116" s="158">
        <f>IFERROR((S105*TabS!$H$9-TabS!$I$9)/S105*$E$61,0)</f>
        <v>0</v>
      </c>
      <c r="T116" s="158">
        <f>IFERROR((T105*TabS!$H$9-TabS!$I$9)/T105*$E$61,0)</f>
        <v>0</v>
      </c>
      <c r="U116" s="158">
        <f>IFERROR((U105*TabS!$H$9-TabS!$I$9)/U105*$E$61,0)</f>
        <v>0</v>
      </c>
      <c r="V116" s="158">
        <f>IFERROR((V105*TabS!$H$9-TabS!$I$9)/V105*$E$61,0)</f>
        <v>0</v>
      </c>
      <c r="W116" s="158">
        <f>IFERROR((W105*TabS!$H$9-TabS!$I$9)/W105*$E$61,0)</f>
        <v>0</v>
      </c>
      <c r="X116" s="158">
        <f>IFERROR((X105*TabS!$H$9-TabS!$I$9)/X105*$E$61,0)</f>
        <v>0</v>
      </c>
      <c r="Y116" s="158">
        <f>IFERROR((Y105*TabS!$H$9-TabS!$I$9)/Y105*$E$61,0)</f>
        <v>0</v>
      </c>
      <c r="Z116" s="158">
        <f>IFERROR((Z105*TabS!$H$9-TabS!$I$9)/Z105*$E$61,0)</f>
        <v>0</v>
      </c>
      <c r="AA116" s="158">
        <f>IFERROR((AA105*TabS!$H$9-TabS!$I$9)/AA105*$E$61,0)</f>
        <v>0</v>
      </c>
      <c r="AB116" s="158">
        <f>IFERROR((AB105*TabS!$H$9-TabS!$I$9)/AB105*$E$61,0)</f>
        <v>0</v>
      </c>
      <c r="AC116" s="158">
        <f>IFERROR((AC105*TabS!$H$9-TabS!$I$9)/AC105*$E$61,0)</f>
        <v>0</v>
      </c>
    </row>
    <row r="117" spans="2:30" ht="20.100000000000001" customHeight="1" x14ac:dyDescent="0.25">
      <c r="B117" s="149" t="s">
        <v>82</v>
      </c>
      <c r="C117" s="149" t="s">
        <v>83</v>
      </c>
      <c r="D117" s="149" t="s">
        <v>84</v>
      </c>
      <c r="E117" s="149" t="s">
        <v>85</v>
      </c>
      <c r="F117" s="149" t="s">
        <v>86</v>
      </c>
      <c r="G117" s="149" t="s">
        <v>87</v>
      </c>
      <c r="H117" s="149" t="s">
        <v>88</v>
      </c>
      <c r="I117" s="149" t="s">
        <v>89</v>
      </c>
      <c r="J117" s="149" t="s">
        <v>90</v>
      </c>
      <c r="K117" s="149" t="s">
        <v>91</v>
      </c>
      <c r="L117" s="149" t="s">
        <v>92</v>
      </c>
      <c r="M117" s="149" t="s">
        <v>93</v>
      </c>
      <c r="N117" s="149" t="s">
        <v>94</v>
      </c>
      <c r="O117" s="149" t="s">
        <v>95</v>
      </c>
      <c r="Q117" s="144" t="s">
        <v>141</v>
      </c>
      <c r="R117" s="158">
        <f>IFERROR((R105*TabS!$H$15-TabS!$I$15)/R105*$E$71,0)</f>
        <v>0</v>
      </c>
      <c r="S117" s="158">
        <f>IFERROR((S105*TabS!$H$15-TabS!$I$15)/S105*$E$71,0)</f>
        <v>0</v>
      </c>
      <c r="T117" s="158">
        <f>IFERROR((T105*TabS!$H$15-TabS!$I$15)/T105*$E$71,0)</f>
        <v>0</v>
      </c>
      <c r="U117" s="158">
        <f>IFERROR((U105*TabS!$H$15-TabS!$I$15)/U105*$E$71,0)</f>
        <v>0</v>
      </c>
      <c r="V117" s="158">
        <f>IFERROR((V105*TabS!$H$15-TabS!$I$15)/V105*$E$71,0)</f>
        <v>0</v>
      </c>
      <c r="W117" s="158">
        <f>IFERROR((W105*TabS!$H$15-TabS!$I$15)/W105*$E$71,0)</f>
        <v>0</v>
      </c>
      <c r="X117" s="158">
        <f>IFERROR((X105*TabS!$H$15-TabS!$I$15)/X105*$E$71,0)</f>
        <v>0</v>
      </c>
      <c r="Y117" s="158">
        <f>IFERROR((Y105*TabS!$H$15-TabS!$I$15)/Y105*$E$71,0)</f>
        <v>0</v>
      </c>
      <c r="Z117" s="158">
        <f>IFERROR((Z105*TabS!$H$15-TabS!$I$15)/Z105*$E$71,0)</f>
        <v>0</v>
      </c>
      <c r="AA117" s="158">
        <f>IFERROR((AA105*TabS!$H$15-TabS!$I$15)/AA105*$E$71,0)</f>
        <v>0</v>
      </c>
      <c r="AB117" s="158">
        <f>IFERROR((AB105*TabS!$H$15-TabS!$I$15)/AB105*$E$71,0)</f>
        <v>0</v>
      </c>
      <c r="AC117" s="158">
        <f>IFERROR((AC105*TabS!$H$15-TabS!$I$15)/AC105*$E$71,0)</f>
        <v>0</v>
      </c>
    </row>
    <row r="118" spans="2:30" ht="20.100000000000001" customHeight="1" x14ac:dyDescent="0.25">
      <c r="B118" s="167" t="s">
        <v>97</v>
      </c>
      <c r="C118" s="151">
        <f>IF(C$105&lt;=TabS!$G$5,C28*$C$67,IF(C$105&lt;=TabS!$G$6,C28*$C$68,IF(C$105&lt;=TabS!$G$7,C28*$C$69,IF(C$105&lt;=TabS!$G$8,C28*$C$70,IF(C$105&lt;=TabS!$G$9,C28*$C$71,IF(C$105&lt;=TabS!$G$10,C28*$C$72))))))</f>
        <v>0</v>
      </c>
      <c r="D118" s="151">
        <f>IF(D$105&lt;=TabS!$G$5,D28*$C$67,IF(D$105&lt;=TabS!$G$6,D28*$C$68,IF(D$105&lt;=TabS!$G$7,D28*$C$69,IF(D$105&lt;=TabS!$G$8,D28*$C$70,IF(D$105&lt;=TabS!$G$9,D28*$C$71,IF(D$105&lt;=TabS!$G$10,D28*$C$72))))))</f>
        <v>0</v>
      </c>
      <c r="E118" s="151">
        <f>IF(E$105&lt;=TabS!$G$5,E28*$C$67,IF(E$105&lt;=TabS!$G$6,E28*$C$68,IF(E$105&lt;=TabS!$G$7,E28*$C$69,IF(E$105&lt;=TabS!$G$8,E28*$C$70,IF(E$105&lt;=TabS!$G$9,E28*$C$71,IF(E$105&lt;=TabS!$G$10,E28*$C$72))))))</f>
        <v>0</v>
      </c>
      <c r="F118" s="151">
        <f>IF(F$105&lt;=TabS!$G$5,F28*$C$67,IF(F$105&lt;=TabS!$G$6,F28*$C$68,IF(F$105&lt;=TabS!$G$7,F28*$C$69,IF(F$105&lt;=TabS!$G$8,F28*$C$70,IF(F$105&lt;=TabS!$G$9,F28*$C$71,IF(F$105&lt;=TabS!$G$10,F28*$C$72))))))</f>
        <v>0</v>
      </c>
      <c r="G118" s="151">
        <f>IF(G$105&lt;=TabS!$G$5,G28*$C$67,IF(G$105&lt;=TabS!$G$6,G28*$C$68,IF(G$105&lt;=TabS!$G$7,G28*$C$69,IF(G$105&lt;=TabS!$G$8,G28*$C$70,IF(G$105&lt;=TabS!$G$9,G28*$C$71,IF(G$105&lt;=TabS!$G$10,G28*$C$72))))))</f>
        <v>0</v>
      </c>
      <c r="H118" s="151">
        <f>IF(H$105&lt;=TabS!$G$5,H28*$C$67,IF(H$105&lt;=TabS!$G$6,H28*$C$68,IF(H$105&lt;=TabS!$G$7,H28*$C$69,IF(H$105&lt;=TabS!$G$8,H28*$C$70,IF(H$105&lt;=TabS!$G$9,H28*$C$71,IF(H$105&lt;=TabS!$G$10,H28*$C$72))))))</f>
        <v>0</v>
      </c>
      <c r="I118" s="151">
        <f>IF(I$105&lt;=TabS!$G$5,I28*$C$67,IF(I$105&lt;=TabS!$G$6,I28*$C$68,IF(I$105&lt;=TabS!$G$7,I28*$C$69,IF(I$105&lt;=TabS!$G$8,I28*$C$70,IF(I$105&lt;=TabS!$G$9,I28*$C$71,IF(I$105&lt;=TabS!$G$10,I28*$C$72))))))</f>
        <v>0</v>
      </c>
      <c r="J118" s="151">
        <f>IF(J$105&lt;=TabS!$G$5,J28*$C$67,IF(J$105&lt;=TabS!$G$6,J28*$C$68,IF(J$105&lt;=TabS!$G$7,J28*$C$69,IF(J$105&lt;=TabS!$G$8,J28*$C$70,IF(J$105&lt;=TabS!$G$9,J28*$C$71,IF(J$105&lt;=TabS!$G$10,J28*$C$72))))))</f>
        <v>0</v>
      </c>
      <c r="K118" s="151">
        <f>IF(K$105&lt;=TabS!$G$5,K28*$C$67,IF(K$105&lt;=TabS!$G$6,K28*$C$68,IF(K$105&lt;=TabS!$G$7,K28*$C$69,IF(K$105&lt;=TabS!$G$8,K28*$C$70,IF(K$105&lt;=TabS!$G$9,K28*$C$71,IF(K$105&lt;=TabS!$G$10,K28*$C$72))))))</f>
        <v>0</v>
      </c>
      <c r="L118" s="151">
        <f>IF(L$105&lt;=TabS!$G$5,L28*$C$67,IF(L$105&lt;=TabS!$G$6,L28*$C$68,IF(L$105&lt;=TabS!$G$7,L28*$C$69,IF(L$105&lt;=TabS!$G$8,L28*$C$70,IF(L$105&lt;=TabS!$G$9,L28*$C$71,IF(L$105&lt;=TabS!$G$10,L28*$C$72))))))</f>
        <v>0</v>
      </c>
      <c r="M118" s="151">
        <f>IF(M$105&lt;=TabS!$G$5,M28*$C$67,IF(M$105&lt;=TabS!$G$6,M28*$C$68,IF(M$105&lt;=TabS!$G$7,M28*$C$69,IF(M$105&lt;=TabS!$G$8,M28*$C$70,IF(M$105&lt;=TabS!$G$9,M28*$C$71,IF(M$105&lt;=TabS!$G$10,M28*$C$72))))))</f>
        <v>0</v>
      </c>
      <c r="N118" s="151">
        <f>IF(N$105&lt;=TabS!$G$5,N28*$C$67,IF(N$105&lt;=TabS!$G$6,N28*$C$68,IF(N$105&lt;=TabS!$G$7,N28*$C$69,IF(N$105&lt;=TabS!$G$8,N28*$C$70,IF(N$105&lt;=TabS!$G$9,N28*$C$71,IF(N$105&lt;=TabS!$G$10,N28*$C$72))))))</f>
        <v>0</v>
      </c>
      <c r="O118" s="152">
        <f t="shared" ref="O118:O125" si="49">SUM(C118:N118)</f>
        <v>0</v>
      </c>
      <c r="Q118" s="150" t="s">
        <v>141</v>
      </c>
      <c r="R118" s="151">
        <f>IF(C105&lt;R106,IF(C$105&lt;=TabS!$G$5,C28*$E$67,IF(C$105&lt;=TabS!$G$6,C28*$E$68,IF(C$105&lt;=TabS!$G$7,C28*$E$69,IF(C$105&lt;=TabS!$G$8,C28*$E$70,IF(C$105&lt;=TabS!$G$9,C28*$E$71,IF(C$105&lt;=TabS!$G$10,C28*$E$72)))))),C24*R117)</f>
        <v>0</v>
      </c>
      <c r="S118" s="151">
        <f>IF(D105&lt;S106,IF(D$105&lt;=TabS!$G$5,D28*$E$67,IF(D$105&lt;=TabS!$G$6,D28*$E$68,IF(D$105&lt;=TabS!$G$7,D28*$E$69,IF(D$105&lt;=TabS!$G$8,D28*$E$70,IF(D$105&lt;=TabS!$G$9,D28*$E$71,IF(D$105&lt;=TabS!$G$10,D28*$E$72)))))),D24*S117)</f>
        <v>0</v>
      </c>
      <c r="T118" s="151">
        <f>IF(E105&lt;T106,IF(E$105&lt;=TabS!$G$5,E28*$E$67,IF(E$105&lt;=TabS!$G$6,E28*$E$68,IF(E$105&lt;=TabS!$G$7,E28*$E$69,IF(E$105&lt;=TabS!$G$8,E28*$E$70,IF(E$105&lt;=TabS!$G$9,E28*$E$71,IF(E$105&lt;=TabS!$G$10,E28*$E$72)))))),E24*T117)</f>
        <v>0</v>
      </c>
      <c r="U118" s="151">
        <f>IF(F105&lt;U106,IF(F$105&lt;=TabS!$G$5,F28*$E$67,IF(F$105&lt;=TabS!$G$6,F28*$E$68,IF(F$105&lt;=TabS!$G$7,F28*$E$69,IF(F$105&lt;=TabS!$G$8,F28*$E$70,IF(F$105&lt;=TabS!$G$9,F28*$E$71,IF(F$105&lt;=TabS!$G$10,F28*$E$72)))))),F24*U117)</f>
        <v>0</v>
      </c>
      <c r="V118" s="151">
        <f>IF(G105&lt;V106,IF(G$105&lt;=TabS!$G$5,G28*$E$67,IF(G$105&lt;=TabS!$G$6,G28*$E$68,IF(G$105&lt;=TabS!$G$7,G28*$E$69,IF(G$105&lt;=TabS!$G$8,G28*$E$70,IF(G$105&lt;=TabS!$G$9,G28*$E$71,IF(G$105&lt;=TabS!$G$10,G28*$E$72)))))),G24*V117)</f>
        <v>0</v>
      </c>
      <c r="W118" s="151">
        <f>IF(H105&lt;W106,IF(H$105&lt;=TabS!$G$5,H28*$E$67,IF(H$105&lt;=TabS!$G$6,H28*$E$68,IF(H$105&lt;=TabS!$G$7,H28*$E$69,IF(H$105&lt;=TabS!$G$8,H28*$E$70,IF(H$105&lt;=TabS!$G$9,H28*$E$71,IF(H$105&lt;=TabS!$G$10,H28*$E$72)))))),H24*W117)</f>
        <v>0</v>
      </c>
      <c r="X118" s="151">
        <f>IF(I105&lt;X106,IF(I$105&lt;=TabS!$G$5,I28*$E$67,IF(I$105&lt;=TabS!$G$6,I28*$E$68,IF(I$105&lt;=TabS!$G$7,I28*$E$69,IF(I$105&lt;=TabS!$G$8,I28*$E$70,IF(I$105&lt;=TabS!$G$9,I28*$E$71,IF(I$105&lt;=TabS!$G$10,I28*$E$72)))))),I24*X117)</f>
        <v>0</v>
      </c>
      <c r="Y118" s="151">
        <f>IF(J105&lt;Y106,IF(J$105&lt;=TabS!$G$5,J28*$E$67,IF(J$105&lt;=TabS!$G$6,J28*$E$68,IF(J$105&lt;=TabS!$G$7,J28*$E$69,IF(J$105&lt;=TabS!$G$8,J28*$E$70,IF(J$105&lt;=TabS!$G$9,J28*$E$71,IF(J$105&lt;=TabS!$G$10,J28*$E$72)))))),J24*Y117)</f>
        <v>0</v>
      </c>
      <c r="Z118" s="151">
        <f>IF(K105&lt;Z106,IF(K$105&lt;=TabS!$G$5,K28*$E$67,IF(K$105&lt;=TabS!$G$6,K28*$E$68,IF(K$105&lt;=TabS!$G$7,K28*$E$69,IF(K$105&lt;=TabS!$G$8,K28*$E$70,IF(K$105&lt;=TabS!$G$9,K28*$E$71,IF(K$105&lt;=TabS!$G$10,K28*$E$72)))))),K24*Z117)</f>
        <v>0</v>
      </c>
      <c r="AA118" s="151">
        <f>IF(L105&lt;AA106,IF(L$105&lt;=TabS!$G$5,L28*$E$67,IF(L$105&lt;=TabS!$G$6,L28*$E$68,IF(L$105&lt;=TabS!$G$7,L28*$E$69,IF(L$105&lt;=TabS!$G$8,L28*$E$70,IF(L$105&lt;=TabS!$G$9,L28*$E$71,IF(L$105&lt;=TabS!$G$10,L28*$E$72)))))),L24*AA117)</f>
        <v>0</v>
      </c>
      <c r="AB118" s="151">
        <f>IF(M105&lt;AB106,IF(M$105&lt;=TabS!$G$5,M28*$E$67,IF(M$105&lt;=TabS!$G$6,M28*$E$68,IF(M$105&lt;=TabS!$G$7,M28*$E$69,IF(M$105&lt;=TabS!$G$8,M28*$E$70,IF(M$105&lt;=TabS!$G$9,M28*$E$71,IF(M$105&lt;=TabS!$G$10,M28*$E$72)))))),M24*AB117)</f>
        <v>0</v>
      </c>
      <c r="AC118" s="151">
        <f>IF(N105&lt;AC106,IF(N$105&lt;=TabS!$G$5,N28*$E$67,IF(N$105&lt;=TabS!$G$6,N28*$E$68,IF(N$105&lt;=TabS!$G$7,N28*$E$69,IF(N$105&lt;=TabS!$G$8,N28*$E$70,IF(N$105&lt;=TabS!$G$9,N28*$E$71,IF(N$105&lt;=TabS!$G$10,N28*$E$72)))))),N24*AC117)</f>
        <v>0</v>
      </c>
      <c r="AD118" s="152">
        <f>SUM(R118:AC118)</f>
        <v>0</v>
      </c>
    </row>
    <row r="119" spans="2:30" ht="20.100000000000001" customHeight="1" x14ac:dyDescent="0.25">
      <c r="B119" s="167" t="s">
        <v>98</v>
      </c>
      <c r="C119" s="151">
        <f>IF(C$105&lt;=TabS!$G$5,C28*$D$67,IF(C$105&lt;=TabS!$G$6,C28*$D$68,IF(C$105&lt;=TabS!$G$7,C28*$D$69,IF(C$105&lt;=TabS!$G$8,C28*$D$70,IF(C$105&lt;=TabS!$G$9,C28*$D$71,IF(C$105&lt;=TabS!$G$10,C28*$D$72))))))</f>
        <v>0</v>
      </c>
      <c r="D119" s="151">
        <f>IF(D$105&lt;=TabS!$G$5,D28*$D$67,IF(D$105&lt;=TabS!$G$6,D28*$D$68,IF(D$105&lt;=TabS!$G$7,D28*$D$69,IF(D$105&lt;=TabS!$G$8,D28*$D$70,IF(D$105&lt;=TabS!$G$9,D28*$D$71,IF(D$105&lt;=TabS!$G$10,D28*$D$72))))))</f>
        <v>0</v>
      </c>
      <c r="E119" s="151">
        <f>IF(E$105&lt;=TabS!$G$5,E28*$D$67,IF(E$105&lt;=TabS!$G$6,E28*$D$68,IF(E$105&lt;=TabS!$G$7,E28*$D$69,IF(E$105&lt;=TabS!$G$8,E28*$D$70,IF(E$105&lt;=TabS!$G$9,E28*$D$71,IF(E$105&lt;=TabS!$G$10,E28*$D$72))))))</f>
        <v>0</v>
      </c>
      <c r="F119" s="151">
        <f>IF(F$105&lt;=TabS!$G$5,F28*$D$67,IF(F$105&lt;=TabS!$G$6,F28*$D$68,IF(F$105&lt;=TabS!$G$7,F28*$D$69,IF(F$105&lt;=TabS!$G$8,F28*$D$70,IF(F$105&lt;=TabS!$G$9,F28*$D$71,IF(F$105&lt;=TabS!$G$10,F28*$D$72))))))</f>
        <v>0</v>
      </c>
      <c r="G119" s="151">
        <f>IF(G$105&lt;=TabS!$G$5,G28*$D$67,IF(G$105&lt;=TabS!$G$6,G28*$D$68,IF(G$105&lt;=TabS!$G$7,G28*$D$69,IF(G$105&lt;=TabS!$G$8,G28*$D$70,IF(G$105&lt;=TabS!$G$9,G28*$D$71,IF(G$105&lt;=TabS!$G$10,G28*$D$72))))))</f>
        <v>0</v>
      </c>
      <c r="H119" s="151">
        <f>IF(H$105&lt;=TabS!$G$5,H28*$D$67,IF(H$105&lt;=TabS!$G$6,H28*$D$68,IF(H$105&lt;=TabS!$G$7,H28*$D$69,IF(H$105&lt;=TabS!$G$8,H28*$D$70,IF(H$105&lt;=TabS!$G$9,H28*$D$71,IF(H$105&lt;=TabS!$G$10,H28*$D$72))))))</f>
        <v>0</v>
      </c>
      <c r="I119" s="151">
        <f>IF(I$105&lt;=TabS!$G$5,I28*$D$67,IF(I$105&lt;=TabS!$G$6,I28*$D$68,IF(I$105&lt;=TabS!$G$7,I28*$D$69,IF(I$105&lt;=TabS!$G$8,I28*$D$70,IF(I$105&lt;=TabS!$G$9,I28*$D$71,IF(I$105&lt;=TabS!$G$10,I28*$D$72))))))</f>
        <v>0</v>
      </c>
      <c r="J119" s="151">
        <f>IF(J$105&lt;=TabS!$G$5,J28*$D$67,IF(J$105&lt;=TabS!$G$6,J28*$D$68,IF(J$105&lt;=TabS!$G$7,J28*$D$69,IF(J$105&lt;=TabS!$G$8,J28*$D$70,IF(J$105&lt;=TabS!$G$9,J28*$D$71,IF(J$105&lt;=TabS!$G$10,J28*$D$72))))))</f>
        <v>0</v>
      </c>
      <c r="K119" s="151">
        <f>IF(K$105&lt;=TabS!$G$5,K28*$D$67,IF(K$105&lt;=TabS!$G$6,K28*$D$68,IF(K$105&lt;=TabS!$G$7,K28*$D$69,IF(K$105&lt;=TabS!$G$8,K28*$D$70,IF(K$105&lt;=TabS!$G$9,K28*$D$71,IF(K$105&lt;=TabS!$G$10,K28*$D$72))))))</f>
        <v>0</v>
      </c>
      <c r="L119" s="151">
        <f>IF(L$105&lt;=TabS!$G$5,L28*$D$67,IF(L$105&lt;=TabS!$G$6,L28*$D$68,IF(L$105&lt;=TabS!$G$7,L28*$D$69,IF(L$105&lt;=TabS!$G$8,L28*$D$70,IF(L$105&lt;=TabS!$G$9,L28*$D$71,IF(L$105&lt;=TabS!$G$10,L28*$D$72))))))</f>
        <v>0</v>
      </c>
      <c r="M119" s="151">
        <f>IF(M$105&lt;=TabS!$G$5,M28*$D$67,IF(M$105&lt;=TabS!$G$6,M28*$D$68,IF(M$105&lt;=TabS!$G$7,M28*$D$69,IF(M$105&lt;=TabS!$G$8,M28*$D$70,IF(M$105&lt;=TabS!$G$9,M28*$D$71,IF(M$105&lt;=TabS!$G$10,M28*$D$72))))))</f>
        <v>0</v>
      </c>
      <c r="N119" s="151">
        <f>IF(N$105&lt;=TabS!$G$5,N28*$D$67,IF(N$105&lt;=TabS!$G$6,N28*$D$68,IF(N$105&lt;=TabS!$G$7,N28*$D$69,IF(N$105&lt;=TabS!$G$8,N28*$D$70,IF(N$105&lt;=TabS!$G$9,N28*$D$71,IF(N$105&lt;=TabS!$G$10,N28*$D$72))))))</f>
        <v>0</v>
      </c>
      <c r="O119" s="152">
        <f t="shared" si="49"/>
        <v>0</v>
      </c>
    </row>
    <row r="120" spans="2:30" ht="20.100000000000001" customHeight="1" x14ac:dyDescent="0.25">
      <c r="B120" s="167" t="s">
        <v>37</v>
      </c>
      <c r="C120" s="151">
        <f>R118</f>
        <v>0</v>
      </c>
      <c r="D120" s="151">
        <f t="shared" ref="D120:N120" si="50">S118</f>
        <v>0</v>
      </c>
      <c r="E120" s="151">
        <f t="shared" si="50"/>
        <v>0</v>
      </c>
      <c r="F120" s="151">
        <f t="shared" si="50"/>
        <v>0</v>
      </c>
      <c r="G120" s="151">
        <f t="shared" si="50"/>
        <v>0</v>
      </c>
      <c r="H120" s="151">
        <f t="shared" si="50"/>
        <v>0</v>
      </c>
      <c r="I120" s="151">
        <f t="shared" si="50"/>
        <v>0</v>
      </c>
      <c r="J120" s="151">
        <f t="shared" si="50"/>
        <v>0</v>
      </c>
      <c r="K120" s="151">
        <f t="shared" si="50"/>
        <v>0</v>
      </c>
      <c r="L120" s="151">
        <f t="shared" si="50"/>
        <v>0</v>
      </c>
      <c r="M120" s="151">
        <f t="shared" si="50"/>
        <v>0</v>
      </c>
      <c r="N120" s="151">
        <f t="shared" si="50"/>
        <v>0</v>
      </c>
      <c r="O120" s="152">
        <f t="shared" si="49"/>
        <v>0</v>
      </c>
    </row>
    <row r="121" spans="2:30" ht="20.100000000000001" customHeight="1" x14ac:dyDescent="0.25">
      <c r="B121" s="167" t="s">
        <v>129</v>
      </c>
      <c r="C121" s="151">
        <f>IF(C$105&lt;=TabS!$G$5,C28*$F$67,IF(C$105&lt;=TabS!$G$6,C28*$F$68,IF(C$105&lt;=TabS!$G$7,C28*$F$69,IF(C$105&lt;=TabS!$G$8,C28*$F$70,IF(C$105&lt;=TabS!$G$9,C28*$F$71,IF(C$105&lt;=TabS!$G$10,C28*$F$72))))))</f>
        <v>0</v>
      </c>
      <c r="D121" s="151">
        <f>IF(D$105&lt;=TabS!$G$5,D28*$F$67,IF(D$105&lt;=TabS!$G$6,D28*$F$68,IF(D$105&lt;=TabS!$G$7,D28*$F$69,IF(D$105&lt;=TabS!$G$8,D28*$F$70,IF(D$105&lt;=TabS!$G$9,D28*$F$71,IF(D$105&lt;=TabS!$G$10,D28*$F$72))))))</f>
        <v>0</v>
      </c>
      <c r="E121" s="151">
        <f>IF(E$105&lt;=TabS!$G$5,E28*$F$67,IF(E$105&lt;=TabS!$G$6,E28*$F$68,IF(E$105&lt;=TabS!$G$7,E28*$F$69,IF(E$105&lt;=TabS!$G$8,E28*$F$70,IF(E$105&lt;=TabS!$G$9,E28*$F$71,IF(E$105&lt;=TabS!$G$10,E28*$F$72))))))</f>
        <v>0</v>
      </c>
      <c r="F121" s="151">
        <f>IF(F$105&lt;=TabS!$G$5,F28*$F$67,IF(F$105&lt;=TabS!$G$6,F28*$F$68,IF(F$105&lt;=TabS!$G$7,F28*$F$69,IF(F$105&lt;=TabS!$G$8,F28*$F$70,IF(F$105&lt;=TabS!$G$9,F28*$F$71,IF(F$105&lt;=TabS!$G$10,F28*$F$72))))))</f>
        <v>0</v>
      </c>
      <c r="G121" s="151">
        <f>IF(G$105&lt;=TabS!$G$5,G28*$F$67,IF(G$105&lt;=TabS!$G$6,G28*$F$68,IF(G$105&lt;=TabS!$G$7,G28*$F$69,IF(G$105&lt;=TabS!$G$8,G28*$F$70,IF(G$105&lt;=TabS!$G$9,G28*$F$71,IF(G$105&lt;=TabS!$G$10,G28*$F$72))))))</f>
        <v>0</v>
      </c>
      <c r="H121" s="151">
        <f>IF(H$105&lt;=TabS!$G$5,H28*$F$67,IF(H$105&lt;=TabS!$G$6,H28*$F$68,IF(H$105&lt;=TabS!$G$7,H28*$F$69,IF(H$105&lt;=TabS!$G$8,H28*$F$70,IF(H$105&lt;=TabS!$G$9,H28*$F$71,IF(H$105&lt;=TabS!$G$10,H28*$F$72))))))</f>
        <v>0</v>
      </c>
      <c r="I121" s="151">
        <f>IF(I$105&lt;=TabS!$G$5,I28*$F$67,IF(I$105&lt;=TabS!$G$6,I28*$F$68,IF(I$105&lt;=TabS!$G$7,I28*$F$69,IF(I$105&lt;=TabS!$G$8,I28*$F$70,IF(I$105&lt;=TabS!$G$9,I28*$F$71,IF(I$105&lt;=TabS!$G$10,I28*$F$72))))))</f>
        <v>0</v>
      </c>
      <c r="J121" s="151">
        <f>IF(J$105&lt;=TabS!$G$5,J28*$F$67,IF(J$105&lt;=TabS!$G$6,J28*$F$68,IF(J$105&lt;=TabS!$G$7,J28*$F$69,IF(J$105&lt;=TabS!$G$8,J28*$F$70,IF(J$105&lt;=TabS!$G$9,J28*$F$71,IF(J$105&lt;=TabS!$G$10,J28*$F$72))))))</f>
        <v>0</v>
      </c>
      <c r="K121" s="151">
        <f>IF(K$105&lt;=TabS!$G$5,K28*$F$67,IF(K$105&lt;=TabS!$G$6,K28*$F$68,IF(K$105&lt;=TabS!$G$7,K28*$F$69,IF(K$105&lt;=TabS!$G$8,K28*$F$70,IF(K$105&lt;=TabS!$G$9,K28*$F$71,IF(K$105&lt;=TabS!$G$10,K28*$F$72))))))</f>
        <v>0</v>
      </c>
      <c r="L121" s="151">
        <f>IF(L$105&lt;=TabS!$G$5,L28*$F$67,IF(L$105&lt;=TabS!$G$6,L28*$F$68,IF(L$105&lt;=TabS!$G$7,L28*$F$69,IF(L$105&lt;=TabS!$G$8,L28*$F$70,IF(L$105&lt;=TabS!$G$9,L28*$F$71,IF(L$105&lt;=TabS!$G$10,L28*$F$72))))))</f>
        <v>0</v>
      </c>
      <c r="M121" s="151">
        <f>IF(M$105&lt;=TabS!$G$5,M28*$F$67,IF(M$105&lt;=TabS!$G$6,M28*$F$68,IF(M$105&lt;=TabS!$G$7,M28*$F$69,IF(M$105&lt;=TabS!$G$8,M28*$F$70,IF(M$105&lt;=TabS!$G$9,M28*$F$71,IF(M$105&lt;=TabS!$G$10,M28*$F$72))))))</f>
        <v>0</v>
      </c>
      <c r="N121" s="151">
        <f>IF(N$105&lt;=TabS!$G$5,N28*$F$67,IF(N$105&lt;=TabS!$G$6,N28*$F$68,IF(N$105&lt;=TabS!$G$7,N28*$F$69,IF(N$105&lt;=TabS!$G$8,N28*$F$70,IF(N$105&lt;=TabS!$G$9,N28*$F$71,IF(N$105&lt;=TabS!$G$10,N28*$F$72))))))</f>
        <v>0</v>
      </c>
      <c r="O121" s="152">
        <f t="shared" si="49"/>
        <v>0</v>
      </c>
    </row>
    <row r="122" spans="2:30" ht="20.100000000000001" customHeight="1" x14ac:dyDescent="0.25">
      <c r="B122" s="167" t="s">
        <v>42</v>
      </c>
      <c r="C122" s="151">
        <f>IF(C$105&lt;=TabS!$G$5,C28*$G$67,IF(C$105&lt;=TabS!$G$6,C28*$G$68,IF(C$105&lt;=TabS!$G$7,C28*$G$69,IF(C$105&lt;=TabS!$G$8,C28*$G$70,IF(C$105&lt;=TabS!$G$9,C28*$G$71,IF(C$105&lt;=TabS!$G$10,C28*$G$72))))))</f>
        <v>0</v>
      </c>
      <c r="D122" s="151">
        <f>IF(D$105&lt;=TabS!$G$5,D28*$G$67,IF(D$105&lt;=TabS!$G$6,D28*$G$68,IF(D$105&lt;=TabS!$G$7,D28*$G$69,IF(D$105&lt;=TabS!$G$8,D28*$G$70,IF(D$105&lt;=TabS!$G$9,D28*$G$71,IF(D$105&lt;=TabS!$G$10,D28*$G$72))))))</f>
        <v>0</v>
      </c>
      <c r="E122" s="151">
        <f>IF(E$105&lt;=TabS!$G$5,E28*$G$67,IF(E$105&lt;=TabS!$G$6,E28*$G$68,IF(E$105&lt;=TabS!$G$7,E28*$G$69,IF(E$105&lt;=TabS!$G$8,E28*$G$70,IF(E$105&lt;=TabS!$G$9,E28*$G$71,IF(E$105&lt;=TabS!$G$10,E28*$G$72))))))</f>
        <v>0</v>
      </c>
      <c r="F122" s="151">
        <f>IF(F$105&lt;=TabS!$G$5,F28*$G$67,IF(F$105&lt;=TabS!$G$6,F28*$G$68,IF(F$105&lt;=TabS!$G$7,F28*$G$69,IF(F$105&lt;=TabS!$G$8,F28*$G$70,IF(F$105&lt;=TabS!$G$9,F28*$G$71,IF(F$105&lt;=TabS!$G$10,F28*$G$72))))))</f>
        <v>0</v>
      </c>
      <c r="G122" s="151">
        <f>IF(G$105&lt;=TabS!$G$5,G28*$G$67,IF(G$105&lt;=TabS!$G$6,G28*$G$68,IF(G$105&lt;=TabS!$G$7,G28*$G$69,IF(G$105&lt;=TabS!$G$8,G28*$G$70,IF(G$105&lt;=TabS!$G$9,G28*$G$71,IF(G$105&lt;=TabS!$G$10,G28*$G$72))))))</f>
        <v>0</v>
      </c>
      <c r="H122" s="151">
        <f>IF(H$105&lt;=TabS!$G$5,H28*$G$67,IF(H$105&lt;=TabS!$G$6,H28*$G$68,IF(H$105&lt;=TabS!$G$7,H28*$G$69,IF(H$105&lt;=TabS!$G$8,H28*$G$70,IF(H$105&lt;=TabS!$G$9,H28*$G$71,IF(H$105&lt;=TabS!$G$10,H28*$G$72))))))</f>
        <v>0</v>
      </c>
      <c r="I122" s="151">
        <f>IF(I$105&lt;=TabS!$G$5,I28*$G$67,IF(I$105&lt;=TabS!$G$6,I28*$G$68,IF(I$105&lt;=TabS!$G$7,I28*$G$69,IF(I$105&lt;=TabS!$G$8,I28*$G$70,IF(I$105&lt;=TabS!$G$9,I28*$G$71,IF(I$105&lt;=TabS!$G$10,I28*$G$72))))))</f>
        <v>0</v>
      </c>
      <c r="J122" s="151">
        <f>IF(J$105&lt;=TabS!$G$5,J28*$G$67,IF(J$105&lt;=TabS!$G$6,J28*$G$68,IF(J$105&lt;=TabS!$G$7,J28*$G$69,IF(J$105&lt;=TabS!$G$8,J28*$G$70,IF(J$105&lt;=TabS!$G$9,J28*$G$71,IF(J$105&lt;=TabS!$G$10,J28*$G$72))))))</f>
        <v>0</v>
      </c>
      <c r="K122" s="151">
        <f>IF(K$105&lt;=TabS!$G$5,K28*$G$67,IF(K$105&lt;=TabS!$G$6,K28*$G$68,IF(K$105&lt;=TabS!$G$7,K28*$G$69,IF(K$105&lt;=TabS!$G$8,K28*$G$70,IF(K$105&lt;=TabS!$G$9,K28*$G$71,IF(K$105&lt;=TabS!$G$10,K28*$G$72))))))</f>
        <v>0</v>
      </c>
      <c r="L122" s="151">
        <f>IF(L$105&lt;=TabS!$G$5,L28*$G$67,IF(L$105&lt;=TabS!$G$6,L28*$G$68,IF(L$105&lt;=TabS!$G$7,L28*$G$69,IF(L$105&lt;=TabS!$G$8,L28*$G$70,IF(L$105&lt;=TabS!$G$9,L28*$G$71,IF(L$105&lt;=TabS!$G$10,L28*$G$72))))))</f>
        <v>0</v>
      </c>
      <c r="M122" s="151">
        <f>IF(M$105&lt;=TabS!$G$5,M28*$G$67,IF(M$105&lt;=TabS!$G$6,M28*$G$68,IF(M$105&lt;=TabS!$G$7,M28*$G$69,IF(M$105&lt;=TabS!$G$8,M28*$G$70,IF(M$105&lt;=TabS!$G$9,M28*$G$71,IF(M$105&lt;=TabS!$G$10,M28*$G$72))))))</f>
        <v>0</v>
      </c>
      <c r="N122" s="151">
        <f>IF(N$105&lt;=TabS!$G$5,N28*$G$67,IF(N$105&lt;=TabS!$G$6,N28*$G$68,IF(N$105&lt;=TabS!$G$7,N28*$G$69,IF(N$105&lt;=TabS!$G$8,N28*$G$70,IF(N$105&lt;=TabS!$G$9,N28*$G$71,IF(N$105&lt;=TabS!$G$10,N28*$G$72))))))</f>
        <v>0</v>
      </c>
      <c r="O122" s="152">
        <f t="shared" si="49"/>
        <v>0</v>
      </c>
    </row>
    <row r="123" spans="2:30" ht="20.100000000000001" customHeight="1" x14ac:dyDescent="0.25">
      <c r="B123" s="167" t="s">
        <v>40</v>
      </c>
      <c r="C123" s="151">
        <f>IF(C$105&lt;=TabS!$G$5,C28*$H$67,IF(C$105&lt;=TabS!$G$6,C28*$H$68,IF(C$105&lt;=TabS!$G$7,C28*$H$69,IF(C$105&lt;=TabS!$G$8,C28*$H$70,IF(C$105&lt;=TabS!$G$9,C28*$H$71,IF(C$105&lt;=TabS!$G$10,C28*$H$72))))))</f>
        <v>0</v>
      </c>
      <c r="D123" s="151">
        <f>IF(D$105&lt;=TabS!$G$5,D28*$H$67,IF(D$105&lt;=TabS!$G$6,D28*$H$68,IF(D$105&lt;=TabS!$G$7,D28*$H$69,IF(D$105&lt;=TabS!$G$8,D28*$H$70,IF(D$105&lt;=TabS!$G$9,D28*$H$71,IF(D$105&lt;=TabS!$G$10,D28*$H$72))))))</f>
        <v>0</v>
      </c>
      <c r="E123" s="151">
        <f>IF(E$105&lt;=TabS!$G$5,E28*$H$67,IF(E$105&lt;=TabS!$G$6,E28*$H$68,IF(E$105&lt;=TabS!$G$7,E28*$H$69,IF(E$105&lt;=TabS!$G$8,E28*$H$70,IF(E$105&lt;=TabS!$G$9,E28*$H$71,IF(E$105&lt;=TabS!$G$10,E28*$H$72))))))</f>
        <v>0</v>
      </c>
      <c r="F123" s="151">
        <f>IF(F$105&lt;=TabS!$G$5,F28*$H$67,IF(F$105&lt;=TabS!$G$6,F28*$H$68,IF(F$105&lt;=TabS!$G$7,F28*$H$69,IF(F$105&lt;=TabS!$G$8,F28*$H$70,IF(F$105&lt;=TabS!$G$9,F28*$H$71,IF(F$105&lt;=TabS!$G$10,F28*$H$72))))))</f>
        <v>0</v>
      </c>
      <c r="G123" s="151">
        <f>IF(G$105&lt;=TabS!$G$5,G28*$H$67,IF(G$105&lt;=TabS!$G$6,G28*$H$68,IF(G$105&lt;=TabS!$G$7,G28*$H$69,IF(G$105&lt;=TabS!$G$8,G28*$H$70,IF(G$105&lt;=TabS!$G$9,G28*$H$71,IF(G$105&lt;=TabS!$G$10,G28*$H$72))))))</f>
        <v>0</v>
      </c>
      <c r="H123" s="151">
        <f>IF(H$105&lt;=TabS!$G$5,H28*$H$67,IF(H$105&lt;=TabS!$G$6,H28*$H$68,IF(H$105&lt;=TabS!$G$7,H28*$H$69,IF(H$105&lt;=TabS!$G$8,H28*$H$70,IF(H$105&lt;=TabS!$G$9,H28*$H$71,IF(H$105&lt;=TabS!$G$10,H28*$H$72))))))</f>
        <v>0</v>
      </c>
      <c r="I123" s="151">
        <f>IF(I$105&lt;=TabS!$G$5,I28*$H$67,IF(I$105&lt;=TabS!$G$6,I28*$H$68,IF(I$105&lt;=TabS!$G$7,I28*$H$69,IF(I$105&lt;=TabS!$G$8,I28*$H$70,IF(I$105&lt;=TabS!$G$9,I28*$H$71,IF(I$105&lt;=TabS!$G$10,I28*$H$72))))))</f>
        <v>0</v>
      </c>
      <c r="J123" s="151">
        <f>IF(J$105&lt;=TabS!$G$5,J28*$H$67,IF(J$105&lt;=TabS!$G$6,J28*$H$68,IF(J$105&lt;=TabS!$G$7,J28*$H$69,IF(J$105&lt;=TabS!$G$8,J28*$H$70,IF(J$105&lt;=TabS!$G$9,J28*$H$71,IF(J$105&lt;=TabS!$G$10,J28*$H$72))))))</f>
        <v>0</v>
      </c>
      <c r="K123" s="151">
        <f>IF(K$105&lt;=TabS!$G$5,K28*$H$67,IF(K$105&lt;=TabS!$G$6,K28*$H$68,IF(K$105&lt;=TabS!$G$7,K28*$H$69,IF(K$105&lt;=TabS!$G$8,K28*$H$70,IF(K$105&lt;=TabS!$G$9,K28*$H$71,IF(K$105&lt;=TabS!$G$10,K28*$H$72))))))</f>
        <v>0</v>
      </c>
      <c r="L123" s="151">
        <f>IF(L$105&lt;=TabS!$G$5,L28*$H$67,IF(L$105&lt;=TabS!$G$6,L28*$H$68,IF(L$105&lt;=TabS!$G$7,L28*$H$69,IF(L$105&lt;=TabS!$G$8,L28*$H$70,IF(L$105&lt;=TabS!$G$9,L28*$H$71,IF(L$105&lt;=TabS!$G$10,L28*$H$72))))))</f>
        <v>0</v>
      </c>
      <c r="M123" s="151">
        <f>IF(M$105&lt;=TabS!$G$5,M28*$H$67,IF(M$105&lt;=TabS!$G$6,M28*$H$68,IF(M$105&lt;=TabS!$G$7,M28*$H$69,IF(M$105&lt;=TabS!$G$8,M28*$H$70,IF(M$105&lt;=TabS!$G$9,M28*$H$71,IF(M$105&lt;=TabS!$G$10,M28*$H$72))))))</f>
        <v>0</v>
      </c>
      <c r="N123" s="151">
        <f>IF(N$105&lt;=TabS!$G$5,N28*$H$67,IF(N$105&lt;=TabS!$G$6,N28*$H$68,IF(N$105&lt;=TabS!$G$7,N28*$H$69,IF(N$105&lt;=TabS!$G$8,N28*$H$70,IF(N$105&lt;=TabS!$G$9,N28*$H$71,IF(N$105&lt;=TabS!$G$10,N28*$H$72))))))</f>
        <v>0</v>
      </c>
      <c r="O123" s="152">
        <f t="shared" si="49"/>
        <v>0</v>
      </c>
    </row>
    <row r="124" spans="2:30" ht="20.100000000000001" customHeight="1" x14ac:dyDescent="0.25">
      <c r="B124" s="167" t="s">
        <v>38</v>
      </c>
      <c r="C124" s="151">
        <f>IF(C$105&lt;=TabS!$G$5,C28*$I$67,IF(C$105&lt;=TabS!$G$6,C28*$I$68,IF(C$105&lt;=TabS!$G$7,C28*$I$69,IF(C$105&lt;=TabS!$G$8,C28*$I$70,IF(C$105&lt;=TabS!$G$9,C28*$I$71,IF(C$105&lt;=TabS!$G$10,C28*$I$72))))))</f>
        <v>0</v>
      </c>
      <c r="D124" s="151">
        <f>IF(D$105&lt;=TabS!$G$5,D28*$I$67,IF(D$105&lt;=TabS!$G$6,D28*$I$68,IF(D$105&lt;=TabS!$G$7,D28*$I$69,IF(D$105&lt;=TabS!$G$8,D28*$I$70,IF(D$105&lt;=TabS!$G$9,D28*$I$71,IF(D$105&lt;=TabS!$G$10,D28*$I$72))))))</f>
        <v>0</v>
      </c>
      <c r="E124" s="151">
        <f>IF(E$105&lt;=TabS!$G$5,E28*$I$67,IF(E$105&lt;=TabS!$G$6,E28*$I$68,IF(E$105&lt;=TabS!$G$7,E28*$I$69,IF(E$105&lt;=TabS!$G$8,E28*$I$70,IF(E$105&lt;=TabS!$G$9,E28*$I$71,IF(E$105&lt;=TabS!$G$10,E28*$I$72))))))</f>
        <v>0</v>
      </c>
      <c r="F124" s="151">
        <f>IF(F$105&lt;=TabS!$G$5,F28*$I$67,IF(F$105&lt;=TabS!$G$6,F28*$I$68,IF(F$105&lt;=TabS!$G$7,F28*$I$69,IF(F$105&lt;=TabS!$G$8,F28*$I$70,IF(F$105&lt;=TabS!$G$9,F28*$I$71,IF(F$105&lt;=TabS!$G$10,F28*$I$72))))))</f>
        <v>0</v>
      </c>
      <c r="G124" s="151">
        <f>IF(G$105&lt;=TabS!$G$5,G28*$I$67,IF(G$105&lt;=TabS!$G$6,G28*$I$68,IF(G$105&lt;=TabS!$G$7,G28*$I$69,IF(G$105&lt;=TabS!$G$8,G28*$I$70,IF(G$105&lt;=TabS!$G$9,G28*$I$71,IF(G$105&lt;=TabS!$G$10,G28*$I$72))))))</f>
        <v>0</v>
      </c>
      <c r="H124" s="151">
        <f>IF(H$105&lt;=TabS!$G$5,H28*$I$67,IF(H$105&lt;=TabS!$G$6,H28*$I$68,IF(H$105&lt;=TabS!$G$7,H28*$I$69,IF(H$105&lt;=TabS!$G$8,H28*$I$70,IF(H$105&lt;=TabS!$G$9,H28*$I$71,IF(H$105&lt;=TabS!$G$10,H28*$I$72))))))</f>
        <v>0</v>
      </c>
      <c r="I124" s="151">
        <f>IF(I$105&lt;=TabS!$G$5,I28*$I$67,IF(I$105&lt;=TabS!$G$6,I28*$I$68,IF(I$105&lt;=TabS!$G$7,I28*$I$69,IF(I$105&lt;=TabS!$G$8,I28*$I$70,IF(I$105&lt;=TabS!$G$9,I28*$I$71,IF(I$105&lt;=TabS!$G$10,I28*$I$72))))))</f>
        <v>0</v>
      </c>
      <c r="J124" s="151">
        <f>IF(J$105&lt;=TabS!$G$5,J28*$I$67,IF(J$105&lt;=TabS!$G$6,J28*$I$68,IF(J$105&lt;=TabS!$G$7,J28*$I$69,IF(J$105&lt;=TabS!$G$8,J28*$I$70,IF(J$105&lt;=TabS!$G$9,J28*$I$71,IF(J$105&lt;=TabS!$G$10,J28*$I$72))))))</f>
        <v>0</v>
      </c>
      <c r="K124" s="151">
        <f>IF(K$105&lt;=TabS!$G$5,K28*$I$67,IF(K$105&lt;=TabS!$G$6,K28*$I$68,IF(K$105&lt;=TabS!$G$7,K28*$I$69,IF(K$105&lt;=TabS!$G$8,K28*$I$70,IF(K$105&lt;=TabS!$G$9,K28*$I$71,IF(K$105&lt;=TabS!$G$10,K28*$I$72))))))</f>
        <v>0</v>
      </c>
      <c r="L124" s="151">
        <f>IF(L$105&lt;=TabS!$G$5,L28*$I$67,IF(L$105&lt;=TabS!$G$6,L28*$I$68,IF(L$105&lt;=TabS!$G$7,L28*$I$69,IF(L$105&lt;=TabS!$G$8,L28*$I$70,IF(L$105&lt;=TabS!$G$9,L28*$I$71,IF(L$105&lt;=TabS!$G$10,L28*$I$72))))))</f>
        <v>0</v>
      </c>
      <c r="M124" s="151">
        <f>IF(M$105&lt;=TabS!$G$5,M28*$I$67,IF(M$105&lt;=TabS!$G$6,M28*$I$68,IF(M$105&lt;=TabS!$G$7,M28*$I$69,IF(M$105&lt;=TabS!$G$8,M28*$I$70,IF(M$105&lt;=TabS!$G$9,M28*$I$71,IF(M$105&lt;=TabS!$G$10,M28*$I$72))))))</f>
        <v>0</v>
      </c>
      <c r="N124" s="151">
        <f>IF(N$105&lt;=TabS!$G$5,N28*$I$67,IF(N$105&lt;=TabS!$G$6,N28*$I$68,IF(N$105&lt;=TabS!$G$7,N28*$I$69,IF(N$105&lt;=TabS!$G$8,N28*$I$70,IF(N$105&lt;=TabS!$G$9,N28*$I$71,IF(N$105&lt;=TabS!$G$10,N28*$I$72))))))</f>
        <v>0</v>
      </c>
      <c r="O124" s="152">
        <f t="shared" si="49"/>
        <v>0</v>
      </c>
    </row>
    <row r="125" spans="2:30" ht="20.100000000000001" customHeight="1" x14ac:dyDescent="0.25">
      <c r="B125" s="168" t="s">
        <v>99</v>
      </c>
      <c r="C125" s="152">
        <f>SUM(C118:C124)</f>
        <v>0</v>
      </c>
      <c r="D125" s="152">
        <f t="shared" ref="D125:N125" si="51">SUM(D118:D124)</f>
        <v>0</v>
      </c>
      <c r="E125" s="152">
        <f t="shared" si="51"/>
        <v>0</v>
      </c>
      <c r="F125" s="152">
        <f t="shared" si="51"/>
        <v>0</v>
      </c>
      <c r="G125" s="152">
        <f t="shared" si="51"/>
        <v>0</v>
      </c>
      <c r="H125" s="152">
        <f t="shared" si="51"/>
        <v>0</v>
      </c>
      <c r="I125" s="152">
        <f t="shared" si="51"/>
        <v>0</v>
      </c>
      <c r="J125" s="152">
        <f t="shared" si="51"/>
        <v>0</v>
      </c>
      <c r="K125" s="152">
        <f t="shared" si="51"/>
        <v>0</v>
      </c>
      <c r="L125" s="152">
        <f t="shared" si="51"/>
        <v>0</v>
      </c>
      <c r="M125" s="152">
        <f t="shared" si="51"/>
        <v>0</v>
      </c>
      <c r="N125" s="152">
        <f t="shared" si="51"/>
        <v>0</v>
      </c>
      <c r="O125" s="152">
        <f t="shared" si="49"/>
        <v>0</v>
      </c>
    </row>
    <row r="126" spans="2:30" ht="20.100000000000001" customHeight="1" x14ac:dyDescent="0.25">
      <c r="B126" s="164" t="s">
        <v>75</v>
      </c>
    </row>
    <row r="127" spans="2:30" ht="20.100000000000001" customHeight="1" x14ac:dyDescent="0.25">
      <c r="B127" s="149" t="s">
        <v>82</v>
      </c>
      <c r="C127" s="149" t="s">
        <v>83</v>
      </c>
      <c r="D127" s="149" t="s">
        <v>84</v>
      </c>
      <c r="E127" s="149" t="s">
        <v>85</v>
      </c>
      <c r="F127" s="149" t="s">
        <v>86</v>
      </c>
      <c r="G127" s="149" t="s">
        <v>87</v>
      </c>
      <c r="H127" s="149" t="s">
        <v>88</v>
      </c>
      <c r="I127" s="149" t="s">
        <v>89</v>
      </c>
      <c r="J127" s="149" t="s">
        <v>90</v>
      </c>
      <c r="K127" s="149" t="s">
        <v>91</v>
      </c>
      <c r="L127" s="149" t="s">
        <v>92</v>
      </c>
      <c r="M127" s="149" t="s">
        <v>93</v>
      </c>
      <c r="N127" s="149" t="s">
        <v>94</v>
      </c>
      <c r="O127" s="149" t="s">
        <v>95</v>
      </c>
    </row>
    <row r="128" spans="2:30" ht="20.100000000000001" customHeight="1" x14ac:dyDescent="0.25">
      <c r="B128" s="167" t="s">
        <v>97</v>
      </c>
      <c r="C128" s="151">
        <f>IF(C$167&gt;$C$168,C180,IF(C$105&lt;=TabS!$G$5,C35*$C$77,IF(C$105&lt;=TabS!$G$6,C35*$C$78,IF(C$105&lt;=TabS!$G$7,C35*$C$79,IF(C$105&lt;=TabS!$G$8,C35*$C$80,IF(C$105&lt;=TabS!$G$9,C35*$C$81,IF(C$105&lt;=TabS!$G$10,C35*$C$82)))))))</f>
        <v>0</v>
      </c>
      <c r="D128" s="151">
        <f>IF(D$167&gt;$C$168,D180,IF(D$105&lt;=TabS!$G$5,D35*$C$77,IF(D$105&lt;=TabS!$G$6,D35*$C$78,IF(D$105&lt;=TabS!$G$7,D35*$C$79,IF(D$105&lt;=TabS!$G$8,D35*$C$80,IF(D$105&lt;=TabS!$G$9,D35*$C$81,IF(D$105&lt;=TabS!$G$10,D35*$C$82)))))))</f>
        <v>0</v>
      </c>
      <c r="E128" s="151">
        <f>IF(E$167&gt;$C$168,E180,IF(E$105&lt;=TabS!$G$5,E35*$C$77,IF(E$105&lt;=TabS!$G$6,E35*$C$78,IF(E$105&lt;=TabS!$G$7,E35*$C$79,IF(E$105&lt;=TabS!$G$8,E35*$C$80,IF(E$105&lt;=TabS!$G$9,E35*$C$81,IF(E$105&lt;=TabS!$G$10,E35*$C$82)))))))</f>
        <v>0</v>
      </c>
      <c r="F128" s="151">
        <f>IF(F$167&gt;$C$168,F180,IF(F$105&lt;=TabS!$G$5,F35*$C$77,IF(F$105&lt;=TabS!$G$6,F35*$C$78,IF(F$105&lt;=TabS!$G$7,F35*$C$79,IF(F$105&lt;=TabS!$G$8,F35*$C$80,IF(F$105&lt;=TabS!$G$9,F35*$C$81,IF(F$105&lt;=TabS!$G$10,F35*$C$82)))))))</f>
        <v>0</v>
      </c>
      <c r="G128" s="151">
        <f>IF(G$167&gt;$C$168,G180,IF(G$105&lt;=TabS!$G$5,G35*$C$77,IF(G$105&lt;=TabS!$G$6,G35*$C$78,IF(G$105&lt;=TabS!$G$7,G35*$C$79,IF(G$105&lt;=TabS!$G$8,G35*$C$80,IF(G$105&lt;=TabS!$G$9,G35*$C$81,IF(G$105&lt;=TabS!$G$10,G35*$C$82)))))))</f>
        <v>0</v>
      </c>
      <c r="H128" s="151">
        <f>IF(H$167&gt;$C$168,H180,IF(H$105&lt;=TabS!$G$5,H35*$C$77,IF(H$105&lt;=TabS!$G$6,H35*$C$78,IF(H$105&lt;=TabS!$G$7,H35*$C$79,IF(H$105&lt;=TabS!$G$8,H35*$C$80,IF(H$105&lt;=TabS!$G$9,H35*$C$81,IF(H$105&lt;=TabS!$G$10,H35*$C$82)))))))</f>
        <v>0</v>
      </c>
      <c r="I128" s="151">
        <f>IF(I$167&gt;$C$168,I180,IF(I$105&lt;=TabS!$G$5,I35*$C$77,IF(I$105&lt;=TabS!$G$6,I35*$C$78,IF(I$105&lt;=TabS!$G$7,I35*$C$79,IF(I$105&lt;=TabS!$G$8,I35*$C$80,IF(I$105&lt;=TabS!$G$9,I35*$C$81,IF(I$105&lt;=TabS!$G$10,I35*$C$82)))))))</f>
        <v>0</v>
      </c>
      <c r="J128" s="151">
        <f>IF(J$167&gt;$C$168,J180,IF(J$105&lt;=TabS!$G$5,J35*$C$77,IF(J$105&lt;=TabS!$G$6,J35*$C$78,IF(J$105&lt;=TabS!$G$7,J35*$C$79,IF(J$105&lt;=TabS!$G$8,J35*$C$80,IF(J$105&lt;=TabS!$G$9,J35*$C$81,IF(J$105&lt;=TabS!$G$10,J35*$C$82)))))))</f>
        <v>0</v>
      </c>
      <c r="K128" s="151">
        <f>IF(K$167&gt;$C$168,K180,IF(K$105&lt;=TabS!$G$5,K35*$C$77,IF(K$105&lt;=TabS!$G$6,K35*$C$78,IF(K$105&lt;=TabS!$G$7,K35*$C$79,IF(K$105&lt;=TabS!$G$8,K35*$C$80,IF(K$105&lt;=TabS!$G$9,K35*$C$81,IF(K$105&lt;=TabS!$G$10,K35*$C$82)))))))</f>
        <v>0</v>
      </c>
      <c r="L128" s="151">
        <f>IF(L$167&gt;$C$168,L180,IF(L$105&lt;=TabS!$G$5,L35*$C$77,IF(L$105&lt;=TabS!$G$6,L35*$C$78,IF(L$105&lt;=TabS!$G$7,L35*$C$79,IF(L$105&lt;=TabS!$G$8,L35*$C$80,IF(L$105&lt;=TabS!$G$9,L35*$C$81,IF(L$105&lt;=TabS!$G$10,L35*$C$82)))))))</f>
        <v>0</v>
      </c>
      <c r="M128" s="151">
        <f>IF(M$167&gt;$C$168,M180,IF(M$105&lt;=TabS!$G$5,M35*$C$77,IF(M$105&lt;=TabS!$G$6,M35*$C$78,IF(M$105&lt;=TabS!$G$7,M35*$C$79,IF(M$105&lt;=TabS!$G$8,M35*$C$80,IF(M$105&lt;=TabS!$G$9,M35*$C$81,IF(M$105&lt;=TabS!$G$10,M35*$C$82)))))))</f>
        <v>0</v>
      </c>
      <c r="N128" s="151">
        <f>IF(N$167&gt;$C$168,N180,IF(N$105&lt;=TabS!$G$5,N35*$C$77,IF(N$105&lt;=TabS!$G$6,N35*$C$78,IF(N$105&lt;=TabS!$G$7,N35*$C$79,IF(N$105&lt;=TabS!$G$8,N35*$C$80,IF(N$105&lt;=TabS!$G$9,N35*$C$81,IF(N$105&lt;=TabS!$G$10,N35*$C$82)))))))</f>
        <v>0</v>
      </c>
      <c r="O128" s="152">
        <f t="shared" ref="O128:O134" si="52">SUM(C128:N128)</f>
        <v>0</v>
      </c>
    </row>
    <row r="129" spans="2:15" ht="20.100000000000001" customHeight="1" x14ac:dyDescent="0.25">
      <c r="B129" s="167" t="s">
        <v>98</v>
      </c>
      <c r="C129" s="151">
        <f>IF(C$167&gt;$C$168,C181,IF(C$105&lt;=TabS!$G$5,C35*$D$77,IF(C$105&lt;=TabS!$G$6,C35*$D$78,IF(C$105&lt;=TabS!$G$7,C35*$D$79,IF(C$105&lt;=TabS!$G$8,C35*$D$80,IF(C$105&lt;=TabS!$G$9,C35*$D$81,IF(C$105&lt;=TabS!$G$10,C35*$D$82)))))))</f>
        <v>0</v>
      </c>
      <c r="D129" s="151">
        <f>IF(D$167&gt;$C$168,D181,IF(D$105&lt;=TabS!$G$5,D35*$D$77,IF(D$105&lt;=TabS!$G$6,D35*$D$78,IF(D$105&lt;=TabS!$G$7,D35*$D$79,IF(D$105&lt;=TabS!$G$8,D35*$D$80,IF(D$105&lt;=TabS!$G$9,D35*$D$81,IF(D$105&lt;=TabS!$G$10,D35*$D$82)))))))</f>
        <v>0</v>
      </c>
      <c r="E129" s="151">
        <f>IF(E$167&gt;$C$168,E181,IF(E$105&lt;=TabS!$G$5,E35*$D$77,IF(E$105&lt;=TabS!$G$6,E35*$D$78,IF(E$105&lt;=TabS!$G$7,E35*$D$79,IF(E$105&lt;=TabS!$G$8,E35*$D$80,IF(E$105&lt;=TabS!$G$9,E35*$D$81,IF(E$105&lt;=TabS!$G$10,E35*$D$82)))))))</f>
        <v>0</v>
      </c>
      <c r="F129" s="151">
        <f>IF(F$167&gt;$C$168,F181,IF(F$105&lt;=TabS!$G$5,F35*$D$77,IF(F$105&lt;=TabS!$G$6,F35*$D$78,IF(F$105&lt;=TabS!$G$7,F35*$D$79,IF(F$105&lt;=TabS!$G$8,F35*$D$80,IF(F$105&lt;=TabS!$G$9,F35*$D$81,IF(F$105&lt;=TabS!$G$10,F35*$D$82)))))))</f>
        <v>0</v>
      </c>
      <c r="G129" s="151">
        <f>IF(G$167&gt;$C$168,G181,IF(G$105&lt;=TabS!$G$5,G35*$D$77,IF(G$105&lt;=TabS!$G$6,G35*$D$78,IF(G$105&lt;=TabS!$G$7,G35*$D$79,IF(G$105&lt;=TabS!$G$8,G35*$D$80,IF(G$105&lt;=TabS!$G$9,G35*$D$81,IF(G$105&lt;=TabS!$G$10,G35*$D$82)))))))</f>
        <v>0</v>
      </c>
      <c r="H129" s="151">
        <f>IF(H$167&gt;$C$168,H181,IF(H$105&lt;=TabS!$G$5,H35*$D$77,IF(H$105&lt;=TabS!$G$6,H35*$D$78,IF(H$105&lt;=TabS!$G$7,H35*$D$79,IF(H$105&lt;=TabS!$G$8,H35*$D$80,IF(H$105&lt;=TabS!$G$9,H35*$D$81,IF(H$105&lt;=TabS!$G$10,H35*$D$82)))))))</f>
        <v>0</v>
      </c>
      <c r="I129" s="151">
        <f>IF(I$167&gt;$C$168,I181,IF(I$105&lt;=TabS!$G$5,I35*$D$77,IF(I$105&lt;=TabS!$G$6,I35*$D$78,IF(I$105&lt;=TabS!$G$7,I35*$D$79,IF(I$105&lt;=TabS!$G$8,I35*$D$80,IF(I$105&lt;=TabS!$G$9,I35*$D$81,IF(I$105&lt;=TabS!$G$10,I35*$D$82)))))))</f>
        <v>0</v>
      </c>
      <c r="J129" s="151">
        <f>IF(J$167&gt;$C$168,J181,IF(J$105&lt;=TabS!$G$5,J35*$D$77,IF(J$105&lt;=TabS!$G$6,J35*$D$78,IF(J$105&lt;=TabS!$G$7,J35*$D$79,IF(J$105&lt;=TabS!$G$8,J35*$D$80,IF(J$105&lt;=TabS!$G$9,J35*$D$81,IF(J$105&lt;=TabS!$G$10,J35*$D$82)))))))</f>
        <v>0</v>
      </c>
      <c r="K129" s="151">
        <f>IF(K$167&gt;$C$168,K181,IF(K$105&lt;=TabS!$G$5,K35*$D$77,IF(K$105&lt;=TabS!$G$6,K35*$D$78,IF(K$105&lt;=TabS!$G$7,K35*$D$79,IF(K$105&lt;=TabS!$G$8,K35*$D$80,IF(K$105&lt;=TabS!$G$9,K35*$D$81,IF(K$105&lt;=TabS!$G$10,K35*$D$82)))))))</f>
        <v>0</v>
      </c>
      <c r="L129" s="151">
        <f>IF(L$167&gt;$C$168,L181,IF(L$105&lt;=TabS!$G$5,L35*$D$77,IF(L$105&lt;=TabS!$G$6,L35*$D$78,IF(L$105&lt;=TabS!$G$7,L35*$D$79,IF(L$105&lt;=TabS!$G$8,L35*$D$80,IF(L$105&lt;=TabS!$G$9,L35*$D$81,IF(L$105&lt;=TabS!$G$10,L35*$D$82)))))))</f>
        <v>0</v>
      </c>
      <c r="M129" s="151">
        <f>IF(M$167&gt;$C$168,M181,IF(M$105&lt;=TabS!$G$5,M35*$D$77,IF(M$105&lt;=TabS!$G$6,M35*$D$78,IF(M$105&lt;=TabS!$G$7,M35*$D$79,IF(M$105&lt;=TabS!$G$8,M35*$D$80,IF(M$105&lt;=TabS!$G$9,M35*$D$81,IF(M$105&lt;=TabS!$G$10,M35*$D$82)))))))</f>
        <v>0</v>
      </c>
      <c r="N129" s="151">
        <f>IF(N$167&gt;$C$168,N181,IF(N$105&lt;=TabS!$G$5,N35*$D$77,IF(N$105&lt;=TabS!$G$6,N35*$D$78,IF(N$105&lt;=TabS!$G$7,N35*$D$79,IF(N$105&lt;=TabS!$G$8,N35*$D$80,IF(N$105&lt;=TabS!$G$9,N35*$D$81,IF(N$105&lt;=TabS!$G$10,N35*$D$82)))))))</f>
        <v>0</v>
      </c>
      <c r="O129" s="152">
        <f t="shared" si="52"/>
        <v>0</v>
      </c>
    </row>
    <row r="130" spans="2:15" ht="20.100000000000001" customHeight="1" x14ac:dyDescent="0.25">
      <c r="B130" s="167" t="s">
        <v>39</v>
      </c>
      <c r="C130" s="151">
        <f>IF(C$167&gt;$C$168,C182,IF(C$105&lt;=TabS!$G$5,C35*$E$77,IF(C$105&lt;=TabS!$G$6,C35*$E$78,IF(C$105&lt;=TabS!$G$7,C35*$E$79,IF(C$105&lt;=TabS!$G$8,C35*$E$80,IF(C$105&lt;=TabS!$G$9,C35*$E$81,IF(C$105&lt;=TabS!$G$10,C35*$E$82)))))))</f>
        <v>0</v>
      </c>
      <c r="D130" s="151">
        <f>IF(D$167&gt;$C$168,D182,IF(D$105&lt;=TabS!$G$5,D35*$E$77,IF(D$105&lt;=TabS!$G$6,D35*$E$78,IF(D$105&lt;=TabS!$G$7,D35*$E$79,IF(D$105&lt;=TabS!$G$8,D35*$E$80,IF(D$105&lt;=TabS!$G$9,D35*$E$81,IF(D$105&lt;=TabS!$G$10,D35*$E$82)))))))</f>
        <v>0</v>
      </c>
      <c r="E130" s="151">
        <f>IF(E$167&gt;$C$168,E182,IF(E$105&lt;=TabS!$G$5,E35*$E$77,IF(E$105&lt;=TabS!$G$6,E35*$E$78,IF(E$105&lt;=TabS!$G$7,E35*$E$79,IF(E$105&lt;=TabS!$G$8,E35*$E$80,IF(E$105&lt;=TabS!$G$9,E35*$E$81,IF(E$105&lt;=TabS!$G$10,E35*$E$82)))))))</f>
        <v>0</v>
      </c>
      <c r="F130" s="151">
        <f>IF(F$167&gt;$C$168,F182,IF(F$105&lt;=TabS!$G$5,F35*$E$77,IF(F$105&lt;=TabS!$G$6,F35*$E$78,IF(F$105&lt;=TabS!$G$7,F35*$E$79,IF(F$105&lt;=TabS!$G$8,F35*$E$80,IF(F$105&lt;=TabS!$G$9,F35*$E$81,IF(F$105&lt;=TabS!$G$10,F35*$E$82)))))))</f>
        <v>0</v>
      </c>
      <c r="G130" s="151">
        <f>IF(G$167&gt;$C$168,G182,IF(G$105&lt;=TabS!$G$5,G35*$E$77,IF(G$105&lt;=TabS!$G$6,G35*$E$78,IF(G$105&lt;=TabS!$G$7,G35*$E$79,IF(G$105&lt;=TabS!$G$8,G35*$E$80,IF(G$105&lt;=TabS!$G$9,G35*$E$81,IF(G$105&lt;=TabS!$G$10,G35*$E$82)))))))</f>
        <v>0</v>
      </c>
      <c r="H130" s="151">
        <f>IF(H$167&gt;$C$168,H182,IF(H$105&lt;=TabS!$G$5,H35*$E$77,IF(H$105&lt;=TabS!$G$6,H35*$E$78,IF(H$105&lt;=TabS!$G$7,H35*$E$79,IF(H$105&lt;=TabS!$G$8,H35*$E$80,IF(H$105&lt;=TabS!$G$9,H35*$E$81,IF(H$105&lt;=TabS!$G$10,H35*$E$82)))))))</f>
        <v>0</v>
      </c>
      <c r="I130" s="151">
        <f>IF(I$167&gt;$C$168,I182,IF(I$105&lt;=TabS!$G$5,I35*$E$77,IF(I$105&lt;=TabS!$G$6,I35*$E$78,IF(I$105&lt;=TabS!$G$7,I35*$E$79,IF(I$105&lt;=TabS!$G$8,I35*$E$80,IF(I$105&lt;=TabS!$G$9,I35*$E$81,IF(I$105&lt;=TabS!$G$10,I35*$E$82)))))))</f>
        <v>0</v>
      </c>
      <c r="J130" s="151">
        <f>IF(J$167&gt;$C$168,J182,IF(J$105&lt;=TabS!$G$5,J35*$E$77,IF(J$105&lt;=TabS!$G$6,J35*$E$78,IF(J$105&lt;=TabS!$G$7,J35*$E$79,IF(J$105&lt;=TabS!$G$8,J35*$E$80,IF(J$105&lt;=TabS!$G$9,J35*$E$81,IF(J$105&lt;=TabS!$G$10,J35*$E$82)))))))</f>
        <v>0</v>
      </c>
      <c r="K130" s="151">
        <f>IF(K$167&gt;$C$168,K182,IF(K$105&lt;=TabS!$G$5,K35*$E$77,IF(K$105&lt;=TabS!$G$6,K35*$E$78,IF(K$105&lt;=TabS!$G$7,K35*$E$79,IF(K$105&lt;=TabS!$G$8,K35*$E$80,IF(K$105&lt;=TabS!$G$9,K35*$E$81,IF(K$105&lt;=TabS!$G$10,K35*$E$82)))))))</f>
        <v>0</v>
      </c>
      <c r="L130" s="151">
        <f>IF(L$167&gt;$C$168,L182,IF(L$105&lt;=TabS!$G$5,L35*$E$77,IF(L$105&lt;=TabS!$G$6,L35*$E$78,IF(L$105&lt;=TabS!$G$7,L35*$E$79,IF(L$105&lt;=TabS!$G$8,L35*$E$80,IF(L$105&lt;=TabS!$G$9,L35*$E$81,IF(L$105&lt;=TabS!$G$10,L35*$E$82)))))))</f>
        <v>0</v>
      </c>
      <c r="M130" s="151">
        <f>IF(M$167&gt;$C$168,M182,IF(M$105&lt;=TabS!$G$5,M35*$E$77,IF(M$105&lt;=TabS!$G$6,M35*$E$78,IF(M$105&lt;=TabS!$G$7,M35*$E$79,IF(M$105&lt;=TabS!$G$8,M35*$E$80,IF(M$105&lt;=TabS!$G$9,M35*$E$81,IF(M$105&lt;=TabS!$G$10,M35*$E$82)))))))</f>
        <v>0</v>
      </c>
      <c r="N130" s="151">
        <f>IF(N$167&gt;$C$168,N182,IF(N$105&lt;=TabS!$G$5,N35*$E$77,IF(N$105&lt;=TabS!$G$6,N35*$E$78,IF(N$105&lt;=TabS!$G$7,N35*$E$79,IF(N$105&lt;=TabS!$G$8,N35*$E$80,IF(N$105&lt;=TabS!$G$9,N35*$E$81,IF(N$105&lt;=TabS!$G$10,N35*$E$82)))))))</f>
        <v>0</v>
      </c>
      <c r="O130" s="152">
        <f>SUM(C130:N130)</f>
        <v>0</v>
      </c>
    </row>
    <row r="131" spans="2:15" ht="20.100000000000001" customHeight="1" x14ac:dyDescent="0.25">
      <c r="B131" s="167" t="s">
        <v>129</v>
      </c>
      <c r="C131" s="151">
        <f>IF(C$167&gt;$C$168,C183,IF(C$105&lt;=TabS!$G$5,C35*$F$77,IF(C$105&lt;=TabS!$G$6,C35*$F$78,IF(C$105&lt;=TabS!$G$7,C35*$F$79,IF(C$105&lt;=TabS!$G$8,C35*$F$80,IF(C$105&lt;=TabS!$G$9,C35*$F$81,IF(C$105&lt;=TabS!$G$10,C35*$F$82)))))))</f>
        <v>0</v>
      </c>
      <c r="D131" s="151">
        <f>IF(D$167&gt;$C$168,D183,IF(D$105&lt;=TabS!$G$5,D35*$F$77,IF(D$105&lt;=TabS!$G$6,D35*$F$78,IF(D$105&lt;=TabS!$G$7,D35*$F$79,IF(D$105&lt;=TabS!$G$8,D35*$F$80,IF(D$105&lt;=TabS!$G$9,D35*$F$81,IF(D$105&lt;=TabS!$G$10,D35*$F$82)))))))</f>
        <v>0</v>
      </c>
      <c r="E131" s="151">
        <f>IF(E$167&gt;$C$168,E183,IF(E$105&lt;=TabS!$G$5,E35*$F$77,IF(E$105&lt;=TabS!$G$6,E35*$F$78,IF(E$105&lt;=TabS!$G$7,E35*$F$79,IF(E$105&lt;=TabS!$G$8,E35*$F$80,IF(E$105&lt;=TabS!$G$9,E35*$F$81,IF(E$105&lt;=TabS!$G$10,E35*$F$82)))))))</f>
        <v>0</v>
      </c>
      <c r="F131" s="151">
        <f>IF(F$167&gt;$C$168,F183,IF(F$105&lt;=TabS!$G$5,F35*$F$77,IF(F$105&lt;=TabS!$G$6,F35*$F$78,IF(F$105&lt;=TabS!$G$7,F35*$F$79,IF(F$105&lt;=TabS!$G$8,F35*$F$80,IF(F$105&lt;=TabS!$G$9,F35*$F$81,IF(F$105&lt;=TabS!$G$10,F35*$F$82)))))))</f>
        <v>0</v>
      </c>
      <c r="G131" s="151">
        <f>IF(G$167&gt;$C$168,G183,IF(G$105&lt;=TabS!$G$5,G35*$F$77,IF(G$105&lt;=TabS!$G$6,G35*$F$78,IF(G$105&lt;=TabS!$G$7,G35*$F$79,IF(G$105&lt;=TabS!$G$8,G35*$F$80,IF(G$105&lt;=TabS!$G$9,G35*$F$81,IF(G$105&lt;=TabS!$G$10,G35*$F$82)))))))</f>
        <v>0</v>
      </c>
      <c r="H131" s="151">
        <f>IF(H$167&gt;$C$168,H183,IF(H$105&lt;=TabS!$G$5,H35*$F$77,IF(H$105&lt;=TabS!$G$6,H35*$F$78,IF(H$105&lt;=TabS!$G$7,H35*$F$79,IF(H$105&lt;=TabS!$G$8,H35*$F$80,IF(H$105&lt;=TabS!$G$9,H35*$F$81,IF(H$105&lt;=TabS!$G$10,H35*$F$82)))))))</f>
        <v>0</v>
      </c>
      <c r="I131" s="151">
        <f>IF(I$167&gt;$C$168,I183,IF(I$105&lt;=TabS!$G$5,I35*$F$77,IF(I$105&lt;=TabS!$G$6,I35*$F$78,IF(I$105&lt;=TabS!$G$7,I35*$F$79,IF(I$105&lt;=TabS!$G$8,I35*$F$80,IF(I$105&lt;=TabS!$G$9,I35*$F$81,IF(I$105&lt;=TabS!$G$10,I35*$F$82)))))))</f>
        <v>0</v>
      </c>
      <c r="J131" s="151">
        <f>IF(J$167&gt;$C$168,J183,IF(J$105&lt;=TabS!$G$5,J35*$F$77,IF(J$105&lt;=TabS!$G$6,J35*$F$78,IF(J$105&lt;=TabS!$G$7,J35*$F$79,IF(J$105&lt;=TabS!$G$8,J35*$F$80,IF(J$105&lt;=TabS!$G$9,J35*$F$81,IF(J$105&lt;=TabS!$G$10,J35*$F$82)))))))</f>
        <v>0</v>
      </c>
      <c r="K131" s="151">
        <f>IF(K$167&gt;$C$168,K183,IF(K$105&lt;=TabS!$G$5,K35*$F$77,IF(K$105&lt;=TabS!$G$6,K35*$F$78,IF(K$105&lt;=TabS!$G$7,K35*$F$79,IF(K$105&lt;=TabS!$G$8,K35*$F$80,IF(K$105&lt;=TabS!$G$9,K35*$F$81,IF(K$105&lt;=TabS!$G$10,K35*$F$82)))))))</f>
        <v>0</v>
      </c>
      <c r="L131" s="151">
        <f>IF(L$167&gt;$C$168,L183,IF(L$105&lt;=TabS!$G$5,L35*$F$77,IF(L$105&lt;=TabS!$G$6,L35*$F$78,IF(L$105&lt;=TabS!$G$7,L35*$F$79,IF(L$105&lt;=TabS!$G$8,L35*$F$80,IF(L$105&lt;=TabS!$G$9,L35*$F$81,IF(L$105&lt;=TabS!$G$10,L35*$F$82)))))))</f>
        <v>0</v>
      </c>
      <c r="M131" s="151">
        <f>IF(M$167&gt;$C$168,M183,IF(M$105&lt;=TabS!$G$5,M35*$F$77,IF(M$105&lt;=TabS!$G$6,M35*$F$78,IF(M$105&lt;=TabS!$G$7,M35*$F$79,IF(M$105&lt;=TabS!$G$8,M35*$F$80,IF(M$105&lt;=TabS!$G$9,M35*$F$81,IF(M$105&lt;=TabS!$G$10,M35*$F$82)))))))</f>
        <v>0</v>
      </c>
      <c r="N131" s="151">
        <f>IF(N$167&gt;$C$168,N183,IF(N$105&lt;=TabS!$G$5,N35*$F$77,IF(N$105&lt;=TabS!$G$6,N35*$F$78,IF(N$105&lt;=TabS!$G$7,N35*$F$79,IF(N$105&lt;=TabS!$G$8,N35*$F$80,IF(N$105&lt;=TabS!$G$9,N35*$F$81,IF(N$105&lt;=TabS!$G$10,N35*$F$82)))))))</f>
        <v>0</v>
      </c>
      <c r="O131" s="152">
        <f t="shared" si="52"/>
        <v>0</v>
      </c>
    </row>
    <row r="132" spans="2:15" ht="20.100000000000001" customHeight="1" x14ac:dyDescent="0.25">
      <c r="B132" s="167" t="s">
        <v>42</v>
      </c>
      <c r="C132" s="151">
        <f>IF(C$167&gt;$C$168,C184,IF(C$105&lt;=TabS!$G$5,C35*$G$77,IF(C$105&lt;=TabS!$G$6,C35*$G$78,IF(C$105&lt;=TabS!$G$7,C35*$G$79,IF(C$105&lt;=TabS!$G$8,C35*$G$80,IF(C$105&lt;=TabS!$G$9,C35*$G$81,IF(C$105&lt;=TabS!$G$10,C35*$G$82)))))))</f>
        <v>0</v>
      </c>
      <c r="D132" s="151">
        <f>IF(D$167&gt;$C$168,D184,IF(D$105&lt;=TabS!$G$5,D35*$G$77,IF(D$105&lt;=TabS!$G$6,D35*$G$78,IF(D$105&lt;=TabS!$G$7,D35*$G$79,IF(D$105&lt;=TabS!$G$8,D35*$G$80,IF(D$105&lt;=TabS!$G$9,D35*$G$81,IF(D$105&lt;=TabS!$G$10,D35*$G$82)))))))</f>
        <v>0</v>
      </c>
      <c r="E132" s="151">
        <f>IF(E$167&gt;$C$168,E184,IF(E$105&lt;=TabS!$G$5,E35*$G$77,IF(E$105&lt;=TabS!$G$6,E35*$G$78,IF(E$105&lt;=TabS!$G$7,E35*$G$79,IF(E$105&lt;=TabS!$G$8,E35*$G$80,IF(E$105&lt;=TabS!$G$9,E35*$G$81,IF(E$105&lt;=TabS!$G$10,E35*$G$82)))))))</f>
        <v>0</v>
      </c>
      <c r="F132" s="151">
        <f>IF(F$167&gt;$C$168,F184,IF(F$105&lt;=TabS!$G$5,F35*$G$77,IF(F$105&lt;=TabS!$G$6,F35*$G$78,IF(F$105&lt;=TabS!$G$7,F35*$G$79,IF(F$105&lt;=TabS!$G$8,F35*$G$80,IF(F$105&lt;=TabS!$G$9,F35*$G$81,IF(F$105&lt;=TabS!$G$10,F35*$G$82)))))))</f>
        <v>0</v>
      </c>
      <c r="G132" s="151">
        <f>IF(G$167&gt;$C$168,G184,IF(G$105&lt;=TabS!$G$5,G35*$G$77,IF(G$105&lt;=TabS!$G$6,G35*$G$78,IF(G$105&lt;=TabS!$G$7,G35*$G$79,IF(G$105&lt;=TabS!$G$8,G35*$G$80,IF(G$105&lt;=TabS!$G$9,G35*$G$81,IF(G$105&lt;=TabS!$G$10,G35*$G$82)))))))</f>
        <v>0</v>
      </c>
      <c r="H132" s="151">
        <f>IF(H$167&gt;$C$168,H184,IF(H$105&lt;=TabS!$G$5,H35*$G$77,IF(H$105&lt;=TabS!$G$6,H35*$G$78,IF(H$105&lt;=TabS!$G$7,H35*$G$79,IF(H$105&lt;=TabS!$G$8,H35*$G$80,IF(H$105&lt;=TabS!$G$9,H35*$G$81,IF(H$105&lt;=TabS!$G$10,H35*$G$82)))))))</f>
        <v>0</v>
      </c>
      <c r="I132" s="151">
        <f>IF(I$167&gt;$C$168,I184,IF(I$105&lt;=TabS!$G$5,I35*$G$77,IF(I$105&lt;=TabS!$G$6,I35*$G$78,IF(I$105&lt;=TabS!$G$7,I35*$G$79,IF(I$105&lt;=TabS!$G$8,I35*$G$80,IF(I$105&lt;=TabS!$G$9,I35*$G$81,IF(I$105&lt;=TabS!$G$10,I35*$G$82)))))))</f>
        <v>0</v>
      </c>
      <c r="J132" s="151">
        <f>IF(J$167&gt;$C$168,J184,IF(J$105&lt;=TabS!$G$5,J35*$G$77,IF(J$105&lt;=TabS!$G$6,J35*$G$78,IF(J$105&lt;=TabS!$G$7,J35*$G$79,IF(J$105&lt;=TabS!$G$8,J35*$G$80,IF(J$105&lt;=TabS!$G$9,J35*$G$81,IF(J$105&lt;=TabS!$G$10,J35*$G$82)))))))</f>
        <v>0</v>
      </c>
      <c r="K132" s="151">
        <f>IF(K$167&gt;$C$168,K184,IF(K$105&lt;=TabS!$G$5,K35*$G$77,IF(K$105&lt;=TabS!$G$6,K35*$G$78,IF(K$105&lt;=TabS!$G$7,K35*$G$79,IF(K$105&lt;=TabS!$G$8,K35*$G$80,IF(K$105&lt;=TabS!$G$9,K35*$G$81,IF(K$105&lt;=TabS!$G$10,K35*$G$82)))))))</f>
        <v>0</v>
      </c>
      <c r="L132" s="151">
        <f>IF(L$167&gt;$C$168,L184,IF(L$105&lt;=TabS!$G$5,L35*$G$77,IF(L$105&lt;=TabS!$G$6,L35*$G$78,IF(L$105&lt;=TabS!$G$7,L35*$G$79,IF(L$105&lt;=TabS!$G$8,L35*$G$80,IF(L$105&lt;=TabS!$G$9,L35*$G$81,IF(L$105&lt;=TabS!$G$10,L35*$G$82)))))))</f>
        <v>0</v>
      </c>
      <c r="M132" s="151">
        <f>IF(M$167&gt;$C$168,M184,IF(M$105&lt;=TabS!$G$5,M35*$G$77,IF(M$105&lt;=TabS!$G$6,M35*$G$78,IF(M$105&lt;=TabS!$G$7,M35*$G$79,IF(M$105&lt;=TabS!$G$8,M35*$G$80,IF(M$105&lt;=TabS!$G$9,M35*$G$81,IF(M$105&lt;=TabS!$G$10,M35*$G$82)))))))</f>
        <v>0</v>
      </c>
      <c r="N132" s="151">
        <f>IF(N$167&gt;$C$168,N184,IF(N$105&lt;=TabS!$G$5,N35*$G$77,IF(N$105&lt;=TabS!$G$6,N35*$G$78,IF(N$105&lt;=TabS!$G$7,N35*$G$79,IF(N$105&lt;=TabS!$G$8,N35*$G$80,IF(N$105&lt;=TabS!$G$9,N35*$G$81,IF(N$105&lt;=TabS!$G$10,N35*$G$82)))))))</f>
        <v>0</v>
      </c>
      <c r="O132" s="152">
        <f t="shared" si="52"/>
        <v>0</v>
      </c>
    </row>
    <row r="133" spans="2:15" ht="20.100000000000001" customHeight="1" x14ac:dyDescent="0.25">
      <c r="B133" s="167" t="s">
        <v>40</v>
      </c>
      <c r="C133" s="151">
        <f>IF(C$167&gt;$C$168,C185,IF(C$105&lt;=TabS!$G$5,C35*$H$77,IF(C$105&lt;=TabS!$G$6,C35*$H$78,IF(C$105&lt;=TabS!$G$7,C35*$H$79,IF(C$105&lt;=TabS!$G$8,C35*$H$80,IF(C$105&lt;=TabS!$G$9,C35*$H$81,IF(C$105&lt;=TabS!$G$10,C35*$H$82)))))))</f>
        <v>0</v>
      </c>
      <c r="D133" s="151">
        <f>IF(D$167&gt;$C$168,D185,IF(D$105&lt;=TabS!$G$5,D35*$H$77,IF(D$105&lt;=TabS!$G$6,D35*$H$78,IF(D$105&lt;=TabS!$G$7,D35*$H$79,IF(D$105&lt;=TabS!$G$8,D35*$H$80,IF(D$105&lt;=TabS!$G$9,D35*$H$81,IF(D$105&lt;=TabS!$G$10,D35*$H$82)))))))</f>
        <v>0</v>
      </c>
      <c r="E133" s="151">
        <f>IF(E$167&gt;$C$168,E185,IF(E$105&lt;=TabS!$G$5,E35*$H$77,IF(E$105&lt;=TabS!$G$6,E35*$H$78,IF(E$105&lt;=TabS!$G$7,E35*$H$79,IF(E$105&lt;=TabS!$G$8,E35*$H$80,IF(E$105&lt;=TabS!$G$9,E35*$H$81,IF(E$105&lt;=TabS!$G$10,E35*$H$82)))))))</f>
        <v>0</v>
      </c>
      <c r="F133" s="151">
        <f>IF(F$167&gt;$C$168,F185,IF(F$105&lt;=TabS!$G$5,F35*$H$77,IF(F$105&lt;=TabS!$G$6,F35*$H$78,IF(F$105&lt;=TabS!$G$7,F35*$H$79,IF(F$105&lt;=TabS!$G$8,F35*$H$80,IF(F$105&lt;=TabS!$G$9,F35*$H$81,IF(F$105&lt;=TabS!$G$10,F35*$H$82)))))))</f>
        <v>0</v>
      </c>
      <c r="G133" s="151">
        <f>IF(G$167&gt;$C$168,G185,IF(G$105&lt;=TabS!$G$5,G35*$H$77,IF(G$105&lt;=TabS!$G$6,G35*$H$78,IF(G$105&lt;=TabS!$G$7,G35*$H$79,IF(G$105&lt;=TabS!$G$8,G35*$H$80,IF(G$105&lt;=TabS!$G$9,G35*$H$81,IF(G$105&lt;=TabS!$G$10,G35*$H$82)))))))</f>
        <v>0</v>
      </c>
      <c r="H133" s="151">
        <f>IF(H$167&gt;$C$168,H185,IF(H$105&lt;=TabS!$G$5,H35*$H$77,IF(H$105&lt;=TabS!$G$6,H35*$H$78,IF(H$105&lt;=TabS!$G$7,H35*$H$79,IF(H$105&lt;=TabS!$G$8,H35*$H$80,IF(H$105&lt;=TabS!$G$9,H35*$H$81,IF(H$105&lt;=TabS!$G$10,H35*$H$82)))))))</f>
        <v>0</v>
      </c>
      <c r="I133" s="151">
        <f>IF(I$167&gt;$C$168,I185,IF(I$105&lt;=TabS!$G$5,I35*$H$77,IF(I$105&lt;=TabS!$G$6,I35*$H$78,IF(I$105&lt;=TabS!$G$7,I35*$H$79,IF(I$105&lt;=TabS!$G$8,I35*$H$80,IF(I$105&lt;=TabS!$G$9,I35*$H$81,IF(I$105&lt;=TabS!$G$10,I35*$H$82)))))))</f>
        <v>0</v>
      </c>
      <c r="J133" s="151">
        <f>IF(J$167&gt;$C$168,J185,IF(J$105&lt;=TabS!$G$5,J35*$H$77,IF(J$105&lt;=TabS!$G$6,J35*$H$78,IF(J$105&lt;=TabS!$G$7,J35*$H$79,IF(J$105&lt;=TabS!$G$8,J35*$H$80,IF(J$105&lt;=TabS!$G$9,J35*$H$81,IF(J$105&lt;=TabS!$G$10,J35*$H$82)))))))</f>
        <v>0</v>
      </c>
      <c r="K133" s="151">
        <f>IF(K$167&gt;$C$168,K185,IF(K$105&lt;=TabS!$G$5,K35*$H$77,IF(K$105&lt;=TabS!$G$6,K35*$H$78,IF(K$105&lt;=TabS!$G$7,K35*$H$79,IF(K$105&lt;=TabS!$G$8,K35*$H$80,IF(K$105&lt;=TabS!$G$9,K35*$H$81,IF(K$105&lt;=TabS!$G$10,K35*$H$82)))))))</f>
        <v>0</v>
      </c>
      <c r="L133" s="151">
        <f>IF(L$167&gt;$C$168,L185,IF(L$105&lt;=TabS!$G$5,L35*$H$77,IF(L$105&lt;=TabS!$G$6,L35*$H$78,IF(L$105&lt;=TabS!$G$7,L35*$H$79,IF(L$105&lt;=TabS!$G$8,L35*$H$80,IF(L$105&lt;=TabS!$G$9,L35*$H$81,IF(L$105&lt;=TabS!$G$10,L35*$H$82)))))))</f>
        <v>0</v>
      </c>
      <c r="M133" s="151">
        <f>IF(M$167&gt;$C$168,M185,IF(M$105&lt;=TabS!$G$5,M35*$H$77,IF(M$105&lt;=TabS!$G$6,M35*$H$78,IF(M$105&lt;=TabS!$G$7,M35*$H$79,IF(M$105&lt;=TabS!$G$8,M35*$H$80,IF(M$105&lt;=TabS!$G$9,M35*$H$81,IF(M$105&lt;=TabS!$G$10,M35*$H$82)))))))</f>
        <v>0</v>
      </c>
      <c r="N133" s="151">
        <f>IF(N$167&gt;$C$168,N185,IF(N$105&lt;=TabS!$G$5,N35*$H$77,IF(N$105&lt;=TabS!$G$6,N35*$H$78,IF(N$105&lt;=TabS!$G$7,N35*$H$79,IF(N$105&lt;=TabS!$G$8,N35*$H$80,IF(N$105&lt;=TabS!$G$9,N35*$H$81,IF(N$105&lt;=TabS!$G$10,N35*$H$82)))))))</f>
        <v>0</v>
      </c>
      <c r="O133" s="152">
        <f t="shared" si="52"/>
        <v>0</v>
      </c>
    </row>
    <row r="134" spans="2:15" ht="20.100000000000001" customHeight="1" x14ac:dyDescent="0.25">
      <c r="B134" s="168" t="s">
        <v>99</v>
      </c>
      <c r="C134" s="152">
        <f>SUM(C128:C133)</f>
        <v>0</v>
      </c>
      <c r="D134" s="152">
        <f t="shared" ref="D134:N134" si="53">SUM(D128:D133)</f>
        <v>0</v>
      </c>
      <c r="E134" s="152">
        <f t="shared" si="53"/>
        <v>0</v>
      </c>
      <c r="F134" s="152">
        <f t="shared" si="53"/>
        <v>0</v>
      </c>
      <c r="G134" s="152">
        <f t="shared" si="53"/>
        <v>0</v>
      </c>
      <c r="H134" s="152">
        <f t="shared" si="53"/>
        <v>0</v>
      </c>
      <c r="I134" s="152">
        <f t="shared" si="53"/>
        <v>0</v>
      </c>
      <c r="J134" s="152">
        <f t="shared" si="53"/>
        <v>0</v>
      </c>
      <c r="K134" s="152">
        <f t="shared" si="53"/>
        <v>0</v>
      </c>
      <c r="L134" s="152">
        <f t="shared" si="53"/>
        <v>0</v>
      </c>
      <c r="M134" s="152">
        <f t="shared" si="53"/>
        <v>0</v>
      </c>
      <c r="N134" s="152">
        <f t="shared" si="53"/>
        <v>0</v>
      </c>
      <c r="O134" s="152">
        <f t="shared" si="52"/>
        <v>0</v>
      </c>
    </row>
    <row r="135" spans="2:15" ht="20.100000000000001" customHeight="1" x14ac:dyDescent="0.25">
      <c r="B135" s="164" t="s">
        <v>76</v>
      </c>
    </row>
    <row r="136" spans="2:15" ht="20.100000000000001" customHeight="1" x14ac:dyDescent="0.25">
      <c r="B136" s="149" t="s">
        <v>82</v>
      </c>
      <c r="C136" s="149" t="s">
        <v>83</v>
      </c>
      <c r="D136" s="149" t="s">
        <v>84</v>
      </c>
      <c r="E136" s="149" t="s">
        <v>85</v>
      </c>
      <c r="F136" s="149" t="s">
        <v>86</v>
      </c>
      <c r="G136" s="149" t="s">
        <v>87</v>
      </c>
      <c r="H136" s="149" t="s">
        <v>88</v>
      </c>
      <c r="I136" s="149" t="s">
        <v>89</v>
      </c>
      <c r="J136" s="149" t="s">
        <v>90</v>
      </c>
      <c r="K136" s="149" t="s">
        <v>91</v>
      </c>
      <c r="L136" s="149" t="s">
        <v>92</v>
      </c>
      <c r="M136" s="149" t="s">
        <v>93</v>
      </c>
      <c r="N136" s="149" t="s">
        <v>94</v>
      </c>
      <c r="O136" s="149" t="s">
        <v>95</v>
      </c>
    </row>
    <row r="137" spans="2:15" ht="20.100000000000001" customHeight="1" x14ac:dyDescent="0.25">
      <c r="B137" s="167" t="s">
        <v>97</v>
      </c>
      <c r="C137" s="151">
        <f>IF(C$190&gt;$C$191,C203,IF(C$105&lt;=TabS!$G$5,C42*$C$87,IF(C$105&lt;=TabS!$G$6,C42*$C$88,IF(C$105&lt;=TabS!$G$7,C42*$C$89,IF(C$105&lt;=TabS!$G$8,C42*$C$90,IF(C$105&lt;=TabS!$G$9,C42*$C$91,IF(C$105&lt;=TabS!$G$10,C42*$C$92)))))))</f>
        <v>0</v>
      </c>
      <c r="D137" s="151">
        <f>IF(D$190&gt;$C$191,D203,IF(D$105&lt;=TabS!$G$5,D42*$C$87,IF(D$105&lt;=TabS!$G$6,D42*$C$88,IF(D$105&lt;=TabS!$G$7,D42*$C$89,IF(D$105&lt;=TabS!$G$8,D42*$C$90,IF(D$105&lt;=TabS!$G$9,D42*$C$91,IF(D$105&lt;=TabS!$G$10,D42*$C$92)))))))</f>
        <v>0</v>
      </c>
      <c r="E137" s="151">
        <f>IF(E$190&gt;$C$191,E203,IF(E$105&lt;=TabS!$G$5,E42*$C$87,IF(E$105&lt;=TabS!$G$6,E42*$C$88,IF(E$105&lt;=TabS!$G$7,E42*$C$89,IF(E$105&lt;=TabS!$G$8,E42*$C$90,IF(E$105&lt;=TabS!$G$9,E42*$C$91,IF(E$105&lt;=TabS!$G$10,E42*$C$92)))))))</f>
        <v>0</v>
      </c>
      <c r="F137" s="151">
        <f>IF(F$190&gt;$C$191,F203,IF(F$105&lt;=TabS!$G$5,F42*$C$87,IF(F$105&lt;=TabS!$G$6,F42*$C$88,IF(F$105&lt;=TabS!$G$7,F42*$C$89,IF(F$105&lt;=TabS!$G$8,F42*$C$90,IF(F$105&lt;=TabS!$G$9,F42*$C$91,IF(F$105&lt;=TabS!$G$10,F42*$C$92)))))))</f>
        <v>0</v>
      </c>
      <c r="G137" s="151">
        <f>IF(G$190&gt;$C$191,G203,IF(G$105&lt;=TabS!$G$5,G42*$C$87,IF(G$105&lt;=TabS!$G$6,G42*$C$88,IF(G$105&lt;=TabS!$G$7,G42*$C$89,IF(G$105&lt;=TabS!$G$8,G42*$C$90,IF(G$105&lt;=TabS!$G$9,G42*$C$91,IF(G$105&lt;=TabS!$G$10,G42*$C$92)))))))</f>
        <v>0</v>
      </c>
      <c r="H137" s="151">
        <f>IF(H$190&gt;$C$191,H203,IF(H$105&lt;=TabS!$G$5,H42*$C$87,IF(H$105&lt;=TabS!$G$6,H42*$C$88,IF(H$105&lt;=TabS!$G$7,H42*$C$89,IF(H$105&lt;=TabS!$G$8,H42*$C$90,IF(H$105&lt;=TabS!$G$9,H42*$C$91,IF(H$105&lt;=TabS!$G$10,H42*$C$92)))))))</f>
        <v>0</v>
      </c>
      <c r="I137" s="151">
        <f>IF(I$190&gt;$C$191,I203,IF(I$105&lt;=TabS!$G$5,I42*$C$87,IF(I$105&lt;=TabS!$G$6,I42*$C$88,IF(I$105&lt;=TabS!$G$7,I42*$C$89,IF(I$105&lt;=TabS!$G$8,I42*$C$90,IF(I$105&lt;=TabS!$G$9,I42*$C$91,IF(I$105&lt;=TabS!$G$10,I42*$C$92)))))))</f>
        <v>0</v>
      </c>
      <c r="J137" s="151">
        <f>IF(J$190&gt;$C$191,J203,IF(J$105&lt;=TabS!$G$5,J42*$C$87,IF(J$105&lt;=TabS!$G$6,J42*$C$88,IF(J$105&lt;=TabS!$G$7,J42*$C$89,IF(J$105&lt;=TabS!$G$8,J42*$C$90,IF(J$105&lt;=TabS!$G$9,J42*$C$91,IF(J$105&lt;=TabS!$G$10,J42*$C$92)))))))</f>
        <v>0</v>
      </c>
      <c r="K137" s="151">
        <f>IF(K$190&gt;$C$191,K203,IF(K$105&lt;=TabS!$G$5,K42*$C$87,IF(K$105&lt;=TabS!$G$6,K42*$C$88,IF(K$105&lt;=TabS!$G$7,K42*$C$89,IF(K$105&lt;=TabS!$G$8,K42*$C$90,IF(K$105&lt;=TabS!$G$9,K42*$C$91,IF(K$105&lt;=TabS!$G$10,K42*$C$92)))))))</f>
        <v>0</v>
      </c>
      <c r="L137" s="151">
        <f>IF(L$190&gt;$C$191,L203,IF(L$105&lt;=TabS!$G$5,L42*$C$87,IF(L$105&lt;=TabS!$G$6,L42*$C$88,IF(L$105&lt;=TabS!$G$7,L42*$C$89,IF(L$105&lt;=TabS!$G$8,L42*$C$90,IF(L$105&lt;=TabS!$G$9,L42*$C$91,IF(L$105&lt;=TabS!$G$10,L42*$C$92)))))))</f>
        <v>0</v>
      </c>
      <c r="M137" s="151">
        <f>IF(M$190&gt;$C$191,M203,IF(M$105&lt;=TabS!$G$5,M42*$C$87,IF(M$105&lt;=TabS!$G$6,M42*$C$88,IF(M$105&lt;=TabS!$G$7,M42*$C$89,IF(M$105&lt;=TabS!$G$8,M42*$C$90,IF(M$105&lt;=TabS!$G$9,M42*$C$91,IF(M$105&lt;=TabS!$G$10,M42*$C$92)))))))</f>
        <v>0</v>
      </c>
      <c r="N137" s="151">
        <f>IF(N$190&gt;$C$191,N203,IF(N$105&lt;=TabS!$G$5,N42*$C$87,IF(N$105&lt;=TabS!$G$6,N42*$C$88,IF(N$105&lt;=TabS!$G$7,N42*$C$89,IF(N$105&lt;=TabS!$G$8,N42*$C$90,IF(N$105&lt;=TabS!$G$9,N42*$C$91,IF(N$105&lt;=TabS!$G$10,N42*$C$92)))))))</f>
        <v>0</v>
      </c>
      <c r="O137" s="152">
        <f t="shared" ref="O137:O143" si="54">SUM(C137:N137)</f>
        <v>0</v>
      </c>
    </row>
    <row r="138" spans="2:15" ht="20.100000000000001" customHeight="1" x14ac:dyDescent="0.25">
      <c r="B138" s="167" t="s">
        <v>98</v>
      </c>
      <c r="C138" s="151">
        <f>IF(C$190&gt;$C$191,C204,IF(C$105&lt;=TabS!$G$5,C42*$D$87,IF(C$105&lt;=TabS!$G$6,C42*$D$88,IF(C$105&lt;=TabS!$G$7,C42*$D$89,IF(C$105&lt;=TabS!$G$8,C42*$D$90,IF(C$105&lt;=TabS!$G$9,C42*$D$91,IF(C$105&lt;=TabS!$G$10,C42*$D$92)))))))</f>
        <v>0</v>
      </c>
      <c r="D138" s="151">
        <f>IF(D$190&gt;$C$191,D204,IF(D$105&lt;=TabS!$G$5,D42*$D$87,IF(D$105&lt;=TabS!$G$6,D42*$D$88,IF(D$105&lt;=TabS!$G$7,D42*$D$89,IF(D$105&lt;=TabS!$G$8,D42*$D$90,IF(D$105&lt;=TabS!$G$9,D42*$D$91,IF(D$105&lt;=TabS!$G$10,D42*$D$92)))))))</f>
        <v>0</v>
      </c>
      <c r="E138" s="151">
        <f>IF(E$190&gt;$C$191,E204,IF(E$105&lt;=TabS!$G$5,E42*$D$87,IF(E$105&lt;=TabS!$G$6,E42*$D$88,IF(E$105&lt;=TabS!$G$7,E42*$D$89,IF(E$105&lt;=TabS!$G$8,E42*$D$90,IF(E$105&lt;=TabS!$G$9,E42*$D$91,IF(E$105&lt;=TabS!$G$10,E42*$D$92)))))))</f>
        <v>0</v>
      </c>
      <c r="F138" s="151">
        <f>IF(F$190&gt;$C$191,F204,IF(F$105&lt;=TabS!$G$5,F42*$D$87,IF(F$105&lt;=TabS!$G$6,F42*$D$88,IF(F$105&lt;=TabS!$G$7,F42*$D$89,IF(F$105&lt;=TabS!$G$8,F42*$D$90,IF(F$105&lt;=TabS!$G$9,F42*$D$91,IF(F$105&lt;=TabS!$G$10,F42*$D$92)))))))</f>
        <v>0</v>
      </c>
      <c r="G138" s="151">
        <f>IF(G$190&gt;$C$191,G204,IF(G$105&lt;=TabS!$G$5,G42*$D$87,IF(G$105&lt;=TabS!$G$6,G42*$D$88,IF(G$105&lt;=TabS!$G$7,G42*$D$89,IF(G$105&lt;=TabS!$G$8,G42*$D$90,IF(G$105&lt;=TabS!$G$9,G42*$D$91,IF(G$105&lt;=TabS!$G$10,G42*$D$92)))))))</f>
        <v>0</v>
      </c>
      <c r="H138" s="151">
        <f>IF(H$190&gt;$C$191,H204,IF(H$105&lt;=TabS!$G$5,H42*$D$87,IF(H$105&lt;=TabS!$G$6,H42*$D$88,IF(H$105&lt;=TabS!$G$7,H42*$D$89,IF(H$105&lt;=TabS!$G$8,H42*$D$90,IF(H$105&lt;=TabS!$G$9,H42*$D$91,IF(H$105&lt;=TabS!$G$10,H42*$D$92)))))))</f>
        <v>0</v>
      </c>
      <c r="I138" s="151">
        <f>IF(I$190&gt;$C$191,I204,IF(I$105&lt;=TabS!$G$5,I42*$D$87,IF(I$105&lt;=TabS!$G$6,I42*$D$88,IF(I$105&lt;=TabS!$G$7,I42*$D$89,IF(I$105&lt;=TabS!$G$8,I42*$D$90,IF(I$105&lt;=TabS!$G$9,I42*$D$91,IF(I$105&lt;=TabS!$G$10,I42*$D$92)))))))</f>
        <v>0</v>
      </c>
      <c r="J138" s="151">
        <f>IF(J$190&gt;$C$191,J204,IF(J$105&lt;=TabS!$G$5,J42*$D$87,IF(J$105&lt;=TabS!$G$6,J42*$D$88,IF(J$105&lt;=TabS!$G$7,J42*$D$89,IF(J$105&lt;=TabS!$G$8,J42*$D$90,IF(J$105&lt;=TabS!$G$9,J42*$D$91,IF(J$105&lt;=TabS!$G$10,J42*$D$92)))))))</f>
        <v>0</v>
      </c>
      <c r="K138" s="151">
        <f>IF(K$190&gt;$C$191,K204,IF(K$105&lt;=TabS!$G$5,K42*$D$87,IF(K$105&lt;=TabS!$G$6,K42*$D$88,IF(K$105&lt;=TabS!$G$7,K42*$D$89,IF(K$105&lt;=TabS!$G$8,K42*$D$90,IF(K$105&lt;=TabS!$G$9,K42*$D$91,IF(K$105&lt;=TabS!$G$10,K42*$D$92)))))))</f>
        <v>0</v>
      </c>
      <c r="L138" s="151">
        <f>IF(L$190&gt;$C$191,L204,IF(L$105&lt;=TabS!$G$5,L42*$D$87,IF(L$105&lt;=TabS!$G$6,L42*$D$88,IF(L$105&lt;=TabS!$G$7,L42*$D$89,IF(L$105&lt;=TabS!$G$8,L42*$D$90,IF(L$105&lt;=TabS!$G$9,L42*$D$91,IF(L$105&lt;=TabS!$G$10,L42*$D$92)))))))</f>
        <v>0</v>
      </c>
      <c r="M138" s="151">
        <f>IF(M$190&gt;$C$191,M204,IF(M$105&lt;=TabS!$G$5,M42*$D$87,IF(M$105&lt;=TabS!$G$6,M42*$D$88,IF(M$105&lt;=TabS!$G$7,M42*$D$89,IF(M$105&lt;=TabS!$G$8,M42*$D$90,IF(M$105&lt;=TabS!$G$9,M42*$D$91,IF(M$105&lt;=TabS!$G$10,M42*$D$92)))))))</f>
        <v>0</v>
      </c>
      <c r="N138" s="151">
        <f>IF(N$190&gt;$C$191,N204,IF(N$105&lt;=TabS!$G$5,N42*$D$87,IF(N$105&lt;=TabS!$G$6,N42*$D$88,IF(N$105&lt;=TabS!$G$7,N42*$D$89,IF(N$105&lt;=TabS!$G$8,N42*$D$90,IF(N$105&lt;=TabS!$G$9,N42*$D$91,IF(N$105&lt;=TabS!$G$10,N42*$D$92)))))))</f>
        <v>0</v>
      </c>
      <c r="O138" s="152">
        <f t="shared" si="54"/>
        <v>0</v>
      </c>
    </row>
    <row r="139" spans="2:15" ht="20.100000000000001" customHeight="1" x14ac:dyDescent="0.25">
      <c r="B139" s="167" t="s">
        <v>39</v>
      </c>
      <c r="C139" s="151">
        <f>IF(C$190&gt;$C$191,C205,IF(C$105&lt;=TabS!$G$5,C42*$E$87,IF(C$105&lt;=TabS!$G$6,C42*$E$88,IF(C$105&lt;=TabS!$G$7,C42*$E$89,IF(C$105&lt;=TabS!$G$8,C42*$E$90,IF(C$105&lt;=TabS!$G$9,C42*$E$91,IF(C$105&lt;=TabS!$G$10,C42*$E$92)))))))</f>
        <v>0</v>
      </c>
      <c r="D139" s="151">
        <f>IF(D$190&gt;$C$191,D205,IF(D$105&lt;=TabS!$G$5,D42*$E$87,IF(D$105&lt;=TabS!$G$6,D42*$E$88,IF(D$105&lt;=TabS!$G$7,D42*$E$89,IF(D$105&lt;=TabS!$G$8,D42*$E$90,IF(D$105&lt;=TabS!$G$9,D42*$E$91,IF(D$105&lt;=TabS!$G$10,D42*$E$92)))))))</f>
        <v>0</v>
      </c>
      <c r="E139" s="151">
        <f>IF(E$190&gt;$C$191,E205,IF(E$105&lt;=TabS!$G$5,E42*$E$87,IF(E$105&lt;=TabS!$G$6,E42*$E$88,IF(E$105&lt;=TabS!$G$7,E42*$E$89,IF(E$105&lt;=TabS!$G$8,E42*$E$90,IF(E$105&lt;=TabS!$G$9,E42*$E$91,IF(E$105&lt;=TabS!$G$10,E42*$E$92)))))))</f>
        <v>0</v>
      </c>
      <c r="F139" s="151">
        <f>IF(F$190&gt;$C$191,F205,IF(F$105&lt;=TabS!$G$5,F42*$E$87,IF(F$105&lt;=TabS!$G$6,F42*$E$88,IF(F$105&lt;=TabS!$G$7,F42*$E$89,IF(F$105&lt;=TabS!$G$8,F42*$E$90,IF(F$105&lt;=TabS!$G$9,F42*$E$91,IF(F$105&lt;=TabS!$G$10,F42*$E$92)))))))</f>
        <v>0</v>
      </c>
      <c r="G139" s="151">
        <f>IF(G$190&gt;$C$191,G205,IF(G$105&lt;=TabS!$G$5,G42*$E$87,IF(G$105&lt;=TabS!$G$6,G42*$E$88,IF(G$105&lt;=TabS!$G$7,G42*$E$89,IF(G$105&lt;=TabS!$G$8,G42*$E$90,IF(G$105&lt;=TabS!$G$9,G42*$E$91,IF(G$105&lt;=TabS!$G$10,G42*$E$92)))))))</f>
        <v>0</v>
      </c>
      <c r="H139" s="151">
        <f>IF(H$190&gt;$C$191,H205,IF(H$105&lt;=TabS!$G$5,H42*$E$87,IF(H$105&lt;=TabS!$G$6,H42*$E$88,IF(H$105&lt;=TabS!$G$7,H42*$E$89,IF(H$105&lt;=TabS!$G$8,H42*$E$90,IF(H$105&lt;=TabS!$G$9,H42*$E$91,IF(H$105&lt;=TabS!$G$10,H42*$E$92)))))))</f>
        <v>0</v>
      </c>
      <c r="I139" s="151">
        <f>IF(I$190&gt;$C$191,I205,IF(I$105&lt;=TabS!$G$5,I42*$E$87,IF(I$105&lt;=TabS!$G$6,I42*$E$88,IF(I$105&lt;=TabS!$G$7,I42*$E$89,IF(I$105&lt;=TabS!$G$8,I42*$E$90,IF(I$105&lt;=TabS!$G$9,I42*$E$91,IF(I$105&lt;=TabS!$G$10,I42*$E$92)))))))</f>
        <v>0</v>
      </c>
      <c r="J139" s="151">
        <f>IF(J$190&gt;$C$191,J205,IF(J$105&lt;=TabS!$G$5,J42*$E$87,IF(J$105&lt;=TabS!$G$6,J42*$E$88,IF(J$105&lt;=TabS!$G$7,J42*$E$89,IF(J$105&lt;=TabS!$G$8,J42*$E$90,IF(J$105&lt;=TabS!$G$9,J42*$E$91,IF(J$105&lt;=TabS!$G$10,J42*$E$92)))))))</f>
        <v>0</v>
      </c>
      <c r="K139" s="151">
        <f>IF(K$190&gt;$C$191,K205,IF(K$105&lt;=TabS!$G$5,K42*$E$87,IF(K$105&lt;=TabS!$G$6,K42*$E$88,IF(K$105&lt;=TabS!$G$7,K42*$E$89,IF(K$105&lt;=TabS!$G$8,K42*$E$90,IF(K$105&lt;=TabS!$G$9,K42*$E$91,IF(K$105&lt;=TabS!$G$10,K42*$E$92)))))))</f>
        <v>0</v>
      </c>
      <c r="L139" s="151">
        <f>IF(L$190&gt;$C$191,L205,IF(L$105&lt;=TabS!$G$5,L42*$E$87,IF(L$105&lt;=TabS!$G$6,L42*$E$88,IF(L$105&lt;=TabS!$G$7,L42*$E$89,IF(L$105&lt;=TabS!$G$8,L42*$E$90,IF(L$105&lt;=TabS!$G$9,L42*$E$91,IF(L$105&lt;=TabS!$G$10,L42*$E$92)))))))</f>
        <v>0</v>
      </c>
      <c r="M139" s="151">
        <f>IF(M$190&gt;$C$191,M205,IF(M$105&lt;=TabS!$G$5,M42*$E$87,IF(M$105&lt;=TabS!$G$6,M42*$E$88,IF(M$105&lt;=TabS!$G$7,M42*$E$89,IF(M$105&lt;=TabS!$G$8,M42*$E$90,IF(M$105&lt;=TabS!$G$9,M42*$E$91,IF(M$105&lt;=TabS!$G$10,M42*$E$92)))))))</f>
        <v>0</v>
      </c>
      <c r="N139" s="151">
        <f>IF(N$190&gt;$C$191,N205,IF(N$105&lt;=TabS!$G$5,N42*$E$87,IF(N$105&lt;=TabS!$G$6,N42*$E$88,IF(N$105&lt;=TabS!$G$7,N42*$E$89,IF(N$105&lt;=TabS!$G$8,N42*$E$90,IF(N$105&lt;=TabS!$G$9,N42*$E$91,IF(N$105&lt;=TabS!$G$10,N42*$E$92)))))))</f>
        <v>0</v>
      </c>
      <c r="O139" s="152">
        <f>SUM(C139:N139)</f>
        <v>0</v>
      </c>
    </row>
    <row r="140" spans="2:15" ht="20.100000000000001" customHeight="1" x14ac:dyDescent="0.25">
      <c r="B140" s="167" t="s">
        <v>129</v>
      </c>
      <c r="C140" s="151">
        <f>IF(C$190&gt;$C$191,C206,IF(C$105&lt;=TabS!$G$5,C42*$F$87,IF(C$105&lt;=TabS!$G$6,C42*$F$88,IF(C$105&lt;=TabS!$G$7,C42*$F$89,IF(C$105&lt;=TabS!$G$8,C42*$F$90,IF(C$105&lt;=TabS!$G$9,C42*$F$91,IF(C$105&lt;=TabS!$G$10,C42*$F$92)))))))</f>
        <v>0</v>
      </c>
      <c r="D140" s="151">
        <f>IF(D$190&gt;$C$191,D206,IF(D$105&lt;=TabS!$G$5,D42*$F$87,IF(D$105&lt;=TabS!$G$6,D42*$F$88,IF(D$105&lt;=TabS!$G$7,D42*$F$89,IF(D$105&lt;=TabS!$G$8,D42*$F$90,IF(D$105&lt;=TabS!$G$9,D42*$F$91,IF(D$105&lt;=TabS!$G$10,D42*$F$92)))))))</f>
        <v>0</v>
      </c>
      <c r="E140" s="151">
        <f>IF(E$190&gt;$C$191,E206,IF(E$105&lt;=TabS!$G$5,E42*$F$87,IF(E$105&lt;=TabS!$G$6,E42*$F$88,IF(E$105&lt;=TabS!$G$7,E42*$F$89,IF(E$105&lt;=TabS!$G$8,E42*$F$90,IF(E$105&lt;=TabS!$G$9,E42*$F$91,IF(E$105&lt;=TabS!$G$10,E42*$F$92)))))))</f>
        <v>0</v>
      </c>
      <c r="F140" s="151">
        <f>IF(F$190&gt;$C$191,F206,IF(F$105&lt;=TabS!$G$5,F42*$F$87,IF(F$105&lt;=TabS!$G$6,F42*$F$88,IF(F$105&lt;=TabS!$G$7,F42*$F$89,IF(F$105&lt;=TabS!$G$8,F42*$F$90,IF(F$105&lt;=TabS!$G$9,F42*$F$91,IF(F$105&lt;=TabS!$G$10,F42*$F$92)))))))</f>
        <v>0</v>
      </c>
      <c r="G140" s="151">
        <f>IF(G$190&gt;$C$191,G206,IF(G$105&lt;=TabS!$G$5,G42*$F$87,IF(G$105&lt;=TabS!$G$6,G42*$F$88,IF(G$105&lt;=TabS!$G$7,G42*$F$89,IF(G$105&lt;=TabS!$G$8,G42*$F$90,IF(G$105&lt;=TabS!$G$9,G42*$F$91,IF(G$105&lt;=TabS!$G$10,G42*$F$92)))))))</f>
        <v>0</v>
      </c>
      <c r="H140" s="151">
        <f>IF(H$190&gt;$C$191,H206,IF(H$105&lt;=TabS!$G$5,H42*$F$87,IF(H$105&lt;=TabS!$G$6,H42*$F$88,IF(H$105&lt;=TabS!$G$7,H42*$F$89,IF(H$105&lt;=TabS!$G$8,H42*$F$90,IF(H$105&lt;=TabS!$G$9,H42*$F$91,IF(H$105&lt;=TabS!$G$10,H42*$F$92)))))))</f>
        <v>0</v>
      </c>
      <c r="I140" s="151">
        <f>IF(I$190&gt;$C$191,I206,IF(I$105&lt;=TabS!$G$5,I42*$F$87,IF(I$105&lt;=TabS!$G$6,I42*$F$88,IF(I$105&lt;=TabS!$G$7,I42*$F$89,IF(I$105&lt;=TabS!$G$8,I42*$F$90,IF(I$105&lt;=TabS!$G$9,I42*$F$91,IF(I$105&lt;=TabS!$G$10,I42*$F$92)))))))</f>
        <v>0</v>
      </c>
      <c r="J140" s="151">
        <f>IF(J$190&gt;$C$191,J206,IF(J$105&lt;=TabS!$G$5,J42*$F$87,IF(J$105&lt;=TabS!$G$6,J42*$F$88,IF(J$105&lt;=TabS!$G$7,J42*$F$89,IF(J$105&lt;=TabS!$G$8,J42*$F$90,IF(J$105&lt;=TabS!$G$9,J42*$F$91,IF(J$105&lt;=TabS!$G$10,J42*$F$92)))))))</f>
        <v>0</v>
      </c>
      <c r="K140" s="151">
        <f>IF(K$190&gt;$C$191,K206,IF(K$105&lt;=TabS!$G$5,K42*$F$87,IF(K$105&lt;=TabS!$G$6,K42*$F$88,IF(K$105&lt;=TabS!$G$7,K42*$F$89,IF(K$105&lt;=TabS!$G$8,K42*$F$90,IF(K$105&lt;=TabS!$G$9,K42*$F$91,IF(K$105&lt;=TabS!$G$10,K42*$F$92)))))))</f>
        <v>0</v>
      </c>
      <c r="L140" s="151">
        <f>IF(L$190&gt;$C$191,L206,IF(L$105&lt;=TabS!$G$5,L42*$F$87,IF(L$105&lt;=TabS!$G$6,L42*$F$88,IF(L$105&lt;=TabS!$G$7,L42*$F$89,IF(L$105&lt;=TabS!$G$8,L42*$F$90,IF(L$105&lt;=TabS!$G$9,L42*$F$91,IF(L$105&lt;=TabS!$G$10,L42*$F$92)))))))</f>
        <v>0</v>
      </c>
      <c r="M140" s="151">
        <f>IF(M$190&gt;$C$191,M206,IF(M$105&lt;=TabS!$G$5,M42*$F$87,IF(M$105&lt;=TabS!$G$6,M42*$F$88,IF(M$105&lt;=TabS!$G$7,M42*$F$89,IF(M$105&lt;=TabS!$G$8,M42*$F$90,IF(M$105&lt;=TabS!$G$9,M42*$F$91,IF(M$105&lt;=TabS!$G$10,M42*$F$92)))))))</f>
        <v>0</v>
      </c>
      <c r="N140" s="151">
        <f>IF(N$190&gt;$C$191,N206,IF(N$105&lt;=TabS!$G$5,N42*$F$87,IF(N$105&lt;=TabS!$G$6,N42*$F$88,IF(N$105&lt;=TabS!$G$7,N42*$F$89,IF(N$105&lt;=TabS!$G$8,N42*$F$90,IF(N$105&lt;=TabS!$G$9,N42*$F$91,IF(N$105&lt;=TabS!$G$10,N42*$F$92)))))))</f>
        <v>0</v>
      </c>
      <c r="O140" s="152">
        <f t="shared" si="54"/>
        <v>0</v>
      </c>
    </row>
    <row r="141" spans="2:15" ht="20.100000000000001" customHeight="1" x14ac:dyDescent="0.25">
      <c r="B141" s="167" t="s">
        <v>42</v>
      </c>
      <c r="C141" s="151">
        <f>IF(C$190&gt;$C$191,C207,IF(C$105&lt;=TabS!$G$5,C42*$G$87,IF(C$105&lt;=TabS!$G$6,C42*$G$88,IF(C$105&lt;=TabS!$G$7,C42*$G$89,IF(C$105&lt;=TabS!$G$8,C42*$G$90,IF(C$105&lt;=TabS!$G$9,C42*$G$91,IF(C$105&lt;=TabS!$G$10,C42*$G$92)))))))</f>
        <v>0</v>
      </c>
      <c r="D141" s="151">
        <f>IF(D$190&gt;$C$191,D207,IF(D$105&lt;=TabS!$G$5,D42*$G$87,IF(D$105&lt;=TabS!$G$6,D42*$G$88,IF(D$105&lt;=TabS!$G$7,D42*$G$89,IF(D$105&lt;=TabS!$G$8,D42*$G$90,IF(D$105&lt;=TabS!$G$9,D42*$G$91,IF(D$105&lt;=TabS!$G$10,D42*$G$92)))))))</f>
        <v>0</v>
      </c>
      <c r="E141" s="151">
        <f>IF(E$190&gt;$C$191,E207,IF(E$105&lt;=TabS!$G$5,E42*$G$87,IF(E$105&lt;=TabS!$G$6,E42*$G$88,IF(E$105&lt;=TabS!$G$7,E42*$G$89,IF(E$105&lt;=TabS!$G$8,E42*$G$90,IF(E$105&lt;=TabS!$G$9,E42*$G$91,IF(E$105&lt;=TabS!$G$10,E42*$G$92)))))))</f>
        <v>0</v>
      </c>
      <c r="F141" s="151">
        <f>IF(F$190&gt;$C$191,F207,IF(F$105&lt;=TabS!$G$5,F42*$G$87,IF(F$105&lt;=TabS!$G$6,F42*$G$88,IF(F$105&lt;=TabS!$G$7,F42*$G$89,IF(F$105&lt;=TabS!$G$8,F42*$G$90,IF(F$105&lt;=TabS!$G$9,F42*$G$91,IF(F$105&lt;=TabS!$G$10,F42*$G$92)))))))</f>
        <v>0</v>
      </c>
      <c r="G141" s="151">
        <f>IF(G$190&gt;$C$191,G207,IF(G$105&lt;=TabS!$G$5,G42*$G$87,IF(G$105&lt;=TabS!$G$6,G42*$G$88,IF(G$105&lt;=TabS!$G$7,G42*$G$89,IF(G$105&lt;=TabS!$G$8,G42*$G$90,IF(G$105&lt;=TabS!$G$9,G42*$G$91,IF(G$105&lt;=TabS!$G$10,G42*$G$92)))))))</f>
        <v>0</v>
      </c>
      <c r="H141" s="151">
        <f>IF(H$190&gt;$C$191,H207,IF(H$105&lt;=TabS!$G$5,H42*$G$87,IF(H$105&lt;=TabS!$G$6,H42*$G$88,IF(H$105&lt;=TabS!$G$7,H42*$G$89,IF(H$105&lt;=TabS!$G$8,H42*$G$90,IF(H$105&lt;=TabS!$G$9,H42*$G$91,IF(H$105&lt;=TabS!$G$10,H42*$G$92)))))))</f>
        <v>0</v>
      </c>
      <c r="I141" s="151">
        <f>IF(I$190&gt;$C$191,I207,IF(I$105&lt;=TabS!$G$5,I42*$G$87,IF(I$105&lt;=TabS!$G$6,I42*$G$88,IF(I$105&lt;=TabS!$G$7,I42*$G$89,IF(I$105&lt;=TabS!$G$8,I42*$G$90,IF(I$105&lt;=TabS!$G$9,I42*$G$91,IF(I$105&lt;=TabS!$G$10,I42*$G$92)))))))</f>
        <v>0</v>
      </c>
      <c r="J141" s="151">
        <f>IF(J$190&gt;$C$191,J207,IF(J$105&lt;=TabS!$G$5,J42*$G$87,IF(J$105&lt;=TabS!$G$6,J42*$G$88,IF(J$105&lt;=TabS!$G$7,J42*$G$89,IF(J$105&lt;=TabS!$G$8,J42*$G$90,IF(J$105&lt;=TabS!$G$9,J42*$G$91,IF(J$105&lt;=TabS!$G$10,J42*$G$92)))))))</f>
        <v>0</v>
      </c>
      <c r="K141" s="151">
        <f>IF(K$190&gt;$C$191,K207,IF(K$105&lt;=TabS!$G$5,K42*$G$87,IF(K$105&lt;=TabS!$G$6,K42*$G$88,IF(K$105&lt;=TabS!$G$7,K42*$G$89,IF(K$105&lt;=TabS!$G$8,K42*$G$90,IF(K$105&lt;=TabS!$G$9,K42*$G$91,IF(K$105&lt;=TabS!$G$10,K42*$G$92)))))))</f>
        <v>0</v>
      </c>
      <c r="L141" s="151">
        <f>IF(L$190&gt;$C$191,L207,IF(L$105&lt;=TabS!$G$5,L42*$G$87,IF(L$105&lt;=TabS!$G$6,L42*$G$88,IF(L$105&lt;=TabS!$G$7,L42*$G$89,IF(L$105&lt;=TabS!$G$8,L42*$G$90,IF(L$105&lt;=TabS!$G$9,L42*$G$91,IF(L$105&lt;=TabS!$G$10,L42*$G$92)))))))</f>
        <v>0</v>
      </c>
      <c r="M141" s="151">
        <f>IF(M$190&gt;$C$191,M207,IF(M$105&lt;=TabS!$G$5,M42*$G$87,IF(M$105&lt;=TabS!$G$6,M42*$G$88,IF(M$105&lt;=TabS!$G$7,M42*$G$89,IF(M$105&lt;=TabS!$G$8,M42*$G$90,IF(M$105&lt;=TabS!$G$9,M42*$G$91,IF(M$105&lt;=TabS!$G$10,M42*$G$92)))))))</f>
        <v>0</v>
      </c>
      <c r="N141" s="151">
        <f>IF(N$190&gt;$C$191,N207,IF(N$105&lt;=TabS!$G$5,N42*$G$87,IF(N$105&lt;=TabS!$G$6,N42*$G$88,IF(N$105&lt;=TabS!$G$7,N42*$G$89,IF(N$105&lt;=TabS!$G$8,N42*$G$90,IF(N$105&lt;=TabS!$G$9,N42*$G$91,IF(N$105&lt;=TabS!$G$10,N42*$G$92)))))))</f>
        <v>0</v>
      </c>
      <c r="O141" s="152">
        <f t="shared" si="54"/>
        <v>0</v>
      </c>
    </row>
    <row r="142" spans="2:15" ht="20.100000000000001" customHeight="1" x14ac:dyDescent="0.25">
      <c r="B142" s="167" t="s">
        <v>40</v>
      </c>
      <c r="C142" s="151">
        <f>IF(C$190&gt;$C$191,C208,IF(C$105&lt;=TabS!$G$5,C42*$H$87,IF(C$105&lt;=TabS!$G$6,C42*$H$88,IF(C$105&lt;=TabS!$G$7,C42*$H$89,IF(C$105&lt;=TabS!$G$8,C42*$H$90,IF(C$105&lt;=TabS!$G$9,C42*$H$91,IF(C$105&lt;=TabS!$G$10,C42*$H$92)))))))</f>
        <v>0</v>
      </c>
      <c r="D142" s="151">
        <f>IF(D$190&gt;$C$191,D208,IF(D$105&lt;=TabS!$G$5,D42*$H$87,IF(D$105&lt;=TabS!$G$6,D42*$H$88,IF(D$105&lt;=TabS!$G$7,D42*$H$89,IF(D$105&lt;=TabS!$G$8,D42*$H$90,IF(D$105&lt;=TabS!$G$9,D42*$H$91,IF(D$105&lt;=TabS!$G$10,D42*$H$92)))))))</f>
        <v>0</v>
      </c>
      <c r="E142" s="151">
        <f>IF(E$190&gt;$C$191,E208,IF(E$105&lt;=TabS!$G$5,E42*$H$87,IF(E$105&lt;=TabS!$G$6,E42*$H$88,IF(E$105&lt;=TabS!$G$7,E42*$H$89,IF(E$105&lt;=TabS!$G$8,E42*$H$90,IF(E$105&lt;=TabS!$G$9,E42*$H$91,IF(E$105&lt;=TabS!$G$10,E42*$H$92)))))))</f>
        <v>0</v>
      </c>
      <c r="F142" s="151">
        <f>IF(F$190&gt;$C$191,F208,IF(F$105&lt;=TabS!$G$5,F42*$H$87,IF(F$105&lt;=TabS!$G$6,F42*$H$88,IF(F$105&lt;=TabS!$G$7,F42*$H$89,IF(F$105&lt;=TabS!$G$8,F42*$H$90,IF(F$105&lt;=TabS!$G$9,F42*$H$91,IF(F$105&lt;=TabS!$G$10,F42*$H$92)))))))</f>
        <v>0</v>
      </c>
      <c r="G142" s="151">
        <f>IF(G$190&gt;$C$191,G208,IF(G$105&lt;=TabS!$G$5,G42*$H$87,IF(G$105&lt;=TabS!$G$6,G42*$H$88,IF(G$105&lt;=TabS!$G$7,G42*$H$89,IF(G$105&lt;=TabS!$G$8,G42*$H$90,IF(G$105&lt;=TabS!$G$9,G42*$H$91,IF(G$105&lt;=TabS!$G$10,G42*$H$92)))))))</f>
        <v>0</v>
      </c>
      <c r="H142" s="151">
        <f>IF(H$190&gt;$C$191,H208,IF(H$105&lt;=TabS!$G$5,H42*$H$87,IF(H$105&lt;=TabS!$G$6,H42*$H$88,IF(H$105&lt;=TabS!$G$7,H42*$H$89,IF(H$105&lt;=TabS!$G$8,H42*$H$90,IF(H$105&lt;=TabS!$G$9,H42*$H$91,IF(H$105&lt;=TabS!$G$10,H42*$H$92)))))))</f>
        <v>0</v>
      </c>
      <c r="I142" s="151">
        <f>IF(I$190&gt;$C$191,I208,IF(I$105&lt;=TabS!$G$5,I42*$H$87,IF(I$105&lt;=TabS!$G$6,I42*$H$88,IF(I$105&lt;=TabS!$G$7,I42*$H$89,IF(I$105&lt;=TabS!$G$8,I42*$H$90,IF(I$105&lt;=TabS!$G$9,I42*$H$91,IF(I$105&lt;=TabS!$G$10,I42*$H$92)))))))</f>
        <v>0</v>
      </c>
      <c r="J142" s="151">
        <f>IF(J$190&gt;$C$191,J208,IF(J$105&lt;=TabS!$G$5,J42*$H$87,IF(J$105&lt;=TabS!$G$6,J42*$H$88,IF(J$105&lt;=TabS!$G$7,J42*$H$89,IF(J$105&lt;=TabS!$G$8,J42*$H$90,IF(J$105&lt;=TabS!$G$9,J42*$H$91,IF(J$105&lt;=TabS!$G$10,J42*$H$92)))))))</f>
        <v>0</v>
      </c>
      <c r="K142" s="151">
        <f>IF(K$190&gt;$C$191,K208,IF(K$105&lt;=TabS!$G$5,K42*$H$87,IF(K$105&lt;=TabS!$G$6,K42*$H$88,IF(K$105&lt;=TabS!$G$7,K42*$H$89,IF(K$105&lt;=TabS!$G$8,K42*$H$90,IF(K$105&lt;=TabS!$G$9,K42*$H$91,IF(K$105&lt;=TabS!$G$10,K42*$H$92)))))))</f>
        <v>0</v>
      </c>
      <c r="L142" s="151">
        <f>IF(L$190&gt;$C$191,L208,IF(L$105&lt;=TabS!$G$5,L42*$H$87,IF(L$105&lt;=TabS!$G$6,L42*$H$88,IF(L$105&lt;=TabS!$G$7,L42*$H$89,IF(L$105&lt;=TabS!$G$8,L42*$H$90,IF(L$105&lt;=TabS!$G$9,L42*$H$91,IF(L$105&lt;=TabS!$G$10,L42*$H$92)))))))</f>
        <v>0</v>
      </c>
      <c r="M142" s="151">
        <f>IF(M$190&gt;$C$191,M208,IF(M$105&lt;=TabS!$G$5,M42*$H$87,IF(M$105&lt;=TabS!$G$6,M42*$H$88,IF(M$105&lt;=TabS!$G$7,M42*$H$89,IF(M$105&lt;=TabS!$G$8,M42*$H$90,IF(M$105&lt;=TabS!$G$9,M42*$H$91,IF(M$105&lt;=TabS!$G$10,M42*$H$92)))))))</f>
        <v>0</v>
      </c>
      <c r="N142" s="151">
        <f>IF(N$190&gt;$C$191,N208,IF(N$105&lt;=TabS!$G$5,N42*$H$87,IF(N$105&lt;=TabS!$G$6,N42*$H$88,IF(N$105&lt;=TabS!$G$7,N42*$H$89,IF(N$105&lt;=TabS!$G$8,N42*$H$90,IF(N$105&lt;=TabS!$G$9,N42*$H$91,IF(N$105&lt;=TabS!$G$10,N42*$H$92)))))))</f>
        <v>0</v>
      </c>
      <c r="O142" s="152">
        <f t="shared" si="54"/>
        <v>0</v>
      </c>
    </row>
    <row r="143" spans="2:15" ht="20.100000000000001" customHeight="1" x14ac:dyDescent="0.25">
      <c r="B143" s="168" t="s">
        <v>99</v>
      </c>
      <c r="C143" s="152">
        <f>SUM(C137:C142)</f>
        <v>0</v>
      </c>
      <c r="D143" s="152">
        <f t="shared" ref="D143:N143" si="55">SUM(D137:D142)</f>
        <v>0</v>
      </c>
      <c r="E143" s="152">
        <f t="shared" si="55"/>
        <v>0</v>
      </c>
      <c r="F143" s="152">
        <f t="shared" si="55"/>
        <v>0</v>
      </c>
      <c r="G143" s="152">
        <f t="shared" si="55"/>
        <v>0</v>
      </c>
      <c r="H143" s="152">
        <f t="shared" si="55"/>
        <v>0</v>
      </c>
      <c r="I143" s="152">
        <f t="shared" si="55"/>
        <v>0</v>
      </c>
      <c r="J143" s="152">
        <f t="shared" si="55"/>
        <v>0</v>
      </c>
      <c r="K143" s="152">
        <f t="shared" si="55"/>
        <v>0</v>
      </c>
      <c r="L143" s="152">
        <f t="shared" si="55"/>
        <v>0</v>
      </c>
      <c r="M143" s="152">
        <f t="shared" si="55"/>
        <v>0</v>
      </c>
      <c r="N143" s="152">
        <f t="shared" si="55"/>
        <v>0</v>
      </c>
      <c r="O143" s="152">
        <f t="shared" si="54"/>
        <v>0</v>
      </c>
    </row>
    <row r="144" spans="2:15" ht="20.100000000000001" customHeight="1" x14ac:dyDescent="0.25">
      <c r="B144" s="164" t="s">
        <v>77</v>
      </c>
    </row>
    <row r="145" spans="2:15" ht="20.100000000000001" customHeight="1" x14ac:dyDescent="0.25">
      <c r="B145" s="149" t="s">
        <v>82</v>
      </c>
      <c r="C145" s="149" t="s">
        <v>83</v>
      </c>
      <c r="D145" s="149" t="s">
        <v>84</v>
      </c>
      <c r="E145" s="149" t="s">
        <v>85</v>
      </c>
      <c r="F145" s="149" t="s">
        <v>86</v>
      </c>
      <c r="G145" s="149" t="s">
        <v>87</v>
      </c>
      <c r="H145" s="149" t="s">
        <v>88</v>
      </c>
      <c r="I145" s="149" t="s">
        <v>89</v>
      </c>
      <c r="J145" s="149" t="s">
        <v>90</v>
      </c>
      <c r="K145" s="149" t="s">
        <v>91</v>
      </c>
      <c r="L145" s="149" t="s">
        <v>92</v>
      </c>
      <c r="M145" s="149" t="s">
        <v>93</v>
      </c>
      <c r="N145" s="149" t="s">
        <v>94</v>
      </c>
      <c r="O145" s="149" t="s">
        <v>95</v>
      </c>
    </row>
    <row r="146" spans="2:15" ht="20.100000000000001" customHeight="1" x14ac:dyDescent="0.25">
      <c r="B146" s="167" t="s">
        <v>97</v>
      </c>
      <c r="C146" s="151">
        <f>IF(C$105&lt;=TabS!$G$5,C49*$C$97,IF(C$105&lt;=TabS!$G$6,C49*$C$98,IF(C$105&lt;=TabS!$G$7,C49*$C$99,IF(C$105&lt;=TabS!$G$8,C49*$C$100,IF(C$105&lt;=TabS!$G$9,C49*$C$101,IF(C$105&lt;=TabS!$G$10,C49*$C$102))))))</f>
        <v>0</v>
      </c>
      <c r="D146" s="151">
        <f>IF(D$105&lt;=TabS!$G$5,D49*$C$97,IF(D$105&lt;=TabS!$G$6,D49*$C$98,IF(D$105&lt;=TabS!$G$7,D49*$C$99,IF(D$105&lt;=TabS!$G$8,D49*$C$100,IF(D$105&lt;=TabS!$G$9,D49*$C$101,IF(D$105&lt;=TabS!$G$10,D49*$C$102))))))</f>
        <v>0</v>
      </c>
      <c r="E146" s="151">
        <f>IF(E$105&lt;=TabS!$G$5,E49*$C$97,IF(E$105&lt;=TabS!$G$6,E49*$C$98,IF(E$105&lt;=TabS!$G$7,E49*$C$99,IF(E$105&lt;=TabS!$G$8,E49*$C$100,IF(E$105&lt;=TabS!$G$9,E49*$C$101,IF(E$105&lt;=TabS!$G$10,E49*$C$102))))))</f>
        <v>0</v>
      </c>
      <c r="F146" s="151">
        <f>IF(F$105&lt;=TabS!$G$5,F49*$C$97,IF(F$105&lt;=TabS!$G$6,F49*$C$98,IF(F$105&lt;=TabS!$G$7,F49*$C$99,IF(F$105&lt;=TabS!$G$8,F49*$C$100,IF(F$105&lt;=TabS!$G$9,F49*$C$101,IF(F$105&lt;=TabS!$G$10,F49*$C$102))))))</f>
        <v>0</v>
      </c>
      <c r="G146" s="151">
        <f>IF(G$105&lt;=TabS!$G$5,G49*$C$97,IF(G$105&lt;=TabS!$G$6,G49*$C$98,IF(G$105&lt;=TabS!$G$7,G49*$C$99,IF(G$105&lt;=TabS!$G$8,G49*$C$100,IF(G$105&lt;=TabS!$G$9,G49*$C$101,IF(G$105&lt;=TabS!$G$10,G49*$C$102))))))</f>
        <v>0</v>
      </c>
      <c r="H146" s="151">
        <f>IF(H$105&lt;=TabS!$G$5,H49*$C$97,IF(H$105&lt;=TabS!$G$6,H49*$C$98,IF(H$105&lt;=TabS!$G$7,H49*$C$99,IF(H$105&lt;=TabS!$G$8,H49*$C$100,IF(H$105&lt;=TabS!$G$9,H49*$C$101,IF(H$105&lt;=TabS!$G$10,H49*$C$102))))))</f>
        <v>0</v>
      </c>
      <c r="I146" s="151">
        <f>IF(I$105&lt;=TabS!$G$5,I49*$C$97,IF(I$105&lt;=TabS!$G$6,I49*$C$98,IF(I$105&lt;=TabS!$G$7,I49*$C$99,IF(I$105&lt;=TabS!$G$8,I49*$C$100,IF(I$105&lt;=TabS!$G$9,I49*$C$101,IF(I$105&lt;=TabS!$G$10,I49*$C$102))))))</f>
        <v>0</v>
      </c>
      <c r="J146" s="151">
        <f>IF(J$105&lt;=TabS!$G$5,J49*$C$97,IF(J$105&lt;=TabS!$G$6,J49*$C$98,IF(J$105&lt;=TabS!$G$7,J49*$C$99,IF(J$105&lt;=TabS!$G$8,J49*$C$100,IF(J$105&lt;=TabS!$G$9,J49*$C$101,IF(J$105&lt;=TabS!$G$10,J49*$C$102))))))</f>
        <v>0</v>
      </c>
      <c r="K146" s="151">
        <f>IF(K$105&lt;=TabS!$G$5,K49*$C$97,IF(K$105&lt;=TabS!$G$6,K49*$C$98,IF(K$105&lt;=TabS!$G$7,K49*$C$99,IF(K$105&lt;=TabS!$G$8,K49*$C$100,IF(K$105&lt;=TabS!$G$9,K49*$C$101,IF(K$105&lt;=TabS!$G$10,K49*$C$102))))))</f>
        <v>0</v>
      </c>
      <c r="L146" s="151">
        <f>IF(L$105&lt;=TabS!$G$5,L49*$C$97,IF(L$105&lt;=TabS!$G$6,L49*$C$98,IF(L$105&lt;=TabS!$G$7,L49*$C$99,IF(L$105&lt;=TabS!$G$8,L49*$C$100,IF(L$105&lt;=TabS!$G$9,L49*$C$101,IF(L$105&lt;=TabS!$G$10,L49*$C$102))))))</f>
        <v>0</v>
      </c>
      <c r="M146" s="151">
        <f>IF(M$105&lt;=TabS!$G$5,M49*$C$97,IF(M$105&lt;=TabS!$G$6,M49*$C$98,IF(M$105&lt;=TabS!$G$7,M49*$C$99,IF(M$105&lt;=TabS!$G$8,M49*$C$100,IF(M$105&lt;=TabS!$G$9,M49*$C$101,IF(M$105&lt;=TabS!$G$10,M49*$C$102))))))</f>
        <v>0</v>
      </c>
      <c r="N146" s="151">
        <f>IF(N$105&lt;=TabS!$G$5,N49*$C$97,IF(N$105&lt;=TabS!$G$6,N49*$C$98,IF(N$105&lt;=TabS!$G$7,N49*$C$99,IF(N$105&lt;=TabS!$G$8,N49*$C$100,IF(N$105&lt;=TabS!$G$9,N49*$C$101,IF(N$105&lt;=TabS!$G$10,N49*$C$102))))))</f>
        <v>0</v>
      </c>
      <c r="O146" s="152">
        <f t="shared" ref="O146:O151" si="56">SUM(C146:N146)</f>
        <v>0</v>
      </c>
    </row>
    <row r="147" spans="2:15" ht="20.100000000000001" customHeight="1" x14ac:dyDescent="0.25">
      <c r="B147" s="167" t="s">
        <v>98</v>
      </c>
      <c r="C147" s="151">
        <f>IF(C$105&lt;=TabS!$G$5,C49*$D$97,IF(C$105&lt;=TabS!$G$6,C49*$D$98,IF(C$105&lt;=TabS!$G$7,C49*$D$99,IF(C$105&lt;=TabS!$G$8,C49*$D$100,IF(C$105&lt;=TabS!$G$9,C49*$D$101,IF(C$105&lt;=TabS!$G$10,C49*$D$102))))))</f>
        <v>0</v>
      </c>
      <c r="D147" s="151">
        <f>IF(D$105&lt;=TabS!$G$5,D49*$D$97,IF(D$105&lt;=TabS!$G$6,D49*$D$98,IF(D$105&lt;=TabS!$G$7,D49*$D$99,IF(D$105&lt;=TabS!$G$8,D49*$D$100,IF(D$105&lt;=TabS!$G$9,D49*$D$101,IF(D$105&lt;=TabS!$G$10,D49*$D$102))))))</f>
        <v>0</v>
      </c>
      <c r="E147" s="151">
        <f>IF(E$105&lt;=TabS!$G$5,E49*$D$97,IF(E$105&lt;=TabS!$G$6,E49*$D$98,IF(E$105&lt;=TabS!$G$7,E49*$D$99,IF(E$105&lt;=TabS!$G$8,E49*$D$100,IF(E$105&lt;=TabS!$G$9,E49*$D$101,IF(E$105&lt;=TabS!$G$10,E49*$D$102))))))</f>
        <v>0</v>
      </c>
      <c r="F147" s="151">
        <f>IF(F$105&lt;=TabS!$G$5,F49*$D$97,IF(F$105&lt;=TabS!$G$6,F49*$D$98,IF(F$105&lt;=TabS!$G$7,F49*$D$99,IF(F$105&lt;=TabS!$G$8,F49*$D$100,IF(F$105&lt;=TabS!$G$9,F49*$D$101,IF(F$105&lt;=TabS!$G$10,F49*$D$102))))))</f>
        <v>0</v>
      </c>
      <c r="G147" s="151">
        <f>IF(G$105&lt;=TabS!$G$5,G49*$D$97,IF(G$105&lt;=TabS!$G$6,G49*$D$98,IF(G$105&lt;=TabS!$G$7,G49*$D$99,IF(G$105&lt;=TabS!$G$8,G49*$D$100,IF(G$105&lt;=TabS!$G$9,G49*$D$101,IF(G$105&lt;=TabS!$G$10,G49*$D$102))))))</f>
        <v>0</v>
      </c>
      <c r="H147" s="151">
        <f>IF(H$105&lt;=TabS!$G$5,H49*$D$97,IF(H$105&lt;=TabS!$G$6,H49*$D$98,IF(H$105&lt;=TabS!$G$7,H49*$D$99,IF(H$105&lt;=TabS!$G$8,H49*$D$100,IF(H$105&lt;=TabS!$G$9,H49*$D$101,IF(H$105&lt;=TabS!$G$10,H49*$D$102))))))</f>
        <v>0</v>
      </c>
      <c r="I147" s="151">
        <f>IF(I$105&lt;=TabS!$G$5,I49*$D$97,IF(I$105&lt;=TabS!$G$6,I49*$D$98,IF(I$105&lt;=TabS!$G$7,I49*$D$99,IF(I$105&lt;=TabS!$G$8,I49*$D$100,IF(I$105&lt;=TabS!$G$9,I49*$D$101,IF(I$105&lt;=TabS!$G$10,I49*$D$102))))))</f>
        <v>0</v>
      </c>
      <c r="J147" s="151">
        <f>IF(J$105&lt;=TabS!$G$5,J49*$D$97,IF(J$105&lt;=TabS!$G$6,J49*$D$98,IF(J$105&lt;=TabS!$G$7,J49*$D$99,IF(J$105&lt;=TabS!$G$8,J49*$D$100,IF(J$105&lt;=TabS!$G$9,J49*$D$101,IF(J$105&lt;=TabS!$G$10,J49*$D$102))))))</f>
        <v>0</v>
      </c>
      <c r="K147" s="151">
        <f>IF(K$105&lt;=TabS!$G$5,K49*$D$97,IF(K$105&lt;=TabS!$G$6,K49*$D$98,IF(K$105&lt;=TabS!$G$7,K49*$D$99,IF(K$105&lt;=TabS!$G$8,K49*$D$100,IF(K$105&lt;=TabS!$G$9,K49*$D$101,IF(K$105&lt;=TabS!$G$10,K49*$D$102))))))</f>
        <v>0</v>
      </c>
      <c r="L147" s="151">
        <f>IF(L$105&lt;=TabS!$G$5,L49*$D$97,IF(L$105&lt;=TabS!$G$6,L49*$D$98,IF(L$105&lt;=TabS!$G$7,L49*$D$99,IF(L$105&lt;=TabS!$G$8,L49*$D$100,IF(L$105&lt;=TabS!$G$9,L49*$D$101,IF(L$105&lt;=TabS!$G$10,L49*$D$102))))))</f>
        <v>0</v>
      </c>
      <c r="M147" s="151">
        <f>IF(M$105&lt;=TabS!$G$5,M49*$D$97,IF(M$105&lt;=TabS!$G$6,M49*$D$98,IF(M$105&lt;=TabS!$G$7,M49*$D$99,IF(M$105&lt;=TabS!$G$8,M49*$D$100,IF(M$105&lt;=TabS!$G$9,M49*$D$101,IF(M$105&lt;=TabS!$G$10,M49*$D$102))))))</f>
        <v>0</v>
      </c>
      <c r="N147" s="151">
        <f>IF(N$105&lt;=TabS!$G$5,N49*$D$97,IF(N$105&lt;=TabS!$G$6,N49*$D$98,IF(N$105&lt;=TabS!$G$7,N49*$D$99,IF(N$105&lt;=TabS!$G$8,N49*$D$100,IF(N$105&lt;=TabS!$G$9,N49*$D$101,IF(N$105&lt;=TabS!$G$10,N49*$D$102))))))</f>
        <v>0</v>
      </c>
      <c r="O147" s="152">
        <f t="shared" si="56"/>
        <v>0</v>
      </c>
    </row>
    <row r="148" spans="2:15" ht="20.100000000000001" customHeight="1" x14ac:dyDescent="0.25">
      <c r="B148" s="167" t="s">
        <v>39</v>
      </c>
      <c r="C148" s="151">
        <f>IF(C$105&lt;=TabS!$G$5,C49*$E$97,IF(C$105&lt;=TabS!$G$6,C49*$E$98,IF(C$105&lt;=TabS!$G$7,C49*$E$99,IF(C$105&lt;=TabS!$G$8,C49*$E$100,IF(C$105&lt;=TabS!$G$9,C49*$E$101,IF(C$105&lt;=TabS!$G$10,C49*$E$102))))))</f>
        <v>0</v>
      </c>
      <c r="D148" s="151">
        <f>IF(D$105&lt;=TabS!$G$5,D49*$E$97,IF(D$105&lt;=TabS!$G$6,D49*$E$98,IF(D$105&lt;=TabS!$G$7,D49*$E$99,IF(D$105&lt;=TabS!$G$8,D49*$E$100,IF(D$105&lt;=TabS!$G$9,D49*$E$101,IF(D$105&lt;=TabS!$G$10,D49*$E$102))))))</f>
        <v>0</v>
      </c>
      <c r="E148" s="151">
        <f>IF(E$105&lt;=TabS!$G$5,E49*$E$97,IF(E$105&lt;=TabS!$G$6,E49*$E$98,IF(E$105&lt;=TabS!$G$7,E49*$E$99,IF(E$105&lt;=TabS!$G$8,E49*$E$100,IF(E$105&lt;=TabS!$G$9,E49*$E$101,IF(E$105&lt;=TabS!$G$10,E49*$E$102))))))</f>
        <v>0</v>
      </c>
      <c r="F148" s="151">
        <f>IF(F$105&lt;=TabS!$G$5,F49*$E$97,IF(F$105&lt;=TabS!$G$6,F49*$E$98,IF(F$105&lt;=TabS!$G$7,F49*$E$99,IF(F$105&lt;=TabS!$G$8,F49*$E$100,IF(F$105&lt;=TabS!$G$9,F49*$E$101,IF(F$105&lt;=TabS!$G$10,F49*$E$102))))))</f>
        <v>0</v>
      </c>
      <c r="G148" s="151">
        <f>IF(G$105&lt;=TabS!$G$5,G49*$E$97,IF(G$105&lt;=TabS!$G$6,G49*$E$98,IF(G$105&lt;=TabS!$G$7,G49*$E$99,IF(G$105&lt;=TabS!$G$8,G49*$E$100,IF(G$105&lt;=TabS!$G$9,G49*$E$101,IF(G$105&lt;=TabS!$G$10,G49*$E$102))))))</f>
        <v>0</v>
      </c>
      <c r="H148" s="151">
        <f>IF(H$105&lt;=TabS!$G$5,H49*$E$97,IF(H$105&lt;=TabS!$G$6,H49*$E$98,IF(H$105&lt;=TabS!$G$7,H49*$E$99,IF(H$105&lt;=TabS!$G$8,H49*$E$100,IF(H$105&lt;=TabS!$G$9,H49*$E$101,IF(H$105&lt;=TabS!$G$10,H49*$E$102))))))</f>
        <v>0</v>
      </c>
      <c r="I148" s="151">
        <f>IF(I$105&lt;=TabS!$G$5,I49*$E$97,IF(I$105&lt;=TabS!$G$6,I49*$E$98,IF(I$105&lt;=TabS!$G$7,I49*$E$99,IF(I$105&lt;=TabS!$G$8,I49*$E$100,IF(I$105&lt;=TabS!$G$9,I49*$E$101,IF(I$105&lt;=TabS!$G$10,I49*$E$102))))))</f>
        <v>0</v>
      </c>
      <c r="J148" s="151">
        <f>IF(J$105&lt;=TabS!$G$5,J49*$E$97,IF(J$105&lt;=TabS!$G$6,J49*$E$98,IF(J$105&lt;=TabS!$G$7,J49*$E$99,IF(J$105&lt;=TabS!$G$8,J49*$E$100,IF(J$105&lt;=TabS!$G$9,J49*$E$101,IF(J$105&lt;=TabS!$G$10,J49*$E$102))))))</f>
        <v>0</v>
      </c>
      <c r="K148" s="151">
        <f>IF(K$105&lt;=TabS!$G$5,K49*$E$97,IF(K$105&lt;=TabS!$G$6,K49*$E$98,IF(K$105&lt;=TabS!$G$7,K49*$E$99,IF(K$105&lt;=TabS!$G$8,K49*$E$100,IF(K$105&lt;=TabS!$G$9,K49*$E$101,IF(K$105&lt;=TabS!$G$10,K49*$E$102))))))</f>
        <v>0</v>
      </c>
      <c r="L148" s="151">
        <f>IF(L$105&lt;=TabS!$G$5,L49*$E$97,IF(L$105&lt;=TabS!$G$6,L49*$E$98,IF(L$105&lt;=TabS!$G$7,L49*$E$99,IF(L$105&lt;=TabS!$G$8,L49*$E$100,IF(L$105&lt;=TabS!$G$9,L49*$E$101,IF(L$105&lt;=TabS!$G$10,L49*$E$102))))))</f>
        <v>0</v>
      </c>
      <c r="M148" s="151">
        <f>IF(M$105&lt;=TabS!$G$5,M49*$E$97,IF(M$105&lt;=TabS!$G$6,M49*$E$98,IF(M$105&lt;=TabS!$G$7,M49*$E$99,IF(M$105&lt;=TabS!$G$8,M49*$E$100,IF(M$105&lt;=TabS!$G$9,M49*$E$101,IF(M$105&lt;=TabS!$G$10,M49*$E$102))))))</f>
        <v>0</v>
      </c>
      <c r="N148" s="151">
        <f>IF(N$105&lt;=TabS!$G$5,N49*$E$97,IF(N$105&lt;=TabS!$G$6,N49*$E$98,IF(N$105&lt;=TabS!$G$7,N49*$E$99,IF(N$105&lt;=TabS!$G$8,N49*$E$100,IF(N$105&lt;=TabS!$G$9,N49*$E$101,IF(N$105&lt;=TabS!$G$10,N49*$E$102))))))</f>
        <v>0</v>
      </c>
      <c r="O148" s="152">
        <f t="shared" si="56"/>
        <v>0</v>
      </c>
    </row>
    <row r="149" spans="2:15" ht="20.100000000000001" customHeight="1" x14ac:dyDescent="0.25">
      <c r="B149" s="167" t="s">
        <v>129</v>
      </c>
      <c r="C149" s="151">
        <f>IF(C$105&lt;=TabS!$G$5,C49*$F$97,IF(C$105&lt;=TabS!$G$6,C49*$F$98,IF(C$105&lt;=TabS!$G$7,C49*$F$99,IF(C$105&lt;=TabS!$G$8,C49*$F$100,IF(C$105&lt;=TabS!$G$9,C49*$F$101,IF(C$105&lt;=TabS!$G$10,C49*$F$102))))))</f>
        <v>0</v>
      </c>
      <c r="D149" s="151">
        <f>IF(D$105&lt;=TabS!$G$5,D49*$F$97,IF(D$105&lt;=TabS!$G$6,D49*$F$98,IF(D$105&lt;=TabS!$G$7,D49*$F$99,IF(D$105&lt;=TabS!$G$8,D49*$F$100,IF(D$105&lt;=TabS!$G$9,D49*$F$101,IF(D$105&lt;=TabS!$G$10,D49*$F$102))))))</f>
        <v>0</v>
      </c>
      <c r="E149" s="151">
        <f>IF(E$105&lt;=TabS!$G$5,E49*$F$97,IF(E$105&lt;=TabS!$G$6,E49*$F$98,IF(E$105&lt;=TabS!$G$7,E49*$F$99,IF(E$105&lt;=TabS!$G$8,E49*$F$100,IF(E$105&lt;=TabS!$G$9,E49*$F$101,IF(E$105&lt;=TabS!$G$10,E49*$F$102))))))</f>
        <v>0</v>
      </c>
      <c r="F149" s="151">
        <f>IF(F$105&lt;=TabS!$G$5,F49*$F$97,IF(F$105&lt;=TabS!$G$6,F49*$F$98,IF(F$105&lt;=TabS!$G$7,F49*$F$99,IF(F$105&lt;=TabS!$G$8,F49*$F$100,IF(F$105&lt;=TabS!$G$9,F49*$F$101,IF(F$105&lt;=TabS!$G$10,F49*$F$102))))))</f>
        <v>0</v>
      </c>
      <c r="G149" s="151">
        <f>IF(G$105&lt;=TabS!$G$5,G49*$F$97,IF(G$105&lt;=TabS!$G$6,G49*$F$98,IF(G$105&lt;=TabS!$G$7,G49*$F$99,IF(G$105&lt;=TabS!$G$8,G49*$F$100,IF(G$105&lt;=TabS!$G$9,G49*$F$101,IF(G$105&lt;=TabS!$G$10,G49*$F$102))))))</f>
        <v>0</v>
      </c>
      <c r="H149" s="151">
        <f>IF(H$105&lt;=TabS!$G$5,H49*$F$97,IF(H$105&lt;=TabS!$G$6,H49*$F$98,IF(H$105&lt;=TabS!$G$7,H49*$F$99,IF(H$105&lt;=TabS!$G$8,H49*$F$100,IF(H$105&lt;=TabS!$G$9,H49*$F$101,IF(H$105&lt;=TabS!$G$10,H49*$F$102))))))</f>
        <v>0</v>
      </c>
      <c r="I149" s="151">
        <f>IF(I$105&lt;=TabS!$G$5,I49*$F$97,IF(I$105&lt;=TabS!$G$6,I49*$F$98,IF(I$105&lt;=TabS!$G$7,I49*$F$99,IF(I$105&lt;=TabS!$G$8,I49*$F$100,IF(I$105&lt;=TabS!$G$9,I49*$F$101,IF(I$105&lt;=TabS!$G$10,I49*$F$102))))))</f>
        <v>0</v>
      </c>
      <c r="J149" s="151">
        <f>IF(J$105&lt;=TabS!$G$5,J49*$F$97,IF(J$105&lt;=TabS!$G$6,J49*$F$98,IF(J$105&lt;=TabS!$G$7,J49*$F$99,IF(J$105&lt;=TabS!$G$8,J49*$F$100,IF(J$105&lt;=TabS!$G$9,J49*$F$101,IF(J$105&lt;=TabS!$G$10,J49*$F$102))))))</f>
        <v>0</v>
      </c>
      <c r="K149" s="151">
        <f>IF(K$105&lt;=TabS!$G$5,K49*$F$97,IF(K$105&lt;=TabS!$G$6,K49*$F$98,IF(K$105&lt;=TabS!$G$7,K49*$F$99,IF(K$105&lt;=TabS!$G$8,K49*$F$100,IF(K$105&lt;=TabS!$G$9,K49*$F$101,IF(K$105&lt;=TabS!$G$10,K49*$F$102))))))</f>
        <v>0</v>
      </c>
      <c r="L149" s="151">
        <f>IF(L$105&lt;=TabS!$G$5,L49*$F$97,IF(L$105&lt;=TabS!$G$6,L49*$F$98,IF(L$105&lt;=TabS!$G$7,L49*$F$99,IF(L$105&lt;=TabS!$G$8,L49*$F$100,IF(L$105&lt;=TabS!$G$9,L49*$F$101,IF(L$105&lt;=TabS!$G$10,L49*$F$102))))))</f>
        <v>0</v>
      </c>
      <c r="M149" s="151">
        <f>IF(M$105&lt;=TabS!$G$5,M49*$F$97,IF(M$105&lt;=TabS!$G$6,M49*$F$98,IF(M$105&lt;=TabS!$G$7,M49*$F$99,IF(M$105&lt;=TabS!$G$8,M49*$F$100,IF(M$105&lt;=TabS!$G$9,M49*$F$101,IF(M$105&lt;=TabS!$G$10,M49*$F$102))))))</f>
        <v>0</v>
      </c>
      <c r="N149" s="151">
        <f>IF(N$105&lt;=TabS!$G$5,N49*$F$97,IF(N$105&lt;=TabS!$G$6,N49*$F$98,IF(N$105&lt;=TabS!$G$7,N49*$F$99,IF(N$105&lt;=TabS!$G$8,N49*$F$100,IF(N$105&lt;=TabS!$G$9,N49*$F$101,IF(N$105&lt;=TabS!$G$10,N49*$F$102))))))</f>
        <v>0</v>
      </c>
      <c r="O149" s="152">
        <f t="shared" si="56"/>
        <v>0</v>
      </c>
    </row>
    <row r="150" spans="2:15" ht="20.100000000000001" customHeight="1" x14ac:dyDescent="0.25">
      <c r="B150" s="167" t="s">
        <v>42</v>
      </c>
      <c r="C150" s="151">
        <f>IF(C$105&lt;=TabS!$G$5,C49*$G$97,IF(C$105&lt;=TabS!$G$6,C49*$G$98,IF(C$105&lt;=TabS!$G$7,C49*$G$99,IF(C$105&lt;=TabS!$G$8,C49*$G$100,IF(C$105&lt;=TabS!$G$9,C49*$G$101,IF(C$105&lt;=TabS!$G$10,C49*$G$102))))))</f>
        <v>0</v>
      </c>
      <c r="D150" s="151">
        <f>IF(D$105&lt;=TabS!$G$5,D49*$G$97,IF(D$105&lt;=TabS!$G$6,D49*$G$98,IF(D$105&lt;=TabS!$G$7,D49*$G$99,IF(D$105&lt;=TabS!$G$8,D49*$G$100,IF(D$105&lt;=TabS!$G$9,D49*$G$101,IF(D$105&lt;=TabS!$G$10,D49*$G$102))))))</f>
        <v>0</v>
      </c>
      <c r="E150" s="151">
        <f>IF(E$105&lt;=TabS!$G$5,E49*$G$97,IF(E$105&lt;=TabS!$G$6,E49*$G$98,IF(E$105&lt;=TabS!$G$7,E49*$G$99,IF(E$105&lt;=TabS!$G$8,E49*$G$100,IF(E$105&lt;=TabS!$G$9,E49*$G$101,IF(E$105&lt;=TabS!$G$10,E49*$G$102))))))</f>
        <v>0</v>
      </c>
      <c r="F150" s="151">
        <f>IF(F$105&lt;=TabS!$G$5,F49*$G$97,IF(F$105&lt;=TabS!$G$6,F49*$G$98,IF(F$105&lt;=TabS!$G$7,F49*$G$99,IF(F$105&lt;=TabS!$G$8,F49*$G$100,IF(F$105&lt;=TabS!$G$9,F49*$G$101,IF(F$105&lt;=TabS!$G$10,F49*$G$102))))))</f>
        <v>0</v>
      </c>
      <c r="G150" s="151">
        <f>IF(G$105&lt;=TabS!$G$5,G49*$G$97,IF(G$105&lt;=TabS!$G$6,G49*$G$98,IF(G$105&lt;=TabS!$G$7,G49*$G$99,IF(G$105&lt;=TabS!$G$8,G49*$G$100,IF(G$105&lt;=TabS!$G$9,G49*$G$101,IF(G$105&lt;=TabS!$G$10,G49*$G$102))))))</f>
        <v>0</v>
      </c>
      <c r="H150" s="151">
        <f>IF(H$105&lt;=TabS!$G$5,H49*$G$97,IF(H$105&lt;=TabS!$G$6,H49*$G$98,IF(H$105&lt;=TabS!$G$7,H49*$G$99,IF(H$105&lt;=TabS!$G$8,H49*$G$100,IF(H$105&lt;=TabS!$G$9,H49*$G$101,IF(H$105&lt;=TabS!$G$10,H49*$G$102))))))</f>
        <v>0</v>
      </c>
      <c r="I150" s="151">
        <f>IF(I$105&lt;=TabS!$G$5,I49*$G$97,IF(I$105&lt;=TabS!$G$6,I49*$G$98,IF(I$105&lt;=TabS!$G$7,I49*$G$99,IF(I$105&lt;=TabS!$G$8,I49*$G$100,IF(I$105&lt;=TabS!$G$9,I49*$G$101,IF(I$105&lt;=TabS!$G$10,I49*$G$102))))))</f>
        <v>0</v>
      </c>
      <c r="J150" s="151">
        <f>IF(J$105&lt;=TabS!$G$5,J49*$G$97,IF(J$105&lt;=TabS!$G$6,J49*$G$98,IF(J$105&lt;=TabS!$G$7,J49*$G$99,IF(J$105&lt;=TabS!$G$8,J49*$G$100,IF(J$105&lt;=TabS!$G$9,J49*$G$101,IF(J$105&lt;=TabS!$G$10,J49*$G$102))))))</f>
        <v>0</v>
      </c>
      <c r="K150" s="151">
        <f>IF(K$105&lt;=TabS!$G$5,K49*$G$97,IF(K$105&lt;=TabS!$G$6,K49*$G$98,IF(K$105&lt;=TabS!$G$7,K49*$G$99,IF(K$105&lt;=TabS!$G$8,K49*$G$100,IF(K$105&lt;=TabS!$G$9,K49*$G$101,IF(K$105&lt;=TabS!$G$10,K49*$G$102))))))</f>
        <v>0</v>
      </c>
      <c r="L150" s="151">
        <f>IF(L$105&lt;=TabS!$G$5,L49*$G$97,IF(L$105&lt;=TabS!$G$6,L49*$G$98,IF(L$105&lt;=TabS!$G$7,L49*$G$99,IF(L$105&lt;=TabS!$G$8,L49*$G$100,IF(L$105&lt;=TabS!$G$9,L49*$G$101,IF(L$105&lt;=TabS!$G$10,L49*$G$102))))))</f>
        <v>0</v>
      </c>
      <c r="M150" s="151">
        <f>IF(M$105&lt;=TabS!$G$5,M49*$G$97,IF(M$105&lt;=TabS!$G$6,M49*$G$98,IF(M$105&lt;=TabS!$G$7,M49*$G$99,IF(M$105&lt;=TabS!$G$8,M49*$G$100,IF(M$105&lt;=TabS!$G$9,M49*$G$101,IF(M$105&lt;=TabS!$G$10,M49*$G$102))))))</f>
        <v>0</v>
      </c>
      <c r="N150" s="151">
        <f>IF(N$105&lt;=TabS!$G$5,N49*$G$97,IF(N$105&lt;=TabS!$G$6,N49*$G$98,IF(N$105&lt;=TabS!$G$7,N49*$G$99,IF(N$105&lt;=TabS!$G$8,N49*$G$100,IF(N$105&lt;=TabS!$G$9,N49*$G$101,IF(N$105&lt;=TabS!$G$10,N49*$G$102))))))</f>
        <v>0</v>
      </c>
      <c r="O150" s="152">
        <f t="shared" si="56"/>
        <v>0</v>
      </c>
    </row>
    <row r="151" spans="2:15" ht="20.100000000000001" customHeight="1" x14ac:dyDescent="0.25">
      <c r="B151" s="167" t="s">
        <v>40</v>
      </c>
      <c r="C151" s="151">
        <f>IF(C$105&lt;=TabS!$G$5,C49*$H$97,IF(C$105&lt;=TabS!$G$6,C49*$H$98,IF(C$105&lt;=TabS!$G$7,C49*$H$99,IF(C$105&lt;=TabS!$G$8,C49*$H$100,IF(C$105&lt;=TabS!$G$9,C49*$H$101,IF(C$105&lt;=TabS!$G$10,C49*$H$102))))))</f>
        <v>0</v>
      </c>
      <c r="D151" s="151">
        <f>IF(D$105&lt;=TabS!$G$5,D49*$H$97,IF(D$105&lt;=TabS!$G$6,D49*$H$98,IF(D$105&lt;=TabS!$G$7,D49*$H$99,IF(D$105&lt;=TabS!$G$8,D49*$H$100,IF(D$105&lt;=TabS!$G$9,D49*$H$101,IF(D$105&lt;=TabS!$G$10,D49*$H$102))))))</f>
        <v>0</v>
      </c>
      <c r="E151" s="151">
        <f>IF(E$105&lt;=TabS!$G$5,E49*$H$97,IF(E$105&lt;=TabS!$G$6,E49*$H$98,IF(E$105&lt;=TabS!$G$7,E49*$H$99,IF(E$105&lt;=TabS!$G$8,E49*$H$100,IF(E$105&lt;=TabS!$G$9,E49*$H$101,IF(E$105&lt;=TabS!$G$10,E49*$H$102))))))</f>
        <v>0</v>
      </c>
      <c r="F151" s="151">
        <f>IF(F$105&lt;=TabS!$G$5,F49*$H$97,IF(F$105&lt;=TabS!$G$6,F49*$H$98,IF(F$105&lt;=TabS!$G$7,F49*$H$99,IF(F$105&lt;=TabS!$G$8,F49*$H$100,IF(F$105&lt;=TabS!$G$9,F49*$H$101,IF(F$105&lt;=TabS!$G$10,F49*$H$102))))))</f>
        <v>0</v>
      </c>
      <c r="G151" s="151">
        <f>IF(G$105&lt;=TabS!$G$5,G49*$H$97,IF(G$105&lt;=TabS!$G$6,G49*$H$98,IF(G$105&lt;=TabS!$G$7,G49*$H$99,IF(G$105&lt;=TabS!$G$8,G49*$H$100,IF(G$105&lt;=TabS!$G$9,G49*$H$101,IF(G$105&lt;=TabS!$G$10,G49*$H$102))))))</f>
        <v>0</v>
      </c>
      <c r="H151" s="151">
        <f>IF(H$105&lt;=TabS!$G$5,H49*$H$97,IF(H$105&lt;=TabS!$G$6,H49*$H$98,IF(H$105&lt;=TabS!$G$7,H49*$H$99,IF(H$105&lt;=TabS!$G$8,H49*$H$100,IF(H$105&lt;=TabS!$G$9,H49*$H$101,IF(H$105&lt;=TabS!$G$10,H49*$H$102))))))</f>
        <v>0</v>
      </c>
      <c r="I151" s="151">
        <f>IF(I$105&lt;=TabS!$G$5,I49*$H$97,IF(I$105&lt;=TabS!$G$6,I49*$H$98,IF(I$105&lt;=TabS!$G$7,I49*$H$99,IF(I$105&lt;=TabS!$G$8,I49*$H$100,IF(I$105&lt;=TabS!$G$9,I49*$H$101,IF(I$105&lt;=TabS!$G$10,I49*$H$102))))))</f>
        <v>0</v>
      </c>
      <c r="J151" s="151">
        <f>IF(J$105&lt;=TabS!$G$5,J49*$H$97,IF(J$105&lt;=TabS!$G$6,J49*$H$98,IF(J$105&lt;=TabS!$G$7,J49*$H$99,IF(J$105&lt;=TabS!$G$8,J49*$H$100,IF(J$105&lt;=TabS!$G$9,J49*$H$101,IF(J$105&lt;=TabS!$G$10,J49*$H$102))))))</f>
        <v>0</v>
      </c>
      <c r="K151" s="151">
        <f>IF(K$105&lt;=TabS!$G$5,K49*$H$97,IF(K$105&lt;=TabS!$G$6,K49*$H$98,IF(K$105&lt;=TabS!$G$7,K49*$H$99,IF(K$105&lt;=TabS!$G$8,K49*$H$100,IF(K$105&lt;=TabS!$G$9,K49*$H$101,IF(K$105&lt;=TabS!$G$10,K49*$H$102))))))</f>
        <v>0</v>
      </c>
      <c r="L151" s="151">
        <f>IF(L$105&lt;=TabS!$G$5,L49*$H$97,IF(L$105&lt;=TabS!$G$6,L49*$H$98,IF(L$105&lt;=TabS!$G$7,L49*$H$99,IF(L$105&lt;=TabS!$G$8,L49*$H$100,IF(L$105&lt;=TabS!$G$9,L49*$H$101,IF(L$105&lt;=TabS!$G$10,L49*$H$102))))))</f>
        <v>0</v>
      </c>
      <c r="M151" s="151">
        <f>IF(M$105&lt;=TabS!$G$5,M49*$H$97,IF(M$105&lt;=TabS!$G$6,M49*$H$98,IF(M$105&lt;=TabS!$G$7,M49*$H$99,IF(M$105&lt;=TabS!$G$8,M49*$H$100,IF(M$105&lt;=TabS!$G$9,M49*$H$101,IF(M$105&lt;=TabS!$G$10,M49*$H$102))))))</f>
        <v>0</v>
      </c>
      <c r="N151" s="151">
        <f>IF(N$105&lt;=TabS!$G$5,N49*$H$97,IF(N$105&lt;=TabS!$G$6,N49*$H$98,IF(N$105&lt;=TabS!$G$7,N49*$H$99,IF(N$105&lt;=TabS!$G$8,N49*$H$100,IF(N$105&lt;=TabS!$G$9,N49*$H$101,IF(N$105&lt;=TabS!$G$10,N49*$H$102))))))</f>
        <v>0</v>
      </c>
      <c r="O151" s="152">
        <f t="shared" si="56"/>
        <v>0</v>
      </c>
    </row>
    <row r="152" spans="2:15" ht="20.100000000000001" customHeight="1" x14ac:dyDescent="0.25">
      <c r="B152" s="168" t="s">
        <v>99</v>
      </c>
      <c r="C152" s="152">
        <f>SUM(C146:C151)</f>
        <v>0</v>
      </c>
      <c r="D152" s="152">
        <f t="shared" ref="D152:N152" si="57">SUM(D146:D151)</f>
        <v>0</v>
      </c>
      <c r="E152" s="152">
        <f t="shared" si="57"/>
        <v>0</v>
      </c>
      <c r="F152" s="152">
        <f t="shared" si="57"/>
        <v>0</v>
      </c>
      <c r="G152" s="152">
        <f t="shared" si="57"/>
        <v>0</v>
      </c>
      <c r="H152" s="152">
        <f t="shared" si="57"/>
        <v>0</v>
      </c>
      <c r="I152" s="152">
        <f t="shared" si="57"/>
        <v>0</v>
      </c>
      <c r="J152" s="152">
        <f t="shared" si="57"/>
        <v>0</v>
      </c>
      <c r="K152" s="152">
        <f t="shared" si="57"/>
        <v>0</v>
      </c>
      <c r="L152" s="152">
        <f t="shared" si="57"/>
        <v>0</v>
      </c>
      <c r="M152" s="152">
        <f t="shared" si="57"/>
        <v>0</v>
      </c>
      <c r="N152" s="152">
        <f t="shared" si="57"/>
        <v>0</v>
      </c>
      <c r="O152" s="152">
        <f>SUM(C152:N152)</f>
        <v>0</v>
      </c>
    </row>
    <row r="153" spans="2:15" ht="20.100000000000001" customHeight="1" x14ac:dyDescent="0.25">
      <c r="B153" s="278" t="s">
        <v>130</v>
      </c>
      <c r="C153" s="278"/>
      <c r="D153" s="278"/>
      <c r="E153" s="278"/>
      <c r="F153" s="278"/>
      <c r="G153" s="278"/>
      <c r="H153" s="278"/>
      <c r="I153" s="278"/>
      <c r="J153" s="278"/>
      <c r="K153" s="278"/>
      <c r="L153" s="278"/>
      <c r="M153" s="278"/>
      <c r="N153" s="278"/>
      <c r="O153" s="278"/>
    </row>
    <row r="154" spans="2:15" ht="20.100000000000001" customHeight="1" x14ac:dyDescent="0.25">
      <c r="B154" s="149" t="s">
        <v>82</v>
      </c>
      <c r="C154" s="149" t="s">
        <v>83</v>
      </c>
      <c r="D154" s="149" t="s">
        <v>84</v>
      </c>
      <c r="E154" s="149" t="s">
        <v>85</v>
      </c>
      <c r="F154" s="149" t="s">
        <v>86</v>
      </c>
      <c r="G154" s="149" t="s">
        <v>87</v>
      </c>
      <c r="H154" s="149" t="s">
        <v>88</v>
      </c>
      <c r="I154" s="149" t="s">
        <v>89</v>
      </c>
      <c r="J154" s="149" t="s">
        <v>90</v>
      </c>
      <c r="K154" s="149" t="s">
        <v>91</v>
      </c>
      <c r="L154" s="149" t="s">
        <v>92</v>
      </c>
      <c r="M154" s="149" t="s">
        <v>93</v>
      </c>
      <c r="N154" s="149" t="s">
        <v>94</v>
      </c>
      <c r="O154" s="149" t="s">
        <v>95</v>
      </c>
    </row>
    <row r="155" spans="2:15" ht="20.100000000000001" customHeight="1" x14ac:dyDescent="0.25">
      <c r="B155" s="167" t="s">
        <v>97</v>
      </c>
      <c r="C155" s="151">
        <f>C109+C118+C128+C137+C146</f>
        <v>0</v>
      </c>
      <c r="D155" s="151">
        <f t="shared" ref="D155:N156" si="58">D109+D118+D128+D137+D146</f>
        <v>0</v>
      </c>
      <c r="E155" s="151">
        <f t="shared" si="58"/>
        <v>0</v>
      </c>
      <c r="F155" s="151">
        <f t="shared" si="58"/>
        <v>0</v>
      </c>
      <c r="G155" s="151">
        <f t="shared" si="58"/>
        <v>0</v>
      </c>
      <c r="H155" s="151">
        <f t="shared" si="58"/>
        <v>0</v>
      </c>
      <c r="I155" s="151">
        <f t="shared" si="58"/>
        <v>0</v>
      </c>
      <c r="J155" s="151">
        <f t="shared" si="58"/>
        <v>0</v>
      </c>
      <c r="K155" s="151">
        <f t="shared" si="58"/>
        <v>0</v>
      </c>
      <c r="L155" s="151">
        <f t="shared" si="58"/>
        <v>0</v>
      </c>
      <c r="M155" s="151">
        <f t="shared" si="58"/>
        <v>0</v>
      </c>
      <c r="N155" s="151">
        <f t="shared" si="58"/>
        <v>0</v>
      </c>
      <c r="O155" s="152">
        <f>SUM(C155:N155)</f>
        <v>0</v>
      </c>
    </row>
    <row r="156" spans="2:15" ht="20.100000000000001" customHeight="1" x14ac:dyDescent="0.25">
      <c r="B156" s="167" t="s">
        <v>98</v>
      </c>
      <c r="C156" s="151">
        <f>C110+C119+C129+C138+C147</f>
        <v>0</v>
      </c>
      <c r="D156" s="151">
        <f t="shared" si="58"/>
        <v>0</v>
      </c>
      <c r="E156" s="151">
        <f t="shared" si="58"/>
        <v>0</v>
      </c>
      <c r="F156" s="151">
        <f t="shared" si="58"/>
        <v>0</v>
      </c>
      <c r="G156" s="151">
        <f t="shared" si="58"/>
        <v>0</v>
      </c>
      <c r="H156" s="151">
        <f t="shared" si="58"/>
        <v>0</v>
      </c>
      <c r="I156" s="151">
        <f t="shared" si="58"/>
        <v>0</v>
      </c>
      <c r="J156" s="151">
        <f t="shared" si="58"/>
        <v>0</v>
      </c>
      <c r="K156" s="151">
        <f t="shared" si="58"/>
        <v>0</v>
      </c>
      <c r="L156" s="151">
        <f t="shared" si="58"/>
        <v>0</v>
      </c>
      <c r="M156" s="151">
        <f t="shared" si="58"/>
        <v>0</v>
      </c>
      <c r="N156" s="151">
        <f t="shared" si="58"/>
        <v>0</v>
      </c>
      <c r="O156" s="152">
        <f>SUM(C156:N156)</f>
        <v>0</v>
      </c>
    </row>
    <row r="157" spans="2:15" ht="20.100000000000001" customHeight="1" x14ac:dyDescent="0.25">
      <c r="B157" s="167" t="s">
        <v>37</v>
      </c>
      <c r="C157" s="151">
        <f>C111+C120</f>
        <v>0</v>
      </c>
      <c r="D157" s="151">
        <f t="shared" ref="D157:N157" si="59">D111+D120</f>
        <v>0</v>
      </c>
      <c r="E157" s="151">
        <f t="shared" si="59"/>
        <v>0</v>
      </c>
      <c r="F157" s="151">
        <f t="shared" si="59"/>
        <v>0</v>
      </c>
      <c r="G157" s="151">
        <f t="shared" si="59"/>
        <v>0</v>
      </c>
      <c r="H157" s="151">
        <f t="shared" si="59"/>
        <v>0</v>
      </c>
      <c r="I157" s="151">
        <f t="shared" si="59"/>
        <v>0</v>
      </c>
      <c r="J157" s="151">
        <f t="shared" si="59"/>
        <v>0</v>
      </c>
      <c r="K157" s="151">
        <f t="shared" si="59"/>
        <v>0</v>
      </c>
      <c r="L157" s="151">
        <f t="shared" si="59"/>
        <v>0</v>
      </c>
      <c r="M157" s="151">
        <f t="shared" si="59"/>
        <v>0</v>
      </c>
      <c r="N157" s="151">
        <f t="shared" si="59"/>
        <v>0</v>
      </c>
      <c r="O157" s="152">
        <f t="shared" ref="O157:O162" si="60">SUM(C157:N157)</f>
        <v>0</v>
      </c>
    </row>
    <row r="158" spans="2:15" ht="20.100000000000001" customHeight="1" x14ac:dyDescent="0.25">
      <c r="B158" s="167" t="s">
        <v>38</v>
      </c>
      <c r="C158" s="151">
        <f>C124</f>
        <v>0</v>
      </c>
      <c r="D158" s="151">
        <f t="shared" ref="D158:N158" si="61">D124</f>
        <v>0</v>
      </c>
      <c r="E158" s="151">
        <f t="shared" si="61"/>
        <v>0</v>
      </c>
      <c r="F158" s="151">
        <f t="shared" si="61"/>
        <v>0</v>
      </c>
      <c r="G158" s="151">
        <f t="shared" si="61"/>
        <v>0</v>
      </c>
      <c r="H158" s="151">
        <f t="shared" si="61"/>
        <v>0</v>
      </c>
      <c r="I158" s="151">
        <f t="shared" si="61"/>
        <v>0</v>
      </c>
      <c r="J158" s="151">
        <f t="shared" si="61"/>
        <v>0</v>
      </c>
      <c r="K158" s="151">
        <f t="shared" si="61"/>
        <v>0</v>
      </c>
      <c r="L158" s="151">
        <f t="shared" si="61"/>
        <v>0</v>
      </c>
      <c r="M158" s="151">
        <f t="shared" si="61"/>
        <v>0</v>
      </c>
      <c r="N158" s="151">
        <f t="shared" si="61"/>
        <v>0</v>
      </c>
      <c r="O158" s="152">
        <f t="shared" si="60"/>
        <v>0</v>
      </c>
    </row>
    <row r="159" spans="2:15" ht="20.100000000000001" customHeight="1" x14ac:dyDescent="0.25">
      <c r="B159" s="167" t="s">
        <v>39</v>
      </c>
      <c r="C159" s="151">
        <f>C130+C139+C148</f>
        <v>0</v>
      </c>
      <c r="D159" s="151">
        <f t="shared" ref="D159:N159" si="62">D130+D139+D148</f>
        <v>0</v>
      </c>
      <c r="E159" s="151">
        <f t="shared" si="62"/>
        <v>0</v>
      </c>
      <c r="F159" s="151">
        <f t="shared" si="62"/>
        <v>0</v>
      </c>
      <c r="G159" s="151">
        <f t="shared" si="62"/>
        <v>0</v>
      </c>
      <c r="H159" s="151">
        <f t="shared" si="62"/>
        <v>0</v>
      </c>
      <c r="I159" s="151">
        <f t="shared" si="62"/>
        <v>0</v>
      </c>
      <c r="J159" s="151">
        <f t="shared" si="62"/>
        <v>0</v>
      </c>
      <c r="K159" s="151">
        <f t="shared" si="62"/>
        <v>0</v>
      </c>
      <c r="L159" s="151">
        <f t="shared" si="62"/>
        <v>0</v>
      </c>
      <c r="M159" s="151">
        <f t="shared" si="62"/>
        <v>0</v>
      </c>
      <c r="N159" s="151">
        <f t="shared" si="62"/>
        <v>0</v>
      </c>
      <c r="O159" s="152">
        <f t="shared" si="60"/>
        <v>0</v>
      </c>
    </row>
    <row r="160" spans="2:15" ht="20.100000000000001" customHeight="1" x14ac:dyDescent="0.25">
      <c r="B160" s="167" t="s">
        <v>129</v>
      </c>
      <c r="C160" s="151">
        <f>C121+C131+C140+C149+C112</f>
        <v>0</v>
      </c>
      <c r="D160" s="151">
        <f t="shared" ref="D160:N160" si="63">D121+D131+D140+D149+D112</f>
        <v>0</v>
      </c>
      <c r="E160" s="151">
        <f t="shared" si="63"/>
        <v>0</v>
      </c>
      <c r="F160" s="151">
        <f t="shared" si="63"/>
        <v>0</v>
      </c>
      <c r="G160" s="151">
        <f t="shared" si="63"/>
        <v>0</v>
      </c>
      <c r="H160" s="151">
        <f t="shared" si="63"/>
        <v>0</v>
      </c>
      <c r="I160" s="151">
        <f t="shared" si="63"/>
        <v>0</v>
      </c>
      <c r="J160" s="151">
        <f t="shared" si="63"/>
        <v>0</v>
      </c>
      <c r="K160" s="151">
        <f t="shared" si="63"/>
        <v>0</v>
      </c>
      <c r="L160" s="151">
        <f t="shared" si="63"/>
        <v>0</v>
      </c>
      <c r="M160" s="151">
        <f t="shared" si="63"/>
        <v>0</v>
      </c>
      <c r="N160" s="151">
        <f t="shared" si="63"/>
        <v>0</v>
      </c>
      <c r="O160" s="152">
        <f t="shared" si="60"/>
        <v>0</v>
      </c>
    </row>
    <row r="161" spans="1:15" ht="20.100000000000001" customHeight="1" x14ac:dyDescent="0.25">
      <c r="B161" s="167" t="s">
        <v>42</v>
      </c>
      <c r="C161" s="151">
        <f t="shared" ref="C161:N162" si="64">C122+C132+C141+C150+C113</f>
        <v>0</v>
      </c>
      <c r="D161" s="151">
        <f t="shared" si="64"/>
        <v>0</v>
      </c>
      <c r="E161" s="151">
        <f t="shared" si="64"/>
        <v>0</v>
      </c>
      <c r="F161" s="151">
        <f t="shared" si="64"/>
        <v>0</v>
      </c>
      <c r="G161" s="151">
        <f t="shared" si="64"/>
        <v>0</v>
      </c>
      <c r="H161" s="151">
        <f t="shared" si="64"/>
        <v>0</v>
      </c>
      <c r="I161" s="151">
        <f t="shared" si="64"/>
        <v>0</v>
      </c>
      <c r="J161" s="151">
        <f t="shared" si="64"/>
        <v>0</v>
      </c>
      <c r="K161" s="151">
        <f t="shared" si="64"/>
        <v>0</v>
      </c>
      <c r="L161" s="151">
        <f t="shared" si="64"/>
        <v>0</v>
      </c>
      <c r="M161" s="151">
        <f t="shared" si="64"/>
        <v>0</v>
      </c>
      <c r="N161" s="151">
        <f t="shared" si="64"/>
        <v>0</v>
      </c>
      <c r="O161" s="152">
        <f t="shared" si="60"/>
        <v>0</v>
      </c>
    </row>
    <row r="162" spans="1:15" ht="20.100000000000001" customHeight="1" x14ac:dyDescent="0.25">
      <c r="B162" s="167" t="s">
        <v>40</v>
      </c>
      <c r="C162" s="151">
        <f t="shared" si="64"/>
        <v>0</v>
      </c>
      <c r="D162" s="151">
        <f t="shared" si="64"/>
        <v>0</v>
      </c>
      <c r="E162" s="151">
        <f t="shared" si="64"/>
        <v>0</v>
      </c>
      <c r="F162" s="151">
        <f t="shared" si="64"/>
        <v>0</v>
      </c>
      <c r="G162" s="151">
        <f t="shared" si="64"/>
        <v>0</v>
      </c>
      <c r="H162" s="151">
        <f t="shared" si="64"/>
        <v>0</v>
      </c>
      <c r="I162" s="151">
        <f t="shared" si="64"/>
        <v>0</v>
      </c>
      <c r="J162" s="151">
        <f t="shared" si="64"/>
        <v>0</v>
      </c>
      <c r="K162" s="151">
        <f t="shared" si="64"/>
        <v>0</v>
      </c>
      <c r="L162" s="151">
        <f t="shared" si="64"/>
        <v>0</v>
      </c>
      <c r="M162" s="151">
        <f t="shared" si="64"/>
        <v>0</v>
      </c>
      <c r="N162" s="151">
        <f t="shared" si="64"/>
        <v>0</v>
      </c>
      <c r="O162" s="152">
        <f t="shared" si="60"/>
        <v>0</v>
      </c>
    </row>
    <row r="163" spans="1:15" ht="20.100000000000001" customHeight="1" x14ac:dyDescent="0.25">
      <c r="B163" s="168" t="s">
        <v>99</v>
      </c>
      <c r="C163" s="152">
        <f>SUM(C155:C162)</f>
        <v>0</v>
      </c>
      <c r="D163" s="152">
        <f t="shared" ref="D163:N163" si="65">SUM(D155:D162)</f>
        <v>0</v>
      </c>
      <c r="E163" s="152">
        <f t="shared" si="65"/>
        <v>0</v>
      </c>
      <c r="F163" s="152">
        <f t="shared" si="65"/>
        <v>0</v>
      </c>
      <c r="G163" s="152">
        <f t="shared" si="65"/>
        <v>0</v>
      </c>
      <c r="H163" s="152">
        <f t="shared" si="65"/>
        <v>0</v>
      </c>
      <c r="I163" s="152">
        <f t="shared" si="65"/>
        <v>0</v>
      </c>
      <c r="J163" s="152">
        <f t="shared" si="65"/>
        <v>0</v>
      </c>
      <c r="K163" s="152">
        <f t="shared" si="65"/>
        <v>0</v>
      </c>
      <c r="L163" s="152">
        <f t="shared" si="65"/>
        <v>0</v>
      </c>
      <c r="M163" s="152">
        <f t="shared" si="65"/>
        <v>0</v>
      </c>
      <c r="N163" s="152">
        <f t="shared" si="65"/>
        <v>0</v>
      </c>
      <c r="O163" s="152">
        <f>SUM(C163:N163)</f>
        <v>0</v>
      </c>
    </row>
    <row r="165" spans="1:15" ht="20.100000000000001" customHeight="1" x14ac:dyDescent="0.25">
      <c r="B165" s="162" t="s">
        <v>136</v>
      </c>
    </row>
    <row r="167" spans="1:15" ht="20.100000000000001" customHeight="1" x14ac:dyDescent="0.25">
      <c r="B167" s="169" t="s">
        <v>131</v>
      </c>
      <c r="C167" s="155">
        <f>IF(C5&gt;TabS!$G$9,C34+R34,C34)</f>
        <v>0</v>
      </c>
      <c r="D167" s="155">
        <f>IF(D5&gt;TabS!$G$9,D34+S34,D34)</f>
        <v>0</v>
      </c>
      <c r="E167" s="155">
        <f>IF(E5&gt;TabS!$G$9,E34+T34,E34)</f>
        <v>0</v>
      </c>
      <c r="F167" s="155">
        <f>IF(F5&gt;TabS!$G$9,F34+U34,F34)</f>
        <v>0</v>
      </c>
      <c r="G167" s="155">
        <f>IF(G5&gt;TabS!$G$9,G34+V34,G34)</f>
        <v>0</v>
      </c>
      <c r="H167" s="155">
        <f>IF(H5&gt;TabS!$G$9,H34+W34,H34)</f>
        <v>0</v>
      </c>
      <c r="I167" s="155">
        <f>IF(I5&gt;TabS!$G$9,I34+X34,I34)</f>
        <v>0</v>
      </c>
      <c r="J167" s="155">
        <f>IF(J5&gt;TabS!$G$9,J34+Y34,J34)</f>
        <v>0</v>
      </c>
      <c r="K167" s="155">
        <f>IF(K5&gt;TabS!$G$9,K34+Z34,K34)</f>
        <v>0</v>
      </c>
      <c r="L167" s="155">
        <f>IF(L5&gt;TabS!$G$9,L34+AA34,L34)</f>
        <v>0</v>
      </c>
      <c r="M167" s="155">
        <f>IF(M5&gt;TabS!$G$9,M34+AB34,M34)</f>
        <v>0</v>
      </c>
      <c r="N167" s="155">
        <f>IF(N5&gt;TabS!$G$9,N34+AC34,N34)</f>
        <v>0</v>
      </c>
      <c r="O167" s="133"/>
    </row>
    <row r="168" spans="1:15" ht="20.100000000000001" customHeight="1" x14ac:dyDescent="0.25">
      <c r="B168" s="19" t="s">
        <v>132</v>
      </c>
      <c r="C168" s="154">
        <v>0.14925369999999999</v>
      </c>
    </row>
    <row r="169" spans="1:15" ht="20.100000000000001" customHeight="1" x14ac:dyDescent="0.25">
      <c r="B169" s="169" t="s">
        <v>133</v>
      </c>
      <c r="C169" s="156">
        <f>C167-5%</f>
        <v>-0.05</v>
      </c>
      <c r="D169" s="156">
        <f t="shared" ref="D169:N169" si="66">D167-5%</f>
        <v>-0.05</v>
      </c>
      <c r="E169" s="156">
        <f t="shared" si="66"/>
        <v>-0.05</v>
      </c>
      <c r="F169" s="156">
        <f t="shared" si="66"/>
        <v>-0.05</v>
      </c>
      <c r="G169" s="156">
        <f t="shared" si="66"/>
        <v>-0.05</v>
      </c>
      <c r="H169" s="156">
        <f t="shared" si="66"/>
        <v>-0.05</v>
      </c>
      <c r="I169" s="156">
        <f t="shared" si="66"/>
        <v>-0.05</v>
      </c>
      <c r="J169" s="156">
        <f t="shared" si="66"/>
        <v>-0.05</v>
      </c>
      <c r="K169" s="156">
        <f t="shared" si="66"/>
        <v>-0.05</v>
      </c>
      <c r="L169" s="156">
        <f t="shared" si="66"/>
        <v>-0.05</v>
      </c>
      <c r="M169" s="156">
        <f t="shared" si="66"/>
        <v>-0.05</v>
      </c>
      <c r="N169" s="156">
        <f t="shared" si="66"/>
        <v>-0.05</v>
      </c>
    </row>
    <row r="171" spans="1:15" ht="20.100000000000001" customHeight="1" x14ac:dyDescent="0.25">
      <c r="B171" s="149" t="s">
        <v>82</v>
      </c>
      <c r="C171" s="149" t="s">
        <v>83</v>
      </c>
      <c r="D171" s="149" t="s">
        <v>84</v>
      </c>
      <c r="E171" s="149" t="s">
        <v>85</v>
      </c>
      <c r="F171" s="149" t="s">
        <v>86</v>
      </c>
      <c r="G171" s="149" t="s">
        <v>87</v>
      </c>
      <c r="H171" s="149" t="s">
        <v>88</v>
      </c>
      <c r="I171" s="149" t="s">
        <v>89</v>
      </c>
      <c r="J171" s="149" t="s">
        <v>90</v>
      </c>
      <c r="K171" s="149" t="s">
        <v>91</v>
      </c>
      <c r="L171" s="149" t="s">
        <v>92</v>
      </c>
      <c r="M171" s="149" t="s">
        <v>93</v>
      </c>
      <c r="N171" s="149" t="s">
        <v>94</v>
      </c>
      <c r="O171" s="149" t="s">
        <v>95</v>
      </c>
    </row>
    <row r="172" spans="1:15" ht="20.100000000000001" customHeight="1" x14ac:dyDescent="0.25">
      <c r="A172" s="157">
        <v>0</v>
      </c>
      <c r="B172" s="9" t="s">
        <v>35</v>
      </c>
      <c r="C172" s="158" t="b">
        <f>IF(C$167&gt;$C$168,C$169*$A172)</f>
        <v>0</v>
      </c>
      <c r="D172" s="158" t="b">
        <f t="shared" ref="D172:N172" si="67">IF(D$167&gt;$C$168,D$169*$A172)</f>
        <v>0</v>
      </c>
      <c r="E172" s="158" t="b">
        <f t="shared" si="67"/>
        <v>0</v>
      </c>
      <c r="F172" s="158" t="b">
        <f t="shared" si="67"/>
        <v>0</v>
      </c>
      <c r="G172" s="158" t="b">
        <f t="shared" si="67"/>
        <v>0</v>
      </c>
      <c r="H172" s="158" t="b">
        <f t="shared" si="67"/>
        <v>0</v>
      </c>
      <c r="I172" s="158" t="b">
        <f t="shared" si="67"/>
        <v>0</v>
      </c>
      <c r="J172" s="158" t="b">
        <f t="shared" si="67"/>
        <v>0</v>
      </c>
      <c r="K172" s="158" t="b">
        <f t="shared" si="67"/>
        <v>0</v>
      </c>
      <c r="L172" s="158" t="b">
        <f t="shared" si="67"/>
        <v>0</v>
      </c>
      <c r="M172" s="158" t="b">
        <f t="shared" si="67"/>
        <v>0</v>
      </c>
      <c r="N172" s="158" t="b">
        <f t="shared" si="67"/>
        <v>0</v>
      </c>
    </row>
    <row r="173" spans="1:15" ht="20.100000000000001" customHeight="1" x14ac:dyDescent="0.25">
      <c r="A173" s="157">
        <v>0</v>
      </c>
      <c r="B173" s="9" t="s">
        <v>36</v>
      </c>
      <c r="C173" s="158" t="b">
        <f t="shared" ref="C173:N177" si="68">IF(C$167&gt;$C$168,C$169*$A173)</f>
        <v>0</v>
      </c>
      <c r="D173" s="158" t="b">
        <f t="shared" si="68"/>
        <v>0</v>
      </c>
      <c r="E173" s="158" t="b">
        <f t="shared" si="68"/>
        <v>0</v>
      </c>
      <c r="F173" s="158" t="b">
        <f t="shared" si="68"/>
        <v>0</v>
      </c>
      <c r="G173" s="158" t="b">
        <f t="shared" si="68"/>
        <v>0</v>
      </c>
      <c r="H173" s="158" t="b">
        <f t="shared" si="68"/>
        <v>0</v>
      </c>
      <c r="I173" s="158" t="b">
        <f t="shared" si="68"/>
        <v>0</v>
      </c>
      <c r="J173" s="158" t="b">
        <f t="shared" si="68"/>
        <v>0</v>
      </c>
      <c r="K173" s="158" t="b">
        <f t="shared" si="68"/>
        <v>0</v>
      </c>
      <c r="L173" s="158" t="b">
        <f t="shared" si="68"/>
        <v>0</v>
      </c>
      <c r="M173" s="158" t="b">
        <f t="shared" si="68"/>
        <v>0</v>
      </c>
      <c r="N173" s="158" t="b">
        <f t="shared" si="68"/>
        <v>0</v>
      </c>
    </row>
    <row r="174" spans="1:15" ht="20.100000000000001" customHeight="1" x14ac:dyDescent="0.25">
      <c r="A174" s="157">
        <v>0.05</v>
      </c>
      <c r="B174" s="9" t="s">
        <v>39</v>
      </c>
      <c r="C174" s="158">
        <v>0.05</v>
      </c>
      <c r="D174" s="158">
        <v>0.05</v>
      </c>
      <c r="E174" s="158">
        <v>0.05</v>
      </c>
      <c r="F174" s="158">
        <v>0.05</v>
      </c>
      <c r="G174" s="158">
        <v>0.05</v>
      </c>
      <c r="H174" s="158">
        <v>0.05</v>
      </c>
      <c r="I174" s="158">
        <v>0.05</v>
      </c>
      <c r="J174" s="158">
        <v>0.05</v>
      </c>
      <c r="K174" s="158">
        <v>0.05</v>
      </c>
      <c r="L174" s="158">
        <v>0.05</v>
      </c>
      <c r="M174" s="158">
        <v>0.05</v>
      </c>
      <c r="N174" s="158">
        <v>0.05</v>
      </c>
    </row>
    <row r="175" spans="1:15" ht="20.100000000000001" customHeight="1" x14ac:dyDescent="0.25">
      <c r="A175" s="157">
        <v>0.65259999999999996</v>
      </c>
      <c r="B175" s="9" t="s">
        <v>129</v>
      </c>
      <c r="C175" s="158" t="b">
        <f t="shared" si="68"/>
        <v>0</v>
      </c>
      <c r="D175" s="158" t="b">
        <f t="shared" si="68"/>
        <v>0</v>
      </c>
      <c r="E175" s="158" t="b">
        <f t="shared" si="68"/>
        <v>0</v>
      </c>
      <c r="F175" s="158" t="b">
        <f t="shared" si="68"/>
        <v>0</v>
      </c>
      <c r="G175" s="158" t="b">
        <f t="shared" si="68"/>
        <v>0</v>
      </c>
      <c r="H175" s="158" t="b">
        <f t="shared" si="68"/>
        <v>0</v>
      </c>
      <c r="I175" s="158" t="b">
        <f t="shared" si="68"/>
        <v>0</v>
      </c>
      <c r="J175" s="158" t="b">
        <f t="shared" si="68"/>
        <v>0</v>
      </c>
      <c r="K175" s="158" t="b">
        <f t="shared" si="68"/>
        <v>0</v>
      </c>
      <c r="L175" s="158" t="b">
        <f t="shared" si="68"/>
        <v>0</v>
      </c>
      <c r="M175" s="158" t="b">
        <f t="shared" si="68"/>
        <v>0</v>
      </c>
      <c r="N175" s="158" t="b">
        <f t="shared" si="68"/>
        <v>0</v>
      </c>
    </row>
    <row r="176" spans="1:15" ht="20.100000000000001" customHeight="1" x14ac:dyDescent="0.25">
      <c r="A176" s="157">
        <v>5.2600000000000001E-2</v>
      </c>
      <c r="B176" s="9" t="s">
        <v>42</v>
      </c>
      <c r="C176" s="158" t="b">
        <f t="shared" si="68"/>
        <v>0</v>
      </c>
      <c r="D176" s="158" t="b">
        <f t="shared" si="68"/>
        <v>0</v>
      </c>
      <c r="E176" s="158" t="b">
        <f t="shared" si="68"/>
        <v>0</v>
      </c>
      <c r="F176" s="158" t="b">
        <f t="shared" si="68"/>
        <v>0</v>
      </c>
      <c r="G176" s="158" t="b">
        <f t="shared" si="68"/>
        <v>0</v>
      </c>
      <c r="H176" s="158" t="b">
        <f t="shared" si="68"/>
        <v>0</v>
      </c>
      <c r="I176" s="158" t="b">
        <f t="shared" si="68"/>
        <v>0</v>
      </c>
      <c r="J176" s="158" t="b">
        <f t="shared" si="68"/>
        <v>0</v>
      </c>
      <c r="K176" s="158" t="b">
        <f t="shared" si="68"/>
        <v>0</v>
      </c>
      <c r="L176" s="158" t="b">
        <f t="shared" si="68"/>
        <v>0</v>
      </c>
      <c r="M176" s="158" t="b">
        <f t="shared" si="68"/>
        <v>0</v>
      </c>
      <c r="N176" s="158" t="b">
        <f t="shared" si="68"/>
        <v>0</v>
      </c>
    </row>
    <row r="177" spans="1:15" ht="20.100000000000001" customHeight="1" x14ac:dyDescent="0.25">
      <c r="A177" s="157">
        <v>6.0199999999999997E-2</v>
      </c>
      <c r="B177" s="9" t="s">
        <v>134</v>
      </c>
      <c r="C177" s="158" t="b">
        <f t="shared" si="68"/>
        <v>0</v>
      </c>
      <c r="D177" s="158" t="b">
        <f t="shared" si="68"/>
        <v>0</v>
      </c>
      <c r="E177" s="158" t="b">
        <f t="shared" si="68"/>
        <v>0</v>
      </c>
      <c r="F177" s="158" t="b">
        <f t="shared" si="68"/>
        <v>0</v>
      </c>
      <c r="G177" s="158" t="b">
        <f t="shared" si="68"/>
        <v>0</v>
      </c>
      <c r="H177" s="158" t="b">
        <f t="shared" si="68"/>
        <v>0</v>
      </c>
      <c r="I177" s="158" t="b">
        <f t="shared" si="68"/>
        <v>0</v>
      </c>
      <c r="J177" s="158" t="b">
        <f t="shared" si="68"/>
        <v>0</v>
      </c>
      <c r="K177" s="158" t="b">
        <f t="shared" si="68"/>
        <v>0</v>
      </c>
      <c r="L177" s="158" t="b">
        <f t="shared" si="68"/>
        <v>0</v>
      </c>
      <c r="M177" s="158" t="b">
        <f t="shared" si="68"/>
        <v>0</v>
      </c>
      <c r="N177" s="158" t="b">
        <f t="shared" si="68"/>
        <v>0</v>
      </c>
    </row>
    <row r="179" spans="1:15" ht="20.100000000000001" customHeight="1" x14ac:dyDescent="0.25">
      <c r="B179" s="169" t="s">
        <v>135</v>
      </c>
      <c r="C179" s="159">
        <f>C31</f>
        <v>0</v>
      </c>
      <c r="D179" s="159">
        <f t="shared" ref="D179:N179" si="69">D31</f>
        <v>0</v>
      </c>
      <c r="E179" s="159">
        <f t="shared" si="69"/>
        <v>0</v>
      </c>
      <c r="F179" s="159">
        <f t="shared" si="69"/>
        <v>0</v>
      </c>
      <c r="G179" s="159">
        <f t="shared" si="69"/>
        <v>0</v>
      </c>
      <c r="H179" s="159">
        <f t="shared" si="69"/>
        <v>0</v>
      </c>
      <c r="I179" s="159">
        <f t="shared" si="69"/>
        <v>0</v>
      </c>
      <c r="J179" s="159">
        <f t="shared" si="69"/>
        <v>0</v>
      </c>
      <c r="K179" s="159">
        <f t="shared" si="69"/>
        <v>0</v>
      </c>
      <c r="L179" s="159">
        <f t="shared" si="69"/>
        <v>0</v>
      </c>
      <c r="M179" s="159">
        <f t="shared" si="69"/>
        <v>0</v>
      </c>
      <c r="N179" s="159">
        <f t="shared" si="69"/>
        <v>0</v>
      </c>
      <c r="O179" s="152">
        <f>SUM(C179:N179)</f>
        <v>0</v>
      </c>
    </row>
    <row r="180" spans="1:15" ht="20.100000000000001" customHeight="1" x14ac:dyDescent="0.25">
      <c r="B180" s="9" t="s">
        <v>35</v>
      </c>
      <c r="C180" s="151">
        <f>IFERROR(C$179*C172,0)</f>
        <v>0</v>
      </c>
      <c r="D180" s="151">
        <f t="shared" ref="D180:N180" si="70">IFERROR(D$179*D172,0)</f>
        <v>0</v>
      </c>
      <c r="E180" s="151">
        <f t="shared" si="70"/>
        <v>0</v>
      </c>
      <c r="F180" s="151">
        <f t="shared" si="70"/>
        <v>0</v>
      </c>
      <c r="G180" s="151">
        <f t="shared" si="70"/>
        <v>0</v>
      </c>
      <c r="H180" s="151">
        <f t="shared" si="70"/>
        <v>0</v>
      </c>
      <c r="I180" s="151">
        <f t="shared" si="70"/>
        <v>0</v>
      </c>
      <c r="J180" s="151">
        <f t="shared" si="70"/>
        <v>0</v>
      </c>
      <c r="K180" s="151">
        <f t="shared" si="70"/>
        <v>0</v>
      </c>
      <c r="L180" s="151">
        <f t="shared" si="70"/>
        <v>0</v>
      </c>
      <c r="M180" s="151">
        <f t="shared" si="70"/>
        <v>0</v>
      </c>
      <c r="N180" s="151">
        <f t="shared" si="70"/>
        <v>0</v>
      </c>
      <c r="O180" s="152">
        <f t="shared" ref="O180:O185" si="71">SUM(C180:N180)</f>
        <v>0</v>
      </c>
    </row>
    <row r="181" spans="1:15" ht="20.100000000000001" customHeight="1" x14ac:dyDescent="0.25">
      <c r="B181" s="9" t="s">
        <v>36</v>
      </c>
      <c r="C181" s="151">
        <f t="shared" ref="C181:N185" si="72">IFERROR(C$179*C173,0)</f>
        <v>0</v>
      </c>
      <c r="D181" s="151">
        <f t="shared" si="72"/>
        <v>0</v>
      </c>
      <c r="E181" s="151">
        <f t="shared" si="72"/>
        <v>0</v>
      </c>
      <c r="F181" s="151">
        <f t="shared" si="72"/>
        <v>0</v>
      </c>
      <c r="G181" s="151">
        <f t="shared" si="72"/>
        <v>0</v>
      </c>
      <c r="H181" s="151">
        <f t="shared" si="72"/>
        <v>0</v>
      </c>
      <c r="I181" s="151">
        <f t="shared" si="72"/>
        <v>0</v>
      </c>
      <c r="J181" s="151">
        <f t="shared" si="72"/>
        <v>0</v>
      </c>
      <c r="K181" s="151">
        <f t="shared" si="72"/>
        <v>0</v>
      </c>
      <c r="L181" s="151">
        <f t="shared" si="72"/>
        <v>0</v>
      </c>
      <c r="M181" s="151">
        <f t="shared" si="72"/>
        <v>0</v>
      </c>
      <c r="N181" s="151">
        <f t="shared" si="72"/>
        <v>0</v>
      </c>
      <c r="O181" s="152">
        <f t="shared" si="71"/>
        <v>0</v>
      </c>
    </row>
    <row r="182" spans="1:15" ht="20.100000000000001" customHeight="1" x14ac:dyDescent="0.25">
      <c r="B182" s="9" t="s">
        <v>39</v>
      </c>
      <c r="C182" s="151">
        <f t="shared" si="72"/>
        <v>0</v>
      </c>
      <c r="D182" s="151">
        <f t="shared" si="72"/>
        <v>0</v>
      </c>
      <c r="E182" s="151">
        <f t="shared" si="72"/>
        <v>0</v>
      </c>
      <c r="F182" s="151">
        <f t="shared" si="72"/>
        <v>0</v>
      </c>
      <c r="G182" s="151">
        <f t="shared" si="72"/>
        <v>0</v>
      </c>
      <c r="H182" s="151">
        <f t="shared" si="72"/>
        <v>0</v>
      </c>
      <c r="I182" s="151">
        <f t="shared" si="72"/>
        <v>0</v>
      </c>
      <c r="J182" s="151">
        <f t="shared" si="72"/>
        <v>0</v>
      </c>
      <c r="K182" s="151">
        <f t="shared" si="72"/>
        <v>0</v>
      </c>
      <c r="L182" s="151">
        <f t="shared" si="72"/>
        <v>0</v>
      </c>
      <c r="M182" s="151">
        <f t="shared" si="72"/>
        <v>0</v>
      </c>
      <c r="N182" s="151">
        <f t="shared" si="72"/>
        <v>0</v>
      </c>
      <c r="O182" s="152">
        <f t="shared" si="71"/>
        <v>0</v>
      </c>
    </row>
    <row r="183" spans="1:15" ht="20.100000000000001" customHeight="1" x14ac:dyDescent="0.25">
      <c r="B183" s="9" t="s">
        <v>129</v>
      </c>
      <c r="C183" s="151">
        <f t="shared" si="72"/>
        <v>0</v>
      </c>
      <c r="D183" s="151">
        <f t="shared" si="72"/>
        <v>0</v>
      </c>
      <c r="E183" s="151">
        <f t="shared" si="72"/>
        <v>0</v>
      </c>
      <c r="F183" s="151">
        <f t="shared" si="72"/>
        <v>0</v>
      </c>
      <c r="G183" s="151">
        <f t="shared" si="72"/>
        <v>0</v>
      </c>
      <c r="H183" s="151">
        <f t="shared" si="72"/>
        <v>0</v>
      </c>
      <c r="I183" s="151">
        <f t="shared" si="72"/>
        <v>0</v>
      </c>
      <c r="J183" s="151">
        <f t="shared" si="72"/>
        <v>0</v>
      </c>
      <c r="K183" s="151">
        <f t="shared" si="72"/>
        <v>0</v>
      </c>
      <c r="L183" s="151">
        <f t="shared" si="72"/>
        <v>0</v>
      </c>
      <c r="M183" s="151">
        <f t="shared" si="72"/>
        <v>0</v>
      </c>
      <c r="N183" s="151">
        <f t="shared" si="72"/>
        <v>0</v>
      </c>
      <c r="O183" s="152">
        <f t="shared" si="71"/>
        <v>0</v>
      </c>
    </row>
    <row r="184" spans="1:15" ht="20.100000000000001" customHeight="1" x14ac:dyDescent="0.25">
      <c r="B184" s="9" t="s">
        <v>42</v>
      </c>
      <c r="C184" s="151">
        <f t="shared" si="72"/>
        <v>0</v>
      </c>
      <c r="D184" s="151">
        <f t="shared" si="72"/>
        <v>0</v>
      </c>
      <c r="E184" s="151">
        <f t="shared" si="72"/>
        <v>0</v>
      </c>
      <c r="F184" s="151">
        <f t="shared" si="72"/>
        <v>0</v>
      </c>
      <c r="G184" s="151">
        <f t="shared" si="72"/>
        <v>0</v>
      </c>
      <c r="H184" s="151">
        <f t="shared" si="72"/>
        <v>0</v>
      </c>
      <c r="I184" s="151">
        <f t="shared" si="72"/>
        <v>0</v>
      </c>
      <c r="J184" s="151">
        <f t="shared" si="72"/>
        <v>0</v>
      </c>
      <c r="K184" s="151">
        <f t="shared" si="72"/>
        <v>0</v>
      </c>
      <c r="L184" s="151">
        <f t="shared" si="72"/>
        <v>0</v>
      </c>
      <c r="M184" s="151">
        <f t="shared" si="72"/>
        <v>0</v>
      </c>
      <c r="N184" s="151">
        <f t="shared" si="72"/>
        <v>0</v>
      </c>
      <c r="O184" s="152">
        <f t="shared" si="71"/>
        <v>0</v>
      </c>
    </row>
    <row r="185" spans="1:15" ht="20.100000000000001" customHeight="1" x14ac:dyDescent="0.25">
      <c r="B185" s="9" t="s">
        <v>134</v>
      </c>
      <c r="C185" s="151">
        <f t="shared" si="72"/>
        <v>0</v>
      </c>
      <c r="D185" s="151">
        <f t="shared" si="72"/>
        <v>0</v>
      </c>
      <c r="E185" s="151">
        <f t="shared" si="72"/>
        <v>0</v>
      </c>
      <c r="F185" s="151">
        <f t="shared" si="72"/>
        <v>0</v>
      </c>
      <c r="G185" s="151">
        <f t="shared" si="72"/>
        <v>0</v>
      </c>
      <c r="H185" s="151">
        <f t="shared" si="72"/>
        <v>0</v>
      </c>
      <c r="I185" s="151">
        <f t="shared" si="72"/>
        <v>0</v>
      </c>
      <c r="J185" s="151">
        <f t="shared" si="72"/>
        <v>0</v>
      </c>
      <c r="K185" s="151">
        <f t="shared" si="72"/>
        <v>0</v>
      </c>
      <c r="L185" s="151">
        <f t="shared" si="72"/>
        <v>0</v>
      </c>
      <c r="M185" s="151">
        <f t="shared" si="72"/>
        <v>0</v>
      </c>
      <c r="N185" s="151">
        <f t="shared" si="72"/>
        <v>0</v>
      </c>
      <c r="O185" s="152">
        <f t="shared" si="71"/>
        <v>0</v>
      </c>
    </row>
    <row r="186" spans="1:15" ht="20.100000000000001" customHeight="1" x14ac:dyDescent="0.25">
      <c r="B186" s="168" t="s">
        <v>99</v>
      </c>
      <c r="C186" s="152">
        <f>SUM(C180:C185)</f>
        <v>0</v>
      </c>
      <c r="D186" s="152">
        <f t="shared" ref="D186:N186" si="73">SUM(D180:D185)</f>
        <v>0</v>
      </c>
      <c r="E186" s="152">
        <f t="shared" si="73"/>
        <v>0</v>
      </c>
      <c r="F186" s="152">
        <f t="shared" si="73"/>
        <v>0</v>
      </c>
      <c r="G186" s="152">
        <f t="shared" si="73"/>
        <v>0</v>
      </c>
      <c r="H186" s="152">
        <f t="shared" si="73"/>
        <v>0</v>
      </c>
      <c r="I186" s="152">
        <f t="shared" si="73"/>
        <v>0</v>
      </c>
      <c r="J186" s="152">
        <f t="shared" si="73"/>
        <v>0</v>
      </c>
      <c r="K186" s="152">
        <f t="shared" si="73"/>
        <v>0</v>
      </c>
      <c r="L186" s="152">
        <f t="shared" si="73"/>
        <v>0</v>
      </c>
      <c r="M186" s="152">
        <f t="shared" si="73"/>
        <v>0</v>
      </c>
      <c r="N186" s="152">
        <f t="shared" si="73"/>
        <v>0</v>
      </c>
      <c r="O186" s="152">
        <f>SUM(C186:N186)</f>
        <v>0</v>
      </c>
    </row>
    <row r="188" spans="1:15" ht="20.100000000000001" customHeight="1" x14ac:dyDescent="0.25">
      <c r="B188" s="162" t="s">
        <v>137</v>
      </c>
    </row>
    <row r="190" spans="1:15" ht="20.100000000000001" customHeight="1" x14ac:dyDescent="0.25">
      <c r="B190" s="169" t="s">
        <v>131</v>
      </c>
      <c r="C190" s="155">
        <f>C41</f>
        <v>0</v>
      </c>
      <c r="D190" s="155">
        <f t="shared" ref="D190:N190" si="74">D41</f>
        <v>0</v>
      </c>
      <c r="E190" s="155">
        <f t="shared" si="74"/>
        <v>0</v>
      </c>
      <c r="F190" s="155">
        <f t="shared" si="74"/>
        <v>0</v>
      </c>
      <c r="G190" s="155">
        <f t="shared" si="74"/>
        <v>0</v>
      </c>
      <c r="H190" s="155">
        <f t="shared" si="74"/>
        <v>0</v>
      </c>
      <c r="I190" s="155">
        <f t="shared" si="74"/>
        <v>0</v>
      </c>
      <c r="J190" s="155">
        <f t="shared" si="74"/>
        <v>0</v>
      </c>
      <c r="K190" s="155">
        <f t="shared" si="74"/>
        <v>0</v>
      </c>
      <c r="L190" s="155">
        <f t="shared" si="74"/>
        <v>0</v>
      </c>
      <c r="M190" s="155">
        <f t="shared" si="74"/>
        <v>0</v>
      </c>
      <c r="N190" s="155">
        <f t="shared" si="74"/>
        <v>0</v>
      </c>
    </row>
    <row r="191" spans="1:15" ht="20.100000000000001" customHeight="1" x14ac:dyDescent="0.25">
      <c r="B191" s="19" t="s">
        <v>132</v>
      </c>
      <c r="C191" s="154">
        <v>0.125</v>
      </c>
    </row>
    <row r="192" spans="1:15" ht="20.100000000000001" customHeight="1" x14ac:dyDescent="0.25">
      <c r="B192" s="169" t="s">
        <v>133</v>
      </c>
      <c r="C192" s="156">
        <f>C190-5%</f>
        <v>-0.05</v>
      </c>
      <c r="D192" s="156">
        <f t="shared" ref="D192:N192" si="75">D190-5%</f>
        <v>-0.05</v>
      </c>
      <c r="E192" s="156">
        <f t="shared" si="75"/>
        <v>-0.05</v>
      </c>
      <c r="F192" s="156">
        <f t="shared" si="75"/>
        <v>-0.05</v>
      </c>
      <c r="G192" s="156">
        <f t="shared" si="75"/>
        <v>-0.05</v>
      </c>
      <c r="H192" s="156">
        <f t="shared" si="75"/>
        <v>-0.05</v>
      </c>
      <c r="I192" s="156">
        <f t="shared" si="75"/>
        <v>-0.05</v>
      </c>
      <c r="J192" s="156">
        <f t="shared" si="75"/>
        <v>-0.05</v>
      </c>
      <c r="K192" s="156">
        <f t="shared" si="75"/>
        <v>-0.05</v>
      </c>
      <c r="L192" s="156">
        <f t="shared" si="75"/>
        <v>-0.05</v>
      </c>
      <c r="M192" s="156">
        <f t="shared" si="75"/>
        <v>-0.05</v>
      </c>
      <c r="N192" s="156">
        <f t="shared" si="75"/>
        <v>-0.05</v>
      </c>
    </row>
    <row r="194" spans="1:15" ht="20.100000000000001" customHeight="1" x14ac:dyDescent="0.25">
      <c r="B194" s="149" t="s">
        <v>82</v>
      </c>
      <c r="C194" s="149" t="s">
        <v>83</v>
      </c>
      <c r="D194" s="149" t="s">
        <v>84</v>
      </c>
      <c r="E194" s="149" t="s">
        <v>85</v>
      </c>
      <c r="F194" s="149" t="s">
        <v>86</v>
      </c>
      <c r="G194" s="149" t="s">
        <v>87</v>
      </c>
      <c r="H194" s="149" t="s">
        <v>88</v>
      </c>
      <c r="I194" s="149" t="s">
        <v>89</v>
      </c>
      <c r="J194" s="149" t="s">
        <v>90</v>
      </c>
      <c r="K194" s="149" t="s">
        <v>91</v>
      </c>
      <c r="L194" s="149" t="s">
        <v>92</v>
      </c>
      <c r="M194" s="149" t="s">
        <v>93</v>
      </c>
      <c r="N194" s="149" t="s">
        <v>94</v>
      </c>
    </row>
    <row r="195" spans="1:15" ht="20.100000000000001" customHeight="1" x14ac:dyDescent="0.25">
      <c r="A195" s="157">
        <v>0</v>
      </c>
      <c r="B195" s="9" t="s">
        <v>35</v>
      </c>
      <c r="C195" s="158" t="b">
        <f>IF(C$190&gt;$C$191,C$192*$A195)</f>
        <v>0</v>
      </c>
      <c r="D195" s="158" t="b">
        <f t="shared" ref="D195:N195" si="76">IF(D$190&gt;$C$191,D$192*$A195)</f>
        <v>0</v>
      </c>
      <c r="E195" s="158" t="b">
        <f t="shared" si="76"/>
        <v>0</v>
      </c>
      <c r="F195" s="158" t="b">
        <f t="shared" si="76"/>
        <v>0</v>
      </c>
      <c r="G195" s="158" t="b">
        <f t="shared" si="76"/>
        <v>0</v>
      </c>
      <c r="H195" s="158" t="b">
        <f t="shared" si="76"/>
        <v>0</v>
      </c>
      <c r="I195" s="158" t="b">
        <f t="shared" si="76"/>
        <v>0</v>
      </c>
      <c r="J195" s="158" t="b">
        <f t="shared" si="76"/>
        <v>0</v>
      </c>
      <c r="K195" s="158" t="b">
        <f t="shared" si="76"/>
        <v>0</v>
      </c>
      <c r="L195" s="158" t="b">
        <f t="shared" si="76"/>
        <v>0</v>
      </c>
      <c r="M195" s="158" t="b">
        <f t="shared" si="76"/>
        <v>0</v>
      </c>
      <c r="N195" s="158" t="b">
        <f t="shared" si="76"/>
        <v>0</v>
      </c>
    </row>
    <row r="196" spans="1:15" ht="20.100000000000001" customHeight="1" x14ac:dyDescent="0.25">
      <c r="A196" s="157">
        <v>0</v>
      </c>
      <c r="B196" s="9" t="s">
        <v>36</v>
      </c>
      <c r="C196" s="158" t="b">
        <f t="shared" ref="C196:N200" si="77">IF(C$190&gt;$C$191,C$192*$A196)</f>
        <v>0</v>
      </c>
      <c r="D196" s="158" t="b">
        <f t="shared" si="77"/>
        <v>0</v>
      </c>
      <c r="E196" s="158" t="b">
        <f t="shared" si="77"/>
        <v>0</v>
      </c>
      <c r="F196" s="158" t="b">
        <f t="shared" si="77"/>
        <v>0</v>
      </c>
      <c r="G196" s="158" t="b">
        <f t="shared" si="77"/>
        <v>0</v>
      </c>
      <c r="H196" s="158" t="b">
        <f t="shared" si="77"/>
        <v>0</v>
      </c>
      <c r="I196" s="158" t="b">
        <f t="shared" si="77"/>
        <v>0</v>
      </c>
      <c r="J196" s="158" t="b">
        <f t="shared" si="77"/>
        <v>0</v>
      </c>
      <c r="K196" s="158" t="b">
        <f t="shared" si="77"/>
        <v>0</v>
      </c>
      <c r="L196" s="158" t="b">
        <f t="shared" si="77"/>
        <v>0</v>
      </c>
      <c r="M196" s="158" t="b">
        <f t="shared" si="77"/>
        <v>0</v>
      </c>
      <c r="N196" s="158" t="b">
        <f t="shared" si="77"/>
        <v>0</v>
      </c>
    </row>
    <row r="197" spans="1:15" ht="20.100000000000001" customHeight="1" x14ac:dyDescent="0.25">
      <c r="A197" s="157">
        <v>0.05</v>
      </c>
      <c r="B197" s="9" t="s">
        <v>39</v>
      </c>
      <c r="C197" s="158">
        <v>0.05</v>
      </c>
      <c r="D197" s="158">
        <v>0.05</v>
      </c>
      <c r="E197" s="158">
        <v>0.05</v>
      </c>
      <c r="F197" s="158">
        <v>0.05</v>
      </c>
      <c r="G197" s="158">
        <v>0.05</v>
      </c>
      <c r="H197" s="158">
        <v>0.05</v>
      </c>
      <c r="I197" s="158">
        <v>0.05</v>
      </c>
      <c r="J197" s="158">
        <v>0.05</v>
      </c>
      <c r="K197" s="158">
        <v>0.05</v>
      </c>
      <c r="L197" s="158">
        <v>0.05</v>
      </c>
      <c r="M197" s="158">
        <v>0.05</v>
      </c>
      <c r="N197" s="158">
        <v>0.05</v>
      </c>
    </row>
    <row r="198" spans="1:15" ht="20.100000000000001" customHeight="1" x14ac:dyDescent="0.25">
      <c r="A198" s="157">
        <v>0</v>
      </c>
      <c r="B198" s="9" t="s">
        <v>129</v>
      </c>
      <c r="C198" s="158" t="b">
        <f t="shared" si="77"/>
        <v>0</v>
      </c>
      <c r="D198" s="158" t="b">
        <f t="shared" si="77"/>
        <v>0</v>
      </c>
      <c r="E198" s="158" t="b">
        <f t="shared" si="77"/>
        <v>0</v>
      </c>
      <c r="F198" s="158" t="b">
        <f t="shared" si="77"/>
        <v>0</v>
      </c>
      <c r="G198" s="158" t="b">
        <f t="shared" si="77"/>
        <v>0</v>
      </c>
      <c r="H198" s="158" t="b">
        <f t="shared" si="77"/>
        <v>0</v>
      </c>
      <c r="I198" s="158" t="b">
        <f t="shared" si="77"/>
        <v>0</v>
      </c>
      <c r="J198" s="158" t="b">
        <f t="shared" si="77"/>
        <v>0</v>
      </c>
      <c r="K198" s="158" t="b">
        <f t="shared" si="77"/>
        <v>0</v>
      </c>
      <c r="L198" s="158" t="b">
        <f t="shared" si="77"/>
        <v>0</v>
      </c>
      <c r="M198" s="158" t="b">
        <f t="shared" si="77"/>
        <v>0</v>
      </c>
      <c r="N198" s="158" t="b">
        <f t="shared" si="77"/>
        <v>0</v>
      </c>
    </row>
    <row r="199" spans="1:15" ht="20.100000000000001" customHeight="1" x14ac:dyDescent="0.25">
      <c r="A199" s="157">
        <v>0.32</v>
      </c>
      <c r="B199" s="9" t="s">
        <v>42</v>
      </c>
      <c r="C199" s="158" t="b">
        <f t="shared" si="77"/>
        <v>0</v>
      </c>
      <c r="D199" s="158" t="b">
        <f t="shared" si="77"/>
        <v>0</v>
      </c>
      <c r="E199" s="158" t="b">
        <f t="shared" si="77"/>
        <v>0</v>
      </c>
      <c r="F199" s="158" t="b">
        <f t="shared" si="77"/>
        <v>0</v>
      </c>
      <c r="G199" s="158" t="b">
        <f t="shared" si="77"/>
        <v>0</v>
      </c>
      <c r="H199" s="158" t="b">
        <f t="shared" si="77"/>
        <v>0</v>
      </c>
      <c r="I199" s="158" t="b">
        <f t="shared" si="77"/>
        <v>0</v>
      </c>
      <c r="J199" s="158" t="b">
        <f t="shared" si="77"/>
        <v>0</v>
      </c>
      <c r="K199" s="158" t="b">
        <f t="shared" si="77"/>
        <v>0</v>
      </c>
      <c r="L199" s="158" t="b">
        <f t="shared" si="77"/>
        <v>0</v>
      </c>
      <c r="M199" s="158" t="b">
        <f t="shared" si="77"/>
        <v>0</v>
      </c>
      <c r="N199" s="158" t="b">
        <f t="shared" si="77"/>
        <v>0</v>
      </c>
    </row>
    <row r="200" spans="1:15" ht="20.100000000000001" customHeight="1" x14ac:dyDescent="0.25">
      <c r="A200" s="157">
        <v>0.31330000000000002</v>
      </c>
      <c r="B200" s="9" t="s">
        <v>134</v>
      </c>
      <c r="C200" s="158" t="b">
        <f t="shared" si="77"/>
        <v>0</v>
      </c>
      <c r="D200" s="158" t="b">
        <f t="shared" si="77"/>
        <v>0</v>
      </c>
      <c r="E200" s="158" t="b">
        <f t="shared" si="77"/>
        <v>0</v>
      </c>
      <c r="F200" s="158" t="b">
        <f t="shared" si="77"/>
        <v>0</v>
      </c>
      <c r="G200" s="158" t="b">
        <f t="shared" si="77"/>
        <v>0</v>
      </c>
      <c r="H200" s="158" t="b">
        <f t="shared" si="77"/>
        <v>0</v>
      </c>
      <c r="I200" s="158" t="b">
        <f t="shared" si="77"/>
        <v>0</v>
      </c>
      <c r="J200" s="158" t="b">
        <f t="shared" si="77"/>
        <v>0</v>
      </c>
      <c r="K200" s="158" t="b">
        <f t="shared" si="77"/>
        <v>0</v>
      </c>
      <c r="L200" s="158" t="b">
        <f t="shared" si="77"/>
        <v>0</v>
      </c>
      <c r="M200" s="158" t="b">
        <f t="shared" si="77"/>
        <v>0</v>
      </c>
      <c r="N200" s="158" t="b">
        <f t="shared" si="77"/>
        <v>0</v>
      </c>
    </row>
    <row r="202" spans="1:15" ht="20.100000000000001" customHeight="1" x14ac:dyDescent="0.25">
      <c r="B202" s="169" t="s">
        <v>135</v>
      </c>
      <c r="C202" s="159">
        <f>C38</f>
        <v>0</v>
      </c>
      <c r="D202" s="159">
        <f t="shared" ref="D202:N202" si="78">D38</f>
        <v>0</v>
      </c>
      <c r="E202" s="159">
        <f t="shared" si="78"/>
        <v>0</v>
      </c>
      <c r="F202" s="159">
        <f t="shared" si="78"/>
        <v>0</v>
      </c>
      <c r="G202" s="159">
        <f t="shared" si="78"/>
        <v>0</v>
      </c>
      <c r="H202" s="159">
        <f t="shared" si="78"/>
        <v>0</v>
      </c>
      <c r="I202" s="159">
        <f t="shared" si="78"/>
        <v>0</v>
      </c>
      <c r="J202" s="159">
        <f t="shared" si="78"/>
        <v>0</v>
      </c>
      <c r="K202" s="159">
        <f t="shared" si="78"/>
        <v>0</v>
      </c>
      <c r="L202" s="159">
        <f t="shared" si="78"/>
        <v>0</v>
      </c>
      <c r="M202" s="159">
        <f t="shared" si="78"/>
        <v>0</v>
      </c>
      <c r="N202" s="159">
        <f t="shared" si="78"/>
        <v>0</v>
      </c>
      <c r="O202" s="152">
        <f>SUM(C202:N202)</f>
        <v>0</v>
      </c>
    </row>
    <row r="203" spans="1:15" ht="20.100000000000001" customHeight="1" x14ac:dyDescent="0.25">
      <c r="B203" s="9" t="s">
        <v>35</v>
      </c>
      <c r="C203" s="151">
        <f>IFERROR(C$202*C195,0)</f>
        <v>0</v>
      </c>
      <c r="D203" s="151">
        <f t="shared" ref="D203:N203" si="79">IFERROR(D$202*D195,0)</f>
        <v>0</v>
      </c>
      <c r="E203" s="151">
        <f t="shared" si="79"/>
        <v>0</v>
      </c>
      <c r="F203" s="151">
        <f t="shared" si="79"/>
        <v>0</v>
      </c>
      <c r="G203" s="151">
        <f t="shared" si="79"/>
        <v>0</v>
      </c>
      <c r="H203" s="151">
        <f t="shared" si="79"/>
        <v>0</v>
      </c>
      <c r="I203" s="151">
        <f t="shared" si="79"/>
        <v>0</v>
      </c>
      <c r="J203" s="151">
        <f t="shared" si="79"/>
        <v>0</v>
      </c>
      <c r="K203" s="151">
        <f t="shared" si="79"/>
        <v>0</v>
      </c>
      <c r="L203" s="151">
        <f t="shared" si="79"/>
        <v>0</v>
      </c>
      <c r="M203" s="151">
        <f t="shared" si="79"/>
        <v>0</v>
      </c>
      <c r="N203" s="151">
        <f t="shared" si="79"/>
        <v>0</v>
      </c>
      <c r="O203" s="152">
        <f t="shared" ref="O203:O208" si="80">SUM(C203:N203)</f>
        <v>0</v>
      </c>
    </row>
    <row r="204" spans="1:15" ht="20.100000000000001" customHeight="1" x14ac:dyDescent="0.25">
      <c r="B204" s="9" t="s">
        <v>36</v>
      </c>
      <c r="C204" s="151">
        <f t="shared" ref="C204:N208" si="81">IFERROR(C$202*C196,0)</f>
        <v>0</v>
      </c>
      <c r="D204" s="151">
        <f t="shared" si="81"/>
        <v>0</v>
      </c>
      <c r="E204" s="151">
        <f t="shared" si="81"/>
        <v>0</v>
      </c>
      <c r="F204" s="151">
        <f t="shared" si="81"/>
        <v>0</v>
      </c>
      <c r="G204" s="151">
        <f t="shared" si="81"/>
        <v>0</v>
      </c>
      <c r="H204" s="151">
        <f t="shared" si="81"/>
        <v>0</v>
      </c>
      <c r="I204" s="151">
        <f t="shared" si="81"/>
        <v>0</v>
      </c>
      <c r="J204" s="151">
        <f t="shared" si="81"/>
        <v>0</v>
      </c>
      <c r="K204" s="151">
        <f t="shared" si="81"/>
        <v>0</v>
      </c>
      <c r="L204" s="151">
        <f t="shared" si="81"/>
        <v>0</v>
      </c>
      <c r="M204" s="151">
        <f t="shared" si="81"/>
        <v>0</v>
      </c>
      <c r="N204" s="151">
        <f t="shared" si="81"/>
        <v>0</v>
      </c>
      <c r="O204" s="152">
        <f t="shared" si="80"/>
        <v>0</v>
      </c>
    </row>
    <row r="205" spans="1:15" ht="20.100000000000001" customHeight="1" x14ac:dyDescent="0.25">
      <c r="B205" s="9" t="s">
        <v>39</v>
      </c>
      <c r="C205" s="151">
        <f t="shared" si="81"/>
        <v>0</v>
      </c>
      <c r="D205" s="151">
        <f t="shared" si="81"/>
        <v>0</v>
      </c>
      <c r="E205" s="151">
        <f t="shared" si="81"/>
        <v>0</v>
      </c>
      <c r="F205" s="151">
        <f t="shared" si="81"/>
        <v>0</v>
      </c>
      <c r="G205" s="151">
        <f t="shared" si="81"/>
        <v>0</v>
      </c>
      <c r="H205" s="151">
        <f t="shared" si="81"/>
        <v>0</v>
      </c>
      <c r="I205" s="151">
        <f t="shared" si="81"/>
        <v>0</v>
      </c>
      <c r="J205" s="151">
        <f t="shared" si="81"/>
        <v>0</v>
      </c>
      <c r="K205" s="151">
        <f t="shared" si="81"/>
        <v>0</v>
      </c>
      <c r="L205" s="151">
        <f t="shared" si="81"/>
        <v>0</v>
      </c>
      <c r="M205" s="151">
        <f t="shared" si="81"/>
        <v>0</v>
      </c>
      <c r="N205" s="151">
        <f t="shared" si="81"/>
        <v>0</v>
      </c>
      <c r="O205" s="152">
        <f t="shared" si="80"/>
        <v>0</v>
      </c>
    </row>
    <row r="206" spans="1:15" ht="20.100000000000001" customHeight="1" x14ac:dyDescent="0.25">
      <c r="B206" s="9" t="s">
        <v>129</v>
      </c>
      <c r="C206" s="151">
        <f t="shared" si="81"/>
        <v>0</v>
      </c>
      <c r="D206" s="151">
        <f t="shared" si="81"/>
        <v>0</v>
      </c>
      <c r="E206" s="151">
        <f t="shared" si="81"/>
        <v>0</v>
      </c>
      <c r="F206" s="151">
        <f t="shared" si="81"/>
        <v>0</v>
      </c>
      <c r="G206" s="151">
        <f t="shared" si="81"/>
        <v>0</v>
      </c>
      <c r="H206" s="151">
        <f t="shared" si="81"/>
        <v>0</v>
      </c>
      <c r="I206" s="151">
        <f t="shared" si="81"/>
        <v>0</v>
      </c>
      <c r="J206" s="151">
        <f t="shared" si="81"/>
        <v>0</v>
      </c>
      <c r="K206" s="151">
        <f t="shared" si="81"/>
        <v>0</v>
      </c>
      <c r="L206" s="151">
        <f t="shared" si="81"/>
        <v>0</v>
      </c>
      <c r="M206" s="151">
        <f t="shared" si="81"/>
        <v>0</v>
      </c>
      <c r="N206" s="151">
        <f t="shared" si="81"/>
        <v>0</v>
      </c>
      <c r="O206" s="152">
        <f t="shared" si="80"/>
        <v>0</v>
      </c>
    </row>
    <row r="207" spans="1:15" ht="20.100000000000001" customHeight="1" x14ac:dyDescent="0.25">
      <c r="B207" s="9" t="s">
        <v>42</v>
      </c>
      <c r="C207" s="151">
        <f t="shared" si="81"/>
        <v>0</v>
      </c>
      <c r="D207" s="151">
        <f t="shared" si="81"/>
        <v>0</v>
      </c>
      <c r="E207" s="151">
        <f t="shared" si="81"/>
        <v>0</v>
      </c>
      <c r="F207" s="151">
        <f t="shared" si="81"/>
        <v>0</v>
      </c>
      <c r="G207" s="151">
        <f t="shared" si="81"/>
        <v>0</v>
      </c>
      <c r="H207" s="151">
        <f t="shared" si="81"/>
        <v>0</v>
      </c>
      <c r="I207" s="151">
        <f t="shared" si="81"/>
        <v>0</v>
      </c>
      <c r="J207" s="151">
        <f t="shared" si="81"/>
        <v>0</v>
      </c>
      <c r="K207" s="151">
        <f t="shared" si="81"/>
        <v>0</v>
      </c>
      <c r="L207" s="151">
        <f t="shared" si="81"/>
        <v>0</v>
      </c>
      <c r="M207" s="151">
        <f t="shared" si="81"/>
        <v>0</v>
      </c>
      <c r="N207" s="151">
        <f t="shared" si="81"/>
        <v>0</v>
      </c>
      <c r="O207" s="152">
        <f t="shared" si="80"/>
        <v>0</v>
      </c>
    </row>
    <row r="208" spans="1:15" ht="20.100000000000001" customHeight="1" x14ac:dyDescent="0.25">
      <c r="B208" s="9" t="s">
        <v>134</v>
      </c>
      <c r="C208" s="151">
        <f t="shared" si="81"/>
        <v>0</v>
      </c>
      <c r="D208" s="151">
        <f t="shared" si="81"/>
        <v>0</v>
      </c>
      <c r="E208" s="151">
        <f t="shared" si="81"/>
        <v>0</v>
      </c>
      <c r="F208" s="151">
        <f t="shared" si="81"/>
        <v>0</v>
      </c>
      <c r="G208" s="151">
        <f t="shared" si="81"/>
        <v>0</v>
      </c>
      <c r="H208" s="151">
        <f t="shared" si="81"/>
        <v>0</v>
      </c>
      <c r="I208" s="151">
        <f t="shared" si="81"/>
        <v>0</v>
      </c>
      <c r="J208" s="151">
        <f t="shared" si="81"/>
        <v>0</v>
      </c>
      <c r="K208" s="151">
        <f t="shared" si="81"/>
        <v>0</v>
      </c>
      <c r="L208" s="151">
        <f t="shared" si="81"/>
        <v>0</v>
      </c>
      <c r="M208" s="151">
        <f t="shared" si="81"/>
        <v>0</v>
      </c>
      <c r="N208" s="151">
        <f t="shared" si="81"/>
        <v>0</v>
      </c>
      <c r="O208" s="152">
        <f t="shared" si="80"/>
        <v>0</v>
      </c>
    </row>
    <row r="209" spans="2:15" ht="20.100000000000001" customHeight="1" x14ac:dyDescent="0.25">
      <c r="B209" s="168" t="s">
        <v>99</v>
      </c>
      <c r="C209" s="152">
        <f>SUM(C203:C208)</f>
        <v>0</v>
      </c>
      <c r="D209" s="152">
        <f t="shared" ref="D209:N209" si="82">SUM(D203:D208)</f>
        <v>0</v>
      </c>
      <c r="E209" s="152">
        <f t="shared" si="82"/>
        <v>0</v>
      </c>
      <c r="F209" s="152">
        <f t="shared" si="82"/>
        <v>0</v>
      </c>
      <c r="G209" s="152">
        <f t="shared" si="82"/>
        <v>0</v>
      </c>
      <c r="H209" s="152">
        <f t="shared" si="82"/>
        <v>0</v>
      </c>
      <c r="I209" s="152">
        <f t="shared" si="82"/>
        <v>0</v>
      </c>
      <c r="J209" s="152">
        <f t="shared" si="82"/>
        <v>0</v>
      </c>
      <c r="K209" s="152">
        <f t="shared" si="82"/>
        <v>0</v>
      </c>
      <c r="L209" s="152">
        <f t="shared" si="82"/>
        <v>0</v>
      </c>
      <c r="M209" s="152">
        <f t="shared" si="82"/>
        <v>0</v>
      </c>
      <c r="N209" s="152">
        <f t="shared" si="82"/>
        <v>0</v>
      </c>
      <c r="O209" s="152">
        <f>SUM(C209:N209)</f>
        <v>0</v>
      </c>
    </row>
  </sheetData>
  <mergeCells count="2">
    <mergeCell ref="B2:E2"/>
    <mergeCell ref="B153:O15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9">
    <tabColor theme="9"/>
  </sheetPr>
  <dimension ref="A1:AD209"/>
  <sheetViews>
    <sheetView showGridLines="0" workbookViewId="0">
      <selection activeCell="C121" sqref="C121"/>
    </sheetView>
  </sheetViews>
  <sheetFormatPr defaultColWidth="20.7109375" defaultRowHeight="20.100000000000001" customHeight="1" x14ac:dyDescent="0.25"/>
  <cols>
    <col min="1" max="1" width="11" style="19" customWidth="1"/>
    <col min="2" max="15" width="12.7109375" style="19" customWidth="1"/>
    <col min="16" max="16" width="5.7109375" style="19" customWidth="1"/>
    <col min="17" max="17" width="12.7109375" style="144" customWidth="1"/>
    <col min="18" max="30" width="12.7109375" style="19" customWidth="1"/>
    <col min="31" max="16384" width="20.7109375" style="19"/>
  </cols>
  <sheetData>
    <row r="1" spans="2:30" s="20" customFormat="1" ht="20.100000000000001" customHeight="1" x14ac:dyDescent="0.25">
      <c r="Q1" s="143"/>
    </row>
    <row r="2" spans="2:30" s="22" customFormat="1" ht="20.100000000000001" customHeight="1" x14ac:dyDescent="0.25">
      <c r="B2" s="279" t="s">
        <v>145</v>
      </c>
      <c r="C2" s="279"/>
      <c r="D2" s="279"/>
      <c r="E2" s="279"/>
      <c r="Q2" s="170"/>
    </row>
    <row r="4" spans="2:30" ht="20.100000000000001" customHeight="1" x14ac:dyDescent="0.25">
      <c r="B4" s="112" t="s">
        <v>82</v>
      </c>
      <c r="C4" s="112" t="s">
        <v>83</v>
      </c>
      <c r="D4" s="112" t="s">
        <v>84</v>
      </c>
      <c r="E4" s="112" t="s">
        <v>85</v>
      </c>
      <c r="F4" s="112" t="s">
        <v>86</v>
      </c>
      <c r="G4" s="112" t="s">
        <v>87</v>
      </c>
      <c r="H4" s="112" t="s">
        <v>88</v>
      </c>
      <c r="I4" s="112" t="s">
        <v>89</v>
      </c>
      <c r="J4" s="112" t="s">
        <v>90</v>
      </c>
      <c r="K4" s="112" t="s">
        <v>91</v>
      </c>
      <c r="L4" s="112" t="s">
        <v>92</v>
      </c>
      <c r="M4" s="112" t="s">
        <v>93</v>
      </c>
      <c r="N4" s="112" t="s">
        <v>94</v>
      </c>
      <c r="O4" s="132"/>
    </row>
    <row r="5" spans="2:30" ht="20.100000000000001" customHeight="1" x14ac:dyDescent="0.25">
      <c r="B5" s="19" t="s">
        <v>120</v>
      </c>
      <c r="C5" s="132">
        <f>Simp1!D11</f>
        <v>0</v>
      </c>
      <c r="D5" s="132">
        <f>Simp1!E11</f>
        <v>0</v>
      </c>
      <c r="E5" s="132">
        <f>Simp1!F11</f>
        <v>0</v>
      </c>
      <c r="F5" s="132">
        <f>Simp1!G11</f>
        <v>0</v>
      </c>
      <c r="G5" s="132">
        <f>Simp1!H11</f>
        <v>0</v>
      </c>
      <c r="H5" s="132">
        <f>Simp1!I11</f>
        <v>0</v>
      </c>
      <c r="I5" s="132">
        <f>Simp1!J11</f>
        <v>0</v>
      </c>
      <c r="J5" s="132">
        <f>Simp1!K11</f>
        <v>0</v>
      </c>
      <c r="K5" s="132">
        <f>Simp1!L11</f>
        <v>0</v>
      </c>
      <c r="L5" s="132">
        <f>Simp1!M11</f>
        <v>0</v>
      </c>
      <c r="M5" s="132">
        <f>Simp1!N11</f>
        <v>0</v>
      </c>
      <c r="N5" s="132">
        <f>Simp1!O11</f>
        <v>0</v>
      </c>
      <c r="O5" s="132"/>
    </row>
    <row r="7" spans="2:30" ht="20.100000000000001" customHeight="1" x14ac:dyDescent="0.2">
      <c r="B7" s="120" t="s">
        <v>109</v>
      </c>
    </row>
    <row r="8" spans="2:30" ht="20.100000000000001" customHeight="1" x14ac:dyDescent="0.25">
      <c r="B8" s="112" t="s">
        <v>82</v>
      </c>
      <c r="C8" s="112" t="s">
        <v>83</v>
      </c>
      <c r="D8" s="112" t="s">
        <v>84</v>
      </c>
      <c r="E8" s="112" t="s">
        <v>85</v>
      </c>
      <c r="F8" s="112" t="s">
        <v>86</v>
      </c>
      <c r="G8" s="112" t="s">
        <v>87</v>
      </c>
      <c r="H8" s="112" t="s">
        <v>88</v>
      </c>
      <c r="I8" s="112" t="s">
        <v>89</v>
      </c>
      <c r="J8" s="112" t="s">
        <v>90</v>
      </c>
      <c r="K8" s="112" t="s">
        <v>91</v>
      </c>
      <c r="L8" s="112" t="s">
        <v>92</v>
      </c>
      <c r="M8" s="112" t="s">
        <v>93</v>
      </c>
      <c r="N8" s="112" t="s">
        <v>94</v>
      </c>
      <c r="O8" s="112" t="s">
        <v>95</v>
      </c>
    </row>
    <row r="9" spans="2:30" ht="20.100000000000001" customHeight="1" x14ac:dyDescent="0.25">
      <c r="B9" s="19" t="s">
        <v>80</v>
      </c>
      <c r="C9" s="116">
        <f>Simp3!D5</f>
        <v>0</v>
      </c>
      <c r="D9" s="116">
        <f>Simp3!E5</f>
        <v>0</v>
      </c>
      <c r="E9" s="116">
        <f>Simp3!F5</f>
        <v>0</v>
      </c>
      <c r="F9" s="116">
        <f>Simp3!G5</f>
        <v>0</v>
      </c>
      <c r="G9" s="116">
        <f>Simp3!H5</f>
        <v>0</v>
      </c>
      <c r="H9" s="116">
        <f>Simp3!I5</f>
        <v>0</v>
      </c>
      <c r="I9" s="116">
        <f>Simp3!J5</f>
        <v>0</v>
      </c>
      <c r="J9" s="116">
        <f>Simp3!K5</f>
        <v>0</v>
      </c>
      <c r="K9" s="116">
        <f>Simp3!L5</f>
        <v>0</v>
      </c>
      <c r="L9" s="116">
        <f>Simp3!M5</f>
        <v>0</v>
      </c>
      <c r="M9" s="116">
        <f>Simp3!N5</f>
        <v>0</v>
      </c>
      <c r="N9" s="116">
        <f>Simp3!O5</f>
        <v>0</v>
      </c>
      <c r="O9" s="119">
        <f t="shared" ref="O9:O14" si="0">SUM(C9:N9)</f>
        <v>0</v>
      </c>
    </row>
    <row r="10" spans="2:30" ht="20.100000000000001" customHeight="1" x14ac:dyDescent="0.25">
      <c r="B10" s="19" t="s">
        <v>81</v>
      </c>
      <c r="C10" s="116">
        <f>Simp3!D6</f>
        <v>0</v>
      </c>
      <c r="D10" s="116">
        <f>Simp3!E6</f>
        <v>0</v>
      </c>
      <c r="E10" s="116">
        <f>Simp3!F6</f>
        <v>0</v>
      </c>
      <c r="F10" s="116">
        <f>Simp3!G6</f>
        <v>0</v>
      </c>
      <c r="G10" s="116">
        <f>Simp3!H6</f>
        <v>0</v>
      </c>
      <c r="H10" s="116">
        <f>Simp3!I6</f>
        <v>0</v>
      </c>
      <c r="I10" s="116">
        <f>Simp3!J6</f>
        <v>0</v>
      </c>
      <c r="J10" s="116">
        <f>Simp3!K6</f>
        <v>0</v>
      </c>
      <c r="K10" s="116">
        <f>Simp3!L6</f>
        <v>0</v>
      </c>
      <c r="L10" s="116">
        <f>Simp3!M6</f>
        <v>0</v>
      </c>
      <c r="M10" s="116">
        <f>Simp3!N6</f>
        <v>0</v>
      </c>
      <c r="N10" s="116">
        <f>Simp3!O6</f>
        <v>0</v>
      </c>
      <c r="O10" s="119">
        <f t="shared" si="0"/>
        <v>0</v>
      </c>
    </row>
    <row r="11" spans="2:30" ht="20.100000000000001" customHeight="1" x14ac:dyDescent="0.25">
      <c r="B11" s="19" t="s">
        <v>75</v>
      </c>
      <c r="C11" s="116">
        <f>Simp3!D7</f>
        <v>0</v>
      </c>
      <c r="D11" s="116">
        <f>Simp3!E7</f>
        <v>0</v>
      </c>
      <c r="E11" s="116">
        <f>Simp3!F7</f>
        <v>0</v>
      </c>
      <c r="F11" s="116">
        <f>Simp3!G7</f>
        <v>0</v>
      </c>
      <c r="G11" s="116">
        <f>Simp3!H7</f>
        <v>0</v>
      </c>
      <c r="H11" s="116">
        <f>Simp3!I7</f>
        <v>0</v>
      </c>
      <c r="I11" s="116">
        <f>Simp3!J7</f>
        <v>0</v>
      </c>
      <c r="J11" s="116">
        <f>Simp3!K7</f>
        <v>0</v>
      </c>
      <c r="K11" s="116">
        <f>Simp3!L7</f>
        <v>0</v>
      </c>
      <c r="L11" s="116">
        <f>Simp3!M7</f>
        <v>0</v>
      </c>
      <c r="M11" s="116">
        <f>Simp3!N7</f>
        <v>0</v>
      </c>
      <c r="N11" s="116">
        <f>Simp3!O7</f>
        <v>0</v>
      </c>
      <c r="O11" s="119">
        <f t="shared" si="0"/>
        <v>0</v>
      </c>
    </row>
    <row r="12" spans="2:30" ht="20.100000000000001" customHeight="1" x14ac:dyDescent="0.25">
      <c r="B12" s="19" t="s">
        <v>76</v>
      </c>
      <c r="C12" s="116">
        <f>Simp3!D8</f>
        <v>0</v>
      </c>
      <c r="D12" s="116">
        <f>Simp3!E8</f>
        <v>0</v>
      </c>
      <c r="E12" s="116">
        <f>Simp3!F8</f>
        <v>0</v>
      </c>
      <c r="F12" s="116">
        <f>Simp3!G8</f>
        <v>0</v>
      </c>
      <c r="G12" s="116">
        <f>Simp3!H8</f>
        <v>0</v>
      </c>
      <c r="H12" s="116">
        <f>Simp3!I8</f>
        <v>0</v>
      </c>
      <c r="I12" s="116">
        <f>Simp3!J8</f>
        <v>0</v>
      </c>
      <c r="J12" s="116">
        <f>Simp3!K8</f>
        <v>0</v>
      </c>
      <c r="K12" s="116">
        <f>Simp3!L8</f>
        <v>0</v>
      </c>
      <c r="L12" s="116">
        <f>Simp3!M8</f>
        <v>0</v>
      </c>
      <c r="M12" s="116">
        <f>Simp3!N8</f>
        <v>0</v>
      </c>
      <c r="N12" s="116">
        <f>Simp3!O8</f>
        <v>0</v>
      </c>
      <c r="O12" s="119">
        <f t="shared" si="0"/>
        <v>0</v>
      </c>
    </row>
    <row r="13" spans="2:30" ht="20.100000000000001" customHeight="1" x14ac:dyDescent="0.25">
      <c r="B13" s="19" t="s">
        <v>77</v>
      </c>
      <c r="C13" s="116">
        <f>Simp3!D9</f>
        <v>0</v>
      </c>
      <c r="D13" s="116">
        <f>Simp3!E9</f>
        <v>0</v>
      </c>
      <c r="E13" s="116">
        <f>Simp3!F9</f>
        <v>0</v>
      </c>
      <c r="F13" s="116">
        <f>Simp3!G9</f>
        <v>0</v>
      </c>
      <c r="G13" s="116">
        <f>Simp3!H9</f>
        <v>0</v>
      </c>
      <c r="H13" s="116">
        <f>Simp3!I9</f>
        <v>0</v>
      </c>
      <c r="I13" s="116">
        <f>Simp3!J9</f>
        <v>0</v>
      </c>
      <c r="J13" s="116">
        <f>Simp3!K9</f>
        <v>0</v>
      </c>
      <c r="K13" s="116">
        <f>Simp3!L9</f>
        <v>0</v>
      </c>
      <c r="L13" s="116">
        <f>Simp3!M9</f>
        <v>0</v>
      </c>
      <c r="M13" s="116">
        <f>Simp3!N9</f>
        <v>0</v>
      </c>
      <c r="N13" s="116">
        <f>Simp3!O9</f>
        <v>0</v>
      </c>
      <c r="O13" s="119">
        <f t="shared" si="0"/>
        <v>0</v>
      </c>
    </row>
    <row r="14" spans="2:30" ht="20.100000000000001" customHeight="1" x14ac:dyDescent="0.25">
      <c r="B14" s="118" t="s">
        <v>99</v>
      </c>
      <c r="C14" s="119">
        <f>SUM(C9:C13)</f>
        <v>0</v>
      </c>
      <c r="D14" s="119">
        <f t="shared" ref="D14:N14" si="1">SUM(D9:D13)</f>
        <v>0</v>
      </c>
      <c r="E14" s="119">
        <f t="shared" si="1"/>
        <v>0</v>
      </c>
      <c r="F14" s="119">
        <f t="shared" si="1"/>
        <v>0</v>
      </c>
      <c r="G14" s="119">
        <f t="shared" si="1"/>
        <v>0</v>
      </c>
      <c r="H14" s="119">
        <f t="shared" si="1"/>
        <v>0</v>
      </c>
      <c r="I14" s="119">
        <f t="shared" si="1"/>
        <v>0</v>
      </c>
      <c r="J14" s="119">
        <f t="shared" si="1"/>
        <v>0</v>
      </c>
      <c r="K14" s="119">
        <f t="shared" si="1"/>
        <v>0</v>
      </c>
      <c r="L14" s="119">
        <f t="shared" si="1"/>
        <v>0</v>
      </c>
      <c r="M14" s="119">
        <f t="shared" si="1"/>
        <v>0</v>
      </c>
      <c r="N14" s="119">
        <f t="shared" si="1"/>
        <v>0</v>
      </c>
      <c r="O14" s="119">
        <f t="shared" si="0"/>
        <v>0</v>
      </c>
    </row>
    <row r="16" spans="2:30" ht="20.100000000000001" customHeight="1" x14ac:dyDescent="0.25">
      <c r="B16" s="112" t="s">
        <v>82</v>
      </c>
      <c r="C16" s="112" t="s">
        <v>83</v>
      </c>
      <c r="D16" s="112" t="s">
        <v>84</v>
      </c>
      <c r="E16" s="112" t="s">
        <v>85</v>
      </c>
      <c r="F16" s="112" t="s">
        <v>86</v>
      </c>
      <c r="G16" s="112" t="s">
        <v>87</v>
      </c>
      <c r="H16" s="112" t="s">
        <v>88</v>
      </c>
      <c r="I16" s="112" t="s">
        <v>89</v>
      </c>
      <c r="J16" s="112" t="s">
        <v>90</v>
      </c>
      <c r="K16" s="112" t="s">
        <v>91</v>
      </c>
      <c r="L16" s="112" t="s">
        <v>92</v>
      </c>
      <c r="M16" s="112" t="s">
        <v>93</v>
      </c>
      <c r="N16" s="112" t="s">
        <v>94</v>
      </c>
      <c r="O16" s="112" t="s">
        <v>95</v>
      </c>
      <c r="Q16" s="145" t="s">
        <v>82</v>
      </c>
      <c r="R16" s="112" t="s">
        <v>83</v>
      </c>
      <c r="S16" s="112" t="s">
        <v>84</v>
      </c>
      <c r="T16" s="112" t="s">
        <v>85</v>
      </c>
      <c r="U16" s="112" t="s">
        <v>86</v>
      </c>
      <c r="V16" s="112" t="s">
        <v>87</v>
      </c>
      <c r="W16" s="112" t="s">
        <v>88</v>
      </c>
      <c r="X16" s="112" t="s">
        <v>89</v>
      </c>
      <c r="Y16" s="112" t="s">
        <v>90</v>
      </c>
      <c r="Z16" s="112" t="s">
        <v>91</v>
      </c>
      <c r="AA16" s="112" t="s">
        <v>92</v>
      </c>
      <c r="AB16" s="112" t="s">
        <v>93</v>
      </c>
      <c r="AC16" s="112" t="s">
        <v>94</v>
      </c>
      <c r="AD16" s="112" t="s">
        <v>95</v>
      </c>
    </row>
    <row r="17" spans="2:30" ht="20.100000000000001" customHeight="1" x14ac:dyDescent="0.25">
      <c r="B17" s="19" t="s">
        <v>80</v>
      </c>
      <c r="C17" s="132">
        <f>C9</f>
        <v>0</v>
      </c>
      <c r="D17" s="132">
        <f t="shared" ref="D17:N17" si="2">D9</f>
        <v>0</v>
      </c>
      <c r="E17" s="132">
        <f t="shared" si="2"/>
        <v>0</v>
      </c>
      <c r="F17" s="132">
        <f t="shared" si="2"/>
        <v>0</v>
      </c>
      <c r="G17" s="132">
        <f t="shared" si="2"/>
        <v>0</v>
      </c>
      <c r="H17" s="132">
        <f t="shared" si="2"/>
        <v>0</v>
      </c>
      <c r="I17" s="132">
        <f t="shared" si="2"/>
        <v>0</v>
      </c>
      <c r="J17" s="132">
        <f t="shared" si="2"/>
        <v>0</v>
      </c>
      <c r="K17" s="132">
        <f t="shared" si="2"/>
        <v>0</v>
      </c>
      <c r="L17" s="132">
        <f t="shared" si="2"/>
        <v>0</v>
      </c>
      <c r="M17" s="132">
        <f t="shared" si="2"/>
        <v>0</v>
      </c>
      <c r="N17" s="132">
        <f t="shared" si="2"/>
        <v>0</v>
      </c>
      <c r="O17" s="119">
        <f t="shared" ref="O17:O22" si="3">SUM(C17:N17)</f>
        <v>0</v>
      </c>
      <c r="Q17" s="144" t="s">
        <v>80</v>
      </c>
      <c r="R17" s="132">
        <f>C9</f>
        <v>0</v>
      </c>
      <c r="S17" s="132">
        <f t="shared" ref="S17:AC17" si="4">D9</f>
        <v>0</v>
      </c>
      <c r="T17" s="132">
        <f t="shared" si="4"/>
        <v>0</v>
      </c>
      <c r="U17" s="132">
        <f t="shared" si="4"/>
        <v>0</v>
      </c>
      <c r="V17" s="132">
        <f t="shared" si="4"/>
        <v>0</v>
      </c>
      <c r="W17" s="132">
        <f t="shared" si="4"/>
        <v>0</v>
      </c>
      <c r="X17" s="132">
        <f t="shared" si="4"/>
        <v>0</v>
      </c>
      <c r="Y17" s="132">
        <f t="shared" si="4"/>
        <v>0</v>
      </c>
      <c r="Z17" s="132">
        <f t="shared" si="4"/>
        <v>0</v>
      </c>
      <c r="AA17" s="132">
        <f t="shared" si="4"/>
        <v>0</v>
      </c>
      <c r="AB17" s="132">
        <f t="shared" si="4"/>
        <v>0</v>
      </c>
      <c r="AC17" s="132">
        <f t="shared" si="4"/>
        <v>0</v>
      </c>
      <c r="AD17" s="119">
        <f t="shared" ref="AD17:AD22" si="5">SUM(R17:AC17)</f>
        <v>0</v>
      </c>
    </row>
    <row r="18" spans="2:30" ht="20.100000000000001" customHeight="1" x14ac:dyDescent="0.25">
      <c r="B18" s="19" t="s">
        <v>121</v>
      </c>
      <c r="C18" s="133">
        <f>IF(C5&lt;=TabS!$G$5,TabS!$H$5,IF(C5&lt;=TabS!$G$6,TabS!$H$6,IF(C5&lt;=TabS!$G$7,TabS!$H$7,IF(C5&lt;=TabS!$G$8,TabS!$H$8,IF(C5&lt;=TabS!$G$9,TabS!$H$9,IF(C5&lt;=TabS!$G$10,TabS!$H$10))))))</f>
        <v>0.04</v>
      </c>
      <c r="D18" s="133">
        <f>IF(D5&lt;=TabS!$G$5,TabS!$H$5,IF(D5&lt;=TabS!$G$6,TabS!$H$6,IF(D5&lt;=TabS!$G$7,TabS!$H$7,IF(D5&lt;=TabS!$G$8,TabS!$H$8,IF(D5&lt;=TabS!$G$9,TabS!$H$9,IF(D5&lt;=TabS!$G$10,TabS!$H$10))))))</f>
        <v>0.04</v>
      </c>
      <c r="E18" s="133">
        <f>IF(E5&lt;=TabS!$G$5,TabS!$H$5,IF(E5&lt;=TabS!$G$6,TabS!$H$6,IF(E5&lt;=TabS!$G$7,TabS!$H$7,IF(E5&lt;=TabS!$G$8,TabS!$H$8,IF(E5&lt;=TabS!$G$9,TabS!$H$9,IF(E5&lt;=TabS!$G$10,TabS!$H$10))))))</f>
        <v>0.04</v>
      </c>
      <c r="F18" s="133">
        <f>IF(F5&lt;=TabS!$G$5,TabS!$H$5,IF(F5&lt;=TabS!$G$6,TabS!$H$6,IF(F5&lt;=TabS!$G$7,TabS!$H$7,IF(F5&lt;=TabS!$G$8,TabS!$H$8,IF(F5&lt;=TabS!$G$9,TabS!$H$9,IF(F5&lt;=TabS!$G$10,TabS!$H$10))))))</f>
        <v>0.04</v>
      </c>
      <c r="G18" s="133">
        <f>IF(G5&lt;=TabS!$G$5,TabS!$H$5,IF(G5&lt;=TabS!$G$6,TabS!$H$6,IF(G5&lt;=TabS!$G$7,TabS!$H$7,IF(G5&lt;=TabS!$G$8,TabS!$H$8,IF(G5&lt;=TabS!$G$9,TabS!$H$9,IF(G5&lt;=TabS!$G$10,TabS!$H$10))))))</f>
        <v>0.04</v>
      </c>
      <c r="H18" s="133">
        <f>IF(H5&lt;=TabS!$G$5,TabS!$H$5,IF(H5&lt;=TabS!$G$6,TabS!$H$6,IF(H5&lt;=TabS!$G$7,TabS!$H$7,IF(H5&lt;=TabS!$G$8,TabS!$H$8,IF(H5&lt;=TabS!$G$9,TabS!$H$9,IF(H5&lt;=TabS!$G$10,TabS!$H$10))))))</f>
        <v>0.04</v>
      </c>
      <c r="I18" s="133">
        <f>IF(I5&lt;=TabS!$G$5,TabS!$H$5,IF(I5&lt;=TabS!$G$6,TabS!$H$6,IF(I5&lt;=TabS!$G$7,TabS!$H$7,IF(I5&lt;=TabS!$G$8,TabS!$H$8,IF(I5&lt;=TabS!$G$9,TabS!$H$9,IF(I5&lt;=TabS!$G$10,TabS!$H$10))))))</f>
        <v>0.04</v>
      </c>
      <c r="J18" s="133">
        <f>IF(J5&lt;=TabS!$G$5,TabS!$H$5,IF(J5&lt;=TabS!$G$6,TabS!$H$6,IF(J5&lt;=TabS!$G$7,TabS!$H$7,IF(J5&lt;=TabS!$G$8,TabS!$H$8,IF(J5&lt;=TabS!$G$9,TabS!$H$9,IF(J5&lt;=TabS!$G$10,TabS!$H$10))))))</f>
        <v>0.04</v>
      </c>
      <c r="K18" s="133">
        <f>IF(K5&lt;=TabS!$G$5,TabS!$H$5,IF(K5&lt;=TabS!$G$6,TabS!$H$6,IF(K5&lt;=TabS!$G$7,TabS!$H$7,IF(K5&lt;=TabS!$G$8,TabS!$H$8,IF(K5&lt;=TabS!$G$9,TabS!$H$9,IF(K5&lt;=TabS!$G$10,TabS!$H$10))))))</f>
        <v>0.04</v>
      </c>
      <c r="L18" s="133">
        <f>IF(L5&lt;=TabS!$G$5,TabS!$H$5,IF(L5&lt;=TabS!$G$6,TabS!$H$6,IF(L5&lt;=TabS!$G$7,TabS!$H$7,IF(L5&lt;=TabS!$G$8,TabS!$H$8,IF(L5&lt;=TabS!$G$9,TabS!$H$9,IF(L5&lt;=TabS!$G$10,TabS!$H$10))))))</f>
        <v>0.04</v>
      </c>
      <c r="M18" s="133">
        <f>IF(M5&lt;=TabS!$G$5,TabS!$H$5,IF(M5&lt;=TabS!$G$6,TabS!$H$6,IF(M5&lt;=TabS!$G$7,TabS!$H$7,IF(M5&lt;=TabS!$G$8,TabS!$H$8,IF(M5&lt;=TabS!$G$9,TabS!$H$9,IF(M5&lt;=TabS!$G$10,TabS!$H$10))))))</f>
        <v>0.04</v>
      </c>
      <c r="N18" s="133">
        <f>IF(N5&lt;=TabS!$G$5,TabS!$H$5,IF(N5&lt;=TabS!$G$6,TabS!$H$6,IF(N5&lt;=TabS!$G$7,TabS!$H$7,IF(N5&lt;=TabS!$G$8,TabS!$H$8,IF(N5&lt;=TabS!$G$9,TabS!$H$9,IF(N5&lt;=TabS!$G$10,TabS!$H$10))))))</f>
        <v>0.04</v>
      </c>
      <c r="O18" s="134">
        <f t="shared" si="3"/>
        <v>0.47999999999999993</v>
      </c>
      <c r="Q18" s="144" t="s">
        <v>121</v>
      </c>
      <c r="R18" s="133">
        <f>IF(C5&lt;=TabS!$G$5,TabS!$H$5,IF(C5&lt;=TabS!$G$6,TabS!$H$6,IF(C5&lt;=TabS!$G$7,TabS!$H$7,IF(C5&lt;=TabS!$G$8,TabS!$H$8,IF(C5&lt;=TabS!$G$9,TabS!$H$9,IF(C5&lt;=TabS!$G$10,TabS!$H$10))))))</f>
        <v>0.04</v>
      </c>
      <c r="S18" s="133">
        <f>IF(D5&lt;=TabS!$G$5,TabS!$H$5,IF(D5&lt;=TabS!$G$6,TabS!$H$6,IF(D5&lt;=TabS!$G$7,TabS!$H$7,IF(D5&lt;=TabS!$G$8,TabS!$H$8,IF(D5&lt;=TabS!$G$9,TabS!$H$9,IF(D5&lt;=TabS!$G$10,TabS!$H$10))))))</f>
        <v>0.04</v>
      </c>
      <c r="T18" s="133">
        <f>IF(E5&lt;=TabS!$G$5,TabS!$H$5,IF(E5&lt;=TabS!$G$6,TabS!$H$6,IF(E5&lt;=TabS!$G$7,TabS!$H$7,IF(E5&lt;=TabS!$G$8,TabS!$H$8,IF(E5&lt;=TabS!$G$9,TabS!$H$9,IF(E5&lt;=TabS!$G$10,TabS!$H$10))))))</f>
        <v>0.04</v>
      </c>
      <c r="U18" s="133">
        <f>IF(F5&lt;=TabS!$G$5,TabS!$H$5,IF(F5&lt;=TabS!$G$6,TabS!$H$6,IF(F5&lt;=TabS!$G$7,TabS!$H$7,IF(F5&lt;=TabS!$G$8,TabS!$H$8,IF(F5&lt;=TabS!$G$9,TabS!$H$9,IF(F5&lt;=TabS!$G$10,TabS!$H$10))))))</f>
        <v>0.04</v>
      </c>
      <c r="V18" s="133">
        <f>IF(G5&lt;=TabS!$G$5,TabS!$H$5,IF(G5&lt;=TabS!$G$6,TabS!$H$6,IF(G5&lt;=TabS!$G$7,TabS!$H$7,IF(G5&lt;=TabS!$G$8,TabS!$H$8,IF(G5&lt;=TabS!$G$9,TabS!$H$9,IF(G5&lt;=TabS!$G$10,TabS!$H$10))))))</f>
        <v>0.04</v>
      </c>
      <c r="W18" s="133">
        <f>IF(H5&lt;=TabS!$G$5,TabS!$H$5,IF(H5&lt;=TabS!$G$6,TabS!$H$6,IF(H5&lt;=TabS!$G$7,TabS!$H$7,IF(H5&lt;=TabS!$G$8,TabS!$H$8,IF(H5&lt;=TabS!$G$9,TabS!$H$9,IF(H5&lt;=TabS!$G$10,TabS!$H$10))))))</f>
        <v>0.04</v>
      </c>
      <c r="X18" s="133">
        <f>IF(I5&lt;=TabS!$G$5,TabS!$H$5,IF(I5&lt;=TabS!$G$6,TabS!$H$6,IF(I5&lt;=TabS!$G$7,TabS!$H$7,IF(I5&lt;=TabS!$G$8,TabS!$H$8,IF(I5&lt;=TabS!$G$9,TabS!$H$9,IF(I5&lt;=TabS!$G$10,TabS!$H$10))))))</f>
        <v>0.04</v>
      </c>
      <c r="Y18" s="133">
        <f>IF(J5&lt;=TabS!$G$5,TabS!$H$5,IF(J5&lt;=TabS!$G$6,TabS!$H$6,IF(J5&lt;=TabS!$G$7,TabS!$H$7,IF(J5&lt;=TabS!$G$8,TabS!$H$8,IF(J5&lt;=TabS!$G$9,TabS!$H$9,IF(J5&lt;=TabS!$G$10,TabS!$H$10))))))</f>
        <v>0.04</v>
      </c>
      <c r="Z18" s="133">
        <f>IF(K5&lt;=TabS!$G$5,TabS!$H$5,IF(K5&lt;=TabS!$G$6,TabS!$H$6,IF(K5&lt;=TabS!$G$7,TabS!$H$7,IF(K5&lt;=TabS!$G$8,TabS!$H$8,IF(K5&lt;=TabS!$G$9,TabS!$H$9,IF(K5&lt;=TabS!$G$10,TabS!$H$10))))))</f>
        <v>0.04</v>
      </c>
      <c r="AA18" s="133">
        <f>IF(L5&lt;=TabS!$G$5,TabS!$H$5,IF(L5&lt;=TabS!$G$6,TabS!$H$6,IF(L5&lt;=TabS!$G$7,TabS!$H$7,IF(L5&lt;=TabS!$G$8,TabS!$H$8,IF(L5&lt;=TabS!$G$9,TabS!$H$9,IF(L5&lt;=TabS!$G$10,TabS!$H$10))))))</f>
        <v>0.04</v>
      </c>
      <c r="AB18" s="133">
        <f>IF(M5&lt;=TabS!$G$5,TabS!$H$5,IF(M5&lt;=TabS!$G$6,TabS!$H$6,IF(M5&lt;=TabS!$G$7,TabS!$H$7,IF(M5&lt;=TabS!$G$8,TabS!$H$8,IF(M5&lt;=TabS!$G$9,TabS!$H$9,IF(M5&lt;=TabS!$G$10,TabS!$H$10))))))</f>
        <v>0.04</v>
      </c>
      <c r="AC18" s="133">
        <f>IF(N5&lt;=TabS!$G$5,TabS!$H$5,IF(N5&lt;=TabS!$G$6,TabS!$H$6,IF(N5&lt;=TabS!$G$7,TabS!$H$7,IF(N5&lt;=TabS!$G$8,TabS!$H$8,IF(N5&lt;=TabS!$G$9,TabS!$H$9,IF(N5&lt;=TabS!$G$10,TabS!$H$10))))))</f>
        <v>0.04</v>
      </c>
      <c r="AD18" s="134">
        <f t="shared" si="5"/>
        <v>0.47999999999999993</v>
      </c>
    </row>
    <row r="19" spans="2:30" ht="20.100000000000001" customHeight="1" x14ac:dyDescent="0.25">
      <c r="B19" s="19" t="s">
        <v>122</v>
      </c>
      <c r="C19" s="132">
        <f>IF(C5&lt;=TabS!$G$5,TabS!$I$5,IF(C5&lt;=TabS!$G$6,TabS!$I$6,IF(C5&lt;=TabS!$G$7,TabS!$I$7,IF(C5&lt;=TabS!$G$8,TabS!$I$8,IF(C5&lt;=TabS!$G$9,TabS!$I$9,IF(C5&lt;=TabS!$G$10,TabS!$I$10))))))</f>
        <v>0</v>
      </c>
      <c r="D19" s="132">
        <f>IF(D5&lt;=TabS!$G$5,TabS!$I$5,IF(D5&lt;=TabS!$G$6,TabS!$I$6,IF(D5&lt;=TabS!$G$7,TabS!$I$7,IF(D5&lt;=TabS!$G$8,TabS!$I$8,IF(D5&lt;=TabS!$G$9,TabS!$I$9,IF(D5&lt;=TabS!$G$10,TabS!$I$10))))))</f>
        <v>0</v>
      </c>
      <c r="E19" s="132">
        <f>IF(E5&lt;=TabS!$G$5,TabS!$I$5,IF(E5&lt;=TabS!$G$6,TabS!$I$6,IF(E5&lt;=TabS!$G$7,TabS!$I$7,IF(E5&lt;=TabS!$G$8,TabS!$I$8,IF(E5&lt;=TabS!$G$9,TabS!$I$9,IF(E5&lt;=TabS!$G$10,TabS!$I$10))))))</f>
        <v>0</v>
      </c>
      <c r="F19" s="132">
        <f>IF(F5&lt;=TabS!$G$5,TabS!$I$5,IF(F5&lt;=TabS!$G$6,TabS!$I$6,IF(F5&lt;=TabS!$G$7,TabS!$I$7,IF(F5&lt;=TabS!$G$8,TabS!$I$8,IF(F5&lt;=TabS!$G$9,TabS!$I$9,IF(F5&lt;=TabS!$G$10,TabS!$I$10))))))</f>
        <v>0</v>
      </c>
      <c r="G19" s="132">
        <f>IF(G5&lt;=TabS!$G$5,TabS!$I$5,IF(G5&lt;=TabS!$G$6,TabS!$I$6,IF(G5&lt;=TabS!$G$7,TabS!$I$7,IF(G5&lt;=TabS!$G$8,TabS!$I$8,IF(G5&lt;=TabS!$G$9,TabS!$I$9,IF(G5&lt;=TabS!$G$10,TabS!$I$10))))))</f>
        <v>0</v>
      </c>
      <c r="H19" s="132">
        <f>IF(H5&lt;=TabS!$G$5,TabS!$I$5,IF(H5&lt;=TabS!$G$6,TabS!$I$6,IF(H5&lt;=TabS!$G$7,TabS!$I$7,IF(H5&lt;=TabS!$G$8,TabS!$I$8,IF(H5&lt;=TabS!$G$9,TabS!$I$9,IF(H5&lt;=TabS!$G$10,TabS!$I$10))))))</f>
        <v>0</v>
      </c>
      <c r="I19" s="132">
        <f>IF(I5&lt;=TabS!$G$5,TabS!$I$5,IF(I5&lt;=TabS!$G$6,TabS!$I$6,IF(I5&lt;=TabS!$G$7,TabS!$I$7,IF(I5&lt;=TabS!$G$8,TabS!$I$8,IF(I5&lt;=TabS!$G$9,TabS!$I$9,IF(I5&lt;=TabS!$G$10,TabS!$I$10))))))</f>
        <v>0</v>
      </c>
      <c r="J19" s="132">
        <f>IF(J5&lt;=TabS!$G$5,TabS!$I$5,IF(J5&lt;=TabS!$G$6,TabS!$I$6,IF(J5&lt;=TabS!$G$7,TabS!$I$7,IF(J5&lt;=TabS!$G$8,TabS!$I$8,IF(J5&lt;=TabS!$G$9,TabS!$I$9,IF(J5&lt;=TabS!$G$10,TabS!$I$10))))))</f>
        <v>0</v>
      </c>
      <c r="K19" s="132">
        <f>IF(K5&lt;=TabS!$G$5,TabS!$I$5,IF(K5&lt;=TabS!$G$6,TabS!$I$6,IF(K5&lt;=TabS!$G$7,TabS!$I$7,IF(K5&lt;=TabS!$G$8,TabS!$I$8,IF(K5&lt;=TabS!$G$9,TabS!$I$9,IF(K5&lt;=TabS!$G$10,TabS!$I$10))))))</f>
        <v>0</v>
      </c>
      <c r="L19" s="132">
        <f>IF(L5&lt;=TabS!$G$5,TabS!$I$5,IF(L5&lt;=TabS!$G$6,TabS!$I$6,IF(L5&lt;=TabS!$G$7,TabS!$I$7,IF(L5&lt;=TabS!$G$8,TabS!$I$8,IF(L5&lt;=TabS!$G$9,TabS!$I$9,IF(L5&lt;=TabS!$G$10,TabS!$I$10))))))</f>
        <v>0</v>
      </c>
      <c r="M19" s="132">
        <f>IF(M5&lt;=TabS!$G$5,TabS!$I$5,IF(M5&lt;=TabS!$G$6,TabS!$I$6,IF(M5&lt;=TabS!$G$7,TabS!$I$7,IF(M5&lt;=TabS!$G$8,TabS!$I$8,IF(M5&lt;=TabS!$G$9,TabS!$I$9,IF(M5&lt;=TabS!$G$10,TabS!$I$10))))))</f>
        <v>0</v>
      </c>
      <c r="N19" s="132">
        <f>IF(N5&lt;=TabS!$G$5,TabS!$I$5,IF(N5&lt;=TabS!$G$6,TabS!$I$6,IF(N5&lt;=TabS!$G$7,TabS!$I$7,IF(N5&lt;=TabS!$G$8,TabS!$I$8,IF(N5&lt;=TabS!$G$9,TabS!$I$9,IF(N5&lt;=TabS!$G$10,TabS!$I$10))))))</f>
        <v>0</v>
      </c>
      <c r="O19" s="119">
        <f t="shared" si="3"/>
        <v>0</v>
      </c>
      <c r="Q19" s="144" t="s">
        <v>122</v>
      </c>
      <c r="R19" s="132">
        <f>IF(C5&lt;=TabS!$G$5,TabS!$I$5,IF(C5&lt;=TabS!$G$6,TabS!$I$6,IF(C5&lt;=TabS!$G$7,TabS!$I$7,IF(C5&lt;=TabS!$G$8,TabS!$I$8,IF(C5&lt;=TabS!$G$9,TabS!$I$9,IF(C5&lt;=TabS!$G$10,TabS!$I$10))))))</f>
        <v>0</v>
      </c>
      <c r="S19" s="132">
        <f>IF(D5&lt;=TabS!$G$5,TabS!$I$5,IF(D5&lt;=TabS!$G$6,TabS!$I$6,IF(D5&lt;=TabS!$G$7,TabS!$I$7,IF(D5&lt;=TabS!$G$8,TabS!$I$8,IF(D5&lt;=TabS!$G$9,TabS!$I$9,IF(D5&lt;=TabS!$G$10,TabS!$I$10))))))</f>
        <v>0</v>
      </c>
      <c r="T19" s="132">
        <f>IF(E5&lt;=TabS!$G$5,TabS!$I$5,IF(E5&lt;=TabS!$G$6,TabS!$I$6,IF(E5&lt;=TabS!$G$7,TabS!$I$7,IF(E5&lt;=TabS!$G$8,TabS!$I$8,IF(E5&lt;=TabS!$G$9,TabS!$I$9,IF(E5&lt;=TabS!$G$10,TabS!$I$10))))))</f>
        <v>0</v>
      </c>
      <c r="U19" s="132">
        <f>IF(F5&lt;=TabS!$G$5,TabS!$I$5,IF(F5&lt;=TabS!$G$6,TabS!$I$6,IF(F5&lt;=TabS!$G$7,TabS!$I$7,IF(F5&lt;=TabS!$G$8,TabS!$I$8,IF(F5&lt;=TabS!$G$9,TabS!$I$9,IF(F5&lt;=TabS!$G$10,TabS!$I$10))))))</f>
        <v>0</v>
      </c>
      <c r="V19" s="132">
        <f>IF(G5&lt;=TabS!$G$5,TabS!$I$5,IF(G5&lt;=TabS!$G$6,TabS!$I$6,IF(G5&lt;=TabS!$G$7,TabS!$I$7,IF(G5&lt;=TabS!$G$8,TabS!$I$8,IF(G5&lt;=TabS!$G$9,TabS!$I$9,IF(G5&lt;=TabS!$G$10,TabS!$I$10))))))</f>
        <v>0</v>
      </c>
      <c r="W19" s="132">
        <f>IF(H5&lt;=TabS!$G$5,TabS!$I$5,IF(H5&lt;=TabS!$G$6,TabS!$I$6,IF(H5&lt;=TabS!$G$7,TabS!$I$7,IF(H5&lt;=TabS!$G$8,TabS!$I$8,IF(H5&lt;=TabS!$G$9,TabS!$I$9,IF(H5&lt;=TabS!$G$10,TabS!$I$10))))))</f>
        <v>0</v>
      </c>
      <c r="X19" s="132">
        <f>IF(I5&lt;=TabS!$G$5,TabS!$I$5,IF(I5&lt;=TabS!$G$6,TabS!$I$6,IF(I5&lt;=TabS!$G$7,TabS!$I$7,IF(I5&lt;=TabS!$G$8,TabS!$I$8,IF(I5&lt;=TabS!$G$9,TabS!$I$9,IF(I5&lt;=TabS!$G$10,TabS!$I$10))))))</f>
        <v>0</v>
      </c>
      <c r="Y19" s="132">
        <f>IF(J5&lt;=TabS!$G$5,TabS!$I$5,IF(J5&lt;=TabS!$G$6,TabS!$I$6,IF(J5&lt;=TabS!$G$7,TabS!$I$7,IF(J5&lt;=TabS!$G$8,TabS!$I$8,IF(J5&lt;=TabS!$G$9,TabS!$I$9,IF(J5&lt;=TabS!$G$10,TabS!$I$10))))))</f>
        <v>0</v>
      </c>
      <c r="Z19" s="132">
        <f>IF(K5&lt;=TabS!$G$5,TabS!$I$5,IF(K5&lt;=TabS!$G$6,TabS!$I$6,IF(K5&lt;=TabS!$G$7,TabS!$I$7,IF(K5&lt;=TabS!$G$8,TabS!$I$8,IF(K5&lt;=TabS!$G$9,TabS!$I$9,IF(K5&lt;=TabS!$G$10,TabS!$I$10))))))</f>
        <v>0</v>
      </c>
      <c r="AA19" s="132">
        <f>IF(L5&lt;=TabS!$G$5,TabS!$I$5,IF(L5&lt;=TabS!$G$6,TabS!$I$6,IF(L5&lt;=TabS!$G$7,TabS!$I$7,IF(L5&lt;=TabS!$G$8,TabS!$I$8,IF(L5&lt;=TabS!$G$9,TabS!$I$9,IF(L5&lt;=TabS!$G$10,TabS!$I$10))))))</f>
        <v>0</v>
      </c>
      <c r="AB19" s="132">
        <f>IF(M5&lt;=TabS!$G$5,TabS!$I$5,IF(M5&lt;=TabS!$G$6,TabS!$I$6,IF(M5&lt;=TabS!$G$7,TabS!$I$7,IF(M5&lt;=TabS!$G$8,TabS!$I$8,IF(M5&lt;=TabS!$G$9,TabS!$I$9,IF(M5&lt;=TabS!$G$10,TabS!$I$10))))))</f>
        <v>0</v>
      </c>
      <c r="AC19" s="132">
        <f>IF(N5&lt;=TabS!$G$5,TabS!$I$5,IF(N5&lt;=TabS!$G$6,TabS!$I$6,IF(N5&lt;=TabS!$G$7,TabS!$I$7,IF(N5&lt;=TabS!$G$8,TabS!$I$8,IF(N5&lt;=TabS!$G$9,TabS!$I$9,IF(N5&lt;=TabS!$G$10,TabS!$I$10))))))</f>
        <v>0</v>
      </c>
      <c r="AD19" s="119">
        <f t="shared" si="5"/>
        <v>0</v>
      </c>
    </row>
    <row r="20" spans="2:30" ht="20.100000000000001" customHeight="1" x14ac:dyDescent="0.25">
      <c r="B20" s="49" t="s">
        <v>123</v>
      </c>
      <c r="C20" s="135">
        <f>IFERROR(C22/C5,0)</f>
        <v>0</v>
      </c>
      <c r="D20" s="135">
        <f t="shared" ref="D20:N20" si="6">IFERROR(D22/D5,0)</f>
        <v>0</v>
      </c>
      <c r="E20" s="135">
        <f t="shared" si="6"/>
        <v>0</v>
      </c>
      <c r="F20" s="135">
        <f t="shared" si="6"/>
        <v>0</v>
      </c>
      <c r="G20" s="135">
        <f t="shared" si="6"/>
        <v>0</v>
      </c>
      <c r="H20" s="135">
        <f t="shared" si="6"/>
        <v>0</v>
      </c>
      <c r="I20" s="135">
        <f t="shared" si="6"/>
        <v>0</v>
      </c>
      <c r="J20" s="135">
        <f t="shared" si="6"/>
        <v>0</v>
      </c>
      <c r="K20" s="135">
        <f t="shared" si="6"/>
        <v>0</v>
      </c>
      <c r="L20" s="135">
        <f t="shared" si="6"/>
        <v>0</v>
      </c>
      <c r="M20" s="135">
        <f t="shared" si="6"/>
        <v>0</v>
      </c>
      <c r="N20" s="135">
        <f t="shared" si="6"/>
        <v>0</v>
      </c>
      <c r="O20" s="136">
        <f t="shared" si="3"/>
        <v>0</v>
      </c>
      <c r="Q20" s="130" t="s">
        <v>123</v>
      </c>
      <c r="R20" s="135">
        <f>IFERROR(R22/C5,0)</f>
        <v>0</v>
      </c>
      <c r="S20" s="135">
        <f t="shared" ref="S20:AC20" si="7">IFERROR(S22/D5,0)</f>
        <v>0</v>
      </c>
      <c r="T20" s="135">
        <f t="shared" si="7"/>
        <v>0</v>
      </c>
      <c r="U20" s="135">
        <f t="shared" si="7"/>
        <v>0</v>
      </c>
      <c r="V20" s="135">
        <f t="shared" si="7"/>
        <v>0</v>
      </c>
      <c r="W20" s="135">
        <f t="shared" si="7"/>
        <v>0</v>
      </c>
      <c r="X20" s="135">
        <f t="shared" si="7"/>
        <v>0</v>
      </c>
      <c r="Y20" s="135">
        <f t="shared" si="7"/>
        <v>0</v>
      </c>
      <c r="Z20" s="135">
        <f t="shared" si="7"/>
        <v>0</v>
      </c>
      <c r="AA20" s="135">
        <f t="shared" si="7"/>
        <v>0</v>
      </c>
      <c r="AB20" s="135">
        <f t="shared" si="7"/>
        <v>0</v>
      </c>
      <c r="AC20" s="135">
        <f t="shared" si="7"/>
        <v>0</v>
      </c>
      <c r="AD20" s="136">
        <f t="shared" si="5"/>
        <v>0</v>
      </c>
    </row>
    <row r="21" spans="2:30" ht="20.100000000000001" customHeight="1" x14ac:dyDescent="0.25">
      <c r="B21" s="161" t="s">
        <v>125</v>
      </c>
      <c r="C21" s="137">
        <f>C17*C20</f>
        <v>0</v>
      </c>
      <c r="D21" s="137">
        <f t="shared" ref="D21:N21" si="8">D17*D20</f>
        <v>0</v>
      </c>
      <c r="E21" s="137">
        <f t="shared" si="8"/>
        <v>0</v>
      </c>
      <c r="F21" s="137">
        <f t="shared" si="8"/>
        <v>0</v>
      </c>
      <c r="G21" s="137">
        <f t="shared" si="8"/>
        <v>0</v>
      </c>
      <c r="H21" s="137">
        <f t="shared" si="8"/>
        <v>0</v>
      </c>
      <c r="I21" s="137">
        <f t="shared" si="8"/>
        <v>0</v>
      </c>
      <c r="J21" s="137">
        <f t="shared" si="8"/>
        <v>0</v>
      </c>
      <c r="K21" s="137">
        <f t="shared" si="8"/>
        <v>0</v>
      </c>
      <c r="L21" s="137">
        <f t="shared" si="8"/>
        <v>0</v>
      </c>
      <c r="M21" s="137">
        <f t="shared" si="8"/>
        <v>0</v>
      </c>
      <c r="N21" s="137">
        <f t="shared" si="8"/>
        <v>0</v>
      </c>
      <c r="O21" s="138">
        <f>SUM(C21:N21)</f>
        <v>0</v>
      </c>
      <c r="Q21" s="146" t="s">
        <v>125</v>
      </c>
      <c r="R21" s="137">
        <f>R17*R20</f>
        <v>0</v>
      </c>
      <c r="S21" s="137">
        <f t="shared" ref="S21:AC21" si="9">S17*S20</f>
        <v>0</v>
      </c>
      <c r="T21" s="137">
        <f t="shared" si="9"/>
        <v>0</v>
      </c>
      <c r="U21" s="137">
        <f t="shared" si="9"/>
        <v>0</v>
      </c>
      <c r="V21" s="137">
        <f t="shared" si="9"/>
        <v>0</v>
      </c>
      <c r="W21" s="137">
        <f t="shared" si="9"/>
        <v>0</v>
      </c>
      <c r="X21" s="137">
        <f t="shared" si="9"/>
        <v>0</v>
      </c>
      <c r="Y21" s="137">
        <f t="shared" si="9"/>
        <v>0</v>
      </c>
      <c r="Z21" s="137">
        <f t="shared" si="9"/>
        <v>0</v>
      </c>
      <c r="AA21" s="137">
        <f t="shared" si="9"/>
        <v>0</v>
      </c>
      <c r="AB21" s="137">
        <f t="shared" si="9"/>
        <v>0</v>
      </c>
      <c r="AC21" s="137">
        <f t="shared" si="9"/>
        <v>0</v>
      </c>
      <c r="AD21" s="138">
        <f t="shared" si="5"/>
        <v>0</v>
      </c>
    </row>
    <row r="22" spans="2:30" ht="20.100000000000001" customHeight="1" x14ac:dyDescent="0.25">
      <c r="B22" s="19" t="s">
        <v>124</v>
      </c>
      <c r="C22" s="132">
        <f>IFERROR((C5*C18)-C19,0)</f>
        <v>0</v>
      </c>
      <c r="D22" s="132">
        <f t="shared" ref="D22:N22" si="10">IFERROR((D5*D18)-D19,0)</f>
        <v>0</v>
      </c>
      <c r="E22" s="132">
        <f t="shared" si="10"/>
        <v>0</v>
      </c>
      <c r="F22" s="132">
        <f t="shared" si="10"/>
        <v>0</v>
      </c>
      <c r="G22" s="132">
        <f t="shared" si="10"/>
        <v>0</v>
      </c>
      <c r="H22" s="132">
        <f t="shared" si="10"/>
        <v>0</v>
      </c>
      <c r="I22" s="132">
        <f t="shared" si="10"/>
        <v>0</v>
      </c>
      <c r="J22" s="132">
        <f t="shared" si="10"/>
        <v>0</v>
      </c>
      <c r="K22" s="132">
        <f t="shared" si="10"/>
        <v>0</v>
      </c>
      <c r="L22" s="132">
        <f t="shared" si="10"/>
        <v>0</v>
      </c>
      <c r="M22" s="132">
        <f t="shared" si="10"/>
        <v>0</v>
      </c>
      <c r="N22" s="132">
        <f t="shared" si="10"/>
        <v>0</v>
      </c>
      <c r="O22" s="119">
        <f t="shared" si="3"/>
        <v>0</v>
      </c>
      <c r="Q22" s="144" t="s">
        <v>124</v>
      </c>
      <c r="R22" s="132">
        <f>IFERROR((C5*R18)-R19,0)</f>
        <v>0</v>
      </c>
      <c r="S22" s="132">
        <f t="shared" ref="S22:AC22" si="11">IFERROR((D5*S18)-S19,0)</f>
        <v>0</v>
      </c>
      <c r="T22" s="132">
        <f t="shared" si="11"/>
        <v>0</v>
      </c>
      <c r="U22" s="132">
        <f t="shared" si="11"/>
        <v>0</v>
      </c>
      <c r="V22" s="132">
        <f t="shared" si="11"/>
        <v>0</v>
      </c>
      <c r="W22" s="132">
        <f t="shared" si="11"/>
        <v>0</v>
      </c>
      <c r="X22" s="132">
        <f t="shared" si="11"/>
        <v>0</v>
      </c>
      <c r="Y22" s="132">
        <f t="shared" si="11"/>
        <v>0</v>
      </c>
      <c r="Z22" s="132">
        <f t="shared" si="11"/>
        <v>0</v>
      </c>
      <c r="AA22" s="132">
        <f t="shared" si="11"/>
        <v>0</v>
      </c>
      <c r="AB22" s="132">
        <f t="shared" si="11"/>
        <v>0</v>
      </c>
      <c r="AC22" s="132">
        <f t="shared" si="11"/>
        <v>0</v>
      </c>
      <c r="AD22" s="119">
        <f t="shared" si="5"/>
        <v>0</v>
      </c>
    </row>
    <row r="23" spans="2:30" ht="20.100000000000001" customHeight="1" x14ac:dyDescent="0.25">
      <c r="B23" s="112" t="s">
        <v>82</v>
      </c>
      <c r="C23" s="112" t="s">
        <v>83</v>
      </c>
      <c r="D23" s="112" t="s">
        <v>84</v>
      </c>
      <c r="E23" s="112" t="s">
        <v>85</v>
      </c>
      <c r="F23" s="112" t="s">
        <v>86</v>
      </c>
      <c r="G23" s="112" t="s">
        <v>87</v>
      </c>
      <c r="H23" s="112" t="s">
        <v>88</v>
      </c>
      <c r="I23" s="112" t="s">
        <v>89</v>
      </c>
      <c r="J23" s="112" t="s">
        <v>90</v>
      </c>
      <c r="K23" s="112" t="s">
        <v>91</v>
      </c>
      <c r="L23" s="112" t="s">
        <v>92</v>
      </c>
      <c r="M23" s="112" t="s">
        <v>93</v>
      </c>
      <c r="N23" s="112" t="s">
        <v>94</v>
      </c>
      <c r="O23" s="112" t="s">
        <v>95</v>
      </c>
    </row>
    <row r="24" spans="2:30" ht="20.100000000000001" customHeight="1" x14ac:dyDescent="0.25">
      <c r="B24" s="19" t="s">
        <v>81</v>
      </c>
      <c r="C24" s="132">
        <f>C10</f>
        <v>0</v>
      </c>
      <c r="D24" s="132">
        <f t="shared" ref="D24:N24" si="12">D10</f>
        <v>0</v>
      </c>
      <c r="E24" s="132">
        <f t="shared" si="12"/>
        <v>0</v>
      </c>
      <c r="F24" s="132">
        <f t="shared" si="12"/>
        <v>0</v>
      </c>
      <c r="G24" s="132">
        <f t="shared" si="12"/>
        <v>0</v>
      </c>
      <c r="H24" s="132">
        <f t="shared" si="12"/>
        <v>0</v>
      </c>
      <c r="I24" s="132">
        <f t="shared" si="12"/>
        <v>0</v>
      </c>
      <c r="J24" s="132">
        <f t="shared" si="12"/>
        <v>0</v>
      </c>
      <c r="K24" s="132">
        <f t="shared" si="12"/>
        <v>0</v>
      </c>
      <c r="L24" s="132">
        <f t="shared" si="12"/>
        <v>0</v>
      </c>
      <c r="M24" s="132">
        <f t="shared" si="12"/>
        <v>0</v>
      </c>
      <c r="N24" s="132">
        <f t="shared" si="12"/>
        <v>0</v>
      </c>
      <c r="O24" s="119">
        <f t="shared" ref="O24:O29" si="13">SUM(C24:N24)</f>
        <v>0</v>
      </c>
    </row>
    <row r="25" spans="2:30" ht="20.100000000000001" customHeight="1" x14ac:dyDescent="0.25">
      <c r="B25" s="19" t="s">
        <v>121</v>
      </c>
      <c r="C25" s="133">
        <f>IF(C5&lt;=TabS!$G$11,TabS!$H$11,IF(C5&lt;=TabS!$G$12,TabS!$H$12,IF(C5&lt;=TabS!$G$13,TabS!$H$13,IF(C5&lt;=TabS!$G$14,TabS!$H$14,IF(C5&lt;=TabS!$G$15,TabS!$H$15,IF(C5&lt;=TabS!$G$16,TabS!$H$16))))))</f>
        <v>4.4999999999999998E-2</v>
      </c>
      <c r="D25" s="133">
        <f>IF(D5&lt;=TabS!$G$11,TabS!$H$11,IF(D5&lt;=TabS!$G$12,TabS!$H$12,IF(D5&lt;=TabS!$G$13,TabS!$H$13,IF(D5&lt;=TabS!$G$14,TabS!$H$14,IF(D5&lt;=TabS!$G$15,TabS!$H$15,IF(D5&lt;=TabS!$G$16,TabS!$H$16))))))</f>
        <v>4.4999999999999998E-2</v>
      </c>
      <c r="E25" s="133">
        <f>IF(E5&lt;=TabS!$G$11,TabS!$H$11,IF(E5&lt;=TabS!$G$12,TabS!$H$12,IF(E5&lt;=TabS!$G$13,TabS!$H$13,IF(E5&lt;=TabS!$G$14,TabS!$H$14,IF(E5&lt;=TabS!$G$15,TabS!$H$15,IF(E5&lt;=TabS!$G$16,TabS!$H$16))))))</f>
        <v>4.4999999999999998E-2</v>
      </c>
      <c r="F25" s="133">
        <f>IF(F5&lt;=TabS!$G$11,TabS!$H$11,IF(F5&lt;=TabS!$G$12,TabS!$H$12,IF(F5&lt;=TabS!$G$13,TabS!$H$13,IF(F5&lt;=TabS!$G$14,TabS!$H$14,IF(F5&lt;=TabS!$G$15,TabS!$H$15,IF(F5&lt;=TabS!$G$16,TabS!$H$16))))))</f>
        <v>4.4999999999999998E-2</v>
      </c>
      <c r="G25" s="133">
        <f>IF(G5&lt;=TabS!$G$11,TabS!$H$11,IF(G5&lt;=TabS!$G$12,TabS!$H$12,IF(G5&lt;=TabS!$G$13,TabS!$H$13,IF(G5&lt;=TabS!$G$14,TabS!$H$14,IF(G5&lt;=TabS!$G$15,TabS!$H$15,IF(G5&lt;=TabS!$G$16,TabS!$H$16))))))</f>
        <v>4.4999999999999998E-2</v>
      </c>
      <c r="H25" s="133">
        <f>IF(H5&lt;=TabS!$G$11,TabS!$H$11,IF(H5&lt;=TabS!$G$12,TabS!$H$12,IF(H5&lt;=TabS!$G$13,TabS!$H$13,IF(H5&lt;=TabS!$G$14,TabS!$H$14,IF(H5&lt;=TabS!$G$15,TabS!$H$15,IF(H5&lt;=TabS!$G$16,TabS!$H$16))))))</f>
        <v>4.4999999999999998E-2</v>
      </c>
      <c r="I25" s="133">
        <f>IF(I5&lt;=TabS!$G$11,TabS!$H$11,IF(I5&lt;=TabS!$G$12,TabS!$H$12,IF(I5&lt;=TabS!$G$13,TabS!$H$13,IF(I5&lt;=TabS!$G$14,TabS!$H$14,IF(I5&lt;=TabS!$G$15,TabS!$H$15,IF(I5&lt;=TabS!$G$16,TabS!$H$16))))))</f>
        <v>4.4999999999999998E-2</v>
      </c>
      <c r="J25" s="133">
        <f>IF(J5&lt;=TabS!$G$11,TabS!$H$11,IF(J5&lt;=TabS!$G$12,TabS!$H$12,IF(J5&lt;=TabS!$G$13,TabS!$H$13,IF(J5&lt;=TabS!$G$14,TabS!$H$14,IF(J5&lt;=TabS!$G$15,TabS!$H$15,IF(J5&lt;=TabS!$G$16,TabS!$H$16))))))</f>
        <v>4.4999999999999998E-2</v>
      </c>
      <c r="K25" s="133">
        <f>IF(K5&lt;=TabS!$G$11,TabS!$H$11,IF(K5&lt;=TabS!$G$12,TabS!$H$12,IF(K5&lt;=TabS!$G$13,TabS!$H$13,IF(K5&lt;=TabS!$G$14,TabS!$H$14,IF(K5&lt;=TabS!$G$15,TabS!$H$15,IF(K5&lt;=TabS!$G$16,TabS!$H$16))))))</f>
        <v>4.4999999999999998E-2</v>
      </c>
      <c r="L25" s="133">
        <f>IF(L5&lt;=TabS!$G$11,TabS!$H$11,IF(L5&lt;=TabS!$G$12,TabS!$H$12,IF(L5&lt;=TabS!$G$13,TabS!$H$13,IF(L5&lt;=TabS!$G$14,TabS!$H$14,IF(L5&lt;=TabS!$G$15,TabS!$H$15,IF(L5&lt;=TabS!$G$16,TabS!$H$16))))))</f>
        <v>4.4999999999999998E-2</v>
      </c>
      <c r="M25" s="133">
        <f>IF(M5&lt;=TabS!$G$11,TabS!$H$11,IF(M5&lt;=TabS!$G$12,TabS!$H$12,IF(M5&lt;=TabS!$G$13,TabS!$H$13,IF(M5&lt;=TabS!$G$14,TabS!$H$14,IF(M5&lt;=TabS!$G$15,TabS!$H$15,IF(M5&lt;=TabS!$G$16,TabS!$H$16))))))</f>
        <v>4.4999999999999998E-2</v>
      </c>
      <c r="N25" s="133">
        <f>IF(N5&lt;=TabS!$G$11,TabS!$H$11,IF(N5&lt;=TabS!$G$12,TabS!$H$12,IF(N5&lt;=TabS!$G$13,TabS!$H$13,IF(N5&lt;=TabS!$G$14,TabS!$H$14,IF(N5&lt;=TabS!$G$15,TabS!$H$15,IF(N5&lt;=TabS!$G$16,TabS!$H$16))))))</f>
        <v>4.4999999999999998E-2</v>
      </c>
      <c r="O25" s="134">
        <f t="shared" si="13"/>
        <v>0.53999999999999992</v>
      </c>
    </row>
    <row r="26" spans="2:30" ht="20.100000000000001" customHeight="1" x14ac:dyDescent="0.25">
      <c r="B26" s="19" t="s">
        <v>122</v>
      </c>
      <c r="C26" s="132">
        <f>IF(C5&lt;=TabS!$G$11,TabS!$I$11,IF(C5&lt;=TabS!$G$12,TabS!$I$12,IF(C5&lt;=TabS!$G$13,TabS!$I$13,IF(C5&lt;=TabS!$G$14,TabS!$I$14,IF(C5&lt;=TabS!$G$15,TabS!$I$15,IF(C5&lt;=TabS!$G$16,TabS!$I$16))))))</f>
        <v>0</v>
      </c>
      <c r="D26" s="132">
        <f>IF(D5&lt;=TabS!$G$11,TabS!$I$11,IF(D5&lt;=TabS!$G$12,TabS!$I$12,IF(D5&lt;=TabS!$G$13,TabS!$I$13,IF(D5&lt;=TabS!$G$14,TabS!$I$14,IF(D5&lt;=TabS!$G$15,TabS!$I$15,IF(D5&lt;=TabS!$G$16,TabS!$I$16))))))</f>
        <v>0</v>
      </c>
      <c r="E26" s="132">
        <f>IF(E5&lt;=TabS!$G$11,TabS!$I$11,IF(E5&lt;=TabS!$G$12,TabS!$I$12,IF(E5&lt;=TabS!$G$13,TabS!$I$13,IF(E5&lt;=TabS!$G$14,TabS!$I$14,IF(E5&lt;=TabS!$G$15,TabS!$I$15,IF(E5&lt;=TabS!$G$16,TabS!$I$16))))))</f>
        <v>0</v>
      </c>
      <c r="F26" s="132">
        <f>IF(F5&lt;=TabS!$G$11,TabS!$I$11,IF(F5&lt;=TabS!$G$12,TabS!$I$12,IF(F5&lt;=TabS!$G$13,TabS!$I$13,IF(F5&lt;=TabS!$G$14,TabS!$I$14,IF(F5&lt;=TabS!$G$15,TabS!$I$15,IF(F5&lt;=TabS!$G$16,TabS!$I$16))))))</f>
        <v>0</v>
      </c>
      <c r="G26" s="132">
        <f>IF(G5&lt;=TabS!$G$11,TabS!$I$11,IF(G5&lt;=TabS!$G$12,TabS!$I$12,IF(G5&lt;=TabS!$G$13,TabS!$I$13,IF(G5&lt;=TabS!$G$14,TabS!$I$14,IF(G5&lt;=TabS!$G$15,TabS!$I$15,IF(G5&lt;=TabS!$G$16,TabS!$I$16))))))</f>
        <v>0</v>
      </c>
      <c r="H26" s="132">
        <f>IF(H5&lt;=TabS!$G$11,TabS!$I$11,IF(H5&lt;=TabS!$G$12,TabS!$I$12,IF(H5&lt;=TabS!$G$13,TabS!$I$13,IF(H5&lt;=TabS!$G$14,TabS!$I$14,IF(H5&lt;=TabS!$G$15,TabS!$I$15,IF(H5&lt;=TabS!$G$16,TabS!$I$16))))))</f>
        <v>0</v>
      </c>
      <c r="I26" s="132">
        <f>IF(I5&lt;=TabS!$G$11,TabS!$I$11,IF(I5&lt;=TabS!$G$12,TabS!$I$12,IF(I5&lt;=TabS!$G$13,TabS!$I$13,IF(I5&lt;=TabS!$G$14,TabS!$I$14,IF(I5&lt;=TabS!$G$15,TabS!$I$15,IF(I5&lt;=TabS!$G$16,TabS!$I$16))))))</f>
        <v>0</v>
      </c>
      <c r="J26" s="132">
        <f>IF(J5&lt;=TabS!$G$11,TabS!$I$11,IF(J5&lt;=TabS!$G$12,TabS!$I$12,IF(J5&lt;=TabS!$G$13,TabS!$I$13,IF(J5&lt;=TabS!$G$14,TabS!$I$14,IF(J5&lt;=TabS!$G$15,TabS!$I$15,IF(J5&lt;=TabS!$G$16,TabS!$I$16))))))</f>
        <v>0</v>
      </c>
      <c r="K26" s="132">
        <f>IF(K5&lt;=TabS!$G$11,TabS!$I$11,IF(K5&lt;=TabS!$G$12,TabS!$I$12,IF(K5&lt;=TabS!$G$13,TabS!$I$13,IF(K5&lt;=TabS!$G$14,TabS!$I$14,IF(K5&lt;=TabS!$G$15,TabS!$I$15,IF(K5&lt;=TabS!$G$16,TabS!$I$16))))))</f>
        <v>0</v>
      </c>
      <c r="L26" s="132">
        <f>IF(L5&lt;=TabS!$G$11,TabS!$I$11,IF(L5&lt;=TabS!$G$12,TabS!$I$12,IF(L5&lt;=TabS!$G$13,TabS!$I$13,IF(L5&lt;=TabS!$G$14,TabS!$I$14,IF(L5&lt;=TabS!$G$15,TabS!$I$15,IF(L5&lt;=TabS!$G$16,TabS!$I$16))))))</f>
        <v>0</v>
      </c>
      <c r="M26" s="132">
        <f>IF(M5&lt;=TabS!$G$11,TabS!$I$11,IF(M5&lt;=TabS!$G$12,TabS!$I$12,IF(M5&lt;=TabS!$G$13,TabS!$I$13,IF(M5&lt;=TabS!$G$14,TabS!$I$14,IF(M5&lt;=TabS!$G$15,TabS!$I$15,IF(M5&lt;=TabS!$G$16,TabS!$I$16))))))</f>
        <v>0</v>
      </c>
      <c r="N26" s="132">
        <f>IF(N5&lt;=TabS!$G$11,TabS!$I$11,IF(N5&lt;=TabS!$G$12,TabS!$I$12,IF(N5&lt;=TabS!$G$13,TabS!$I$13,IF(N5&lt;=TabS!$G$14,TabS!$I$14,IF(N5&lt;=TabS!$G$15,TabS!$I$15,IF(N5&lt;=TabS!$G$16,TabS!$I$16))))))</f>
        <v>0</v>
      </c>
      <c r="O26" s="119">
        <f t="shared" si="13"/>
        <v>0</v>
      </c>
    </row>
    <row r="27" spans="2:30" ht="20.100000000000001" customHeight="1" x14ac:dyDescent="0.25">
      <c r="B27" s="49" t="s">
        <v>123</v>
      </c>
      <c r="C27" s="135">
        <f>IFERROR(C29/C5,0)</f>
        <v>0</v>
      </c>
      <c r="D27" s="135">
        <f t="shared" ref="D27:N27" si="14">IFERROR(D29/D5,0)</f>
        <v>0</v>
      </c>
      <c r="E27" s="135">
        <f t="shared" si="14"/>
        <v>0</v>
      </c>
      <c r="F27" s="135">
        <f t="shared" si="14"/>
        <v>0</v>
      </c>
      <c r="G27" s="135">
        <f t="shared" si="14"/>
        <v>0</v>
      </c>
      <c r="H27" s="135">
        <f t="shared" si="14"/>
        <v>0</v>
      </c>
      <c r="I27" s="135">
        <f t="shared" si="14"/>
        <v>0</v>
      </c>
      <c r="J27" s="135">
        <f t="shared" si="14"/>
        <v>0</v>
      </c>
      <c r="K27" s="135">
        <f t="shared" si="14"/>
        <v>0</v>
      </c>
      <c r="L27" s="135">
        <f t="shared" si="14"/>
        <v>0</v>
      </c>
      <c r="M27" s="135">
        <f t="shared" si="14"/>
        <v>0</v>
      </c>
      <c r="N27" s="135">
        <f t="shared" si="14"/>
        <v>0</v>
      </c>
      <c r="O27" s="136">
        <f t="shared" si="13"/>
        <v>0</v>
      </c>
    </row>
    <row r="28" spans="2:30" ht="20.100000000000001" customHeight="1" x14ac:dyDescent="0.25">
      <c r="B28" s="161" t="s">
        <v>125</v>
      </c>
      <c r="C28" s="137">
        <f>C24*C27</f>
        <v>0</v>
      </c>
      <c r="D28" s="137">
        <f t="shared" ref="D28:N28" si="15">D24*D27</f>
        <v>0</v>
      </c>
      <c r="E28" s="137">
        <f t="shared" si="15"/>
        <v>0</v>
      </c>
      <c r="F28" s="137">
        <f t="shared" si="15"/>
        <v>0</v>
      </c>
      <c r="G28" s="137">
        <f t="shared" si="15"/>
        <v>0</v>
      </c>
      <c r="H28" s="137">
        <f t="shared" si="15"/>
        <v>0</v>
      </c>
      <c r="I28" s="137">
        <f t="shared" si="15"/>
        <v>0</v>
      </c>
      <c r="J28" s="137">
        <f t="shared" si="15"/>
        <v>0</v>
      </c>
      <c r="K28" s="137">
        <f t="shared" si="15"/>
        <v>0</v>
      </c>
      <c r="L28" s="137">
        <f t="shared" si="15"/>
        <v>0</v>
      </c>
      <c r="M28" s="137">
        <f t="shared" si="15"/>
        <v>0</v>
      </c>
      <c r="N28" s="137">
        <f t="shared" si="15"/>
        <v>0</v>
      </c>
      <c r="O28" s="138">
        <f>SUM(C28:N28)</f>
        <v>0</v>
      </c>
    </row>
    <row r="29" spans="2:30" ht="20.100000000000001" customHeight="1" x14ac:dyDescent="0.25">
      <c r="B29" s="19" t="s">
        <v>124</v>
      </c>
      <c r="C29" s="132">
        <f>IFERROR((C5*C25)-C26,0)</f>
        <v>0</v>
      </c>
      <c r="D29" s="132">
        <f t="shared" ref="D29:N29" si="16">IFERROR((D5*D25)-D26,0)</f>
        <v>0</v>
      </c>
      <c r="E29" s="132">
        <f t="shared" si="16"/>
        <v>0</v>
      </c>
      <c r="F29" s="132">
        <f t="shared" si="16"/>
        <v>0</v>
      </c>
      <c r="G29" s="132">
        <f t="shared" si="16"/>
        <v>0</v>
      </c>
      <c r="H29" s="132">
        <f t="shared" si="16"/>
        <v>0</v>
      </c>
      <c r="I29" s="132">
        <f t="shared" si="16"/>
        <v>0</v>
      </c>
      <c r="J29" s="132">
        <f t="shared" si="16"/>
        <v>0</v>
      </c>
      <c r="K29" s="132">
        <f t="shared" si="16"/>
        <v>0</v>
      </c>
      <c r="L29" s="132">
        <f t="shared" si="16"/>
        <v>0</v>
      </c>
      <c r="M29" s="132">
        <f t="shared" si="16"/>
        <v>0</v>
      </c>
      <c r="N29" s="132">
        <f t="shared" si="16"/>
        <v>0</v>
      </c>
      <c r="O29" s="119">
        <f t="shared" si="13"/>
        <v>0</v>
      </c>
    </row>
    <row r="30" spans="2:30" ht="20.100000000000001" customHeight="1" x14ac:dyDescent="0.25">
      <c r="B30" s="112" t="s">
        <v>82</v>
      </c>
      <c r="C30" s="112" t="s">
        <v>83</v>
      </c>
      <c r="D30" s="112" t="s">
        <v>84</v>
      </c>
      <c r="E30" s="112" t="s">
        <v>85</v>
      </c>
      <c r="F30" s="112" t="s">
        <v>86</v>
      </c>
      <c r="G30" s="112" t="s">
        <v>87</v>
      </c>
      <c r="H30" s="112" t="s">
        <v>88</v>
      </c>
      <c r="I30" s="112" t="s">
        <v>89</v>
      </c>
      <c r="J30" s="112" t="s">
        <v>90</v>
      </c>
      <c r="K30" s="112" t="s">
        <v>91</v>
      </c>
      <c r="L30" s="112" t="s">
        <v>92</v>
      </c>
      <c r="M30" s="112" t="s">
        <v>93</v>
      </c>
      <c r="N30" s="112" t="s">
        <v>94</v>
      </c>
      <c r="O30" s="112" t="s">
        <v>95</v>
      </c>
      <c r="Q30" s="145" t="s">
        <v>82</v>
      </c>
      <c r="R30" s="112" t="s">
        <v>83</v>
      </c>
      <c r="S30" s="112" t="s">
        <v>84</v>
      </c>
      <c r="T30" s="112" t="s">
        <v>85</v>
      </c>
      <c r="U30" s="112" t="s">
        <v>86</v>
      </c>
      <c r="V30" s="112" t="s">
        <v>87</v>
      </c>
      <c r="W30" s="112" t="s">
        <v>88</v>
      </c>
      <c r="X30" s="112" t="s">
        <v>89</v>
      </c>
      <c r="Y30" s="112" t="s">
        <v>90</v>
      </c>
      <c r="Z30" s="112" t="s">
        <v>91</v>
      </c>
      <c r="AA30" s="112" t="s">
        <v>92</v>
      </c>
      <c r="AB30" s="112" t="s">
        <v>93</v>
      </c>
      <c r="AC30" s="112" t="s">
        <v>94</v>
      </c>
      <c r="AD30" s="112" t="s">
        <v>95</v>
      </c>
    </row>
    <row r="31" spans="2:30" ht="20.100000000000001" customHeight="1" x14ac:dyDescent="0.25">
      <c r="B31" s="19" t="s">
        <v>75</v>
      </c>
      <c r="C31" s="132">
        <f>C11</f>
        <v>0</v>
      </c>
      <c r="D31" s="132">
        <f t="shared" ref="D31:N31" si="17">D11</f>
        <v>0</v>
      </c>
      <c r="E31" s="132">
        <f t="shared" si="17"/>
        <v>0</v>
      </c>
      <c r="F31" s="132">
        <f t="shared" si="17"/>
        <v>0</v>
      </c>
      <c r="G31" s="132">
        <f t="shared" si="17"/>
        <v>0</v>
      </c>
      <c r="H31" s="132">
        <f t="shared" si="17"/>
        <v>0</v>
      </c>
      <c r="I31" s="132">
        <f t="shared" si="17"/>
        <v>0</v>
      </c>
      <c r="J31" s="132">
        <f t="shared" si="17"/>
        <v>0</v>
      </c>
      <c r="K31" s="132">
        <f t="shared" si="17"/>
        <v>0</v>
      </c>
      <c r="L31" s="132">
        <f t="shared" si="17"/>
        <v>0</v>
      </c>
      <c r="M31" s="132">
        <f t="shared" si="17"/>
        <v>0</v>
      </c>
      <c r="N31" s="132">
        <f t="shared" si="17"/>
        <v>0</v>
      </c>
      <c r="O31" s="119">
        <f t="shared" ref="O31:O36" si="18">SUM(C31:N31)</f>
        <v>0</v>
      </c>
      <c r="Q31" s="144" t="s">
        <v>75</v>
      </c>
      <c r="R31" s="132">
        <f>C11</f>
        <v>0</v>
      </c>
      <c r="S31" s="132">
        <f t="shared" ref="S31:AC31" si="19">D11</f>
        <v>0</v>
      </c>
      <c r="T31" s="132">
        <f t="shared" si="19"/>
        <v>0</v>
      </c>
      <c r="U31" s="132">
        <f t="shared" si="19"/>
        <v>0</v>
      </c>
      <c r="V31" s="132">
        <f t="shared" si="19"/>
        <v>0</v>
      </c>
      <c r="W31" s="132">
        <f t="shared" si="19"/>
        <v>0</v>
      </c>
      <c r="X31" s="132">
        <f t="shared" si="19"/>
        <v>0</v>
      </c>
      <c r="Y31" s="132">
        <f t="shared" si="19"/>
        <v>0</v>
      </c>
      <c r="Z31" s="132">
        <f t="shared" si="19"/>
        <v>0</v>
      </c>
      <c r="AA31" s="132">
        <f t="shared" si="19"/>
        <v>0</v>
      </c>
      <c r="AB31" s="132">
        <f t="shared" si="19"/>
        <v>0</v>
      </c>
      <c r="AC31" s="132">
        <f t="shared" si="19"/>
        <v>0</v>
      </c>
      <c r="AD31" s="119">
        <f t="shared" ref="AD31:AD36" si="20">SUM(R31:AC31)</f>
        <v>0</v>
      </c>
    </row>
    <row r="32" spans="2:30" ht="20.100000000000001" customHeight="1" x14ac:dyDescent="0.25">
      <c r="B32" s="19" t="s">
        <v>121</v>
      </c>
      <c r="C32" s="133">
        <f>IF(C5&lt;=TabS!$G$17,TabS!$H$17,IF(C5&lt;=TabS!$G$18,TabS!$H$18,IF(C5&lt;=TabS!$G$19,TabS!$H$19,IF(C5&lt;=TabS!$G$20,TabS!$H$20,IF(C5&lt;=TabS!$G$21,TabS!$H$21,IF(C5&lt;=TabS!$G$22,TabS!$H$22))))))</f>
        <v>0.06</v>
      </c>
      <c r="D32" s="133">
        <f>IF(D5&lt;=TabS!$G$17,TabS!$H$17,IF(D5&lt;=TabS!$G$18,TabS!$H$18,IF(D5&lt;=TabS!$G$19,TabS!$H$19,IF(D5&lt;=TabS!$G$20,TabS!$H$20,IF(D5&lt;=TabS!$G$21,TabS!$H$21,IF(D5&lt;=TabS!$G$22,TabS!$H$22))))))</f>
        <v>0.06</v>
      </c>
      <c r="E32" s="133">
        <f>IF(E5&lt;=TabS!$G$17,TabS!$H$17,IF(E5&lt;=TabS!$G$18,TabS!$H$18,IF(E5&lt;=TabS!$G$19,TabS!$H$19,IF(E5&lt;=TabS!$G$20,TabS!$H$20,IF(E5&lt;=TabS!$G$21,TabS!$H$21,IF(E5&lt;=TabS!$G$22,TabS!$H$22))))))</f>
        <v>0.06</v>
      </c>
      <c r="F32" s="133">
        <f>IF(F5&lt;=TabS!$G$17,TabS!$H$17,IF(F5&lt;=TabS!$G$18,TabS!$H$18,IF(F5&lt;=TabS!$G$19,TabS!$H$19,IF(F5&lt;=TabS!$G$20,TabS!$H$20,IF(F5&lt;=TabS!$G$21,TabS!$H$21,IF(F5&lt;=TabS!$G$22,TabS!$H$22))))))</f>
        <v>0.06</v>
      </c>
      <c r="G32" s="133">
        <f>IF(G5&lt;=TabS!$G$17,TabS!$H$17,IF(G5&lt;=TabS!$G$18,TabS!$H$18,IF(G5&lt;=TabS!$G$19,TabS!$H$19,IF(G5&lt;=TabS!$G$20,TabS!$H$20,IF(G5&lt;=TabS!$G$21,TabS!$H$21,IF(G5&lt;=TabS!$G$22,TabS!$H$22))))))</f>
        <v>0.06</v>
      </c>
      <c r="H32" s="133">
        <f>IF(H5&lt;=TabS!$G$17,TabS!$H$17,IF(H5&lt;=TabS!$G$18,TabS!$H$18,IF(H5&lt;=TabS!$G$19,TabS!$H$19,IF(H5&lt;=TabS!$G$20,TabS!$H$20,IF(H5&lt;=TabS!$G$21,TabS!$H$21,IF(H5&lt;=TabS!$G$22,TabS!$H$22))))))</f>
        <v>0.06</v>
      </c>
      <c r="I32" s="133">
        <f>IF(I5&lt;=TabS!$G$17,TabS!$H$17,IF(I5&lt;=TabS!$G$18,TabS!$H$18,IF(I5&lt;=TabS!$G$19,TabS!$H$19,IF(I5&lt;=TabS!$G$20,TabS!$H$20,IF(I5&lt;=TabS!$G$21,TabS!$H$21,IF(I5&lt;=TabS!$G$22,TabS!$H$22))))))</f>
        <v>0.06</v>
      </c>
      <c r="J32" s="133">
        <f>IF(J5&lt;=TabS!$G$17,TabS!$H$17,IF(J5&lt;=TabS!$G$18,TabS!$H$18,IF(J5&lt;=TabS!$G$19,TabS!$H$19,IF(J5&lt;=TabS!$G$20,TabS!$H$20,IF(J5&lt;=TabS!$G$21,TabS!$H$21,IF(J5&lt;=TabS!$G$22,TabS!$H$22))))))</f>
        <v>0.06</v>
      </c>
      <c r="K32" s="133">
        <f>IF(K5&lt;=TabS!$G$17,TabS!$H$17,IF(K5&lt;=TabS!$G$18,TabS!$H$18,IF(K5&lt;=TabS!$G$19,TabS!$H$19,IF(K5&lt;=TabS!$G$20,TabS!$H$20,IF(K5&lt;=TabS!$G$21,TabS!$H$21,IF(K5&lt;=TabS!$G$22,TabS!$H$22))))))</f>
        <v>0.06</v>
      </c>
      <c r="L32" s="133">
        <f>IF(L5&lt;=TabS!$G$17,TabS!$H$17,IF(L5&lt;=TabS!$G$18,TabS!$H$18,IF(L5&lt;=TabS!$G$19,TabS!$H$19,IF(L5&lt;=TabS!$G$20,TabS!$H$20,IF(L5&lt;=TabS!$G$21,TabS!$H$21,IF(L5&lt;=TabS!$G$22,TabS!$H$22))))))</f>
        <v>0.06</v>
      </c>
      <c r="M32" s="133">
        <f>IF(M5&lt;=TabS!$G$17,TabS!$H$17,IF(M5&lt;=TabS!$G$18,TabS!$H$18,IF(M5&lt;=TabS!$G$19,TabS!$H$19,IF(M5&lt;=TabS!$G$20,TabS!$H$20,IF(M5&lt;=TabS!$G$21,TabS!$H$21,IF(M5&lt;=TabS!$G$22,TabS!$H$22))))))</f>
        <v>0.06</v>
      </c>
      <c r="N32" s="133">
        <f>IF(N5&lt;=TabS!$G$17,TabS!$H$17,IF(N5&lt;=TabS!$G$18,TabS!$H$18,IF(N5&lt;=TabS!$G$19,TabS!$H$19,IF(N5&lt;=TabS!$G$20,TabS!$H$20,IF(N5&lt;=TabS!$G$21,TabS!$H$21,IF(N5&lt;=TabS!$G$22,TabS!$H$22))))))</f>
        <v>0.06</v>
      </c>
      <c r="O32" s="134">
        <f t="shared" si="18"/>
        <v>0.7200000000000002</v>
      </c>
      <c r="Q32" s="144" t="s">
        <v>121</v>
      </c>
      <c r="R32" s="133">
        <f>IF(C5&gt;TabS!$G$21,TabS!$H$21,0)</f>
        <v>0</v>
      </c>
      <c r="S32" s="133">
        <f>IF(D5&gt;TabS!$G$21,TabS!$H$21,0)</f>
        <v>0</v>
      </c>
      <c r="T32" s="133">
        <f>IF(E5&gt;TabS!$G$21,TabS!$H$21,0)</f>
        <v>0</v>
      </c>
      <c r="U32" s="133">
        <f>IF(F5&gt;TabS!$G$21,TabS!$H$21,0)</f>
        <v>0</v>
      </c>
      <c r="V32" s="133">
        <f>IF(G5&gt;TabS!$G$21,TabS!$H$21,0)</f>
        <v>0</v>
      </c>
      <c r="W32" s="133">
        <f>IF(H5&gt;TabS!$G$21,TabS!$H$21,0)</f>
        <v>0</v>
      </c>
      <c r="X32" s="133">
        <f>IF(I5&gt;TabS!$G$21,TabS!$H$21,0)</f>
        <v>0</v>
      </c>
      <c r="Y32" s="133">
        <f>IF(J5&gt;TabS!$G$21,TabS!$H$21,0)</f>
        <v>0</v>
      </c>
      <c r="Z32" s="133">
        <f>IF(K5&gt;TabS!$G$21,TabS!$H$21,0)</f>
        <v>0</v>
      </c>
      <c r="AA32" s="133">
        <f>IF(L5&gt;TabS!$G$21,TabS!$H$21,0)</f>
        <v>0</v>
      </c>
      <c r="AB32" s="133">
        <f>IF(M5&gt;TabS!$G$21,TabS!$H$21,0)</f>
        <v>0</v>
      </c>
      <c r="AC32" s="133">
        <f>IF(N5&gt;TabS!$G$21,TabS!$H$21,0)</f>
        <v>0</v>
      </c>
      <c r="AD32" s="134">
        <f t="shared" si="20"/>
        <v>0</v>
      </c>
    </row>
    <row r="33" spans="2:30" ht="20.100000000000001" customHeight="1" x14ac:dyDescent="0.25">
      <c r="B33" s="19" t="s">
        <v>122</v>
      </c>
      <c r="C33" s="132">
        <f>IF(C5&lt;=TabS!$G$17,TabS!$I$17,IF(C5&lt;=TabS!$G$18,TabS!$I$18,IF(C5&lt;=TabS!$G$19,TabS!$I$19,IF(C5&lt;=TabS!$G$20,TabS!$I$20,IF(C5&lt;=TabS!$G$21,TabS!$I$21,IF(C5&lt;=TabS!$G$22,TabS!$I$22))))))</f>
        <v>0</v>
      </c>
      <c r="D33" s="132">
        <f>IF(D5&lt;=TabS!$G$17,TabS!$I$17,IF(D5&lt;=TabS!$G$18,TabS!$I$18,IF(D5&lt;=TabS!$G$19,TabS!$I$19,IF(D5&lt;=TabS!$G$20,TabS!$I$20,IF(D5&lt;=TabS!$G$21,TabS!$I$21,IF(D5&lt;=TabS!$G$22,TabS!$I$22))))))</f>
        <v>0</v>
      </c>
      <c r="E33" s="132">
        <f>IF(E5&lt;=TabS!$G$17,TabS!$I$17,IF(E5&lt;=TabS!$G$18,TabS!$I$18,IF(E5&lt;=TabS!$G$19,TabS!$I$19,IF(E5&lt;=TabS!$G$20,TabS!$I$20,IF(E5&lt;=TabS!$G$21,TabS!$I$21,IF(E5&lt;=TabS!$G$22,TabS!$I$22))))))</f>
        <v>0</v>
      </c>
      <c r="F33" s="132">
        <f>IF(F5&lt;=TabS!$G$17,TabS!$I$17,IF(F5&lt;=TabS!$G$18,TabS!$I$18,IF(F5&lt;=TabS!$G$19,TabS!$I$19,IF(F5&lt;=TabS!$G$20,TabS!$I$20,IF(F5&lt;=TabS!$G$21,TabS!$I$21,IF(F5&lt;=TabS!$G$22,TabS!$I$22))))))</f>
        <v>0</v>
      </c>
      <c r="G33" s="132">
        <f>IF(G5&lt;=TabS!$G$17,TabS!$I$17,IF(G5&lt;=TabS!$G$18,TabS!$I$18,IF(G5&lt;=TabS!$G$19,TabS!$I$19,IF(G5&lt;=TabS!$G$20,TabS!$I$20,IF(G5&lt;=TabS!$G$21,TabS!$I$21,IF(G5&lt;=TabS!$G$22,TabS!$I$22))))))</f>
        <v>0</v>
      </c>
      <c r="H33" s="132">
        <f>IF(H5&lt;=TabS!$G$17,TabS!$I$17,IF(H5&lt;=TabS!$G$18,TabS!$I$18,IF(H5&lt;=TabS!$G$19,TabS!$I$19,IF(H5&lt;=TabS!$G$20,TabS!$I$20,IF(H5&lt;=TabS!$G$21,TabS!$I$21,IF(H5&lt;=TabS!$G$22,TabS!$I$22))))))</f>
        <v>0</v>
      </c>
      <c r="I33" s="132">
        <f>IF(I5&lt;=TabS!$G$17,TabS!$I$17,IF(I5&lt;=TabS!$G$18,TabS!$I$18,IF(I5&lt;=TabS!$G$19,TabS!$I$19,IF(I5&lt;=TabS!$G$20,TabS!$I$20,IF(I5&lt;=TabS!$G$21,TabS!$I$21,IF(I5&lt;=TabS!$G$22,TabS!$I$22))))))</f>
        <v>0</v>
      </c>
      <c r="J33" s="132">
        <f>IF(J5&lt;=TabS!$G$17,TabS!$I$17,IF(J5&lt;=TabS!$G$18,TabS!$I$18,IF(J5&lt;=TabS!$G$19,TabS!$I$19,IF(J5&lt;=TabS!$G$20,TabS!$I$20,IF(J5&lt;=TabS!$G$21,TabS!$I$21,IF(J5&lt;=TabS!$G$22,TabS!$I$22))))))</f>
        <v>0</v>
      </c>
      <c r="K33" s="132">
        <f>IF(K5&lt;=TabS!$G$17,TabS!$I$17,IF(K5&lt;=TabS!$G$18,TabS!$I$18,IF(K5&lt;=TabS!$G$19,TabS!$I$19,IF(K5&lt;=TabS!$G$20,TabS!$I$20,IF(K5&lt;=TabS!$G$21,TabS!$I$21,IF(K5&lt;=TabS!$G$22,TabS!$I$22))))))</f>
        <v>0</v>
      </c>
      <c r="L33" s="132">
        <f>IF(L5&lt;=TabS!$G$17,TabS!$I$17,IF(L5&lt;=TabS!$G$18,TabS!$I$18,IF(L5&lt;=TabS!$G$19,TabS!$I$19,IF(L5&lt;=TabS!$G$20,TabS!$I$20,IF(L5&lt;=TabS!$G$21,TabS!$I$21,IF(L5&lt;=TabS!$G$22,TabS!$I$22))))))</f>
        <v>0</v>
      </c>
      <c r="M33" s="132">
        <f>IF(M5&lt;=TabS!$G$17,TabS!$I$17,IF(M5&lt;=TabS!$G$18,TabS!$I$18,IF(M5&lt;=TabS!$G$19,TabS!$I$19,IF(M5&lt;=TabS!$G$20,TabS!$I$20,IF(M5&lt;=TabS!$G$21,TabS!$I$21,IF(M5&lt;=TabS!$G$22,TabS!$I$22))))))</f>
        <v>0</v>
      </c>
      <c r="N33" s="132">
        <f>IF(N5&lt;=TabS!$G$17,TabS!$I$17,IF(N5&lt;=TabS!$G$18,TabS!$I$18,IF(N5&lt;=TabS!$G$19,TabS!$I$19,IF(N5&lt;=TabS!$G$20,TabS!$I$20,IF(N5&lt;=TabS!$G$21,TabS!$I$21,IF(N5&lt;=TabS!$G$22,TabS!$I$22))))))</f>
        <v>0</v>
      </c>
      <c r="O33" s="119">
        <f t="shared" si="18"/>
        <v>0</v>
      </c>
      <c r="Q33" s="144" t="s">
        <v>122</v>
      </c>
      <c r="R33" s="132">
        <f>IF(C5&gt;TabS!$G$21,TabS!$I$21,0)</f>
        <v>0</v>
      </c>
      <c r="S33" s="132">
        <f>IF(D5&gt;TabS!$G$21,TabS!$I$21,0)</f>
        <v>0</v>
      </c>
      <c r="T33" s="132">
        <f>IF(E5&gt;TabS!$G$21,TabS!$I$21,0)</f>
        <v>0</v>
      </c>
      <c r="U33" s="132">
        <f>IF(F5&gt;TabS!$G$21,TabS!$I$21,0)</f>
        <v>0</v>
      </c>
      <c r="V33" s="132">
        <f>IF(G5&gt;TabS!$G$21,TabS!$I$21,0)</f>
        <v>0</v>
      </c>
      <c r="W33" s="132">
        <f>IF(H5&gt;TabS!$G$21,TabS!$I$21,0)</f>
        <v>0</v>
      </c>
      <c r="X33" s="132">
        <f>IF(I5&gt;TabS!$G$21,TabS!$I$21,0)</f>
        <v>0</v>
      </c>
      <c r="Y33" s="132">
        <f>IF(J5&gt;TabS!$G$21,TabS!$I$21,0)</f>
        <v>0</v>
      </c>
      <c r="Z33" s="132">
        <f>IF(K5&gt;TabS!$G$21,TabS!$I$21,0)</f>
        <v>0</v>
      </c>
      <c r="AA33" s="132">
        <f>IF(L5&gt;TabS!$G$21,TabS!$I$21,0)</f>
        <v>0</v>
      </c>
      <c r="AB33" s="132">
        <f>IF(M5&gt;TabS!$G$21,TabS!$I$21,0)</f>
        <v>0</v>
      </c>
      <c r="AC33" s="132">
        <f>IF(N5&gt;TabS!$G$21,TabS!$I$21,0)</f>
        <v>0</v>
      </c>
      <c r="AD33" s="119">
        <f t="shared" si="20"/>
        <v>0</v>
      </c>
    </row>
    <row r="34" spans="2:30" ht="20.100000000000001" customHeight="1" x14ac:dyDescent="0.25">
      <c r="B34" s="49" t="s">
        <v>123</v>
      </c>
      <c r="C34" s="135">
        <f>IFERROR(C36/C5,0)</f>
        <v>0</v>
      </c>
      <c r="D34" s="135">
        <f t="shared" ref="D34:N34" si="21">IFERROR(D36/D5,0)</f>
        <v>0</v>
      </c>
      <c r="E34" s="135">
        <f t="shared" si="21"/>
        <v>0</v>
      </c>
      <c r="F34" s="135">
        <f t="shared" si="21"/>
        <v>0</v>
      </c>
      <c r="G34" s="135">
        <f t="shared" si="21"/>
        <v>0</v>
      </c>
      <c r="H34" s="135">
        <f t="shared" si="21"/>
        <v>0</v>
      </c>
      <c r="I34" s="135">
        <f t="shared" si="21"/>
        <v>0</v>
      </c>
      <c r="J34" s="135">
        <f t="shared" si="21"/>
        <v>0</v>
      </c>
      <c r="K34" s="135">
        <f t="shared" si="21"/>
        <v>0</v>
      </c>
      <c r="L34" s="135">
        <f t="shared" si="21"/>
        <v>0</v>
      </c>
      <c r="M34" s="135">
        <f t="shared" si="21"/>
        <v>0</v>
      </c>
      <c r="N34" s="135">
        <f t="shared" si="21"/>
        <v>0</v>
      </c>
      <c r="O34" s="136">
        <f t="shared" si="18"/>
        <v>0</v>
      </c>
      <c r="Q34" s="130" t="s">
        <v>123</v>
      </c>
      <c r="R34" s="135">
        <f>IFERROR(R36/C5,0)</f>
        <v>0</v>
      </c>
      <c r="S34" s="135">
        <f t="shared" ref="S34:AC34" si="22">IFERROR(S36/D5,0)</f>
        <v>0</v>
      </c>
      <c r="T34" s="135">
        <f t="shared" si="22"/>
        <v>0</v>
      </c>
      <c r="U34" s="135">
        <f t="shared" si="22"/>
        <v>0</v>
      </c>
      <c r="V34" s="135">
        <f t="shared" si="22"/>
        <v>0</v>
      </c>
      <c r="W34" s="135">
        <f t="shared" si="22"/>
        <v>0</v>
      </c>
      <c r="X34" s="135">
        <f t="shared" si="22"/>
        <v>0</v>
      </c>
      <c r="Y34" s="135">
        <f t="shared" si="22"/>
        <v>0</v>
      </c>
      <c r="Z34" s="135">
        <f t="shared" si="22"/>
        <v>0</v>
      </c>
      <c r="AA34" s="135">
        <f t="shared" si="22"/>
        <v>0</v>
      </c>
      <c r="AB34" s="135">
        <f t="shared" si="22"/>
        <v>0</v>
      </c>
      <c r="AC34" s="135">
        <f t="shared" si="22"/>
        <v>0</v>
      </c>
      <c r="AD34" s="136">
        <f t="shared" si="20"/>
        <v>0</v>
      </c>
    </row>
    <row r="35" spans="2:30" ht="20.100000000000001" customHeight="1" x14ac:dyDescent="0.25">
      <c r="B35" s="161" t="s">
        <v>125</v>
      </c>
      <c r="C35" s="137">
        <f>C31*C34</f>
        <v>0</v>
      </c>
      <c r="D35" s="137">
        <f t="shared" ref="D35:N35" si="23">D31*D34</f>
        <v>0</v>
      </c>
      <c r="E35" s="137">
        <f t="shared" si="23"/>
        <v>0</v>
      </c>
      <c r="F35" s="137">
        <f t="shared" si="23"/>
        <v>0</v>
      </c>
      <c r="G35" s="137">
        <f t="shared" si="23"/>
        <v>0</v>
      </c>
      <c r="H35" s="137">
        <f t="shared" si="23"/>
        <v>0</v>
      </c>
      <c r="I35" s="137">
        <f t="shared" si="23"/>
        <v>0</v>
      </c>
      <c r="J35" s="137">
        <f t="shared" si="23"/>
        <v>0</v>
      </c>
      <c r="K35" s="137">
        <f t="shared" si="23"/>
        <v>0</v>
      </c>
      <c r="L35" s="137">
        <f t="shared" si="23"/>
        <v>0</v>
      </c>
      <c r="M35" s="137">
        <f t="shared" si="23"/>
        <v>0</v>
      </c>
      <c r="N35" s="137">
        <f t="shared" si="23"/>
        <v>0</v>
      </c>
      <c r="O35" s="138">
        <f>SUM(C35:N35)</f>
        <v>0</v>
      </c>
      <c r="Q35" s="146" t="s">
        <v>125</v>
      </c>
      <c r="R35" s="137">
        <f>R31*R34</f>
        <v>0</v>
      </c>
      <c r="S35" s="137">
        <f t="shared" ref="S35:AC35" si="24">S31*S34</f>
        <v>0</v>
      </c>
      <c r="T35" s="137">
        <f t="shared" si="24"/>
        <v>0</v>
      </c>
      <c r="U35" s="137">
        <f t="shared" si="24"/>
        <v>0</v>
      </c>
      <c r="V35" s="137">
        <f t="shared" si="24"/>
        <v>0</v>
      </c>
      <c r="W35" s="137">
        <f t="shared" si="24"/>
        <v>0</v>
      </c>
      <c r="X35" s="137">
        <f t="shared" si="24"/>
        <v>0</v>
      </c>
      <c r="Y35" s="137">
        <f t="shared" si="24"/>
        <v>0</v>
      </c>
      <c r="Z35" s="137">
        <f t="shared" si="24"/>
        <v>0</v>
      </c>
      <c r="AA35" s="137">
        <f t="shared" si="24"/>
        <v>0</v>
      </c>
      <c r="AB35" s="137">
        <f t="shared" si="24"/>
        <v>0</v>
      </c>
      <c r="AC35" s="137">
        <f t="shared" si="24"/>
        <v>0</v>
      </c>
      <c r="AD35" s="138">
        <f t="shared" si="20"/>
        <v>0</v>
      </c>
    </row>
    <row r="36" spans="2:30" ht="20.100000000000001" customHeight="1" x14ac:dyDescent="0.25">
      <c r="B36" s="19" t="s">
        <v>124</v>
      </c>
      <c r="C36" s="132">
        <f>IFERROR((C5*C32)-C33,0)</f>
        <v>0</v>
      </c>
      <c r="D36" s="132">
        <f t="shared" ref="D36:N36" si="25">IFERROR((D5*D32)-D33,0)</f>
        <v>0</v>
      </c>
      <c r="E36" s="132">
        <f t="shared" si="25"/>
        <v>0</v>
      </c>
      <c r="F36" s="132">
        <f t="shared" si="25"/>
        <v>0</v>
      </c>
      <c r="G36" s="132">
        <f t="shared" si="25"/>
        <v>0</v>
      </c>
      <c r="H36" s="132">
        <f t="shared" si="25"/>
        <v>0</v>
      </c>
      <c r="I36" s="132">
        <f t="shared" si="25"/>
        <v>0</v>
      </c>
      <c r="J36" s="132">
        <f t="shared" si="25"/>
        <v>0</v>
      </c>
      <c r="K36" s="132">
        <f t="shared" si="25"/>
        <v>0</v>
      </c>
      <c r="L36" s="132">
        <f t="shared" si="25"/>
        <v>0</v>
      </c>
      <c r="M36" s="132">
        <f t="shared" si="25"/>
        <v>0</v>
      </c>
      <c r="N36" s="132">
        <f t="shared" si="25"/>
        <v>0</v>
      </c>
      <c r="O36" s="119">
        <f t="shared" si="18"/>
        <v>0</v>
      </c>
      <c r="Q36" s="144" t="s">
        <v>124</v>
      </c>
      <c r="R36" s="132">
        <f>IFERROR((C5*R32)-R33,0)</f>
        <v>0</v>
      </c>
      <c r="S36" s="132">
        <f t="shared" ref="S36:AC36" si="26">IFERROR((D5*S32)-S33,0)</f>
        <v>0</v>
      </c>
      <c r="T36" s="132">
        <f t="shared" si="26"/>
        <v>0</v>
      </c>
      <c r="U36" s="132">
        <f t="shared" si="26"/>
        <v>0</v>
      </c>
      <c r="V36" s="132">
        <f t="shared" si="26"/>
        <v>0</v>
      </c>
      <c r="W36" s="132">
        <f t="shared" si="26"/>
        <v>0</v>
      </c>
      <c r="X36" s="132">
        <f t="shared" si="26"/>
        <v>0</v>
      </c>
      <c r="Y36" s="132">
        <f t="shared" si="26"/>
        <v>0</v>
      </c>
      <c r="Z36" s="132">
        <f t="shared" si="26"/>
        <v>0</v>
      </c>
      <c r="AA36" s="132">
        <f t="shared" si="26"/>
        <v>0</v>
      </c>
      <c r="AB36" s="132">
        <f t="shared" si="26"/>
        <v>0</v>
      </c>
      <c r="AC36" s="132">
        <f t="shared" si="26"/>
        <v>0</v>
      </c>
      <c r="AD36" s="119">
        <f t="shared" si="20"/>
        <v>0</v>
      </c>
    </row>
    <row r="37" spans="2:30" ht="20.100000000000001" customHeight="1" x14ac:dyDescent="0.25">
      <c r="B37" s="112" t="s">
        <v>82</v>
      </c>
      <c r="C37" s="112" t="s">
        <v>83</v>
      </c>
      <c r="D37" s="112" t="s">
        <v>84</v>
      </c>
      <c r="E37" s="112" t="s">
        <v>85</v>
      </c>
      <c r="F37" s="112" t="s">
        <v>86</v>
      </c>
      <c r="G37" s="112" t="s">
        <v>87</v>
      </c>
      <c r="H37" s="112" t="s">
        <v>88</v>
      </c>
      <c r="I37" s="112" t="s">
        <v>89</v>
      </c>
      <c r="J37" s="112" t="s">
        <v>90</v>
      </c>
      <c r="K37" s="112" t="s">
        <v>91</v>
      </c>
      <c r="L37" s="112" t="s">
        <v>92</v>
      </c>
      <c r="M37" s="112" t="s">
        <v>93</v>
      </c>
      <c r="N37" s="112" t="s">
        <v>94</v>
      </c>
      <c r="O37" s="112" t="s">
        <v>95</v>
      </c>
      <c r="Q37" s="145" t="s">
        <v>82</v>
      </c>
      <c r="R37" s="112" t="s">
        <v>83</v>
      </c>
      <c r="S37" s="112" t="s">
        <v>84</v>
      </c>
      <c r="T37" s="112" t="s">
        <v>85</v>
      </c>
      <c r="U37" s="112" t="s">
        <v>86</v>
      </c>
      <c r="V37" s="112" t="s">
        <v>87</v>
      </c>
      <c r="W37" s="112" t="s">
        <v>88</v>
      </c>
      <c r="X37" s="112" t="s">
        <v>89</v>
      </c>
      <c r="Y37" s="112" t="s">
        <v>90</v>
      </c>
      <c r="Z37" s="112" t="s">
        <v>91</v>
      </c>
      <c r="AA37" s="112" t="s">
        <v>92</v>
      </c>
      <c r="AB37" s="112" t="s">
        <v>93</v>
      </c>
      <c r="AC37" s="112" t="s">
        <v>94</v>
      </c>
      <c r="AD37" s="112" t="s">
        <v>95</v>
      </c>
    </row>
    <row r="38" spans="2:30" ht="20.100000000000001" customHeight="1" x14ac:dyDescent="0.25">
      <c r="B38" s="19" t="s">
        <v>76</v>
      </c>
      <c r="C38" s="132">
        <f>C12</f>
        <v>0</v>
      </c>
      <c r="D38" s="132">
        <f t="shared" ref="D38:N38" si="27">D12</f>
        <v>0</v>
      </c>
      <c r="E38" s="132">
        <f t="shared" si="27"/>
        <v>0</v>
      </c>
      <c r="F38" s="132">
        <f t="shared" si="27"/>
        <v>0</v>
      </c>
      <c r="G38" s="132">
        <f t="shared" si="27"/>
        <v>0</v>
      </c>
      <c r="H38" s="132">
        <f t="shared" si="27"/>
        <v>0</v>
      </c>
      <c r="I38" s="132">
        <f t="shared" si="27"/>
        <v>0</v>
      </c>
      <c r="J38" s="132">
        <f t="shared" si="27"/>
        <v>0</v>
      </c>
      <c r="K38" s="132">
        <f t="shared" si="27"/>
        <v>0</v>
      </c>
      <c r="L38" s="132">
        <f t="shared" si="27"/>
        <v>0</v>
      </c>
      <c r="M38" s="132">
        <f t="shared" si="27"/>
        <v>0</v>
      </c>
      <c r="N38" s="132">
        <f t="shared" si="27"/>
        <v>0</v>
      </c>
      <c r="O38" s="119">
        <f t="shared" ref="O38:O43" si="28">SUM(C38:N38)</f>
        <v>0</v>
      </c>
      <c r="Q38" s="144" t="s">
        <v>76</v>
      </c>
      <c r="R38" s="132">
        <f>C12</f>
        <v>0</v>
      </c>
      <c r="S38" s="132">
        <f t="shared" ref="S38:AC38" si="29">D12</f>
        <v>0</v>
      </c>
      <c r="T38" s="132">
        <f t="shared" si="29"/>
        <v>0</v>
      </c>
      <c r="U38" s="132">
        <f t="shared" si="29"/>
        <v>0</v>
      </c>
      <c r="V38" s="132">
        <f t="shared" si="29"/>
        <v>0</v>
      </c>
      <c r="W38" s="132">
        <f t="shared" si="29"/>
        <v>0</v>
      </c>
      <c r="X38" s="132">
        <f t="shared" si="29"/>
        <v>0</v>
      </c>
      <c r="Y38" s="132">
        <f t="shared" si="29"/>
        <v>0</v>
      </c>
      <c r="Z38" s="132">
        <f t="shared" si="29"/>
        <v>0</v>
      </c>
      <c r="AA38" s="132">
        <f t="shared" si="29"/>
        <v>0</v>
      </c>
      <c r="AB38" s="132">
        <f t="shared" si="29"/>
        <v>0</v>
      </c>
      <c r="AC38" s="132">
        <f t="shared" si="29"/>
        <v>0</v>
      </c>
      <c r="AD38" s="119">
        <f t="shared" ref="AD38:AD43" si="30">SUM(R38:AC38)</f>
        <v>0</v>
      </c>
    </row>
    <row r="39" spans="2:30" ht="20.100000000000001" customHeight="1" x14ac:dyDescent="0.25">
      <c r="B39" s="19" t="s">
        <v>121</v>
      </c>
      <c r="C39" s="133">
        <f>IF(C5&lt;=TabS!$G$23,TabS!$H$23,IF(C5&lt;=TabS!$G$24,TabS!$H$24,IF(C5&lt;=TabS!$G$25,TabS!$H$25,IF(C5&lt;=TabS!$G$26,TabS!$H$26,IF(C5&lt;=TabS!$G$27,TabS!$H$27,IF(C5&lt;=TabS!$G$28,TabS!$H$28))))))</f>
        <v>4.4999999999999998E-2</v>
      </c>
      <c r="D39" s="133">
        <f>IF(D5&lt;=TabS!$G$23,TabS!$H$23,IF(D5&lt;=TabS!$G$24,TabS!$H$24,IF(D5&lt;=TabS!$G$25,TabS!$H$25,IF(D5&lt;=TabS!$G$26,TabS!$H$26,IF(D5&lt;=TabS!$G$27,TabS!$H$27,IF(D5&lt;=TabS!$G$28,TabS!$H$28))))))</f>
        <v>4.4999999999999998E-2</v>
      </c>
      <c r="E39" s="133">
        <f>IF(E5&lt;=TabS!$G$23,TabS!$H$23,IF(E5&lt;=TabS!$G$24,TabS!$H$24,IF(E5&lt;=TabS!$G$25,TabS!$H$25,IF(E5&lt;=TabS!$G$26,TabS!$H$26,IF(E5&lt;=TabS!$G$27,TabS!$H$27,IF(E5&lt;=TabS!$G$28,TabS!$H$28))))))</f>
        <v>4.4999999999999998E-2</v>
      </c>
      <c r="F39" s="133">
        <f>IF(F5&lt;=TabS!$G$23,TabS!$H$23,IF(F5&lt;=TabS!$G$24,TabS!$H$24,IF(F5&lt;=TabS!$G$25,TabS!$H$25,IF(F5&lt;=TabS!$G$26,TabS!$H$26,IF(F5&lt;=TabS!$G$27,TabS!$H$27,IF(F5&lt;=TabS!$G$28,TabS!$H$28))))))</f>
        <v>4.4999999999999998E-2</v>
      </c>
      <c r="G39" s="133">
        <f>IF(G5&lt;=TabS!$G$23,TabS!$H$23,IF(G5&lt;=TabS!$G$24,TabS!$H$24,IF(G5&lt;=TabS!$G$25,TabS!$H$25,IF(G5&lt;=TabS!$G$26,TabS!$H$26,IF(G5&lt;=TabS!$G$27,TabS!$H$27,IF(G5&lt;=TabS!$G$28,TabS!$H$28))))))</f>
        <v>4.4999999999999998E-2</v>
      </c>
      <c r="H39" s="133">
        <f>IF(H5&lt;=TabS!$G$23,TabS!$H$23,IF(H5&lt;=TabS!$G$24,TabS!$H$24,IF(H5&lt;=TabS!$G$25,TabS!$H$25,IF(H5&lt;=TabS!$G$26,TabS!$H$26,IF(H5&lt;=TabS!$G$27,TabS!$H$27,IF(H5&lt;=TabS!$G$28,TabS!$H$28))))))</f>
        <v>4.4999999999999998E-2</v>
      </c>
      <c r="I39" s="133">
        <f>IF(I5&lt;=TabS!$G$23,TabS!$H$23,IF(I5&lt;=TabS!$G$24,TabS!$H$24,IF(I5&lt;=TabS!$G$25,TabS!$H$25,IF(I5&lt;=TabS!$G$26,TabS!$H$26,IF(I5&lt;=TabS!$G$27,TabS!$H$27,IF(I5&lt;=TabS!$G$28,TabS!$H$28))))))</f>
        <v>4.4999999999999998E-2</v>
      </c>
      <c r="J39" s="133">
        <f>IF(J5&lt;=TabS!$G$23,TabS!$H$23,IF(J5&lt;=TabS!$G$24,TabS!$H$24,IF(J5&lt;=TabS!$G$25,TabS!$H$25,IF(J5&lt;=TabS!$G$26,TabS!$H$26,IF(J5&lt;=TabS!$G$27,TabS!$H$27,IF(J5&lt;=TabS!$G$28,TabS!$H$28))))))</f>
        <v>4.4999999999999998E-2</v>
      </c>
      <c r="K39" s="133">
        <f>IF(K5&lt;=TabS!$G$23,TabS!$H$23,IF(K5&lt;=TabS!$G$24,TabS!$H$24,IF(K5&lt;=TabS!$G$25,TabS!$H$25,IF(K5&lt;=TabS!$G$26,TabS!$H$26,IF(K5&lt;=TabS!$G$27,TabS!$H$27,IF(K5&lt;=TabS!$G$28,TabS!$H$28))))))</f>
        <v>4.4999999999999998E-2</v>
      </c>
      <c r="L39" s="133">
        <f>IF(L5&lt;=TabS!$G$23,TabS!$H$23,IF(L5&lt;=TabS!$G$24,TabS!$H$24,IF(L5&lt;=TabS!$G$25,TabS!$H$25,IF(L5&lt;=TabS!$G$26,TabS!$H$26,IF(L5&lt;=TabS!$G$27,TabS!$H$27,IF(L5&lt;=TabS!$G$28,TabS!$H$28))))))</f>
        <v>4.4999999999999998E-2</v>
      </c>
      <c r="M39" s="133">
        <f>IF(M5&lt;=TabS!$G$23,TabS!$H$23,IF(M5&lt;=TabS!$G$24,TabS!$H$24,IF(M5&lt;=TabS!$G$25,TabS!$H$25,IF(M5&lt;=TabS!$G$26,TabS!$H$26,IF(M5&lt;=TabS!$G$27,TabS!$H$27,IF(M5&lt;=TabS!$G$28,TabS!$H$28))))))</f>
        <v>4.4999999999999998E-2</v>
      </c>
      <c r="N39" s="133">
        <f>IF(N5&lt;=TabS!$G$23,TabS!$H$23,IF(N5&lt;=TabS!$G$24,TabS!$H$24,IF(N5&lt;=TabS!$G$25,TabS!$H$25,IF(N5&lt;=TabS!$G$26,TabS!$H$26,IF(N5&lt;=TabS!$G$27,TabS!$H$27,IF(N5&lt;=TabS!$G$28,TabS!$H$28))))))</f>
        <v>4.4999999999999998E-2</v>
      </c>
      <c r="O39" s="134">
        <f t="shared" si="28"/>
        <v>0.53999999999999992</v>
      </c>
      <c r="Q39" s="144" t="s">
        <v>121</v>
      </c>
      <c r="R39" s="133">
        <f>IF(C5&gt;TabS!$G$27,TabS!$H$27,0)</f>
        <v>0</v>
      </c>
      <c r="S39" s="133">
        <f>IF(D5&gt;TabS!$G$27,TabS!$H$27,0)</f>
        <v>0</v>
      </c>
      <c r="T39" s="133">
        <f>IF(E5&gt;TabS!$G$27,TabS!$H$27,0)</f>
        <v>0</v>
      </c>
      <c r="U39" s="133">
        <f>IF(F5&gt;TabS!$G$27,TabS!$H$27,0)</f>
        <v>0</v>
      </c>
      <c r="V39" s="133">
        <f>IF(G5&gt;TabS!$G$27,TabS!$H$27,0)</f>
        <v>0</v>
      </c>
      <c r="W39" s="133">
        <f>IF(H5&gt;TabS!$G$27,TabS!$H$27,0)</f>
        <v>0</v>
      </c>
      <c r="X39" s="133">
        <f>IF(I5&gt;TabS!$G$27,TabS!$H$27,0)</f>
        <v>0</v>
      </c>
      <c r="Y39" s="133">
        <f>IF(J5&gt;TabS!$G$27,TabS!$H$27,0)</f>
        <v>0</v>
      </c>
      <c r="Z39" s="133">
        <f>IF(K5&gt;TabS!$G$27,TabS!$H$27,0)</f>
        <v>0</v>
      </c>
      <c r="AA39" s="133">
        <f>IF(L5&gt;TabS!$G$27,TabS!$H$27,0)</f>
        <v>0</v>
      </c>
      <c r="AB39" s="133">
        <f>IF(M5&gt;TabS!$G$27,TabS!$H$27,0)</f>
        <v>0</v>
      </c>
      <c r="AC39" s="133">
        <f>IF(N5&gt;TabS!$G$27,TabS!$H$27,0)</f>
        <v>0</v>
      </c>
      <c r="AD39" s="134">
        <f t="shared" si="30"/>
        <v>0</v>
      </c>
    </row>
    <row r="40" spans="2:30" ht="20.100000000000001" customHeight="1" x14ac:dyDescent="0.25">
      <c r="B40" s="19" t="s">
        <v>122</v>
      </c>
      <c r="C40" s="132">
        <f>IF(C5&lt;=TabS!$G$23,TabS!$I$23,IF(C5&lt;=TabS!$G$24,TabS!$I$24,IF(C5&lt;=TabS!$G$25,TabS!$I$25,IF(C5&lt;=TabS!$G$26,TabS!$I$26,IF(C5&lt;=TabS!$G$27,TabS!$I$27,IF(C5&lt;=TabS!$G$28,TabS!$I$28))))))</f>
        <v>0</v>
      </c>
      <c r="D40" s="132">
        <f>IF(D5&lt;=TabS!$G$23,TabS!$I$23,IF(D5&lt;=TabS!$G$24,TabS!$I$24,IF(D5&lt;=TabS!$G$25,TabS!$I$25,IF(D5&lt;=TabS!$G$26,TabS!$I$26,IF(D5&lt;=TabS!$G$27,TabS!$I$27,IF(D5&lt;=TabS!$G$28,TabS!$I$28))))))</f>
        <v>0</v>
      </c>
      <c r="E40" s="132">
        <f>IF(E5&lt;=TabS!$G$23,TabS!$I$23,IF(E5&lt;=TabS!$G$24,TabS!$I$24,IF(E5&lt;=TabS!$G$25,TabS!$I$25,IF(E5&lt;=TabS!$G$26,TabS!$I$26,IF(E5&lt;=TabS!$G$27,TabS!$I$27,IF(E5&lt;=TabS!$G$28,TabS!$I$28))))))</f>
        <v>0</v>
      </c>
      <c r="F40" s="132">
        <f>IF(F5&lt;=TabS!$G$23,TabS!$I$23,IF(F5&lt;=TabS!$G$24,TabS!$I$24,IF(F5&lt;=TabS!$G$25,TabS!$I$25,IF(F5&lt;=TabS!$G$26,TabS!$I$26,IF(F5&lt;=TabS!$G$27,TabS!$I$27,IF(F5&lt;=TabS!$G$28,TabS!$I$28))))))</f>
        <v>0</v>
      </c>
      <c r="G40" s="132">
        <f>IF(G5&lt;=TabS!$G$23,TabS!$I$23,IF(G5&lt;=TabS!$G$24,TabS!$I$24,IF(G5&lt;=TabS!$G$25,TabS!$I$25,IF(G5&lt;=TabS!$G$26,TabS!$I$26,IF(G5&lt;=TabS!$G$27,TabS!$I$27,IF(G5&lt;=TabS!$G$28,TabS!$I$28))))))</f>
        <v>0</v>
      </c>
      <c r="H40" s="132">
        <f>IF(H5&lt;=TabS!$G$23,TabS!$I$23,IF(H5&lt;=TabS!$G$24,TabS!$I$24,IF(H5&lt;=TabS!$G$25,TabS!$I$25,IF(H5&lt;=TabS!$G$26,TabS!$I$26,IF(H5&lt;=TabS!$G$27,TabS!$I$27,IF(H5&lt;=TabS!$G$28,TabS!$I$28))))))</f>
        <v>0</v>
      </c>
      <c r="I40" s="132">
        <f>IF(I5&lt;=TabS!$G$23,TabS!$I$23,IF(I5&lt;=TabS!$G$24,TabS!$I$24,IF(I5&lt;=TabS!$G$25,TabS!$I$25,IF(I5&lt;=TabS!$G$26,TabS!$I$26,IF(I5&lt;=TabS!$G$27,TabS!$I$27,IF(I5&lt;=TabS!$G$28,TabS!$I$28))))))</f>
        <v>0</v>
      </c>
      <c r="J40" s="132">
        <f>IF(J5&lt;=TabS!$G$23,TabS!$I$23,IF(J5&lt;=TabS!$G$24,TabS!$I$24,IF(J5&lt;=TabS!$G$25,TabS!$I$25,IF(J5&lt;=TabS!$G$26,TabS!$I$26,IF(J5&lt;=TabS!$G$27,TabS!$I$27,IF(J5&lt;=TabS!$G$28,TabS!$I$28))))))</f>
        <v>0</v>
      </c>
      <c r="K40" s="132">
        <f>IF(K5&lt;=TabS!$G$23,TabS!$I$23,IF(K5&lt;=TabS!$G$24,TabS!$I$24,IF(K5&lt;=TabS!$G$25,TabS!$I$25,IF(K5&lt;=TabS!$G$26,TabS!$I$26,IF(K5&lt;=TabS!$G$27,TabS!$I$27,IF(K5&lt;=TabS!$G$28,TabS!$I$28))))))</f>
        <v>0</v>
      </c>
      <c r="L40" s="132">
        <f>IF(L5&lt;=TabS!$G$23,TabS!$I$23,IF(L5&lt;=TabS!$G$24,TabS!$I$24,IF(L5&lt;=TabS!$G$25,TabS!$I$25,IF(L5&lt;=TabS!$G$26,TabS!$I$26,IF(L5&lt;=TabS!$G$27,TabS!$I$27,IF(L5&lt;=TabS!$G$28,TabS!$I$28))))))</f>
        <v>0</v>
      </c>
      <c r="M40" s="132">
        <f>IF(M5&lt;=TabS!$G$23,TabS!$I$23,IF(M5&lt;=TabS!$G$24,TabS!$I$24,IF(M5&lt;=TabS!$G$25,TabS!$I$25,IF(M5&lt;=TabS!$G$26,TabS!$I$26,IF(M5&lt;=TabS!$G$27,TabS!$I$27,IF(M5&lt;=TabS!$G$28,TabS!$I$28))))))</f>
        <v>0</v>
      </c>
      <c r="N40" s="132">
        <f>IF(N5&lt;=TabS!$G$23,TabS!$I$23,IF(N5&lt;=TabS!$G$24,TabS!$I$24,IF(N5&lt;=TabS!$G$25,TabS!$I$25,IF(N5&lt;=TabS!$G$26,TabS!$I$26,IF(N5&lt;=TabS!$G$27,TabS!$I$27,IF(N5&lt;=TabS!$G$28,TabS!$I$28))))))</f>
        <v>0</v>
      </c>
      <c r="O40" s="119">
        <f t="shared" si="28"/>
        <v>0</v>
      </c>
      <c r="Q40" s="144" t="s">
        <v>122</v>
      </c>
      <c r="R40" s="132">
        <f>IF(C5&gt;TabS!$G$27,TabS!$I$27,0)</f>
        <v>0</v>
      </c>
      <c r="S40" s="132">
        <f>IF(D5&gt;TabS!$G$27,TabS!$I$27,0)</f>
        <v>0</v>
      </c>
      <c r="T40" s="132">
        <f>IF(E5&gt;TabS!$G$27,TabS!$I$27,0)</f>
        <v>0</v>
      </c>
      <c r="U40" s="132">
        <f>IF(F5&gt;TabS!$G$27,TabS!$I$27,0)</f>
        <v>0</v>
      </c>
      <c r="V40" s="132">
        <f>IF(G5&gt;TabS!$G$27,TabS!$I$27,0)</f>
        <v>0</v>
      </c>
      <c r="W40" s="132">
        <f>IF(H5&gt;TabS!$G$27,TabS!$I$27,0)</f>
        <v>0</v>
      </c>
      <c r="X40" s="132">
        <f>IF(I5&gt;TabS!$G$27,TabS!$I$27,0)</f>
        <v>0</v>
      </c>
      <c r="Y40" s="132">
        <f>IF(J5&gt;TabS!$G$27,TabS!$I$27,0)</f>
        <v>0</v>
      </c>
      <c r="Z40" s="132">
        <f>IF(K5&gt;TabS!$G$27,TabS!$I$27,0)</f>
        <v>0</v>
      </c>
      <c r="AA40" s="132">
        <f>IF(L5&gt;TabS!$G$27,TabS!$I$27,0)</f>
        <v>0</v>
      </c>
      <c r="AB40" s="132">
        <f>IF(M5&gt;TabS!$G$27,TabS!$I$27,0)</f>
        <v>0</v>
      </c>
      <c r="AC40" s="132">
        <f>IF(N5&gt;TabS!$G$27,TabS!$I$27,0)</f>
        <v>0</v>
      </c>
      <c r="AD40" s="119">
        <f t="shared" si="30"/>
        <v>0</v>
      </c>
    </row>
    <row r="41" spans="2:30" ht="20.100000000000001" customHeight="1" x14ac:dyDescent="0.25">
      <c r="B41" s="49" t="s">
        <v>123</v>
      </c>
      <c r="C41" s="135">
        <f>IFERROR(C43/C5,0)</f>
        <v>0</v>
      </c>
      <c r="D41" s="135">
        <f t="shared" ref="D41:N41" si="31">IFERROR(D43/D5,0)</f>
        <v>0</v>
      </c>
      <c r="E41" s="135">
        <f t="shared" si="31"/>
        <v>0</v>
      </c>
      <c r="F41" s="135">
        <f t="shared" si="31"/>
        <v>0</v>
      </c>
      <c r="G41" s="135">
        <f t="shared" si="31"/>
        <v>0</v>
      </c>
      <c r="H41" s="135">
        <f t="shared" si="31"/>
        <v>0</v>
      </c>
      <c r="I41" s="135">
        <f t="shared" si="31"/>
        <v>0</v>
      </c>
      <c r="J41" s="135">
        <f t="shared" si="31"/>
        <v>0</v>
      </c>
      <c r="K41" s="135">
        <f t="shared" si="31"/>
        <v>0</v>
      </c>
      <c r="L41" s="135">
        <f t="shared" si="31"/>
        <v>0</v>
      </c>
      <c r="M41" s="135">
        <f t="shared" si="31"/>
        <v>0</v>
      </c>
      <c r="N41" s="135">
        <f t="shared" si="31"/>
        <v>0</v>
      </c>
      <c r="O41" s="136">
        <f t="shared" si="28"/>
        <v>0</v>
      </c>
      <c r="Q41" s="130" t="s">
        <v>123</v>
      </c>
      <c r="R41" s="135">
        <f>IFERROR(R43/C5,0)</f>
        <v>0</v>
      </c>
      <c r="S41" s="135">
        <f t="shared" ref="S41:AC41" si="32">IFERROR(S43/D5,0)</f>
        <v>0</v>
      </c>
      <c r="T41" s="135">
        <f t="shared" si="32"/>
        <v>0</v>
      </c>
      <c r="U41" s="135">
        <f t="shared" si="32"/>
        <v>0</v>
      </c>
      <c r="V41" s="135">
        <f t="shared" si="32"/>
        <v>0</v>
      </c>
      <c r="W41" s="135">
        <f t="shared" si="32"/>
        <v>0</v>
      </c>
      <c r="X41" s="135">
        <f t="shared" si="32"/>
        <v>0</v>
      </c>
      <c r="Y41" s="135">
        <f t="shared" si="32"/>
        <v>0</v>
      </c>
      <c r="Z41" s="135">
        <f t="shared" si="32"/>
        <v>0</v>
      </c>
      <c r="AA41" s="135">
        <f t="shared" si="32"/>
        <v>0</v>
      </c>
      <c r="AB41" s="135">
        <f t="shared" si="32"/>
        <v>0</v>
      </c>
      <c r="AC41" s="135">
        <f t="shared" si="32"/>
        <v>0</v>
      </c>
      <c r="AD41" s="136">
        <f t="shared" si="30"/>
        <v>0</v>
      </c>
    </row>
    <row r="42" spans="2:30" ht="20.100000000000001" customHeight="1" x14ac:dyDescent="0.25">
      <c r="B42" s="161" t="s">
        <v>125</v>
      </c>
      <c r="C42" s="137">
        <f>C38*C41</f>
        <v>0</v>
      </c>
      <c r="D42" s="137">
        <f t="shared" ref="D42:N42" si="33">D38*D41</f>
        <v>0</v>
      </c>
      <c r="E42" s="137">
        <f t="shared" si="33"/>
        <v>0</v>
      </c>
      <c r="F42" s="137">
        <f t="shared" si="33"/>
        <v>0</v>
      </c>
      <c r="G42" s="137">
        <f t="shared" si="33"/>
        <v>0</v>
      </c>
      <c r="H42" s="137">
        <f t="shared" si="33"/>
        <v>0</v>
      </c>
      <c r="I42" s="137">
        <f t="shared" si="33"/>
        <v>0</v>
      </c>
      <c r="J42" s="137">
        <f t="shared" si="33"/>
        <v>0</v>
      </c>
      <c r="K42" s="137">
        <f t="shared" si="33"/>
        <v>0</v>
      </c>
      <c r="L42" s="137">
        <f t="shared" si="33"/>
        <v>0</v>
      </c>
      <c r="M42" s="137">
        <f t="shared" si="33"/>
        <v>0</v>
      </c>
      <c r="N42" s="137">
        <f t="shared" si="33"/>
        <v>0</v>
      </c>
      <c r="O42" s="138">
        <f>SUM(C42:N42)</f>
        <v>0</v>
      </c>
      <c r="Q42" s="146" t="s">
        <v>125</v>
      </c>
      <c r="R42" s="137">
        <f>R38*R41</f>
        <v>0</v>
      </c>
      <c r="S42" s="137">
        <f t="shared" ref="S42:AC42" si="34">S38*S41</f>
        <v>0</v>
      </c>
      <c r="T42" s="137">
        <f t="shared" si="34"/>
        <v>0</v>
      </c>
      <c r="U42" s="137">
        <f t="shared" si="34"/>
        <v>0</v>
      </c>
      <c r="V42" s="137">
        <f t="shared" si="34"/>
        <v>0</v>
      </c>
      <c r="W42" s="137">
        <f t="shared" si="34"/>
        <v>0</v>
      </c>
      <c r="X42" s="137">
        <f t="shared" si="34"/>
        <v>0</v>
      </c>
      <c r="Y42" s="137">
        <f t="shared" si="34"/>
        <v>0</v>
      </c>
      <c r="Z42" s="137">
        <f t="shared" si="34"/>
        <v>0</v>
      </c>
      <c r="AA42" s="137">
        <f t="shared" si="34"/>
        <v>0</v>
      </c>
      <c r="AB42" s="137">
        <f t="shared" si="34"/>
        <v>0</v>
      </c>
      <c r="AC42" s="137">
        <f t="shared" si="34"/>
        <v>0</v>
      </c>
      <c r="AD42" s="138">
        <f t="shared" si="30"/>
        <v>0</v>
      </c>
    </row>
    <row r="43" spans="2:30" ht="20.100000000000001" customHeight="1" x14ac:dyDescent="0.25">
      <c r="B43" s="19" t="s">
        <v>124</v>
      </c>
      <c r="C43" s="132">
        <f>IFERROR((C5*C39)-C40,0)</f>
        <v>0</v>
      </c>
      <c r="D43" s="132">
        <f t="shared" ref="D43:N43" si="35">IFERROR((D5*D39)-D40,0)</f>
        <v>0</v>
      </c>
      <c r="E43" s="132">
        <f t="shared" si="35"/>
        <v>0</v>
      </c>
      <c r="F43" s="132">
        <f t="shared" si="35"/>
        <v>0</v>
      </c>
      <c r="G43" s="132">
        <f t="shared" si="35"/>
        <v>0</v>
      </c>
      <c r="H43" s="132">
        <f t="shared" si="35"/>
        <v>0</v>
      </c>
      <c r="I43" s="132">
        <f t="shared" si="35"/>
        <v>0</v>
      </c>
      <c r="J43" s="132">
        <f t="shared" si="35"/>
        <v>0</v>
      </c>
      <c r="K43" s="132">
        <f t="shared" si="35"/>
        <v>0</v>
      </c>
      <c r="L43" s="132">
        <f t="shared" si="35"/>
        <v>0</v>
      </c>
      <c r="M43" s="132">
        <f t="shared" si="35"/>
        <v>0</v>
      </c>
      <c r="N43" s="132">
        <f t="shared" si="35"/>
        <v>0</v>
      </c>
      <c r="O43" s="119">
        <f t="shared" si="28"/>
        <v>0</v>
      </c>
      <c r="Q43" s="144" t="s">
        <v>124</v>
      </c>
      <c r="R43" s="132">
        <f>IFERROR((C5*R39)-R40,0)</f>
        <v>0</v>
      </c>
      <c r="S43" s="132">
        <f t="shared" ref="S43:AC43" si="36">IFERROR((D5*S39)-S40,0)</f>
        <v>0</v>
      </c>
      <c r="T43" s="132">
        <f t="shared" si="36"/>
        <v>0</v>
      </c>
      <c r="U43" s="132">
        <f t="shared" si="36"/>
        <v>0</v>
      </c>
      <c r="V43" s="132">
        <f t="shared" si="36"/>
        <v>0</v>
      </c>
      <c r="W43" s="132">
        <f t="shared" si="36"/>
        <v>0</v>
      </c>
      <c r="X43" s="132">
        <f t="shared" si="36"/>
        <v>0</v>
      </c>
      <c r="Y43" s="132">
        <f t="shared" si="36"/>
        <v>0</v>
      </c>
      <c r="Z43" s="132">
        <f t="shared" si="36"/>
        <v>0</v>
      </c>
      <c r="AA43" s="132">
        <f t="shared" si="36"/>
        <v>0</v>
      </c>
      <c r="AB43" s="132">
        <f t="shared" si="36"/>
        <v>0</v>
      </c>
      <c r="AC43" s="132">
        <f t="shared" si="36"/>
        <v>0</v>
      </c>
      <c r="AD43" s="119">
        <f t="shared" si="30"/>
        <v>0</v>
      </c>
    </row>
    <row r="44" spans="2:30" ht="20.100000000000001" customHeight="1" x14ac:dyDescent="0.25">
      <c r="B44" s="112" t="s">
        <v>82</v>
      </c>
      <c r="C44" s="112" t="s">
        <v>83</v>
      </c>
      <c r="D44" s="112" t="s">
        <v>84</v>
      </c>
      <c r="E44" s="112" t="s">
        <v>85</v>
      </c>
      <c r="F44" s="112" t="s">
        <v>86</v>
      </c>
      <c r="G44" s="112" t="s">
        <v>87</v>
      </c>
      <c r="H44" s="112" t="s">
        <v>88</v>
      </c>
      <c r="I44" s="112" t="s">
        <v>89</v>
      </c>
      <c r="J44" s="112" t="s">
        <v>90</v>
      </c>
      <c r="K44" s="112" t="s">
        <v>91</v>
      </c>
      <c r="L44" s="112" t="s">
        <v>92</v>
      </c>
      <c r="M44" s="112" t="s">
        <v>93</v>
      </c>
      <c r="N44" s="112" t="s">
        <v>94</v>
      </c>
      <c r="O44" s="112" t="s">
        <v>95</v>
      </c>
    </row>
    <row r="45" spans="2:30" ht="20.100000000000001" customHeight="1" x14ac:dyDescent="0.25">
      <c r="B45" s="19" t="s">
        <v>77</v>
      </c>
      <c r="C45" s="132">
        <f>C13</f>
        <v>0</v>
      </c>
      <c r="D45" s="132">
        <f t="shared" ref="D45:N45" si="37">D13</f>
        <v>0</v>
      </c>
      <c r="E45" s="132">
        <f t="shared" si="37"/>
        <v>0</v>
      </c>
      <c r="F45" s="132">
        <f t="shared" si="37"/>
        <v>0</v>
      </c>
      <c r="G45" s="132">
        <f t="shared" si="37"/>
        <v>0</v>
      </c>
      <c r="H45" s="132">
        <f t="shared" si="37"/>
        <v>0</v>
      </c>
      <c r="I45" s="132">
        <f t="shared" si="37"/>
        <v>0</v>
      </c>
      <c r="J45" s="132">
        <f t="shared" si="37"/>
        <v>0</v>
      </c>
      <c r="K45" s="132">
        <f t="shared" si="37"/>
        <v>0</v>
      </c>
      <c r="L45" s="132">
        <f t="shared" si="37"/>
        <v>0</v>
      </c>
      <c r="M45" s="132">
        <f t="shared" si="37"/>
        <v>0</v>
      </c>
      <c r="N45" s="132">
        <f t="shared" si="37"/>
        <v>0</v>
      </c>
      <c r="O45" s="119">
        <f t="shared" ref="O45:O50" si="38">SUM(C45:N45)</f>
        <v>0</v>
      </c>
    </row>
    <row r="46" spans="2:30" ht="20.100000000000001" customHeight="1" x14ac:dyDescent="0.25">
      <c r="B46" s="19" t="s">
        <v>121</v>
      </c>
      <c r="C46" s="133">
        <f>IF(C5&lt;=TabS!$G$29,TabS!$H$29,IF(C5&lt;=TabS!$G$30,TabS!$H$30,IF(C5&lt;=TabS!$G$31,TabS!$H$31,IF(C5&lt;=TabS!$G$32,TabS!$H$32,IF(C5&lt;=TabS!$G$33,TabS!$H$33,IF(C5&lt;=TabS!$G$34,TabS!$H$34))))))</f>
        <v>0.155</v>
      </c>
      <c r="D46" s="133">
        <f>IF(D5&lt;=TabS!$G$29,TabS!$H$29,IF(D5&lt;=TabS!$G$30,TabS!$H$30,IF(D5&lt;=TabS!$G$31,TabS!$H$31,IF(D5&lt;=TabS!$G$32,TabS!$H$32,IF(D5&lt;=TabS!$G$33,TabS!$H$33,IF(D5&lt;=TabS!$G$34,TabS!$H$34))))))</f>
        <v>0.155</v>
      </c>
      <c r="E46" s="133">
        <f>IF(E5&lt;=TabS!$G$29,TabS!$H$29,IF(E5&lt;=TabS!$G$30,TabS!$H$30,IF(E5&lt;=TabS!$G$31,TabS!$H$31,IF(E5&lt;=TabS!$G$32,TabS!$H$32,IF(E5&lt;=TabS!$G$33,TabS!$H$33,IF(E5&lt;=TabS!$G$34,TabS!$H$34))))))</f>
        <v>0.155</v>
      </c>
      <c r="F46" s="133">
        <f>IF(F5&lt;=TabS!$G$29,TabS!$H$29,IF(F5&lt;=TabS!$G$30,TabS!$H$30,IF(F5&lt;=TabS!$G$31,TabS!$H$31,IF(F5&lt;=TabS!$G$32,TabS!$H$32,IF(F5&lt;=TabS!$G$33,TabS!$H$33,IF(F5&lt;=TabS!$G$34,TabS!$H$34))))))</f>
        <v>0.155</v>
      </c>
      <c r="G46" s="133">
        <f>IF(G5&lt;=TabS!$G$29,TabS!$H$29,IF(G5&lt;=TabS!$G$30,TabS!$H$30,IF(G5&lt;=TabS!$G$31,TabS!$H$31,IF(G5&lt;=TabS!$G$32,TabS!$H$32,IF(G5&lt;=TabS!$G$33,TabS!$H$33,IF(G5&lt;=TabS!$G$34,TabS!$H$34))))))</f>
        <v>0.155</v>
      </c>
      <c r="H46" s="133">
        <f>IF(H5&lt;=TabS!$G$29,TabS!$H$29,IF(H5&lt;=TabS!$G$30,TabS!$H$30,IF(H5&lt;=TabS!$G$31,TabS!$H$31,IF(H5&lt;=TabS!$G$32,TabS!$H$32,IF(H5&lt;=TabS!$G$33,TabS!$H$33,IF(H5&lt;=TabS!$G$34,TabS!$H$34))))))</f>
        <v>0.155</v>
      </c>
      <c r="I46" s="133">
        <f>IF(I5&lt;=TabS!$G$29,TabS!$H$29,IF(I5&lt;=TabS!$G$30,TabS!$H$30,IF(I5&lt;=TabS!$G$31,TabS!$H$31,IF(I5&lt;=TabS!$G$32,TabS!$H$32,IF(I5&lt;=TabS!$G$33,TabS!$H$33,IF(I5&lt;=TabS!$G$34,TabS!$H$34))))))</f>
        <v>0.155</v>
      </c>
      <c r="J46" s="133">
        <f>IF(J5&lt;=TabS!$G$29,TabS!$H$29,IF(J5&lt;=TabS!$G$30,TabS!$H$30,IF(J5&lt;=TabS!$G$31,TabS!$H$31,IF(J5&lt;=TabS!$G$32,TabS!$H$32,IF(J5&lt;=TabS!$G$33,TabS!$H$33,IF(J5&lt;=TabS!$G$34,TabS!$H$34))))))</f>
        <v>0.155</v>
      </c>
      <c r="K46" s="133">
        <f>IF(K5&lt;=TabS!$G$29,TabS!$H$29,IF(K5&lt;=TabS!$G$30,TabS!$H$30,IF(K5&lt;=TabS!$G$31,TabS!$H$31,IF(K5&lt;=TabS!$G$32,TabS!$H$32,IF(K5&lt;=TabS!$G$33,TabS!$H$33,IF(K5&lt;=TabS!$G$34,TabS!$H$34))))))</f>
        <v>0.155</v>
      </c>
      <c r="L46" s="133">
        <f>IF(L5&lt;=TabS!$G$29,TabS!$H$29,IF(L5&lt;=TabS!$G$30,TabS!$H$30,IF(L5&lt;=TabS!$G$31,TabS!$H$31,IF(L5&lt;=TabS!$G$32,TabS!$H$32,IF(L5&lt;=TabS!$G$33,TabS!$H$33,IF(L5&lt;=TabS!$G$34,TabS!$H$34))))))</f>
        <v>0.155</v>
      </c>
      <c r="M46" s="133">
        <f>IF(M5&lt;=TabS!$G$29,TabS!$H$29,IF(M5&lt;=TabS!$G$30,TabS!$H$30,IF(M5&lt;=TabS!$G$31,TabS!$H$31,IF(M5&lt;=TabS!$G$32,TabS!$H$32,IF(M5&lt;=TabS!$G$33,TabS!$H$33,IF(M5&lt;=TabS!$G$34,TabS!$H$34))))))</f>
        <v>0.155</v>
      </c>
      <c r="N46" s="133">
        <f>IF(N5&lt;=TabS!$G$29,TabS!$H$29,IF(N5&lt;=TabS!$G$30,TabS!$H$30,IF(N5&lt;=TabS!$G$31,TabS!$H$31,IF(N5&lt;=TabS!$G$32,TabS!$H$32,IF(N5&lt;=TabS!$G$33,TabS!$H$33,IF(N5&lt;=TabS!$G$34,TabS!$H$34))))))</f>
        <v>0.155</v>
      </c>
      <c r="O46" s="134">
        <f t="shared" si="38"/>
        <v>1.86</v>
      </c>
    </row>
    <row r="47" spans="2:30" ht="20.100000000000001" customHeight="1" x14ac:dyDescent="0.25">
      <c r="B47" s="19" t="s">
        <v>122</v>
      </c>
      <c r="C47" s="132">
        <f>IF(C5&lt;=TabS!$G$29,TabS!$I$29,IF(C5&lt;=TabS!$G$30,TabS!$I$30,IF(C5&lt;=TabS!$G$31,TabS!$I$31,IF(C5&lt;=TabS!$G$32,TabS!$I$32,IF(C5&lt;=TabS!$G$33,TabS!$I$33,IF(C5&lt;=TabS!$G$34,TabS!$I$34))))))</f>
        <v>0</v>
      </c>
      <c r="D47" s="132">
        <f>IF(D5&lt;=TabS!$G$29,TabS!$I$29,IF(D5&lt;=TabS!$G$30,TabS!$I$30,IF(D5&lt;=TabS!$G$31,TabS!$I$31,IF(D5&lt;=TabS!$G$32,TabS!$I$32,IF(D5&lt;=TabS!$G$33,TabS!$I$33,IF(D5&lt;=TabS!$G$34,TabS!$I$34))))))</f>
        <v>0</v>
      </c>
      <c r="E47" s="132">
        <f>IF(E5&lt;=TabS!$G$29,TabS!$I$29,IF(E5&lt;=TabS!$G$30,TabS!$I$30,IF(E5&lt;=TabS!$G$31,TabS!$I$31,IF(E5&lt;=TabS!$G$32,TabS!$I$32,IF(E5&lt;=TabS!$G$33,TabS!$I$33,IF(E5&lt;=TabS!$G$34,TabS!$I$34))))))</f>
        <v>0</v>
      </c>
      <c r="F47" s="132">
        <f>IF(F5&lt;=TabS!$G$29,TabS!$I$29,IF(F5&lt;=TabS!$G$30,TabS!$I$30,IF(F5&lt;=TabS!$G$31,TabS!$I$31,IF(F5&lt;=TabS!$G$32,TabS!$I$32,IF(F5&lt;=TabS!$G$33,TabS!$I$33,IF(F5&lt;=TabS!$G$34,TabS!$I$34))))))</f>
        <v>0</v>
      </c>
      <c r="G47" s="132">
        <f>IF(G5&lt;=TabS!$G$29,TabS!$I$29,IF(G5&lt;=TabS!$G$30,TabS!$I$30,IF(G5&lt;=TabS!$G$31,TabS!$I$31,IF(G5&lt;=TabS!$G$32,TabS!$I$32,IF(G5&lt;=TabS!$G$33,TabS!$I$33,IF(G5&lt;=TabS!$G$34,TabS!$I$34))))))</f>
        <v>0</v>
      </c>
      <c r="H47" s="132">
        <f>IF(H5&lt;=TabS!$G$29,TabS!$I$29,IF(H5&lt;=TabS!$G$30,TabS!$I$30,IF(H5&lt;=TabS!$G$31,TabS!$I$31,IF(H5&lt;=TabS!$G$32,TabS!$I$32,IF(H5&lt;=TabS!$G$33,TabS!$I$33,IF(H5&lt;=TabS!$G$34,TabS!$I$34))))))</f>
        <v>0</v>
      </c>
      <c r="I47" s="132">
        <f>IF(I5&lt;=TabS!$G$29,TabS!$I$29,IF(I5&lt;=TabS!$G$30,TabS!$I$30,IF(I5&lt;=TabS!$G$31,TabS!$I$31,IF(I5&lt;=TabS!$G$32,TabS!$I$32,IF(I5&lt;=TabS!$G$33,TabS!$I$33,IF(I5&lt;=TabS!$G$34,TabS!$I$34))))))</f>
        <v>0</v>
      </c>
      <c r="J47" s="132">
        <f>IF(J5&lt;=TabS!$G$29,TabS!$I$29,IF(J5&lt;=TabS!$G$30,TabS!$I$30,IF(J5&lt;=TabS!$G$31,TabS!$I$31,IF(J5&lt;=TabS!$G$32,TabS!$I$32,IF(J5&lt;=TabS!$G$33,TabS!$I$33,IF(J5&lt;=TabS!$G$34,TabS!$I$34))))))</f>
        <v>0</v>
      </c>
      <c r="K47" s="132">
        <f>IF(K5&lt;=TabS!$G$29,TabS!$I$29,IF(K5&lt;=TabS!$G$30,TabS!$I$30,IF(K5&lt;=TabS!$G$31,TabS!$I$31,IF(K5&lt;=TabS!$G$32,TabS!$I$32,IF(K5&lt;=TabS!$G$33,TabS!$I$33,IF(K5&lt;=TabS!$G$34,TabS!$I$34))))))</f>
        <v>0</v>
      </c>
      <c r="L47" s="132">
        <f>IF(L5&lt;=TabS!$G$29,TabS!$I$29,IF(L5&lt;=TabS!$G$30,TabS!$I$30,IF(L5&lt;=TabS!$G$31,TabS!$I$31,IF(L5&lt;=TabS!$G$32,TabS!$I$32,IF(L5&lt;=TabS!$G$33,TabS!$I$33,IF(L5&lt;=TabS!$G$34,TabS!$I$34))))))</f>
        <v>0</v>
      </c>
      <c r="M47" s="132">
        <f>IF(M5&lt;=TabS!$G$29,TabS!$I$29,IF(M5&lt;=TabS!$G$30,TabS!$I$30,IF(M5&lt;=TabS!$G$31,TabS!$I$31,IF(M5&lt;=TabS!$G$32,TabS!$I$32,IF(M5&lt;=TabS!$G$33,TabS!$I$33,IF(M5&lt;=TabS!$G$34,TabS!$I$34))))))</f>
        <v>0</v>
      </c>
      <c r="N47" s="132">
        <f>IF(N5&lt;=TabS!$G$29,TabS!$I$29,IF(N5&lt;=TabS!$G$30,TabS!$I$30,IF(N5&lt;=TabS!$G$31,TabS!$I$31,IF(N5&lt;=TabS!$G$32,TabS!$I$32,IF(N5&lt;=TabS!$G$33,TabS!$I$33,IF(N5&lt;=TabS!$G$34,TabS!$I$34))))))</f>
        <v>0</v>
      </c>
      <c r="O47" s="119">
        <f t="shared" si="38"/>
        <v>0</v>
      </c>
    </row>
    <row r="48" spans="2:30" ht="20.100000000000001" customHeight="1" x14ac:dyDescent="0.25">
      <c r="B48" s="49" t="s">
        <v>123</v>
      </c>
      <c r="C48" s="135">
        <f>IFERROR(C50/C5,0)</f>
        <v>0</v>
      </c>
      <c r="D48" s="135">
        <f t="shared" ref="D48:N48" si="39">IFERROR(D50/D5,0)</f>
        <v>0</v>
      </c>
      <c r="E48" s="135">
        <f t="shared" si="39"/>
        <v>0</v>
      </c>
      <c r="F48" s="135">
        <f t="shared" si="39"/>
        <v>0</v>
      </c>
      <c r="G48" s="135">
        <f t="shared" si="39"/>
        <v>0</v>
      </c>
      <c r="H48" s="135">
        <f t="shared" si="39"/>
        <v>0</v>
      </c>
      <c r="I48" s="135">
        <f t="shared" si="39"/>
        <v>0</v>
      </c>
      <c r="J48" s="135">
        <f t="shared" si="39"/>
        <v>0</v>
      </c>
      <c r="K48" s="135">
        <f t="shared" si="39"/>
        <v>0</v>
      </c>
      <c r="L48" s="135">
        <f t="shared" si="39"/>
        <v>0</v>
      </c>
      <c r="M48" s="135">
        <f t="shared" si="39"/>
        <v>0</v>
      </c>
      <c r="N48" s="135">
        <f t="shared" si="39"/>
        <v>0</v>
      </c>
      <c r="O48" s="136">
        <f t="shared" si="38"/>
        <v>0</v>
      </c>
    </row>
    <row r="49" spans="2:15" ht="20.100000000000001" customHeight="1" x14ac:dyDescent="0.25">
      <c r="B49" s="161" t="s">
        <v>125</v>
      </c>
      <c r="C49" s="137">
        <f>C45*C48</f>
        <v>0</v>
      </c>
      <c r="D49" s="137">
        <f t="shared" ref="D49:N49" si="40">D45*D48</f>
        <v>0</v>
      </c>
      <c r="E49" s="137">
        <f t="shared" si="40"/>
        <v>0</v>
      </c>
      <c r="F49" s="137">
        <f t="shared" si="40"/>
        <v>0</v>
      </c>
      <c r="G49" s="137">
        <f t="shared" si="40"/>
        <v>0</v>
      </c>
      <c r="H49" s="137">
        <f t="shared" si="40"/>
        <v>0</v>
      </c>
      <c r="I49" s="137">
        <f t="shared" si="40"/>
        <v>0</v>
      </c>
      <c r="J49" s="137">
        <f t="shared" si="40"/>
        <v>0</v>
      </c>
      <c r="K49" s="137">
        <f t="shared" si="40"/>
        <v>0</v>
      </c>
      <c r="L49" s="137">
        <f t="shared" si="40"/>
        <v>0</v>
      </c>
      <c r="M49" s="137">
        <f t="shared" si="40"/>
        <v>0</v>
      </c>
      <c r="N49" s="137">
        <f t="shared" si="40"/>
        <v>0</v>
      </c>
      <c r="O49" s="138">
        <f>SUM(C49:N49)</f>
        <v>0</v>
      </c>
    </row>
    <row r="50" spans="2:15" ht="20.100000000000001" customHeight="1" x14ac:dyDescent="0.25">
      <c r="B50" s="19" t="s">
        <v>124</v>
      </c>
      <c r="C50" s="132">
        <f>IFERROR((C5*C46)-C47,0)</f>
        <v>0</v>
      </c>
      <c r="D50" s="132">
        <f t="shared" ref="D50:N50" si="41">IFERROR((D5*D46)-D47,0)</f>
        <v>0</v>
      </c>
      <c r="E50" s="132">
        <f t="shared" si="41"/>
        <v>0</v>
      </c>
      <c r="F50" s="132">
        <f t="shared" si="41"/>
        <v>0</v>
      </c>
      <c r="G50" s="132">
        <f t="shared" si="41"/>
        <v>0</v>
      </c>
      <c r="H50" s="132">
        <f t="shared" si="41"/>
        <v>0</v>
      </c>
      <c r="I50" s="132">
        <f t="shared" si="41"/>
        <v>0</v>
      </c>
      <c r="J50" s="132">
        <f t="shared" si="41"/>
        <v>0</v>
      </c>
      <c r="K50" s="132">
        <f t="shared" si="41"/>
        <v>0</v>
      </c>
      <c r="L50" s="132">
        <f t="shared" si="41"/>
        <v>0</v>
      </c>
      <c r="M50" s="132">
        <f t="shared" si="41"/>
        <v>0</v>
      </c>
      <c r="N50" s="132">
        <f t="shared" si="41"/>
        <v>0</v>
      </c>
      <c r="O50" s="119">
        <f t="shared" si="38"/>
        <v>0</v>
      </c>
    </row>
    <row r="52" spans="2:15" ht="29.25" customHeight="1" x14ac:dyDescent="0.25">
      <c r="B52" s="162" t="s">
        <v>126</v>
      </c>
      <c r="C52" s="139"/>
      <c r="D52" s="139"/>
      <c r="E52" s="139"/>
      <c r="F52" s="139"/>
      <c r="G52" s="139"/>
      <c r="H52" s="139"/>
    </row>
    <row r="53" spans="2:15" ht="20.100000000000001" customHeight="1" x14ac:dyDescent="0.25">
      <c r="B53" s="163"/>
      <c r="C53" s="139"/>
      <c r="D53" s="139"/>
      <c r="E53" s="139"/>
      <c r="F53" s="139"/>
      <c r="G53" s="139"/>
      <c r="H53" s="139"/>
    </row>
    <row r="54" spans="2:15" ht="20.100000000000001" customHeight="1" x14ac:dyDescent="0.25">
      <c r="B54" s="164" t="s">
        <v>80</v>
      </c>
      <c r="C54" s="139"/>
      <c r="D54" s="139"/>
      <c r="E54" s="139"/>
      <c r="F54" s="139"/>
      <c r="G54" s="139"/>
      <c r="H54" s="139"/>
    </row>
    <row r="55" spans="2:15" ht="20.100000000000001" customHeight="1" x14ac:dyDescent="0.25">
      <c r="B55" s="163"/>
      <c r="C55" s="139"/>
      <c r="D55" s="139"/>
      <c r="E55" s="139"/>
      <c r="F55" s="139"/>
      <c r="G55" s="139"/>
      <c r="H55" s="139"/>
    </row>
    <row r="56" spans="2:15" ht="20.100000000000001" customHeight="1" x14ac:dyDescent="0.25">
      <c r="B56" s="165" t="s">
        <v>127</v>
      </c>
      <c r="C56" s="140" t="s">
        <v>97</v>
      </c>
      <c r="D56" s="140" t="s">
        <v>98</v>
      </c>
      <c r="E56" s="140" t="s">
        <v>128</v>
      </c>
      <c r="F56" s="140" t="s">
        <v>129</v>
      </c>
      <c r="G56" s="140" t="s">
        <v>42</v>
      </c>
      <c r="H56" s="140" t="s">
        <v>40</v>
      </c>
    </row>
    <row r="57" spans="2:15" ht="20.100000000000001" customHeight="1" x14ac:dyDescent="0.25">
      <c r="B57" s="163" t="s">
        <v>69</v>
      </c>
      <c r="C57" s="141">
        <v>2.76E-2</v>
      </c>
      <c r="D57" s="141">
        <v>0.12740000000000001</v>
      </c>
      <c r="E57" s="141">
        <v>0</v>
      </c>
      <c r="F57" s="141">
        <v>0.41499999999999998</v>
      </c>
      <c r="G57" s="141">
        <v>3.5000000000000003E-2</v>
      </c>
      <c r="H57" s="141">
        <v>5.5E-2</v>
      </c>
    </row>
    <row r="58" spans="2:15" ht="20.100000000000001" customHeight="1" x14ac:dyDescent="0.25">
      <c r="B58" s="163" t="s">
        <v>70</v>
      </c>
      <c r="C58" s="141">
        <v>2.76E-2</v>
      </c>
      <c r="D58" s="141">
        <v>0.12740000000000001</v>
      </c>
      <c r="E58" s="141">
        <v>0</v>
      </c>
      <c r="F58" s="141">
        <v>0.41499999999999998</v>
      </c>
      <c r="G58" s="141">
        <v>3.5000000000000003E-2</v>
      </c>
      <c r="H58" s="141">
        <v>5.5E-2</v>
      </c>
    </row>
    <row r="59" spans="2:15" ht="20.100000000000001" customHeight="1" x14ac:dyDescent="0.25">
      <c r="B59" s="163" t="s">
        <v>71</v>
      </c>
      <c r="C59" s="141">
        <v>2.76E-2</v>
      </c>
      <c r="D59" s="141">
        <v>0.12740000000000001</v>
      </c>
      <c r="E59" s="141">
        <v>0</v>
      </c>
      <c r="F59" s="141">
        <v>0.42</v>
      </c>
      <c r="G59" s="141">
        <v>3.5000000000000003E-2</v>
      </c>
      <c r="H59" s="141">
        <v>5.5E-2</v>
      </c>
    </row>
    <row r="60" spans="2:15" ht="20.100000000000001" customHeight="1" x14ac:dyDescent="0.25">
      <c r="B60" s="163" t="s">
        <v>72</v>
      </c>
      <c r="C60" s="141">
        <v>2.76E-2</v>
      </c>
      <c r="D60" s="141">
        <v>0.12740000000000001</v>
      </c>
      <c r="E60" s="141">
        <v>0</v>
      </c>
      <c r="F60" s="141">
        <v>0.42</v>
      </c>
      <c r="G60" s="141">
        <v>3.5000000000000003E-2</v>
      </c>
      <c r="H60" s="141">
        <v>5.5E-2</v>
      </c>
    </row>
    <row r="61" spans="2:15" ht="20.100000000000001" customHeight="1" x14ac:dyDescent="0.25">
      <c r="B61" s="163" t="s">
        <v>73</v>
      </c>
      <c r="C61" s="141">
        <v>2.76E-2</v>
      </c>
      <c r="D61" s="141">
        <v>0.12740000000000001</v>
      </c>
      <c r="E61" s="141">
        <v>0</v>
      </c>
      <c r="F61" s="141">
        <v>0.42</v>
      </c>
      <c r="G61" s="141">
        <v>3.5000000000000003E-2</v>
      </c>
      <c r="H61" s="141">
        <v>5.5E-2</v>
      </c>
    </row>
    <row r="62" spans="2:15" ht="20.100000000000001" customHeight="1" x14ac:dyDescent="0.25">
      <c r="B62" s="166" t="s">
        <v>74</v>
      </c>
      <c r="C62" s="142">
        <v>6.13E-2</v>
      </c>
      <c r="D62" s="142">
        <v>0.28270000000000001</v>
      </c>
      <c r="E62" s="142">
        <v>0</v>
      </c>
      <c r="F62" s="142">
        <v>0.42099999999999999</v>
      </c>
      <c r="G62" s="142">
        <v>0.1</v>
      </c>
      <c r="H62" s="142">
        <v>0.13500000000000001</v>
      </c>
    </row>
    <row r="63" spans="2:15" ht="20.100000000000001" customHeight="1" x14ac:dyDescent="0.25">
      <c r="B63" s="163"/>
      <c r="C63" s="139"/>
      <c r="D63" s="139"/>
      <c r="E63" s="139"/>
      <c r="F63" s="139"/>
      <c r="G63" s="139"/>
      <c r="H63" s="139"/>
    </row>
    <row r="64" spans="2:15" ht="20.100000000000001" customHeight="1" x14ac:dyDescent="0.25">
      <c r="B64" s="164" t="s">
        <v>81</v>
      </c>
      <c r="C64" s="139"/>
      <c r="D64" s="139"/>
      <c r="E64" s="139"/>
      <c r="F64" s="139"/>
      <c r="G64" s="139"/>
      <c r="H64" s="139"/>
    </row>
    <row r="65" spans="2:9" ht="20.100000000000001" customHeight="1" x14ac:dyDescent="0.25">
      <c r="B65" s="163"/>
      <c r="C65" s="139"/>
      <c r="D65" s="139"/>
      <c r="E65" s="139"/>
      <c r="F65" s="139"/>
      <c r="G65" s="139"/>
      <c r="H65" s="139"/>
    </row>
    <row r="66" spans="2:9" ht="20.100000000000001" customHeight="1" x14ac:dyDescent="0.25">
      <c r="B66" s="165" t="s">
        <v>127</v>
      </c>
      <c r="C66" s="140" t="s">
        <v>97</v>
      </c>
      <c r="D66" s="140" t="s">
        <v>98</v>
      </c>
      <c r="E66" s="140" t="s">
        <v>128</v>
      </c>
      <c r="F66" s="140" t="s">
        <v>129</v>
      </c>
      <c r="G66" s="140" t="s">
        <v>42</v>
      </c>
      <c r="H66" s="140" t="s">
        <v>40</v>
      </c>
      <c r="I66" s="140" t="s">
        <v>38</v>
      </c>
    </row>
    <row r="67" spans="2:9" ht="20.100000000000001" customHeight="1" x14ac:dyDescent="0.25">
      <c r="B67" s="163" t="s">
        <v>69</v>
      </c>
      <c r="C67" s="141">
        <v>2.4899999999999999E-2</v>
      </c>
      <c r="D67" s="141">
        <v>0.11509999999999999</v>
      </c>
      <c r="E67" s="141">
        <v>0</v>
      </c>
      <c r="F67" s="141">
        <v>0.375</v>
      </c>
      <c r="G67" s="141">
        <v>3.5000000000000003E-2</v>
      </c>
      <c r="H67" s="141">
        <v>5.5E-2</v>
      </c>
      <c r="I67" s="141">
        <v>7.4999999999999997E-2</v>
      </c>
    </row>
    <row r="68" spans="2:9" ht="20.100000000000001" customHeight="1" x14ac:dyDescent="0.25">
      <c r="B68" s="163" t="s">
        <v>70</v>
      </c>
      <c r="C68" s="141">
        <v>2.4899999999999999E-2</v>
      </c>
      <c r="D68" s="141">
        <v>0.11509999999999999</v>
      </c>
      <c r="E68" s="141">
        <v>0</v>
      </c>
      <c r="F68" s="141">
        <v>0.375</v>
      </c>
      <c r="G68" s="141">
        <v>3.5000000000000003E-2</v>
      </c>
      <c r="H68" s="141">
        <v>5.5E-2</v>
      </c>
      <c r="I68" s="141">
        <v>7.4999999999999997E-2</v>
      </c>
    </row>
    <row r="69" spans="2:9" ht="20.100000000000001" customHeight="1" x14ac:dyDescent="0.25">
      <c r="B69" s="163" t="s">
        <v>71</v>
      </c>
      <c r="C69" s="141">
        <v>2.4899999999999999E-2</v>
      </c>
      <c r="D69" s="141">
        <v>0.11509999999999999</v>
      </c>
      <c r="E69" s="141">
        <v>0</v>
      </c>
      <c r="F69" s="141">
        <v>0.375</v>
      </c>
      <c r="G69" s="141">
        <v>3.5000000000000003E-2</v>
      </c>
      <c r="H69" s="141">
        <v>5.5E-2</v>
      </c>
      <c r="I69" s="141">
        <v>7.4999999999999997E-2</v>
      </c>
    </row>
    <row r="70" spans="2:9" ht="20.100000000000001" customHeight="1" x14ac:dyDescent="0.25">
      <c r="B70" s="163" t="s">
        <v>72</v>
      </c>
      <c r="C70" s="141">
        <v>2.4899999999999999E-2</v>
      </c>
      <c r="D70" s="141">
        <v>0.11509999999999999</v>
      </c>
      <c r="E70" s="141">
        <v>0</v>
      </c>
      <c r="F70" s="141">
        <v>0.375</v>
      </c>
      <c r="G70" s="141">
        <v>3.5000000000000003E-2</v>
      </c>
      <c r="H70" s="141">
        <v>5.5E-2</v>
      </c>
      <c r="I70" s="141">
        <v>7.4999999999999997E-2</v>
      </c>
    </row>
    <row r="71" spans="2:9" ht="20.100000000000001" customHeight="1" x14ac:dyDescent="0.25">
      <c r="B71" s="163" t="s">
        <v>73</v>
      </c>
      <c r="C71" s="141">
        <v>2.4899999999999999E-2</v>
      </c>
      <c r="D71" s="141">
        <v>0.11509999999999999</v>
      </c>
      <c r="E71" s="141">
        <v>0</v>
      </c>
      <c r="F71" s="141">
        <v>0.375</v>
      </c>
      <c r="G71" s="141">
        <v>3.5000000000000003E-2</v>
      </c>
      <c r="H71" s="141">
        <v>5.5E-2</v>
      </c>
      <c r="I71" s="141">
        <v>7.4999999999999997E-2</v>
      </c>
    </row>
    <row r="72" spans="2:9" ht="20.100000000000001" customHeight="1" x14ac:dyDescent="0.25">
      <c r="B72" s="166" t="s">
        <v>74</v>
      </c>
      <c r="C72" s="142">
        <v>4.5400000000000003E-2</v>
      </c>
      <c r="D72" s="142">
        <v>0.20960000000000001</v>
      </c>
      <c r="E72" s="142">
        <v>0</v>
      </c>
      <c r="F72" s="142">
        <v>0.23499999999999999</v>
      </c>
      <c r="G72" s="142">
        <v>7.4999999999999997E-2</v>
      </c>
      <c r="H72" s="142">
        <v>8.5000000000000006E-2</v>
      </c>
      <c r="I72" s="142">
        <v>0.35</v>
      </c>
    </row>
    <row r="73" spans="2:9" ht="20.100000000000001" customHeight="1" x14ac:dyDescent="0.25">
      <c r="B73" s="163"/>
      <c r="C73" s="139"/>
      <c r="D73" s="139"/>
      <c r="E73" s="139"/>
      <c r="F73" s="139"/>
      <c r="G73" s="139"/>
      <c r="H73" s="139"/>
    </row>
    <row r="74" spans="2:9" ht="20.100000000000001" customHeight="1" x14ac:dyDescent="0.25">
      <c r="B74" s="164" t="s">
        <v>75</v>
      </c>
      <c r="C74" s="139"/>
      <c r="D74" s="139"/>
      <c r="E74" s="139"/>
      <c r="F74" s="139"/>
      <c r="G74" s="139"/>
      <c r="H74" s="139"/>
    </row>
    <row r="75" spans="2:9" ht="20.100000000000001" customHeight="1" x14ac:dyDescent="0.25">
      <c r="B75" s="163"/>
      <c r="C75" s="139"/>
      <c r="D75" s="139"/>
      <c r="E75" s="139"/>
      <c r="F75" s="139"/>
      <c r="G75" s="139"/>
      <c r="H75" s="139"/>
    </row>
    <row r="76" spans="2:9" ht="20.100000000000001" customHeight="1" x14ac:dyDescent="0.25">
      <c r="B76" s="165" t="s">
        <v>127</v>
      </c>
      <c r="C76" s="140" t="s">
        <v>97</v>
      </c>
      <c r="D76" s="140" t="s">
        <v>98</v>
      </c>
      <c r="E76" s="140" t="s">
        <v>39</v>
      </c>
      <c r="F76" s="140" t="s">
        <v>129</v>
      </c>
      <c r="G76" s="140" t="s">
        <v>42</v>
      </c>
      <c r="H76" s="140" t="s">
        <v>40</v>
      </c>
    </row>
    <row r="77" spans="2:9" ht="20.100000000000001" customHeight="1" x14ac:dyDescent="0.25">
      <c r="B77" s="163" t="s">
        <v>69</v>
      </c>
      <c r="C77" s="141">
        <v>2.7799999999999998E-2</v>
      </c>
      <c r="D77" s="141">
        <v>0.12820000000000001</v>
      </c>
      <c r="E77" s="141">
        <v>0</v>
      </c>
      <c r="F77" s="141">
        <v>0.434</v>
      </c>
      <c r="G77" s="141">
        <v>3.5000000000000003E-2</v>
      </c>
      <c r="H77" s="141">
        <v>0.04</v>
      </c>
    </row>
    <row r="78" spans="2:9" ht="20.100000000000001" customHeight="1" x14ac:dyDescent="0.25">
      <c r="B78" s="163" t="s">
        <v>70</v>
      </c>
      <c r="C78" s="141">
        <v>3.0499999999999999E-2</v>
      </c>
      <c r="D78" s="141">
        <v>0.14050000000000001</v>
      </c>
      <c r="E78" s="141">
        <v>0</v>
      </c>
      <c r="F78" s="141">
        <v>0.434</v>
      </c>
      <c r="G78" s="141">
        <v>3.5000000000000003E-2</v>
      </c>
      <c r="H78" s="141">
        <v>0.04</v>
      </c>
    </row>
    <row r="79" spans="2:9" ht="20.100000000000001" customHeight="1" x14ac:dyDescent="0.25">
      <c r="B79" s="163" t="s">
        <v>71</v>
      </c>
      <c r="C79" s="141">
        <v>2.9600000000000001E-2</v>
      </c>
      <c r="D79" s="141">
        <v>0.13639999999999999</v>
      </c>
      <c r="E79" s="141">
        <v>0</v>
      </c>
      <c r="F79" s="141">
        <v>0.434</v>
      </c>
      <c r="G79" s="141">
        <v>3.5000000000000003E-2</v>
      </c>
      <c r="H79" s="141">
        <v>0.04</v>
      </c>
    </row>
    <row r="80" spans="2:9" ht="20.100000000000001" customHeight="1" x14ac:dyDescent="0.25">
      <c r="B80" s="163" t="s">
        <v>72</v>
      </c>
      <c r="C80" s="141">
        <v>2.9600000000000001E-2</v>
      </c>
      <c r="D80" s="141">
        <v>0.13639999999999999</v>
      </c>
      <c r="E80" s="141">
        <v>0</v>
      </c>
      <c r="F80" s="141">
        <v>0.434</v>
      </c>
      <c r="G80" s="141">
        <v>3.5000000000000003E-2</v>
      </c>
      <c r="H80" s="141">
        <v>0.04</v>
      </c>
    </row>
    <row r="81" spans="2:8" ht="20.100000000000001" customHeight="1" x14ac:dyDescent="0.25">
      <c r="B81" s="163" t="s">
        <v>73</v>
      </c>
      <c r="C81" s="141">
        <v>2.7799999999999998E-2</v>
      </c>
      <c r="D81" s="141">
        <v>0.12820000000000001</v>
      </c>
      <c r="E81" s="141">
        <v>0</v>
      </c>
      <c r="F81" s="141">
        <v>0.434</v>
      </c>
      <c r="G81" s="141">
        <v>3.5000000000000003E-2</v>
      </c>
      <c r="H81" s="141">
        <v>0.04</v>
      </c>
    </row>
    <row r="82" spans="2:8" ht="20.100000000000001" customHeight="1" x14ac:dyDescent="0.25">
      <c r="B82" s="166" t="s">
        <v>74</v>
      </c>
      <c r="C82" s="142">
        <v>3.4700000000000002E-2</v>
      </c>
      <c r="D82" s="142">
        <v>0.1603</v>
      </c>
      <c r="E82" s="142">
        <v>0</v>
      </c>
      <c r="F82" s="142">
        <v>0.30499999999999999</v>
      </c>
      <c r="G82" s="142">
        <v>0.15</v>
      </c>
      <c r="H82" s="142">
        <v>0.35</v>
      </c>
    </row>
    <row r="83" spans="2:8" ht="20.100000000000001" customHeight="1" x14ac:dyDescent="0.25">
      <c r="B83" s="163"/>
      <c r="C83" s="139"/>
      <c r="D83" s="139"/>
      <c r="E83" s="139"/>
      <c r="F83" s="139"/>
      <c r="G83" s="139"/>
      <c r="H83" s="139"/>
    </row>
    <row r="84" spans="2:8" ht="20.100000000000001" customHeight="1" x14ac:dyDescent="0.25">
      <c r="B84" s="164" t="s">
        <v>76</v>
      </c>
      <c r="C84" s="139"/>
      <c r="D84" s="139"/>
      <c r="E84" s="139"/>
      <c r="F84" s="139"/>
      <c r="G84" s="139"/>
      <c r="H84" s="139"/>
    </row>
    <row r="85" spans="2:8" ht="20.100000000000001" customHeight="1" x14ac:dyDescent="0.25">
      <c r="B85" s="163"/>
      <c r="C85" s="139"/>
      <c r="D85" s="139"/>
      <c r="E85" s="139"/>
      <c r="F85" s="139"/>
      <c r="G85" s="139"/>
      <c r="H85" s="139"/>
    </row>
    <row r="86" spans="2:8" ht="20.100000000000001" customHeight="1" x14ac:dyDescent="0.25">
      <c r="B86" s="165" t="s">
        <v>127</v>
      </c>
      <c r="C86" s="140" t="s">
        <v>97</v>
      </c>
      <c r="D86" s="140" t="s">
        <v>98</v>
      </c>
      <c r="E86" s="140" t="s">
        <v>39</v>
      </c>
      <c r="F86" s="140" t="s">
        <v>129</v>
      </c>
      <c r="G86" s="140" t="s">
        <v>42</v>
      </c>
      <c r="H86" s="140" t="s">
        <v>40</v>
      </c>
    </row>
    <row r="87" spans="2:8" ht="20.100000000000001" customHeight="1" x14ac:dyDescent="0.25">
      <c r="B87" s="163" t="s">
        <v>69</v>
      </c>
      <c r="C87" s="141">
        <v>3.8300000000000001E-2</v>
      </c>
      <c r="D87" s="141">
        <v>0.1767</v>
      </c>
      <c r="E87" s="141">
        <v>0</v>
      </c>
      <c r="F87" s="141">
        <v>0</v>
      </c>
      <c r="G87" s="141">
        <v>0.152</v>
      </c>
      <c r="H87" s="141">
        <v>0.188</v>
      </c>
    </row>
    <row r="88" spans="2:8" ht="20.100000000000001" customHeight="1" x14ac:dyDescent="0.25">
      <c r="B88" s="163" t="s">
        <v>70</v>
      </c>
      <c r="C88" s="141">
        <v>4.4499999999999998E-2</v>
      </c>
      <c r="D88" s="141">
        <v>0.20549999999999999</v>
      </c>
      <c r="E88" s="141">
        <v>0</v>
      </c>
      <c r="F88" s="141">
        <v>0</v>
      </c>
      <c r="G88" s="141">
        <v>0.152</v>
      </c>
      <c r="H88" s="141">
        <v>0.19800000000000001</v>
      </c>
    </row>
    <row r="89" spans="2:8" ht="20.100000000000001" customHeight="1" x14ac:dyDescent="0.25">
      <c r="B89" s="163" t="s">
        <v>71</v>
      </c>
      <c r="C89" s="141">
        <v>4.2700000000000002E-2</v>
      </c>
      <c r="D89" s="141">
        <v>0.1973</v>
      </c>
      <c r="E89" s="141">
        <v>0</v>
      </c>
      <c r="F89" s="141">
        <v>0</v>
      </c>
      <c r="G89" s="141">
        <v>0.152</v>
      </c>
      <c r="H89" s="141">
        <v>0.20799999999999999</v>
      </c>
    </row>
    <row r="90" spans="2:8" ht="20.100000000000001" customHeight="1" x14ac:dyDescent="0.25">
      <c r="B90" s="163" t="s">
        <v>72</v>
      </c>
      <c r="C90" s="141">
        <v>4.1000000000000002E-2</v>
      </c>
      <c r="D90" s="141">
        <v>0.189</v>
      </c>
      <c r="E90" s="141">
        <v>0</v>
      </c>
      <c r="F90" s="141">
        <v>0</v>
      </c>
      <c r="G90" s="141">
        <v>0.192</v>
      </c>
      <c r="H90" s="141">
        <v>0.17799999999999999</v>
      </c>
    </row>
    <row r="91" spans="2:8" ht="20.100000000000001" customHeight="1" x14ac:dyDescent="0.25">
      <c r="B91" s="163" t="s">
        <v>73</v>
      </c>
      <c r="C91" s="141">
        <v>3.9199999999999999E-2</v>
      </c>
      <c r="D91" s="141">
        <v>0.18079999999999999</v>
      </c>
      <c r="E91" s="141">
        <v>0</v>
      </c>
      <c r="F91" s="141">
        <v>0</v>
      </c>
      <c r="G91" s="141">
        <v>0.192</v>
      </c>
      <c r="H91" s="141">
        <v>0.188</v>
      </c>
    </row>
    <row r="92" spans="2:8" ht="20.100000000000001" customHeight="1" x14ac:dyDescent="0.25">
      <c r="B92" s="166" t="s">
        <v>74</v>
      </c>
      <c r="C92" s="142">
        <v>4.4499999999999998E-2</v>
      </c>
      <c r="D92" s="142">
        <v>0.20549999999999999</v>
      </c>
      <c r="E92" s="142">
        <v>0</v>
      </c>
      <c r="F92" s="142">
        <v>0</v>
      </c>
      <c r="G92" s="142">
        <v>0.215</v>
      </c>
      <c r="H92" s="142">
        <v>0.53500000000000003</v>
      </c>
    </row>
    <row r="93" spans="2:8" ht="20.100000000000001" customHeight="1" x14ac:dyDescent="0.25">
      <c r="B93" s="163"/>
      <c r="C93" s="139"/>
      <c r="D93" s="139"/>
      <c r="E93" s="139"/>
      <c r="F93" s="139"/>
      <c r="G93" s="139"/>
      <c r="H93" s="139"/>
    </row>
    <row r="94" spans="2:8" ht="20.100000000000001" customHeight="1" x14ac:dyDescent="0.25">
      <c r="B94" s="164" t="s">
        <v>77</v>
      </c>
      <c r="C94" s="139"/>
      <c r="D94" s="139"/>
      <c r="E94" s="139"/>
      <c r="F94" s="139"/>
      <c r="G94" s="139"/>
      <c r="H94" s="139"/>
    </row>
    <row r="95" spans="2:8" ht="20.100000000000001" customHeight="1" x14ac:dyDescent="0.25">
      <c r="B95" s="163"/>
      <c r="C95" s="139"/>
      <c r="D95" s="139"/>
      <c r="E95" s="139"/>
      <c r="F95" s="139"/>
      <c r="G95" s="139"/>
      <c r="H95" s="139"/>
    </row>
    <row r="96" spans="2:8" ht="20.100000000000001" customHeight="1" x14ac:dyDescent="0.25">
      <c r="B96" s="165" t="s">
        <v>127</v>
      </c>
      <c r="C96" s="140" t="s">
        <v>97</v>
      </c>
      <c r="D96" s="140" t="s">
        <v>98</v>
      </c>
      <c r="E96" s="140" t="s">
        <v>39</v>
      </c>
      <c r="F96" s="140" t="s">
        <v>129</v>
      </c>
      <c r="G96" s="140" t="s">
        <v>42</v>
      </c>
      <c r="H96" s="140" t="s">
        <v>40</v>
      </c>
    </row>
    <row r="97" spans="2:30" ht="20.100000000000001" customHeight="1" x14ac:dyDescent="0.25">
      <c r="B97" s="163" t="s">
        <v>69</v>
      </c>
      <c r="C97" s="141">
        <v>3.0499999999999999E-2</v>
      </c>
      <c r="D97" s="141">
        <v>0.14099999999999999</v>
      </c>
      <c r="E97" s="141">
        <v>0</v>
      </c>
      <c r="F97" s="141">
        <v>0.28849999999999998</v>
      </c>
      <c r="G97" s="141">
        <v>0.15</v>
      </c>
      <c r="H97" s="141">
        <v>0.25</v>
      </c>
    </row>
    <row r="98" spans="2:30" ht="20.100000000000001" customHeight="1" x14ac:dyDescent="0.25">
      <c r="B98" s="163" t="s">
        <v>70</v>
      </c>
      <c r="C98" s="141">
        <v>3.0499999999999999E-2</v>
      </c>
      <c r="D98" s="141">
        <v>0.14099999999999999</v>
      </c>
      <c r="E98" s="141">
        <v>0</v>
      </c>
      <c r="F98" s="141">
        <v>0.27850000000000003</v>
      </c>
      <c r="G98" s="141">
        <v>0.15</v>
      </c>
      <c r="H98" s="141">
        <v>0.23</v>
      </c>
    </row>
    <row r="99" spans="2:30" ht="20.100000000000001" customHeight="1" x14ac:dyDescent="0.25">
      <c r="B99" s="163" t="s">
        <v>71</v>
      </c>
      <c r="C99" s="141">
        <v>3.2300000000000002E-2</v>
      </c>
      <c r="D99" s="141">
        <v>0.1492</v>
      </c>
      <c r="E99" s="141">
        <v>0</v>
      </c>
      <c r="F99" s="141">
        <v>0.23849999999999999</v>
      </c>
      <c r="G99" s="141">
        <v>0.15</v>
      </c>
      <c r="H99" s="141">
        <v>0.24</v>
      </c>
    </row>
    <row r="100" spans="2:30" ht="20.100000000000001" customHeight="1" x14ac:dyDescent="0.25">
      <c r="B100" s="163" t="s">
        <v>72</v>
      </c>
      <c r="C100" s="141">
        <v>3.4099999999999998E-2</v>
      </c>
      <c r="D100" s="141">
        <v>0.15740000000000001</v>
      </c>
      <c r="E100" s="141">
        <v>0</v>
      </c>
      <c r="F100" s="141">
        <v>0.23849999999999999</v>
      </c>
      <c r="G100" s="141">
        <v>0.15</v>
      </c>
      <c r="H100" s="141">
        <v>0.21</v>
      </c>
    </row>
    <row r="101" spans="2:30" ht="20.100000000000001" customHeight="1" x14ac:dyDescent="0.25">
      <c r="B101" s="163" t="s">
        <v>73</v>
      </c>
      <c r="C101" s="141">
        <v>3.0499999999999999E-2</v>
      </c>
      <c r="D101" s="141">
        <v>0.14099999999999999</v>
      </c>
      <c r="E101" s="141">
        <v>0</v>
      </c>
      <c r="F101" s="141">
        <v>0.23849999999999999</v>
      </c>
      <c r="G101" s="141">
        <v>0.125</v>
      </c>
      <c r="H101" s="141">
        <v>0.23</v>
      </c>
    </row>
    <row r="102" spans="2:30" ht="20.100000000000001" customHeight="1" x14ac:dyDescent="0.25">
      <c r="B102" s="166" t="s">
        <v>74</v>
      </c>
      <c r="C102" s="142">
        <v>3.56E-2</v>
      </c>
      <c r="D102" s="142">
        <v>0.16439999999999999</v>
      </c>
      <c r="E102" s="142">
        <v>0</v>
      </c>
      <c r="F102" s="142">
        <v>0.29499999999999998</v>
      </c>
      <c r="G102" s="142">
        <v>0.155</v>
      </c>
      <c r="H102" s="142">
        <v>0.35</v>
      </c>
    </row>
    <row r="104" spans="2:30" ht="20.100000000000001" customHeight="1" x14ac:dyDescent="0.25">
      <c r="B104" s="112" t="s">
        <v>82</v>
      </c>
      <c r="C104" s="112" t="s">
        <v>83</v>
      </c>
      <c r="D104" s="112" t="s">
        <v>84</v>
      </c>
      <c r="E104" s="112" t="s">
        <v>85</v>
      </c>
      <c r="F104" s="112" t="s">
        <v>86</v>
      </c>
      <c r="G104" s="112" t="s">
        <v>87</v>
      </c>
      <c r="H104" s="112" t="s">
        <v>88</v>
      </c>
      <c r="I104" s="112" t="s">
        <v>89</v>
      </c>
      <c r="J104" s="112" t="s">
        <v>90</v>
      </c>
      <c r="K104" s="112" t="s">
        <v>91</v>
      </c>
      <c r="L104" s="112" t="s">
        <v>92</v>
      </c>
      <c r="M104" s="112" t="s">
        <v>93</v>
      </c>
      <c r="N104" s="112" t="s">
        <v>94</v>
      </c>
      <c r="Q104" s="145" t="s">
        <v>82</v>
      </c>
      <c r="R104" s="112" t="s">
        <v>83</v>
      </c>
      <c r="S104" s="112" t="s">
        <v>84</v>
      </c>
      <c r="T104" s="112" t="s">
        <v>85</v>
      </c>
      <c r="U104" s="112" t="s">
        <v>86</v>
      </c>
      <c r="V104" s="112" t="s">
        <v>87</v>
      </c>
      <c r="W104" s="112" t="s">
        <v>88</v>
      </c>
      <c r="X104" s="112" t="s">
        <v>89</v>
      </c>
      <c r="Y104" s="112" t="s">
        <v>90</v>
      </c>
      <c r="Z104" s="112" t="s">
        <v>91</v>
      </c>
      <c r="AA104" s="112" t="s">
        <v>92</v>
      </c>
      <c r="AB104" s="112" t="s">
        <v>93</v>
      </c>
      <c r="AC104" s="112" t="s">
        <v>94</v>
      </c>
    </row>
    <row r="105" spans="2:30" ht="20.100000000000001" customHeight="1" x14ac:dyDescent="0.25">
      <c r="B105" s="19" t="s">
        <v>120</v>
      </c>
      <c r="C105" s="132">
        <f>C5</f>
        <v>0</v>
      </c>
      <c r="D105" s="132">
        <f t="shared" ref="D105:N105" si="42">D5</f>
        <v>0</v>
      </c>
      <c r="E105" s="132">
        <f t="shared" si="42"/>
        <v>0</v>
      </c>
      <c r="F105" s="132">
        <f t="shared" si="42"/>
        <v>0</v>
      </c>
      <c r="G105" s="132">
        <f t="shared" si="42"/>
        <v>0</v>
      </c>
      <c r="H105" s="132">
        <f t="shared" si="42"/>
        <v>0</v>
      </c>
      <c r="I105" s="132">
        <f t="shared" si="42"/>
        <v>0</v>
      </c>
      <c r="J105" s="132">
        <f t="shared" si="42"/>
        <v>0</v>
      </c>
      <c r="K105" s="132">
        <f t="shared" si="42"/>
        <v>0</v>
      </c>
      <c r="L105" s="132">
        <f t="shared" si="42"/>
        <v>0</v>
      </c>
      <c r="M105" s="132">
        <f t="shared" si="42"/>
        <v>0</v>
      </c>
      <c r="N105" s="132">
        <f t="shared" si="42"/>
        <v>0</v>
      </c>
      <c r="Q105" s="144" t="s">
        <v>120</v>
      </c>
      <c r="R105" s="132">
        <f>C105</f>
        <v>0</v>
      </c>
      <c r="S105" s="132">
        <f t="shared" ref="S105:AC105" si="43">D105</f>
        <v>0</v>
      </c>
      <c r="T105" s="132">
        <f t="shared" si="43"/>
        <v>0</v>
      </c>
      <c r="U105" s="132">
        <f t="shared" si="43"/>
        <v>0</v>
      </c>
      <c r="V105" s="132">
        <f t="shared" si="43"/>
        <v>0</v>
      </c>
      <c r="W105" s="132">
        <f t="shared" si="43"/>
        <v>0</v>
      </c>
      <c r="X105" s="132">
        <f t="shared" si="43"/>
        <v>0</v>
      </c>
      <c r="Y105" s="132">
        <f t="shared" si="43"/>
        <v>0</v>
      </c>
      <c r="Z105" s="132">
        <f t="shared" si="43"/>
        <v>0</v>
      </c>
      <c r="AA105" s="132">
        <f t="shared" si="43"/>
        <v>0</v>
      </c>
      <c r="AB105" s="132">
        <f t="shared" si="43"/>
        <v>0</v>
      </c>
      <c r="AC105" s="132">
        <f t="shared" si="43"/>
        <v>0</v>
      </c>
    </row>
    <row r="106" spans="2:30" ht="20.100000000000001" customHeight="1" x14ac:dyDescent="0.25">
      <c r="Q106" s="144" t="s">
        <v>138</v>
      </c>
      <c r="R106" s="132">
        <v>3600000</v>
      </c>
      <c r="S106" s="132">
        <v>3600000</v>
      </c>
      <c r="T106" s="132">
        <v>3600000</v>
      </c>
      <c r="U106" s="132">
        <v>3600000</v>
      </c>
      <c r="V106" s="132">
        <v>3600000</v>
      </c>
      <c r="W106" s="132">
        <v>3600000</v>
      </c>
      <c r="X106" s="132">
        <v>3600000</v>
      </c>
      <c r="Y106" s="132">
        <v>3600000</v>
      </c>
      <c r="Z106" s="132">
        <v>3600000</v>
      </c>
      <c r="AA106" s="132">
        <v>3600000</v>
      </c>
      <c r="AB106" s="132">
        <v>3600000</v>
      </c>
      <c r="AC106" s="132">
        <v>3600000</v>
      </c>
    </row>
    <row r="107" spans="2:30" ht="20.100000000000001" customHeight="1" x14ac:dyDescent="0.25">
      <c r="B107" s="164" t="s">
        <v>80</v>
      </c>
      <c r="Q107" s="144" t="s">
        <v>139</v>
      </c>
      <c r="R107" s="132">
        <v>4320000</v>
      </c>
      <c r="S107" s="132">
        <v>4320000</v>
      </c>
      <c r="T107" s="132">
        <v>4320000</v>
      </c>
      <c r="U107" s="132">
        <v>4320000</v>
      </c>
      <c r="V107" s="132">
        <v>4320000</v>
      </c>
      <c r="W107" s="132">
        <v>4320000</v>
      </c>
      <c r="X107" s="132">
        <v>4320000</v>
      </c>
      <c r="Y107" s="132">
        <v>4320000</v>
      </c>
      <c r="Z107" s="132">
        <v>4320000</v>
      </c>
      <c r="AA107" s="132">
        <v>4320000</v>
      </c>
      <c r="AB107" s="132">
        <v>4320000</v>
      </c>
      <c r="AC107" s="132">
        <v>4320000</v>
      </c>
    </row>
    <row r="108" spans="2:30" ht="20.100000000000001" customHeight="1" x14ac:dyDescent="0.25">
      <c r="B108" s="149" t="s">
        <v>82</v>
      </c>
      <c r="C108" s="149" t="s">
        <v>83</v>
      </c>
      <c r="D108" s="149" t="s">
        <v>84</v>
      </c>
      <c r="E108" s="149" t="s">
        <v>85</v>
      </c>
      <c r="F108" s="149" t="s">
        <v>86</v>
      </c>
      <c r="G108" s="149" t="s">
        <v>87</v>
      </c>
      <c r="H108" s="149" t="s">
        <v>88</v>
      </c>
      <c r="I108" s="149" t="s">
        <v>89</v>
      </c>
      <c r="J108" s="149" t="s">
        <v>90</v>
      </c>
      <c r="K108" s="149" t="s">
        <v>91</v>
      </c>
      <c r="L108" s="149" t="s">
        <v>92</v>
      </c>
      <c r="M108" s="149" t="s">
        <v>93</v>
      </c>
      <c r="N108" s="149" t="s">
        <v>94</v>
      </c>
      <c r="O108" s="149" t="s">
        <v>95</v>
      </c>
      <c r="Q108" s="171" t="s">
        <v>82</v>
      </c>
      <c r="R108" s="149" t="s">
        <v>83</v>
      </c>
      <c r="S108" s="149" t="s">
        <v>84</v>
      </c>
      <c r="T108" s="149" t="s">
        <v>85</v>
      </c>
      <c r="U108" s="149" t="s">
        <v>86</v>
      </c>
      <c r="V108" s="149" t="s">
        <v>87</v>
      </c>
      <c r="W108" s="149" t="s">
        <v>88</v>
      </c>
      <c r="X108" s="149" t="s">
        <v>89</v>
      </c>
      <c r="Y108" s="149" t="s">
        <v>90</v>
      </c>
      <c r="Z108" s="149" t="s">
        <v>91</v>
      </c>
      <c r="AA108" s="149" t="s">
        <v>92</v>
      </c>
      <c r="AB108" s="149" t="s">
        <v>93</v>
      </c>
      <c r="AC108" s="149" t="s">
        <v>94</v>
      </c>
      <c r="AD108" s="149" t="s">
        <v>95</v>
      </c>
    </row>
    <row r="109" spans="2:30" ht="20.100000000000001" customHeight="1" x14ac:dyDescent="0.25">
      <c r="B109" s="167" t="s">
        <v>97</v>
      </c>
      <c r="C109" s="151">
        <f>IF(C$105&lt;=TabS!$G$5,C21*$C$57,IF(C$105&lt;=TabS!$G$6,C21*$C$58,IF(C$105&lt;=TabS!$G$7,C21*$C$59,IF(C$105&lt;=TabS!$G$8,C21*$C$60,IF(C$105&lt;=TabS!$G$9,C21*$C$61,IF(C$105&lt;=TabS!$G$10,C21*$C$62))))))</f>
        <v>0</v>
      </c>
      <c r="D109" s="151">
        <f>IF(D$105&lt;=TabS!$G$5,D21*$C$57,IF(D$105&lt;=TabS!$G$6,D21*$C$58,IF(D$105&lt;=TabS!$G$7,D21*$C$59,IF(D$105&lt;=TabS!$G$8,D21*$C$60,IF(D$105&lt;=TabS!$G$9,D21*$C$61,IF(D$105&lt;=TabS!$G$10,D21*$C$62))))))</f>
        <v>0</v>
      </c>
      <c r="E109" s="151">
        <f>IF(E$105&lt;=TabS!$G$5,E21*$C$57,IF(E$105&lt;=TabS!$G$6,E21*$C$58,IF(E$105&lt;=TabS!$G$7,E21*$C$59,IF(E$105&lt;=TabS!$G$8,E21*$C$60,IF(E$105&lt;=TabS!$G$9,E21*$C$61,IF(E$105&lt;=TabS!$G$10,E21*$C$62))))))</f>
        <v>0</v>
      </c>
      <c r="F109" s="151">
        <f>IF(F$105&lt;=TabS!$G$5,F21*$C$57,IF(F$105&lt;=TabS!$G$6,F21*$C$58,IF(F$105&lt;=TabS!$G$7,F21*$C$59,IF(F$105&lt;=TabS!$G$8,F21*$C$60,IF(F$105&lt;=TabS!$G$9,F21*$C$61,IF(F$105&lt;=TabS!$G$10,F21*$C$62))))))</f>
        <v>0</v>
      </c>
      <c r="G109" s="151">
        <f>IF(G$105&lt;=TabS!$G$5,G21*$C$57,IF(G$105&lt;=TabS!$G$6,G21*$C$58,IF(G$105&lt;=TabS!$G$7,G21*$C$59,IF(G$105&lt;=TabS!$G$8,G21*$C$60,IF(G$105&lt;=TabS!$G$9,G21*$C$61,IF(G$105&lt;=TabS!$G$10,G21*$C$62))))))</f>
        <v>0</v>
      </c>
      <c r="H109" s="151">
        <f>IF(H$105&lt;=TabS!$G$5,H21*$C$57,IF(H$105&lt;=TabS!$G$6,H21*$C$58,IF(H$105&lt;=TabS!$G$7,H21*$C$59,IF(H$105&lt;=TabS!$G$8,H21*$C$60,IF(H$105&lt;=TabS!$G$9,H21*$C$61,IF(H$105&lt;=TabS!$G$10,H21*$C$62))))))</f>
        <v>0</v>
      </c>
      <c r="I109" s="151">
        <f>IF(I$105&lt;=TabS!$G$5,I21*$C$57,IF(I$105&lt;=TabS!$G$6,I21*$C$58,IF(I$105&lt;=TabS!$G$7,I21*$C$59,IF(I$105&lt;=TabS!$G$8,I21*$C$60,IF(I$105&lt;=TabS!$G$9,I21*$C$61,IF(I$105&lt;=TabS!$G$10,I21*$C$62))))))</f>
        <v>0</v>
      </c>
      <c r="J109" s="151">
        <f>IF(J$105&lt;=TabS!$G$5,J21*$C$57,IF(J$105&lt;=TabS!$G$6,J21*$C$58,IF(J$105&lt;=TabS!$G$7,J21*$C$59,IF(J$105&lt;=TabS!$G$8,J21*$C$60,IF(J$105&lt;=TabS!$G$9,J21*$C$61,IF(J$105&lt;=TabS!$G$10,J21*$C$62))))))</f>
        <v>0</v>
      </c>
      <c r="K109" s="151">
        <f>IF(K$105&lt;=TabS!$G$5,K21*$C$57,IF(K$105&lt;=TabS!$G$6,K21*$C$58,IF(K$105&lt;=TabS!$G$7,K21*$C$59,IF(K$105&lt;=TabS!$G$8,K21*$C$60,IF(K$105&lt;=TabS!$G$9,K21*$C$61,IF(K$105&lt;=TabS!$G$10,K21*$C$62))))))</f>
        <v>0</v>
      </c>
      <c r="L109" s="151">
        <f>IF(L$105&lt;=TabS!$G$5,L21*$C$57,IF(L$105&lt;=TabS!$G$6,L21*$C$58,IF(L$105&lt;=TabS!$G$7,L21*$C$59,IF(L$105&lt;=TabS!$G$8,L21*$C$60,IF(L$105&lt;=TabS!$G$9,L21*$C$61,IF(L$105&lt;=TabS!$G$10,L21*$C$62))))))</f>
        <v>0</v>
      </c>
      <c r="M109" s="151">
        <f>IF(M$105&lt;=TabS!$G$5,M21*$C$57,IF(M$105&lt;=TabS!$G$6,M21*$C$58,IF(M$105&lt;=TabS!$G$7,M21*$C$59,IF(M$105&lt;=TabS!$G$8,M21*$C$60,IF(M$105&lt;=TabS!$G$9,M21*$C$61,IF(M$105&lt;=TabS!$G$10,M21*$C$62))))))</f>
        <v>0</v>
      </c>
      <c r="N109" s="151">
        <f>IF(N$105&lt;=TabS!$G$5,N21*$C$57,IF(N$105&lt;=TabS!$G$6,N21*$C$58,IF(N$105&lt;=TabS!$G$7,N21*$C$59,IF(N$105&lt;=TabS!$G$8,N21*$C$60,IF(N$105&lt;=TabS!$G$9,N21*$C$61,IF(N$105&lt;=TabS!$G$10,N21*$C$62))))))</f>
        <v>0</v>
      </c>
      <c r="O109" s="152">
        <f t="shared" ref="O109:O115" si="44">SUM(C109:N109)</f>
        <v>0</v>
      </c>
      <c r="Q109" s="150" t="s">
        <v>97</v>
      </c>
      <c r="R109" s="151">
        <f>IF(R$105&lt;=TabS!$G$5,R21*$C$57,IF(R$105&lt;=TabS!$G$6,R21*$C$58,IF(R$105&lt;=TabS!$G$7,R21*$C$59,IF(R$105&lt;=TabS!$G$8,R21*$C$60,IF(R$105&lt;=TabS!$G$9,R21*$C$61,IF(R$105&lt;=TabS!$G$10,R21*$C$62))))))</f>
        <v>0</v>
      </c>
      <c r="S109" s="151">
        <f>IF(S$105&lt;=TabS!$G$5,S21*$C$57,IF(S$105&lt;=TabS!$G$6,S21*$C$58,IF(S$105&lt;=TabS!$G$7,S21*$C$59,IF(S$105&lt;=TabS!$G$8,S21*$C$60,IF(S$105&lt;=TabS!$G$9,S21*$C$61,IF(S$105&lt;=TabS!$G$10,S21*$C$62))))))</f>
        <v>0</v>
      </c>
      <c r="T109" s="151">
        <f>IF(T$105&lt;=TabS!$G$5,T21*$C$57,IF(T$105&lt;=TabS!$G$6,T21*$C$58,IF(T$105&lt;=TabS!$G$7,T21*$C$59,IF(T$105&lt;=TabS!$G$8,T21*$C$60,IF(T$105&lt;=TabS!$G$9,T21*$C$61,IF(T$105&lt;=TabS!$G$10,T21*$C$62))))))</f>
        <v>0</v>
      </c>
      <c r="U109" s="151">
        <f>IF(U$105&lt;=TabS!$G$5,U21*$C$57,IF(U$105&lt;=TabS!$G$6,U21*$C$58,IF(U$105&lt;=TabS!$G$7,U21*$C$59,IF(U$105&lt;=TabS!$G$8,U21*$C$60,IF(U$105&lt;=TabS!$G$9,U21*$C$61,IF(U$105&lt;=TabS!$G$10,U21*$C$62))))))</f>
        <v>0</v>
      </c>
      <c r="V109" s="151">
        <f>IF(V$105&lt;=TabS!$G$5,V21*$C$57,IF(V$105&lt;=TabS!$G$6,V21*$C$58,IF(V$105&lt;=TabS!$G$7,V21*$C$59,IF(V$105&lt;=TabS!$G$8,V21*$C$60,IF(V$105&lt;=TabS!$G$9,V21*$C$61,IF(V$105&lt;=TabS!$G$10,V21*$C$62))))))</f>
        <v>0</v>
      </c>
      <c r="W109" s="151">
        <f>IF(W$105&lt;=TabS!$G$5,W21*$C$57,IF(W$105&lt;=TabS!$G$6,W21*$C$58,IF(W$105&lt;=TabS!$G$7,W21*$C$59,IF(W$105&lt;=TabS!$G$8,W21*$C$60,IF(W$105&lt;=TabS!$G$9,W21*$C$61,IF(W$105&lt;=TabS!$G$10,W21*$C$62))))))</f>
        <v>0</v>
      </c>
      <c r="X109" s="151">
        <f>IF(X$105&lt;=TabS!$G$5,X21*$C$57,IF(X$105&lt;=TabS!$G$6,X21*$C$58,IF(X$105&lt;=TabS!$G$7,X21*$C$59,IF(X$105&lt;=TabS!$G$8,X21*$C$60,IF(X$105&lt;=TabS!$G$9,X21*$C$61,IF(X$105&lt;=TabS!$G$10,X21*$C$62))))))</f>
        <v>0</v>
      </c>
      <c r="Y109" s="151">
        <f>IF(Y$105&lt;=TabS!$G$5,Y21*$C$57,IF(Y$105&lt;=TabS!$G$6,Y21*$C$58,IF(Y$105&lt;=TabS!$G$7,Y21*$C$59,IF(Y$105&lt;=TabS!$G$8,Y21*$C$60,IF(Y$105&lt;=TabS!$G$9,Y21*$C$61,IF(Y$105&lt;=TabS!$G$10,Y21*$C$62))))))</f>
        <v>0</v>
      </c>
      <c r="Z109" s="151">
        <f>IF(Z$105&lt;=TabS!$G$5,Z21*$C$57,IF(Z$105&lt;=TabS!$G$6,Z21*$C$58,IF(Z$105&lt;=TabS!$G$7,Z21*$C$59,IF(Z$105&lt;=TabS!$G$8,Z21*$C$60,IF(Z$105&lt;=TabS!$G$9,Z21*$C$61,IF(Z$105&lt;=TabS!$G$10,Z21*$C$62))))))</f>
        <v>0</v>
      </c>
      <c r="AA109" s="151">
        <f>IF(AA$105&lt;=TabS!$G$5,AA21*$C$57,IF(AA$105&lt;=TabS!$G$6,AA21*$C$58,IF(AA$105&lt;=TabS!$G$7,AA21*$C$59,IF(AA$105&lt;=TabS!$G$8,AA21*$C$60,IF(AA$105&lt;=TabS!$G$9,AA21*$C$61,IF(AA$105&lt;=TabS!$G$10,AA21*$C$62))))))</f>
        <v>0</v>
      </c>
      <c r="AB109" s="151">
        <f>IF(AB$105&lt;=TabS!$G$5,AB21*$C$57,IF(AB$105&lt;=TabS!$G$6,AB21*$C$58,IF(AB$105&lt;=TabS!$G$7,AB21*$C$59,IF(AB$105&lt;=TabS!$G$8,AB21*$C$60,IF(AB$105&lt;=TabS!$G$9,AB21*$C$61,IF(AB$105&lt;=TabS!$G$10,AB21*$C$62))))))</f>
        <v>0</v>
      </c>
      <c r="AC109" s="151">
        <f>IF(AC$105&lt;=TabS!$G$5,AC21*$C$57,IF(AC$105&lt;=TabS!$G$6,AC21*$C$58,IF(AC$105&lt;=TabS!$G$7,AC21*$C$59,IF(AC$105&lt;=TabS!$G$8,AC21*$C$60,IF(AC$105&lt;=TabS!$G$9,AC21*$C$61,IF(AC$105&lt;=TabS!$G$10,AC21*$C$62))))))</f>
        <v>0</v>
      </c>
      <c r="AD109" s="152">
        <f t="shared" ref="AD109:AD115" si="45">SUM(R109:AC109)</f>
        <v>0</v>
      </c>
    </row>
    <row r="110" spans="2:30" ht="20.100000000000001" customHeight="1" x14ac:dyDescent="0.25">
      <c r="B110" s="167" t="s">
        <v>98</v>
      </c>
      <c r="C110" s="151">
        <f>IF(C$105&lt;=TabS!$G$5,C21*$D$57,IF(C$105&lt;=TabS!$G$6,C21*$D$58,IF(C$105&lt;=TabS!$G$7,C21*$D$59,IF(C$105&lt;=TabS!$G$8,C21*$D$60,IF(C$105&lt;=TabS!$G$9,C21*$D$61,IF(C$105&lt;=TabS!$G$10,C21*$D$62))))))</f>
        <v>0</v>
      </c>
      <c r="D110" s="151">
        <f>IF(D$105&lt;=TabS!$G$5,D21*$D$57,IF(D$105&lt;=TabS!$G$6,D21*$D$58,IF(D$105&lt;=TabS!$G$7,D21*$D$59,IF(D$105&lt;=TabS!$G$8,D21*$D$60,IF(D$105&lt;=TabS!$G$9,D21*$D$61,IF(D$105&lt;=TabS!$G$10,D21*$D$62))))))</f>
        <v>0</v>
      </c>
      <c r="E110" s="151">
        <f>IF(E$105&lt;=TabS!$G$5,E21*$D$57,IF(E$105&lt;=TabS!$G$6,E21*$D$58,IF(E$105&lt;=TabS!$G$7,E21*$D$59,IF(E$105&lt;=TabS!$G$8,E21*$D$60,IF(E$105&lt;=TabS!$G$9,E21*$D$61,IF(E$105&lt;=TabS!$G$10,E21*$D$62))))))</f>
        <v>0</v>
      </c>
      <c r="F110" s="151">
        <f>IF(F$105&lt;=TabS!$G$5,F21*$D$57,IF(F$105&lt;=TabS!$G$6,F21*$D$58,IF(F$105&lt;=TabS!$G$7,F21*$D$59,IF(F$105&lt;=TabS!$G$8,F21*$D$60,IF(F$105&lt;=TabS!$G$9,F21*$D$61,IF(F$105&lt;=TabS!$G$10,F21*$D$62))))))</f>
        <v>0</v>
      </c>
      <c r="G110" s="151">
        <f>IF(G$105&lt;=TabS!$G$5,G21*$D$57,IF(G$105&lt;=TabS!$G$6,G21*$D$58,IF(G$105&lt;=TabS!$G$7,G21*$D$59,IF(G$105&lt;=TabS!$G$8,G21*$D$60,IF(G$105&lt;=TabS!$G$9,G21*$D$61,IF(G$105&lt;=TabS!$G$10,G21*$D$62))))))</f>
        <v>0</v>
      </c>
      <c r="H110" s="151">
        <f>IF(H$105&lt;=TabS!$G$5,H21*$D$57,IF(H$105&lt;=TabS!$G$6,H21*$D$58,IF(H$105&lt;=TabS!$G$7,H21*$D$59,IF(H$105&lt;=TabS!$G$8,H21*$D$60,IF(H$105&lt;=TabS!$G$9,H21*$D$61,IF(H$105&lt;=TabS!$G$10,H21*$D$62))))))</f>
        <v>0</v>
      </c>
      <c r="I110" s="151">
        <f>IF(I$105&lt;=TabS!$G$5,I21*$D$57,IF(I$105&lt;=TabS!$G$6,I21*$D$58,IF(I$105&lt;=TabS!$G$7,I21*$D$59,IF(I$105&lt;=TabS!$G$8,I21*$D$60,IF(I$105&lt;=TabS!$G$9,I21*$D$61,IF(I$105&lt;=TabS!$G$10,I21*$D$62))))))</f>
        <v>0</v>
      </c>
      <c r="J110" s="151">
        <f>IF(J$105&lt;=TabS!$G$5,J21*$D$57,IF(J$105&lt;=TabS!$G$6,J21*$D$58,IF(J$105&lt;=TabS!$G$7,J21*$D$59,IF(J$105&lt;=TabS!$G$8,J21*$D$60,IF(J$105&lt;=TabS!$G$9,J21*$D$61,IF(J$105&lt;=TabS!$G$10,J21*$D$62))))))</f>
        <v>0</v>
      </c>
      <c r="K110" s="151">
        <f>IF(K$105&lt;=TabS!$G$5,K21*$D$57,IF(K$105&lt;=TabS!$G$6,K21*$D$58,IF(K$105&lt;=TabS!$G$7,K21*$D$59,IF(K$105&lt;=TabS!$G$8,K21*$D$60,IF(K$105&lt;=TabS!$G$9,K21*$D$61,IF(K$105&lt;=TabS!$G$10,K21*$D$62))))))</f>
        <v>0</v>
      </c>
      <c r="L110" s="151">
        <f>IF(L$105&lt;=TabS!$G$5,L21*$D$57,IF(L$105&lt;=TabS!$G$6,L21*$D$58,IF(L$105&lt;=TabS!$G$7,L21*$D$59,IF(L$105&lt;=TabS!$G$8,L21*$D$60,IF(L$105&lt;=TabS!$G$9,L21*$D$61,IF(L$105&lt;=TabS!$G$10,L21*$D$62))))))</f>
        <v>0</v>
      </c>
      <c r="M110" s="151">
        <f>IF(M$105&lt;=TabS!$G$5,M21*$D$57,IF(M$105&lt;=TabS!$G$6,M21*$D$58,IF(M$105&lt;=TabS!$G$7,M21*$D$59,IF(M$105&lt;=TabS!$G$8,M21*$D$60,IF(M$105&lt;=TabS!$G$9,M21*$D$61,IF(M$105&lt;=TabS!$G$10,M21*$D$62))))))</f>
        <v>0</v>
      </c>
      <c r="N110" s="151">
        <f>IF(N$105&lt;=TabS!$G$5,N21*$D$57,IF(N$105&lt;=TabS!$G$6,N21*$D$58,IF(N$105&lt;=TabS!$G$7,N21*$D$59,IF(N$105&lt;=TabS!$G$8,N21*$D$60,IF(N$105&lt;=TabS!$G$9,N21*$D$61,IF(N$105&lt;=TabS!$G$10,N21*$D$62))))))</f>
        <v>0</v>
      </c>
      <c r="O110" s="152">
        <f t="shared" si="44"/>
        <v>0</v>
      </c>
      <c r="Q110" s="150" t="s">
        <v>98</v>
      </c>
      <c r="R110" s="151">
        <f>IF(R$105&lt;=TabS!$G$5,R21*$D$57,IF(R$105&lt;=TabS!$G$6,R21*$D$58,IF(R$105&lt;=TabS!$G$7,R21*$D$59,IF(R$105&lt;=TabS!$G$8,R21*$D$60,IF(R$105&lt;=TabS!$G$9,R21*$D$61,IF(R$105&lt;=TabS!$G$10,R21*$D$62))))))</f>
        <v>0</v>
      </c>
      <c r="S110" s="151">
        <f>IF(S$105&lt;=TabS!$G$5,S21*$D$57,IF(S$105&lt;=TabS!$G$6,S21*$D$58,IF(S$105&lt;=TabS!$G$7,S21*$D$59,IF(S$105&lt;=TabS!$G$8,S21*$D$60,IF(S$105&lt;=TabS!$G$9,S21*$D$61,IF(S$105&lt;=TabS!$G$10,S21*$D$62))))))</f>
        <v>0</v>
      </c>
      <c r="T110" s="151">
        <f>IF(T$105&lt;=TabS!$G$5,T21*$D$57,IF(T$105&lt;=TabS!$G$6,T21*$D$58,IF(T$105&lt;=TabS!$G$7,T21*$D$59,IF(T$105&lt;=TabS!$G$8,T21*$D$60,IF(T$105&lt;=TabS!$G$9,T21*$D$61,IF(T$105&lt;=TabS!$G$10,T21*$D$62))))))</f>
        <v>0</v>
      </c>
      <c r="U110" s="151">
        <f>IF(U$105&lt;=TabS!$G$5,U21*$D$57,IF(U$105&lt;=TabS!$G$6,U21*$D$58,IF(U$105&lt;=TabS!$G$7,U21*$D$59,IF(U$105&lt;=TabS!$G$8,U21*$D$60,IF(U$105&lt;=TabS!$G$9,U21*$D$61,IF(U$105&lt;=TabS!$G$10,U21*$D$62))))))</f>
        <v>0</v>
      </c>
      <c r="V110" s="151">
        <f>IF(V$105&lt;=TabS!$G$5,V21*$D$57,IF(V$105&lt;=TabS!$G$6,V21*$D$58,IF(V$105&lt;=TabS!$G$7,V21*$D$59,IF(V$105&lt;=TabS!$G$8,V21*$D$60,IF(V$105&lt;=TabS!$G$9,V21*$D$61,IF(V$105&lt;=TabS!$G$10,V21*$D$62))))))</f>
        <v>0</v>
      </c>
      <c r="W110" s="151">
        <f>IF(W$105&lt;=TabS!$G$5,W21*$D$57,IF(W$105&lt;=TabS!$G$6,W21*$D$58,IF(W$105&lt;=TabS!$G$7,W21*$D$59,IF(W$105&lt;=TabS!$G$8,W21*$D$60,IF(W$105&lt;=TabS!$G$9,W21*$D$61,IF(W$105&lt;=TabS!$G$10,W21*$D$62))))))</f>
        <v>0</v>
      </c>
      <c r="X110" s="151">
        <f>IF(X$105&lt;=TabS!$G$5,X21*$D$57,IF(X$105&lt;=TabS!$G$6,X21*$D$58,IF(X$105&lt;=TabS!$G$7,X21*$D$59,IF(X$105&lt;=TabS!$G$8,X21*$D$60,IF(X$105&lt;=TabS!$G$9,X21*$D$61,IF(X$105&lt;=TabS!$G$10,X21*$D$62))))))</f>
        <v>0</v>
      </c>
      <c r="Y110" s="151">
        <f>IF(Y$105&lt;=TabS!$G$5,Y21*$D$57,IF(Y$105&lt;=TabS!$G$6,Y21*$D$58,IF(Y$105&lt;=TabS!$G$7,Y21*$D$59,IF(Y$105&lt;=TabS!$G$8,Y21*$D$60,IF(Y$105&lt;=TabS!$G$9,Y21*$D$61,IF(Y$105&lt;=TabS!$G$10,Y21*$D$62))))))</f>
        <v>0</v>
      </c>
      <c r="Z110" s="151">
        <f>IF(Z$105&lt;=TabS!$G$5,Z21*$D$57,IF(Z$105&lt;=TabS!$G$6,Z21*$D$58,IF(Z$105&lt;=TabS!$G$7,Z21*$D$59,IF(Z$105&lt;=TabS!$G$8,Z21*$D$60,IF(Z$105&lt;=TabS!$G$9,Z21*$D$61,IF(Z$105&lt;=TabS!$G$10,Z21*$D$62))))))</f>
        <v>0</v>
      </c>
      <c r="AA110" s="151">
        <f>IF(AA$105&lt;=TabS!$G$5,AA21*$D$57,IF(AA$105&lt;=TabS!$G$6,AA21*$D$58,IF(AA$105&lt;=TabS!$G$7,AA21*$D$59,IF(AA$105&lt;=TabS!$G$8,AA21*$D$60,IF(AA$105&lt;=TabS!$G$9,AA21*$D$61,IF(AA$105&lt;=TabS!$G$10,AA21*$D$62))))))</f>
        <v>0</v>
      </c>
      <c r="AB110" s="151">
        <f>IF(AB$105&lt;=TabS!$G$5,AB21*$D$57,IF(AB$105&lt;=TabS!$G$6,AB21*$D$58,IF(AB$105&lt;=TabS!$G$7,AB21*$D$59,IF(AB$105&lt;=TabS!$G$8,AB21*$D$60,IF(AB$105&lt;=TabS!$G$9,AB21*$D$61,IF(AB$105&lt;=TabS!$G$10,AB21*$D$62))))))</f>
        <v>0</v>
      </c>
      <c r="AC110" s="151">
        <f>IF(AC$105&lt;=TabS!$G$5,AC21*$D$57,IF(AC$105&lt;=TabS!$G$6,AC21*$D$58,IF(AC$105&lt;=TabS!$G$7,AC21*$D$59,IF(AC$105&lt;=TabS!$G$8,AC21*$D$60,IF(AC$105&lt;=TabS!$G$9,AC21*$D$61,IF(AC$105&lt;=TabS!$G$10,AC21*$D$62))))))</f>
        <v>0</v>
      </c>
      <c r="AD110" s="152">
        <f t="shared" si="45"/>
        <v>0</v>
      </c>
    </row>
    <row r="111" spans="2:30" ht="20.100000000000001" customHeight="1" x14ac:dyDescent="0.25">
      <c r="B111" s="167" t="s">
        <v>37</v>
      </c>
      <c r="C111" s="151">
        <f>R111</f>
        <v>0</v>
      </c>
      <c r="D111" s="151">
        <f t="shared" ref="D111:N111" si="46">S111</f>
        <v>0</v>
      </c>
      <c r="E111" s="151">
        <f t="shared" si="46"/>
        <v>0</v>
      </c>
      <c r="F111" s="151">
        <f t="shared" si="46"/>
        <v>0</v>
      </c>
      <c r="G111" s="151">
        <f t="shared" si="46"/>
        <v>0</v>
      </c>
      <c r="H111" s="151">
        <f t="shared" si="46"/>
        <v>0</v>
      </c>
      <c r="I111" s="151">
        <f t="shared" si="46"/>
        <v>0</v>
      </c>
      <c r="J111" s="151">
        <f t="shared" si="46"/>
        <v>0</v>
      </c>
      <c r="K111" s="151">
        <f t="shared" si="46"/>
        <v>0</v>
      </c>
      <c r="L111" s="151">
        <f t="shared" si="46"/>
        <v>0</v>
      </c>
      <c r="M111" s="151">
        <f t="shared" si="46"/>
        <v>0</v>
      </c>
      <c r="N111" s="151">
        <f t="shared" si="46"/>
        <v>0</v>
      </c>
      <c r="O111" s="152">
        <f t="shared" si="44"/>
        <v>0</v>
      </c>
      <c r="Q111" s="150" t="s">
        <v>37</v>
      </c>
      <c r="R111" s="151">
        <f>IF(R105&lt;R106,IF(R105&lt;=TabS!$G$5,R21*$E$57,IF(R105&lt;=TabS!$G$6,R21*$E$58,IF(R105&lt;=TabS!$G$7,R21*$E$59,IF(R105&lt;=TabS!$G$8,R21*$E$60,IF(R105&lt;=TabS!$G$9,R21*$E$61,IF(R105&lt;=TabS!$G$10,R21*$E$62)))))),C17*R116)</f>
        <v>0</v>
      </c>
      <c r="S111" s="151">
        <f>IF(S105&lt;S106,IF(S105&lt;=TabS!$G$5,S21*$E$57,IF(S105&lt;=TabS!$G$6,S21*$E$58,IF(S105&lt;=TabS!$G$7,S21*$E$59,IF(S105&lt;=TabS!$G$8,S21*$E$60,IF(S105&lt;=TabS!$G$9,S21*$E$61,IF(S105&lt;=TabS!$G$10,S21*$E$62)))))),D17*S116)</f>
        <v>0</v>
      </c>
      <c r="T111" s="151">
        <f>IF(T105&lt;T106,IF(T105&lt;=TabS!$G$5,T21*$E$57,IF(T105&lt;=TabS!$G$6,T21*$E$58,IF(T105&lt;=TabS!$G$7,T21*$E$59,IF(T105&lt;=TabS!$G$8,T21*$E$60,IF(T105&lt;=TabS!$G$9,T21*$E$61,IF(T105&lt;=TabS!$G$10,T21*$E$62)))))),E17*T116)</f>
        <v>0</v>
      </c>
      <c r="U111" s="151">
        <f>IF(U105&lt;U106,IF(U105&lt;=TabS!$G$5,U21*$E$57,IF(U105&lt;=TabS!$G$6,U21*$E$58,IF(U105&lt;=TabS!$G$7,U21*$E$59,IF(U105&lt;=TabS!$G$8,U21*$E$60,IF(U105&lt;=TabS!$G$9,U21*$E$61,IF(U105&lt;=TabS!$G$10,U21*$E$62)))))),F17*U116)</f>
        <v>0</v>
      </c>
      <c r="V111" s="151">
        <f>IF(V105&lt;V106,IF(V105&lt;=TabS!$G$5,V21*$E$57,IF(V105&lt;=TabS!$G$6,V21*$E$58,IF(V105&lt;=TabS!$G$7,V21*$E$59,IF(V105&lt;=TabS!$G$8,V21*$E$60,IF(V105&lt;=TabS!$G$9,V21*$E$61,IF(V105&lt;=TabS!$G$10,V21*$E$62)))))),G17*V116)</f>
        <v>0</v>
      </c>
      <c r="W111" s="151">
        <f>IF(W105&lt;W106,IF(W105&lt;=TabS!$G$5,W21*$E$57,IF(W105&lt;=TabS!$G$6,W21*$E$58,IF(W105&lt;=TabS!$G$7,W21*$E$59,IF(W105&lt;=TabS!$G$8,W21*$E$60,IF(W105&lt;=TabS!$G$9,W21*$E$61,IF(W105&lt;=TabS!$G$10,W21*$E$62)))))),H17*W116)</f>
        <v>0</v>
      </c>
      <c r="X111" s="151">
        <f>IF(X105&lt;X106,IF(X105&lt;=TabS!$G$5,X21*$E$57,IF(X105&lt;=TabS!$G$6,X21*$E$58,IF(X105&lt;=TabS!$G$7,X21*$E$59,IF(X105&lt;=TabS!$G$8,X21*$E$60,IF(X105&lt;=TabS!$G$9,X21*$E$61,IF(X105&lt;=TabS!$G$10,X21*$E$62)))))),I17*X116)</f>
        <v>0</v>
      </c>
      <c r="Y111" s="151">
        <f>IF(Y105&lt;Y106,IF(Y105&lt;=TabS!$G$5,Y21*$E$57,IF(Y105&lt;=TabS!$G$6,Y21*$E$58,IF(Y105&lt;=TabS!$G$7,Y21*$E$59,IF(Y105&lt;=TabS!$G$8,Y21*$E$60,IF(Y105&lt;=TabS!$G$9,Y21*$E$61,IF(Y105&lt;=TabS!$G$10,Y21*$E$62)))))),J17*Y116)</f>
        <v>0</v>
      </c>
      <c r="Z111" s="151">
        <f>IF(Z105&lt;Z106,IF(Z105&lt;=TabS!$G$5,Z21*$E$57,IF(Z105&lt;=TabS!$G$6,Z21*$E$58,IF(Z105&lt;=TabS!$G$7,Z21*$E$59,IF(Z105&lt;=TabS!$G$8,Z21*$E$60,IF(Z105&lt;=TabS!$G$9,Z21*$E$61,IF(Z105&lt;=TabS!$G$10,Z21*$E$62)))))),K17*Z116)</f>
        <v>0</v>
      </c>
      <c r="AA111" s="151">
        <f>IF(AA105&lt;AA106,IF(AA105&lt;=TabS!$G$5,AA21*$E$57,IF(AA105&lt;=TabS!$G$6,AA21*$E$58,IF(AA105&lt;=TabS!$G$7,AA21*$E$59,IF(AA105&lt;=TabS!$G$8,AA21*$E$60,IF(AA105&lt;=TabS!$G$9,AA21*$E$61,IF(AA105&lt;=TabS!$G$10,AA21*$E$62)))))),L17*AA116)</f>
        <v>0</v>
      </c>
      <c r="AB111" s="151">
        <f>IF(AB105&lt;AB106,IF(AB105&lt;=TabS!$G$5,AB21*$E$57,IF(AB105&lt;=TabS!$G$6,AB21*$E$58,IF(AB105&lt;=TabS!$G$7,AB21*$E$59,IF(AB105&lt;=TabS!$G$8,AB21*$E$60,IF(AB105&lt;=TabS!$G$9,AB21*$E$61,IF(AB105&lt;=TabS!$G$10,AB21*$E$62)))))),M17*AB116)</f>
        <v>0</v>
      </c>
      <c r="AC111" s="151">
        <f>IF(AC105&lt;AC106,IF(AC105&lt;=TabS!$G$5,AC21*$E$57,IF(AC105&lt;=TabS!$G$6,AC21*$E$58,IF(AC105&lt;=TabS!$G$7,AC21*$E$59,IF(AC105&lt;=TabS!$G$8,AC21*$E$60,IF(AC105&lt;=TabS!$G$9,AC21*$E$61,IF(AC105&lt;=TabS!$G$10,AC21*$E$62)))))),N17*AC116)</f>
        <v>0</v>
      </c>
      <c r="AD111" s="152">
        <f t="shared" si="45"/>
        <v>0</v>
      </c>
    </row>
    <row r="112" spans="2:30" ht="20.100000000000001" customHeight="1" x14ac:dyDescent="0.25">
      <c r="B112" s="167" t="s">
        <v>129</v>
      </c>
      <c r="C112" s="151">
        <f>IF(C$105&lt;=TabS!$G$5,C21*$F$57,IF(C$105&lt;=TabS!$G$6,C21*$F$58,IF(C$105&lt;=TabS!$G$7,C21*$F$59,IF(C$105&lt;=TabS!$G$8,C21*$F$60,IF(C$105&lt;=TabS!$G$9,C21*$F$61,IF(C$105&lt;=TabS!$G$10,C21*$F$62))))))</f>
        <v>0</v>
      </c>
      <c r="D112" s="151">
        <f>IF(D$105&lt;=TabS!$G$5,D21*$F$57,IF(D$105&lt;=TabS!$G$6,D21*$F$58,IF(D$105&lt;=TabS!$G$7,D21*$F$59,IF(D$105&lt;=TabS!$G$8,D21*$F$60,IF(D$105&lt;=TabS!$G$9,D21*$F$61,IF(D$105&lt;=TabS!$G$10,D21*$F$62))))))</f>
        <v>0</v>
      </c>
      <c r="E112" s="151">
        <f>IF(E$105&lt;=TabS!$G$5,E21*$F$57,IF(E$105&lt;=TabS!$G$6,E21*$F$58,IF(E$105&lt;=TabS!$G$7,E21*$F$59,IF(E$105&lt;=TabS!$G$8,E21*$F$60,IF(E$105&lt;=TabS!$G$9,E21*$F$61,IF(E$105&lt;=TabS!$G$10,E21*$F$62))))))</f>
        <v>0</v>
      </c>
      <c r="F112" s="151">
        <f>IF(F$105&lt;=TabS!$G$5,F21*$F$57,IF(F$105&lt;=TabS!$G$6,F21*$F$58,IF(F$105&lt;=TabS!$G$7,F21*$F$59,IF(F$105&lt;=TabS!$G$8,F21*$F$60,IF(F$105&lt;=TabS!$G$9,F21*$F$61,IF(F$105&lt;=TabS!$G$10,F21*$F$62))))))</f>
        <v>0</v>
      </c>
      <c r="G112" s="151">
        <f>IF(G$105&lt;=TabS!$G$5,G21*$F$57,IF(G$105&lt;=TabS!$G$6,G21*$F$58,IF(G$105&lt;=TabS!$G$7,G21*$F$59,IF(G$105&lt;=TabS!$G$8,G21*$F$60,IF(G$105&lt;=TabS!$G$9,G21*$F$61,IF(G$105&lt;=TabS!$G$10,G21*$F$62))))))</f>
        <v>0</v>
      </c>
      <c r="H112" s="151">
        <f>IF(H$105&lt;=TabS!$G$5,H21*$F$57,IF(H$105&lt;=TabS!$G$6,H21*$F$58,IF(H$105&lt;=TabS!$G$7,H21*$F$59,IF(H$105&lt;=TabS!$G$8,H21*$F$60,IF(H$105&lt;=TabS!$G$9,H21*$F$61,IF(H$105&lt;=TabS!$G$10,H21*$F$62))))))</f>
        <v>0</v>
      </c>
      <c r="I112" s="151">
        <f>IF(I$105&lt;=TabS!$G$5,I21*$F$57,IF(I$105&lt;=TabS!$G$6,I21*$F$58,IF(I$105&lt;=TabS!$G$7,I21*$F$59,IF(I$105&lt;=TabS!$G$8,I21*$F$60,IF(I$105&lt;=TabS!$G$9,I21*$F$61,IF(I$105&lt;=TabS!$G$10,I21*$F$62))))))</f>
        <v>0</v>
      </c>
      <c r="J112" s="151">
        <f>IF(J$105&lt;=TabS!$G$5,J21*$F$57,IF(J$105&lt;=TabS!$G$6,J21*$F$58,IF(J$105&lt;=TabS!$G$7,J21*$F$59,IF(J$105&lt;=TabS!$G$8,J21*$F$60,IF(J$105&lt;=TabS!$G$9,J21*$F$61,IF(J$105&lt;=TabS!$G$10,J21*$F$62))))))</f>
        <v>0</v>
      </c>
      <c r="K112" s="151">
        <f>IF(K$105&lt;=TabS!$G$5,K21*$F$57,IF(K$105&lt;=TabS!$G$6,K21*$F$58,IF(K$105&lt;=TabS!$G$7,K21*$F$59,IF(K$105&lt;=TabS!$G$8,K21*$F$60,IF(K$105&lt;=TabS!$G$9,K21*$F$61,IF(K$105&lt;=TabS!$G$10,K21*$F$62))))))</f>
        <v>0</v>
      </c>
      <c r="L112" s="151">
        <f>IF(L$105&lt;=TabS!$G$5,L21*$F$57,IF(L$105&lt;=TabS!$G$6,L21*$F$58,IF(L$105&lt;=TabS!$G$7,L21*$F$59,IF(L$105&lt;=TabS!$G$8,L21*$F$60,IF(L$105&lt;=TabS!$G$9,L21*$F$61,IF(L$105&lt;=TabS!$G$10,L21*$F$62))))))</f>
        <v>0</v>
      </c>
      <c r="M112" s="151">
        <f>IF(M$105&lt;=TabS!$G$5,M21*$F$57,IF(M$105&lt;=TabS!$G$6,M21*$F$58,IF(M$105&lt;=TabS!$G$7,M21*$F$59,IF(M$105&lt;=TabS!$G$8,M21*$F$60,IF(M$105&lt;=TabS!$G$9,M21*$F$61,IF(M$105&lt;=TabS!$G$10,M21*$F$62))))))</f>
        <v>0</v>
      </c>
      <c r="N112" s="151">
        <f>IF(N$105&lt;=TabS!$G$5,N21*$F$57,IF(N$105&lt;=TabS!$G$6,N21*$F$58,IF(N$105&lt;=TabS!$G$7,N21*$F$59,IF(N$105&lt;=TabS!$G$8,N21*$F$60,IF(N$105&lt;=TabS!$G$9,N21*$F$61,IF(N$105&lt;=TabS!$G$10,N21*$F$62))))))</f>
        <v>0</v>
      </c>
      <c r="O112" s="152">
        <f t="shared" si="44"/>
        <v>0</v>
      </c>
      <c r="Q112" s="150" t="s">
        <v>129</v>
      </c>
      <c r="R112" s="151">
        <f>IF(R$105&lt;=TabS!$G$5,R21*$F$57,IF(R$105&lt;=TabS!$G$6,R21*$F$58,IF(R$105&lt;=TabS!$G$7,R21*$F$59,IF(R$105&lt;=TabS!$G$8,R21*$F$60,IF(R$105&lt;=TabS!$G$9,R21*$F$61,IF(R$105&lt;=TabS!$G$10,R21*$F$62))))))</f>
        <v>0</v>
      </c>
      <c r="S112" s="151">
        <f>IF(S$105&lt;=TabS!$G$5,S21*$F$57,IF(S$105&lt;=TabS!$G$6,S21*$F$58,IF(S$105&lt;=TabS!$G$7,S21*$F$59,IF(S$105&lt;=TabS!$G$8,S21*$F$60,IF(S$105&lt;=TabS!$G$9,S21*$F$61,IF(S$105&lt;=TabS!$G$10,S21*$F$62))))))</f>
        <v>0</v>
      </c>
      <c r="T112" s="151">
        <f>IF(T$105&lt;=TabS!$G$5,T21*$F$57,IF(T$105&lt;=TabS!$G$6,T21*$F$58,IF(T$105&lt;=TabS!$G$7,T21*$F$59,IF(T$105&lt;=TabS!$G$8,T21*$F$60,IF(T$105&lt;=TabS!$G$9,T21*$F$61,IF(T$105&lt;=TabS!$G$10,T21*$F$62))))))</f>
        <v>0</v>
      </c>
      <c r="U112" s="151">
        <f>IF(U$105&lt;=TabS!$G$5,U21*$F$57,IF(U$105&lt;=TabS!$G$6,U21*$F$58,IF(U$105&lt;=TabS!$G$7,U21*$F$59,IF(U$105&lt;=TabS!$G$8,U21*$F$60,IF(U$105&lt;=TabS!$G$9,U21*$F$61,IF(U$105&lt;=TabS!$G$10,U21*$F$62))))))</f>
        <v>0</v>
      </c>
      <c r="V112" s="151">
        <f>IF(V$105&lt;=TabS!$G$5,V21*$F$57,IF(V$105&lt;=TabS!$G$6,V21*$F$58,IF(V$105&lt;=TabS!$G$7,V21*$F$59,IF(V$105&lt;=TabS!$G$8,V21*$F$60,IF(V$105&lt;=TabS!$G$9,V21*$F$61,IF(V$105&lt;=TabS!$G$10,V21*$F$62))))))</f>
        <v>0</v>
      </c>
      <c r="W112" s="151">
        <f>IF(W$105&lt;=TabS!$G$5,W21*$F$57,IF(W$105&lt;=TabS!$G$6,W21*$F$58,IF(W$105&lt;=TabS!$G$7,W21*$F$59,IF(W$105&lt;=TabS!$G$8,W21*$F$60,IF(W$105&lt;=TabS!$G$9,W21*$F$61,IF(W$105&lt;=TabS!$G$10,W21*$F$62))))))</f>
        <v>0</v>
      </c>
      <c r="X112" s="151">
        <f>IF(X$105&lt;=TabS!$G$5,X21*$F$57,IF(X$105&lt;=TabS!$G$6,X21*$F$58,IF(X$105&lt;=TabS!$G$7,X21*$F$59,IF(X$105&lt;=TabS!$G$8,X21*$F$60,IF(X$105&lt;=TabS!$G$9,X21*$F$61,IF(X$105&lt;=TabS!$G$10,X21*$F$62))))))</f>
        <v>0</v>
      </c>
      <c r="Y112" s="151">
        <f>IF(Y$105&lt;=TabS!$G$5,Y21*$F$57,IF(Y$105&lt;=TabS!$G$6,Y21*$F$58,IF(Y$105&lt;=TabS!$G$7,Y21*$F$59,IF(Y$105&lt;=TabS!$G$8,Y21*$F$60,IF(Y$105&lt;=TabS!$G$9,Y21*$F$61,IF(Y$105&lt;=TabS!$G$10,Y21*$F$62))))))</f>
        <v>0</v>
      </c>
      <c r="Z112" s="151">
        <f>IF(Z$105&lt;=TabS!$G$5,Z21*$F$57,IF(Z$105&lt;=TabS!$G$6,Z21*$F$58,IF(Z$105&lt;=TabS!$G$7,Z21*$F$59,IF(Z$105&lt;=TabS!$G$8,Z21*$F$60,IF(Z$105&lt;=TabS!$G$9,Z21*$F$61,IF(Z$105&lt;=TabS!$G$10,Z21*$F$62))))))</f>
        <v>0</v>
      </c>
      <c r="AA112" s="151">
        <f>IF(AA$105&lt;=TabS!$G$5,AA21*$F$57,IF(AA$105&lt;=TabS!$G$6,AA21*$F$58,IF(AA$105&lt;=TabS!$G$7,AA21*$F$59,IF(AA$105&lt;=TabS!$G$8,AA21*$F$60,IF(AA$105&lt;=TabS!$G$9,AA21*$F$61,IF(AA$105&lt;=TabS!$G$10,AA21*$F$62))))))</f>
        <v>0</v>
      </c>
      <c r="AB112" s="151">
        <f>IF(AB$105&lt;=TabS!$G$5,AB21*$F$57,IF(AB$105&lt;=TabS!$G$6,AB21*$F$58,IF(AB$105&lt;=TabS!$G$7,AB21*$F$59,IF(AB$105&lt;=TabS!$G$8,AB21*$F$60,IF(AB$105&lt;=TabS!$G$9,AB21*$F$61,IF(AB$105&lt;=TabS!$G$10,AB21*$F$62))))))</f>
        <v>0</v>
      </c>
      <c r="AC112" s="151">
        <f>IF(AC$105&lt;=TabS!$G$5,AC21*$F$57,IF(AC$105&lt;=TabS!$G$6,AC21*$F$58,IF(AC$105&lt;=TabS!$G$7,AC21*$F$59,IF(AC$105&lt;=TabS!$G$8,AC21*$F$60,IF(AC$105&lt;=TabS!$G$9,AC21*$F$61,IF(AC$105&lt;=TabS!$G$10,AC21*$F$62))))))</f>
        <v>0</v>
      </c>
      <c r="AD112" s="152">
        <f t="shared" si="45"/>
        <v>0</v>
      </c>
    </row>
    <row r="113" spans="2:30" ht="20.100000000000001" customHeight="1" x14ac:dyDescent="0.25">
      <c r="B113" s="167" t="s">
        <v>42</v>
      </c>
      <c r="C113" s="151">
        <f>IF(C$105&lt;=TabS!$G$5,C21*$G$57,IF(C$105&lt;=TabS!$G$6,C21*$G$58,IF(C$105&lt;=TabS!$G$7,C21*$G$59,IF(C$105&lt;=TabS!$G$8,C21*$G$60,IF(C$105&lt;=TabS!$G$9,C21*$G$61,IF(C$105&lt;=TabS!$G$10,C21*$G$62))))))</f>
        <v>0</v>
      </c>
      <c r="D113" s="151">
        <f>IF(D$105&lt;=TabS!$G$5,D21*$G$57,IF(D$105&lt;=TabS!$G$6,D21*$G$58,IF(D$105&lt;=TabS!$G$7,D21*$G$59,IF(D$105&lt;=TabS!$G$8,D21*$G$60,IF(D$105&lt;=TabS!$G$9,D21*$G$61,IF(D$105&lt;=TabS!$G$10,D21*$G$62))))))</f>
        <v>0</v>
      </c>
      <c r="E113" s="151">
        <f>IF(E$105&lt;=TabS!$G$5,E21*$G$57,IF(E$105&lt;=TabS!$G$6,E21*$G$58,IF(E$105&lt;=TabS!$G$7,E21*$G$59,IF(E$105&lt;=TabS!$G$8,E21*$G$60,IF(E$105&lt;=TabS!$G$9,E21*$G$61,IF(E$105&lt;=TabS!$G$10,E21*$G$62))))))</f>
        <v>0</v>
      </c>
      <c r="F113" s="151">
        <f>IF(F$105&lt;=TabS!$G$5,F21*$G$57,IF(F$105&lt;=TabS!$G$6,F21*$G$58,IF(F$105&lt;=TabS!$G$7,F21*$G$59,IF(F$105&lt;=TabS!$G$8,F21*$G$60,IF(F$105&lt;=TabS!$G$9,F21*$G$61,IF(F$105&lt;=TabS!$G$10,F21*$G$62))))))</f>
        <v>0</v>
      </c>
      <c r="G113" s="151">
        <f>IF(G$105&lt;=TabS!$G$5,G21*$G$57,IF(G$105&lt;=TabS!$G$6,G21*$G$58,IF(G$105&lt;=TabS!$G$7,G21*$G$59,IF(G$105&lt;=TabS!$G$8,G21*$G$60,IF(G$105&lt;=TabS!$G$9,G21*$G$61,IF(G$105&lt;=TabS!$G$10,G21*$G$62))))))</f>
        <v>0</v>
      </c>
      <c r="H113" s="151">
        <f>IF(H$105&lt;=TabS!$G$5,H21*$G$57,IF(H$105&lt;=TabS!$G$6,H21*$G$58,IF(H$105&lt;=TabS!$G$7,H21*$G$59,IF(H$105&lt;=TabS!$G$8,H21*$G$60,IF(H$105&lt;=TabS!$G$9,H21*$G$61,IF(H$105&lt;=TabS!$G$10,H21*$G$62))))))</f>
        <v>0</v>
      </c>
      <c r="I113" s="151">
        <f>IF(I$105&lt;=TabS!$G$5,I21*$G$57,IF(I$105&lt;=TabS!$G$6,I21*$G$58,IF(I$105&lt;=TabS!$G$7,I21*$G$59,IF(I$105&lt;=TabS!$G$8,I21*$G$60,IF(I$105&lt;=TabS!$G$9,I21*$G$61,IF(I$105&lt;=TabS!$G$10,I21*$G$62))))))</f>
        <v>0</v>
      </c>
      <c r="J113" s="151">
        <f>IF(J$105&lt;=TabS!$G$5,J21*$G$57,IF(J$105&lt;=TabS!$G$6,J21*$G$58,IF(J$105&lt;=TabS!$G$7,J21*$G$59,IF(J$105&lt;=TabS!$G$8,J21*$G$60,IF(J$105&lt;=TabS!$G$9,J21*$G$61,IF(J$105&lt;=TabS!$G$10,J21*$G$62))))))</f>
        <v>0</v>
      </c>
      <c r="K113" s="151">
        <f>IF(K$105&lt;=TabS!$G$5,K21*$G$57,IF(K$105&lt;=TabS!$G$6,K21*$G$58,IF(K$105&lt;=TabS!$G$7,K21*$G$59,IF(K$105&lt;=TabS!$G$8,K21*$G$60,IF(K$105&lt;=TabS!$G$9,K21*$G$61,IF(K$105&lt;=TabS!$G$10,K21*$G$62))))))</f>
        <v>0</v>
      </c>
      <c r="L113" s="151">
        <f>IF(L$105&lt;=TabS!$G$5,L21*$G$57,IF(L$105&lt;=TabS!$G$6,L21*$G$58,IF(L$105&lt;=TabS!$G$7,L21*$G$59,IF(L$105&lt;=TabS!$G$8,L21*$G$60,IF(L$105&lt;=TabS!$G$9,L21*$G$61,IF(L$105&lt;=TabS!$G$10,L21*$G$62))))))</f>
        <v>0</v>
      </c>
      <c r="M113" s="151">
        <f>IF(M$105&lt;=TabS!$G$5,M21*$G$57,IF(M$105&lt;=TabS!$G$6,M21*$G$58,IF(M$105&lt;=TabS!$G$7,M21*$G$59,IF(M$105&lt;=TabS!$G$8,M21*$G$60,IF(M$105&lt;=TabS!$G$9,M21*$G$61,IF(M$105&lt;=TabS!$G$10,M21*$G$62))))))</f>
        <v>0</v>
      </c>
      <c r="N113" s="151">
        <f>IF(N$105&lt;=TabS!$G$5,N21*$G$57,IF(N$105&lt;=TabS!$G$6,N21*$G$58,IF(N$105&lt;=TabS!$G$7,N21*$G$59,IF(N$105&lt;=TabS!$G$8,N21*$G$60,IF(N$105&lt;=TabS!$G$9,N21*$G$61,IF(N$105&lt;=TabS!$G$10,N21*$G$62))))))</f>
        <v>0</v>
      </c>
      <c r="O113" s="152">
        <f t="shared" si="44"/>
        <v>0</v>
      </c>
      <c r="Q113" s="150" t="s">
        <v>42</v>
      </c>
      <c r="R113" s="151">
        <f>IF(R$105&lt;=TabS!$G$5,R21*$G$57,IF(R$105&lt;=TabS!$G$6,R21*$G$58,IF(R$105&lt;=TabS!$G$7,R21*$G$59,IF(R$105&lt;=TabS!$G$8,R21*$G$60,IF(R$105&lt;=TabS!$G$9,R21*$G$61,IF(R$105&lt;=TabS!$G$10,R21*$G$62))))))</f>
        <v>0</v>
      </c>
      <c r="S113" s="151">
        <f>IF(S$105&lt;=TabS!$G$5,S21*$G$57,IF(S$105&lt;=TabS!$G$6,S21*$G$58,IF(S$105&lt;=TabS!$G$7,S21*$G$59,IF(S$105&lt;=TabS!$G$8,S21*$G$60,IF(S$105&lt;=TabS!$G$9,S21*$G$61,IF(S$105&lt;=TabS!$G$10,S21*$G$62))))))</f>
        <v>0</v>
      </c>
      <c r="T113" s="151">
        <f>IF(T$105&lt;=TabS!$G$5,T21*$G$57,IF(T$105&lt;=TabS!$G$6,T21*$G$58,IF(T$105&lt;=TabS!$G$7,T21*$G$59,IF(T$105&lt;=TabS!$G$8,T21*$G$60,IF(T$105&lt;=TabS!$G$9,T21*$G$61,IF(T$105&lt;=TabS!$G$10,T21*$G$62))))))</f>
        <v>0</v>
      </c>
      <c r="U113" s="151">
        <f>IF(U$105&lt;=TabS!$G$5,U21*$G$57,IF(U$105&lt;=TabS!$G$6,U21*$G$58,IF(U$105&lt;=TabS!$G$7,U21*$G$59,IF(U$105&lt;=TabS!$G$8,U21*$G$60,IF(U$105&lt;=TabS!$G$9,U21*$G$61,IF(U$105&lt;=TabS!$G$10,U21*$G$62))))))</f>
        <v>0</v>
      </c>
      <c r="V113" s="151">
        <f>IF(V$105&lt;=TabS!$G$5,V21*$G$57,IF(V$105&lt;=TabS!$G$6,V21*$G$58,IF(V$105&lt;=TabS!$G$7,V21*$G$59,IF(V$105&lt;=TabS!$G$8,V21*$G$60,IF(V$105&lt;=TabS!$G$9,V21*$G$61,IF(V$105&lt;=TabS!$G$10,V21*$G$62))))))</f>
        <v>0</v>
      </c>
      <c r="W113" s="151">
        <f>IF(W$105&lt;=TabS!$G$5,W21*$G$57,IF(W$105&lt;=TabS!$G$6,W21*$G$58,IF(W$105&lt;=TabS!$G$7,W21*$G$59,IF(W$105&lt;=TabS!$G$8,W21*$G$60,IF(W$105&lt;=TabS!$G$9,W21*$G$61,IF(W$105&lt;=TabS!$G$10,W21*$G$62))))))</f>
        <v>0</v>
      </c>
      <c r="X113" s="151">
        <f>IF(X$105&lt;=TabS!$G$5,X21*$G$57,IF(X$105&lt;=TabS!$G$6,X21*$G$58,IF(X$105&lt;=TabS!$G$7,X21*$G$59,IF(X$105&lt;=TabS!$G$8,X21*$G$60,IF(X$105&lt;=TabS!$G$9,X21*$G$61,IF(X$105&lt;=TabS!$G$10,X21*$G$62))))))</f>
        <v>0</v>
      </c>
      <c r="Y113" s="151">
        <f>IF(Y$105&lt;=TabS!$G$5,Y21*$G$57,IF(Y$105&lt;=TabS!$G$6,Y21*$G$58,IF(Y$105&lt;=TabS!$G$7,Y21*$G$59,IF(Y$105&lt;=TabS!$G$8,Y21*$G$60,IF(Y$105&lt;=TabS!$G$9,Y21*$G$61,IF(Y$105&lt;=TabS!$G$10,Y21*$G$62))))))</f>
        <v>0</v>
      </c>
      <c r="Z113" s="151">
        <f>IF(Z$105&lt;=TabS!$G$5,Z21*$G$57,IF(Z$105&lt;=TabS!$G$6,Z21*$G$58,IF(Z$105&lt;=TabS!$G$7,Z21*$G$59,IF(Z$105&lt;=TabS!$G$8,Z21*$G$60,IF(Z$105&lt;=TabS!$G$9,Z21*$G$61,IF(Z$105&lt;=TabS!$G$10,Z21*$G$62))))))</f>
        <v>0</v>
      </c>
      <c r="AA113" s="151">
        <f>IF(AA$105&lt;=TabS!$G$5,AA21*$G$57,IF(AA$105&lt;=TabS!$G$6,AA21*$G$58,IF(AA$105&lt;=TabS!$G$7,AA21*$G$59,IF(AA$105&lt;=TabS!$G$8,AA21*$G$60,IF(AA$105&lt;=TabS!$G$9,AA21*$G$61,IF(AA$105&lt;=TabS!$G$10,AA21*$G$62))))))</f>
        <v>0</v>
      </c>
      <c r="AB113" s="151">
        <f>IF(AB$105&lt;=TabS!$G$5,AB21*$G$57,IF(AB$105&lt;=TabS!$G$6,AB21*$G$58,IF(AB$105&lt;=TabS!$G$7,AB21*$G$59,IF(AB$105&lt;=TabS!$G$8,AB21*$G$60,IF(AB$105&lt;=TabS!$G$9,AB21*$G$61,IF(AB$105&lt;=TabS!$G$10,AB21*$G$62))))))</f>
        <v>0</v>
      </c>
      <c r="AC113" s="151">
        <f>IF(AC$105&lt;=TabS!$G$5,AC21*$G$57,IF(AC$105&lt;=TabS!$G$6,AC21*$G$58,IF(AC$105&lt;=TabS!$G$7,AC21*$G$59,IF(AC$105&lt;=TabS!$G$8,AC21*$G$60,IF(AC$105&lt;=TabS!$G$9,AC21*$G$61,IF(AC$105&lt;=TabS!$G$10,AC21*$G$62))))))</f>
        <v>0</v>
      </c>
      <c r="AD113" s="152">
        <f t="shared" si="45"/>
        <v>0</v>
      </c>
    </row>
    <row r="114" spans="2:30" ht="20.100000000000001" customHeight="1" x14ac:dyDescent="0.25">
      <c r="B114" s="167" t="s">
        <v>40</v>
      </c>
      <c r="C114" s="151">
        <f>IF(C$105&lt;=TabS!$G$5,C21*$H$57,IF(C$105&lt;=TabS!$G$6,C21*$H$58,IF(C$105&lt;=TabS!$G$7,C21*$H$59,IF(C$105&lt;=TabS!$G$8,C21*$H$60,IF(C$105&lt;=TabS!$G$9,C21*$H$61,IF(C$105&lt;=TabS!$G$10,C21*$H$62))))))</f>
        <v>0</v>
      </c>
      <c r="D114" s="151">
        <f>IF(D$105&lt;=TabS!$G$5,D21*$H$57,IF(D$105&lt;=TabS!$G$6,D21*$H$58,IF(D$105&lt;=TabS!$G$7,D21*$H$59,IF(D$105&lt;=TabS!$G$8,D21*$H$60,IF(D$105&lt;=TabS!$G$9,D21*$H$61,IF(D$105&lt;=TabS!$G$10,D21*$H$62))))))</f>
        <v>0</v>
      </c>
      <c r="E114" s="151">
        <f>IF(E$105&lt;=TabS!$G$5,E21*$H$57,IF(E$105&lt;=TabS!$G$6,E21*$H$58,IF(E$105&lt;=TabS!$G$7,E21*$H$59,IF(E$105&lt;=TabS!$G$8,E21*$H$60,IF(E$105&lt;=TabS!$G$9,E21*$H$61,IF(E$105&lt;=TabS!$G$10,E21*$H$62))))))</f>
        <v>0</v>
      </c>
      <c r="F114" s="151">
        <f>IF(F$105&lt;=TabS!$G$5,F21*$H$57,IF(F$105&lt;=TabS!$G$6,F21*$H$58,IF(F$105&lt;=TabS!$G$7,F21*$H$59,IF(F$105&lt;=TabS!$G$8,F21*$H$60,IF(F$105&lt;=TabS!$G$9,F21*$H$61,IF(F$105&lt;=TabS!$G$10,F21*$H$62))))))</f>
        <v>0</v>
      </c>
      <c r="G114" s="151">
        <f>IF(G$105&lt;=TabS!$G$5,G21*$H$57,IF(G$105&lt;=TabS!$G$6,G21*$H$58,IF(G$105&lt;=TabS!$G$7,G21*$H$59,IF(G$105&lt;=TabS!$G$8,G21*$H$60,IF(G$105&lt;=TabS!$G$9,G21*$H$61,IF(G$105&lt;=TabS!$G$10,G21*$H$62))))))</f>
        <v>0</v>
      </c>
      <c r="H114" s="151">
        <f>IF(H$105&lt;=TabS!$G$5,H21*$H$57,IF(H$105&lt;=TabS!$G$6,H21*$H$58,IF(H$105&lt;=TabS!$G$7,H21*$H$59,IF(H$105&lt;=TabS!$G$8,H21*$H$60,IF(H$105&lt;=TabS!$G$9,H21*$H$61,IF(H$105&lt;=TabS!$G$10,H21*$H$62))))))</f>
        <v>0</v>
      </c>
      <c r="I114" s="151">
        <f>IF(I$105&lt;=TabS!$G$5,I21*$H$57,IF(I$105&lt;=TabS!$G$6,I21*$H$58,IF(I$105&lt;=TabS!$G$7,I21*$H$59,IF(I$105&lt;=TabS!$G$8,I21*$H$60,IF(I$105&lt;=TabS!$G$9,I21*$H$61,IF(I$105&lt;=TabS!$G$10,I21*$H$62))))))</f>
        <v>0</v>
      </c>
      <c r="J114" s="151">
        <f>IF(J$105&lt;=TabS!$G$5,J21*$H$57,IF(J$105&lt;=TabS!$G$6,J21*$H$58,IF(J$105&lt;=TabS!$G$7,J21*$H$59,IF(J$105&lt;=TabS!$G$8,J21*$H$60,IF(J$105&lt;=TabS!$G$9,J21*$H$61,IF(J$105&lt;=TabS!$G$10,J21*$H$62))))))</f>
        <v>0</v>
      </c>
      <c r="K114" s="151">
        <f>IF(K$105&lt;=TabS!$G$5,K21*$H$57,IF(K$105&lt;=TabS!$G$6,K21*$H$58,IF(K$105&lt;=TabS!$G$7,K21*$H$59,IF(K$105&lt;=TabS!$G$8,K21*$H$60,IF(K$105&lt;=TabS!$G$9,K21*$H$61,IF(K$105&lt;=TabS!$G$10,K21*$H$62))))))</f>
        <v>0</v>
      </c>
      <c r="L114" s="151">
        <f>IF(L$105&lt;=TabS!$G$5,L21*$H$57,IF(L$105&lt;=TabS!$G$6,L21*$H$58,IF(L$105&lt;=TabS!$G$7,L21*$H$59,IF(L$105&lt;=TabS!$G$8,L21*$H$60,IF(L$105&lt;=TabS!$G$9,L21*$H$61,IF(L$105&lt;=TabS!$G$10,L21*$H$62))))))</f>
        <v>0</v>
      </c>
      <c r="M114" s="151">
        <f>IF(M$105&lt;=TabS!$G$5,M21*$H$57,IF(M$105&lt;=TabS!$G$6,M21*$H$58,IF(M$105&lt;=TabS!$G$7,M21*$H$59,IF(M$105&lt;=TabS!$G$8,M21*$H$60,IF(M$105&lt;=TabS!$G$9,M21*$H$61,IF(M$105&lt;=TabS!$G$10,M21*$H$62))))))</f>
        <v>0</v>
      </c>
      <c r="N114" s="151">
        <f>IF(N$105&lt;=TabS!$G$5,N21*$H$57,IF(N$105&lt;=TabS!$G$6,N21*$H$58,IF(N$105&lt;=TabS!$G$7,N21*$H$59,IF(N$105&lt;=TabS!$G$8,N21*$H$60,IF(N$105&lt;=TabS!$G$9,N21*$H$61,IF(N$105&lt;=TabS!$G$10,N21*$H$62))))))</f>
        <v>0</v>
      </c>
      <c r="O114" s="152">
        <f t="shared" si="44"/>
        <v>0</v>
      </c>
      <c r="Q114" s="150" t="s">
        <v>40</v>
      </c>
      <c r="R114" s="151">
        <f>IF(R$105&lt;=TabS!$G$5,R21*$H$57,IF(R$105&lt;=TabS!$G$6,R21*$H$58,IF(R$105&lt;=TabS!$G$7,R21*$H$59,IF(R$105&lt;=TabS!$G$8,R21*$H$60,IF(R$105&lt;=TabS!$G$9,R21*$H$61,IF(R$105&lt;=TabS!$G$10,R21*$H$62))))))</f>
        <v>0</v>
      </c>
      <c r="S114" s="151">
        <f>IF(S$105&lt;=TabS!$G$5,S21*$H$57,IF(S$105&lt;=TabS!$G$6,S21*$H$58,IF(S$105&lt;=TabS!$G$7,S21*$H$59,IF(S$105&lt;=TabS!$G$8,S21*$H$60,IF(S$105&lt;=TabS!$G$9,S21*$H$61,IF(S$105&lt;=TabS!$G$10,S21*$H$62))))))</f>
        <v>0</v>
      </c>
      <c r="T114" s="151">
        <f>IF(T$105&lt;=TabS!$G$5,T21*$H$57,IF(T$105&lt;=TabS!$G$6,T21*$H$58,IF(T$105&lt;=TabS!$G$7,T21*$H$59,IF(T$105&lt;=TabS!$G$8,T21*$H$60,IF(T$105&lt;=TabS!$G$9,T21*$H$61,IF(T$105&lt;=TabS!$G$10,T21*$H$62))))))</f>
        <v>0</v>
      </c>
      <c r="U114" s="151">
        <f>IF(U$105&lt;=TabS!$G$5,U21*$H$57,IF(U$105&lt;=TabS!$G$6,U21*$H$58,IF(U$105&lt;=TabS!$G$7,U21*$H$59,IF(U$105&lt;=TabS!$G$8,U21*$H$60,IF(U$105&lt;=TabS!$G$9,U21*$H$61,IF(U$105&lt;=TabS!$G$10,U21*$H$62))))))</f>
        <v>0</v>
      </c>
      <c r="V114" s="151">
        <f>IF(V$105&lt;=TabS!$G$5,V21*$H$57,IF(V$105&lt;=TabS!$G$6,V21*$H$58,IF(V$105&lt;=TabS!$G$7,V21*$H$59,IF(V$105&lt;=TabS!$G$8,V21*$H$60,IF(V$105&lt;=TabS!$G$9,V21*$H$61,IF(V$105&lt;=TabS!$G$10,V21*$H$62))))))</f>
        <v>0</v>
      </c>
      <c r="W114" s="151">
        <f>IF(W$105&lt;=TabS!$G$5,W21*$H$57,IF(W$105&lt;=TabS!$G$6,W21*$H$58,IF(W$105&lt;=TabS!$G$7,W21*$H$59,IF(W$105&lt;=TabS!$G$8,W21*$H$60,IF(W$105&lt;=TabS!$G$9,W21*$H$61,IF(W$105&lt;=TabS!$G$10,W21*$H$62))))))</f>
        <v>0</v>
      </c>
      <c r="X114" s="151">
        <f>IF(X$105&lt;=TabS!$G$5,X21*$H$57,IF(X$105&lt;=TabS!$G$6,X21*$H$58,IF(X$105&lt;=TabS!$G$7,X21*$H$59,IF(X$105&lt;=TabS!$G$8,X21*$H$60,IF(X$105&lt;=TabS!$G$9,X21*$H$61,IF(X$105&lt;=TabS!$G$10,X21*$H$62))))))</f>
        <v>0</v>
      </c>
      <c r="Y114" s="151">
        <f>IF(Y$105&lt;=TabS!$G$5,Y21*$H$57,IF(Y$105&lt;=TabS!$G$6,Y21*$H$58,IF(Y$105&lt;=TabS!$G$7,Y21*$H$59,IF(Y$105&lt;=TabS!$G$8,Y21*$H$60,IF(Y$105&lt;=TabS!$G$9,Y21*$H$61,IF(Y$105&lt;=TabS!$G$10,Y21*$H$62))))))</f>
        <v>0</v>
      </c>
      <c r="Z114" s="151">
        <f>IF(Z$105&lt;=TabS!$G$5,Z21*$H$57,IF(Z$105&lt;=TabS!$G$6,Z21*$H$58,IF(Z$105&lt;=TabS!$G$7,Z21*$H$59,IF(Z$105&lt;=TabS!$G$8,Z21*$H$60,IF(Z$105&lt;=TabS!$G$9,Z21*$H$61,IF(Z$105&lt;=TabS!$G$10,Z21*$H$62))))))</f>
        <v>0</v>
      </c>
      <c r="AA114" s="151">
        <f>IF(AA$105&lt;=TabS!$G$5,AA21*$H$57,IF(AA$105&lt;=TabS!$G$6,AA21*$H$58,IF(AA$105&lt;=TabS!$G$7,AA21*$H$59,IF(AA$105&lt;=TabS!$G$8,AA21*$H$60,IF(AA$105&lt;=TabS!$G$9,AA21*$H$61,IF(AA$105&lt;=TabS!$G$10,AA21*$H$62))))))</f>
        <v>0</v>
      </c>
      <c r="AB114" s="151">
        <f>IF(AB$105&lt;=TabS!$G$5,AB21*$H$57,IF(AB$105&lt;=TabS!$G$6,AB21*$H$58,IF(AB$105&lt;=TabS!$G$7,AB21*$H$59,IF(AB$105&lt;=TabS!$G$8,AB21*$H$60,IF(AB$105&lt;=TabS!$G$9,AB21*$H$61,IF(AB$105&lt;=TabS!$G$10,AB21*$H$62))))))</f>
        <v>0</v>
      </c>
      <c r="AC114" s="151">
        <f>IF(AC$105&lt;=TabS!$G$5,AC21*$H$57,IF(AC$105&lt;=TabS!$G$6,AC21*$H$58,IF(AC$105&lt;=TabS!$G$7,AC21*$H$59,IF(AC$105&lt;=TabS!$G$8,AC21*$H$60,IF(AC$105&lt;=TabS!$G$9,AC21*$H$61,IF(AC$105&lt;=TabS!$G$10,AC21*$H$62))))))</f>
        <v>0</v>
      </c>
      <c r="AD114" s="152">
        <f t="shared" si="45"/>
        <v>0</v>
      </c>
    </row>
    <row r="115" spans="2:30" ht="20.100000000000001" customHeight="1" x14ac:dyDescent="0.25">
      <c r="B115" s="168" t="s">
        <v>99</v>
      </c>
      <c r="C115" s="152">
        <f>SUM(C109:C114)</f>
        <v>0</v>
      </c>
      <c r="D115" s="152">
        <f t="shared" ref="D115:N115" si="47">SUM(D109:D114)</f>
        <v>0</v>
      </c>
      <c r="E115" s="152">
        <f t="shared" si="47"/>
        <v>0</v>
      </c>
      <c r="F115" s="152">
        <f t="shared" si="47"/>
        <v>0</v>
      </c>
      <c r="G115" s="152">
        <f t="shared" si="47"/>
        <v>0</v>
      </c>
      <c r="H115" s="152">
        <f t="shared" si="47"/>
        <v>0</v>
      </c>
      <c r="I115" s="152">
        <f t="shared" si="47"/>
        <v>0</v>
      </c>
      <c r="J115" s="152">
        <f t="shared" si="47"/>
        <v>0</v>
      </c>
      <c r="K115" s="152">
        <f t="shared" si="47"/>
        <v>0</v>
      </c>
      <c r="L115" s="152">
        <f t="shared" si="47"/>
        <v>0</v>
      </c>
      <c r="M115" s="152">
        <f t="shared" si="47"/>
        <v>0</v>
      </c>
      <c r="N115" s="152">
        <f t="shared" si="47"/>
        <v>0</v>
      </c>
      <c r="O115" s="152">
        <f t="shared" si="44"/>
        <v>0</v>
      </c>
      <c r="Q115" s="153" t="s">
        <v>99</v>
      </c>
      <c r="R115" s="152">
        <f>SUM(R109:R114)</f>
        <v>0</v>
      </c>
      <c r="S115" s="152">
        <f t="shared" ref="S115:AC115" si="48">SUM(S109:S114)</f>
        <v>0</v>
      </c>
      <c r="T115" s="152">
        <f t="shared" si="48"/>
        <v>0</v>
      </c>
      <c r="U115" s="152">
        <f t="shared" si="48"/>
        <v>0</v>
      </c>
      <c r="V115" s="152">
        <f t="shared" si="48"/>
        <v>0</v>
      </c>
      <c r="W115" s="152">
        <f t="shared" si="48"/>
        <v>0</v>
      </c>
      <c r="X115" s="152">
        <f t="shared" si="48"/>
        <v>0</v>
      </c>
      <c r="Y115" s="152">
        <f t="shared" si="48"/>
        <v>0</v>
      </c>
      <c r="Z115" s="152">
        <f t="shared" si="48"/>
        <v>0</v>
      </c>
      <c r="AA115" s="152">
        <f t="shared" si="48"/>
        <v>0</v>
      </c>
      <c r="AB115" s="152">
        <f t="shared" si="48"/>
        <v>0</v>
      </c>
      <c r="AC115" s="152">
        <f t="shared" si="48"/>
        <v>0</v>
      </c>
      <c r="AD115" s="152">
        <f t="shared" si="45"/>
        <v>0</v>
      </c>
    </row>
    <row r="116" spans="2:30" ht="20.100000000000001" customHeight="1" x14ac:dyDescent="0.25">
      <c r="B116" s="164" t="s">
        <v>81</v>
      </c>
      <c r="Q116" s="144" t="s">
        <v>140</v>
      </c>
      <c r="R116" s="158">
        <f>IFERROR((R105*TabS!$H$9-TabS!$I$9)/R105*$E$61,0)</f>
        <v>0</v>
      </c>
      <c r="S116" s="158">
        <f>IFERROR((S105*TabS!$H$9-TabS!$I$9)/S105*$E$61,0)</f>
        <v>0</v>
      </c>
      <c r="T116" s="158">
        <f>IFERROR((T105*TabS!$H$9-TabS!$I$9)/T105*$E$61,0)</f>
        <v>0</v>
      </c>
      <c r="U116" s="158">
        <f>IFERROR((U105*TabS!$H$9-TabS!$I$9)/U105*$E$61,0)</f>
        <v>0</v>
      </c>
      <c r="V116" s="158">
        <f>IFERROR((V105*TabS!$H$9-TabS!$I$9)/V105*$E$61,0)</f>
        <v>0</v>
      </c>
      <c r="W116" s="158">
        <f>IFERROR((W105*TabS!$H$9-TabS!$I$9)/W105*$E$61,0)</f>
        <v>0</v>
      </c>
      <c r="X116" s="158">
        <f>IFERROR((X105*TabS!$H$9-TabS!$I$9)/X105*$E$61,0)</f>
        <v>0</v>
      </c>
      <c r="Y116" s="158">
        <f>IFERROR((Y105*TabS!$H$9-TabS!$I$9)/Y105*$E$61,0)</f>
        <v>0</v>
      </c>
      <c r="Z116" s="158">
        <f>IFERROR((Z105*TabS!$H$9-TabS!$I$9)/Z105*$E$61,0)</f>
        <v>0</v>
      </c>
      <c r="AA116" s="158">
        <f>IFERROR((AA105*TabS!$H$9-TabS!$I$9)/AA105*$E$61,0)</f>
        <v>0</v>
      </c>
      <c r="AB116" s="158">
        <f>IFERROR((AB105*TabS!$H$9-TabS!$I$9)/AB105*$E$61,0)</f>
        <v>0</v>
      </c>
      <c r="AC116" s="158">
        <f>IFERROR((AC105*TabS!$H$9-TabS!$I$9)/AC105*$E$61,0)</f>
        <v>0</v>
      </c>
    </row>
    <row r="117" spans="2:30" ht="20.100000000000001" customHeight="1" x14ac:dyDescent="0.25">
      <c r="B117" s="149" t="s">
        <v>82</v>
      </c>
      <c r="C117" s="149" t="s">
        <v>83</v>
      </c>
      <c r="D117" s="149" t="s">
        <v>84</v>
      </c>
      <c r="E117" s="149" t="s">
        <v>85</v>
      </c>
      <c r="F117" s="149" t="s">
        <v>86</v>
      </c>
      <c r="G117" s="149" t="s">
        <v>87</v>
      </c>
      <c r="H117" s="149" t="s">
        <v>88</v>
      </c>
      <c r="I117" s="149" t="s">
        <v>89</v>
      </c>
      <c r="J117" s="149" t="s">
        <v>90</v>
      </c>
      <c r="K117" s="149" t="s">
        <v>91</v>
      </c>
      <c r="L117" s="149" t="s">
        <v>92</v>
      </c>
      <c r="M117" s="149" t="s">
        <v>93</v>
      </c>
      <c r="N117" s="149" t="s">
        <v>94</v>
      </c>
      <c r="O117" s="149" t="s">
        <v>95</v>
      </c>
      <c r="Q117" s="144" t="s">
        <v>141</v>
      </c>
      <c r="R117" s="158">
        <f>IFERROR((R105*TabS!$H$15-TabS!$I$15)/R105*$E$71,0)</f>
        <v>0</v>
      </c>
      <c r="S117" s="158">
        <f>IFERROR((S105*TabS!$H$15-TabS!$I$15)/S105*$E$71,0)</f>
        <v>0</v>
      </c>
      <c r="T117" s="158">
        <f>IFERROR((T105*TabS!$H$15-TabS!$I$15)/T105*$E$71,0)</f>
        <v>0</v>
      </c>
      <c r="U117" s="158">
        <f>IFERROR((U105*TabS!$H$15-TabS!$I$15)/U105*$E$71,0)</f>
        <v>0</v>
      </c>
      <c r="V117" s="158">
        <f>IFERROR((V105*TabS!$H$15-TabS!$I$15)/V105*$E$71,0)</f>
        <v>0</v>
      </c>
      <c r="W117" s="158">
        <f>IFERROR((W105*TabS!$H$15-TabS!$I$15)/W105*$E$71,0)</f>
        <v>0</v>
      </c>
      <c r="X117" s="158">
        <f>IFERROR((X105*TabS!$H$15-TabS!$I$15)/X105*$E$71,0)</f>
        <v>0</v>
      </c>
      <c r="Y117" s="158">
        <f>IFERROR((Y105*TabS!$H$15-TabS!$I$15)/Y105*$E$71,0)</f>
        <v>0</v>
      </c>
      <c r="Z117" s="158">
        <f>IFERROR((Z105*TabS!$H$15-TabS!$I$15)/Z105*$E$71,0)</f>
        <v>0</v>
      </c>
      <c r="AA117" s="158">
        <f>IFERROR((AA105*TabS!$H$15-TabS!$I$15)/AA105*$E$71,0)</f>
        <v>0</v>
      </c>
      <c r="AB117" s="158">
        <f>IFERROR((AB105*TabS!$H$15-TabS!$I$15)/AB105*$E$71,0)</f>
        <v>0</v>
      </c>
      <c r="AC117" s="158">
        <f>IFERROR((AC105*TabS!$H$15-TabS!$I$15)/AC105*$E$71,0)</f>
        <v>0</v>
      </c>
    </row>
    <row r="118" spans="2:30" ht="20.100000000000001" customHeight="1" x14ac:dyDescent="0.25">
      <c r="B118" s="167" t="s">
        <v>97</v>
      </c>
      <c r="C118" s="151">
        <f>IF(C$105&lt;=TabS!$G$5,C28*$C$67,IF(C$105&lt;=TabS!$G$6,C28*$C$68,IF(C$105&lt;=TabS!$G$7,C28*$C$69,IF(C$105&lt;=TabS!$G$8,C28*$C$70,IF(C$105&lt;=TabS!$G$9,C28*$C$71,IF(C$105&lt;=TabS!$G$10,C28*$C$72))))))</f>
        <v>0</v>
      </c>
      <c r="D118" s="151">
        <f>IF(D$105&lt;=TabS!$G$5,D28*$C$67,IF(D$105&lt;=TabS!$G$6,D28*$C$68,IF(D$105&lt;=TabS!$G$7,D28*$C$69,IF(D$105&lt;=TabS!$G$8,D28*$C$70,IF(D$105&lt;=TabS!$G$9,D28*$C$71,IF(D$105&lt;=TabS!$G$10,D28*$C$72))))))</f>
        <v>0</v>
      </c>
      <c r="E118" s="151">
        <f>IF(E$105&lt;=TabS!$G$5,E28*$C$67,IF(E$105&lt;=TabS!$G$6,E28*$C$68,IF(E$105&lt;=TabS!$G$7,E28*$C$69,IF(E$105&lt;=TabS!$G$8,E28*$C$70,IF(E$105&lt;=TabS!$G$9,E28*$C$71,IF(E$105&lt;=TabS!$G$10,E28*$C$72))))))</f>
        <v>0</v>
      </c>
      <c r="F118" s="151">
        <f>IF(F$105&lt;=TabS!$G$5,F28*$C$67,IF(F$105&lt;=TabS!$G$6,F28*$C$68,IF(F$105&lt;=TabS!$G$7,F28*$C$69,IF(F$105&lt;=TabS!$G$8,F28*$C$70,IF(F$105&lt;=TabS!$G$9,F28*$C$71,IF(F$105&lt;=TabS!$G$10,F28*$C$72))))))</f>
        <v>0</v>
      </c>
      <c r="G118" s="151">
        <f>IF(G$105&lt;=TabS!$G$5,G28*$C$67,IF(G$105&lt;=TabS!$G$6,G28*$C$68,IF(G$105&lt;=TabS!$G$7,G28*$C$69,IF(G$105&lt;=TabS!$G$8,G28*$C$70,IF(G$105&lt;=TabS!$G$9,G28*$C$71,IF(G$105&lt;=TabS!$G$10,G28*$C$72))))))</f>
        <v>0</v>
      </c>
      <c r="H118" s="151">
        <f>IF(H$105&lt;=TabS!$G$5,H28*$C$67,IF(H$105&lt;=TabS!$G$6,H28*$C$68,IF(H$105&lt;=TabS!$G$7,H28*$C$69,IF(H$105&lt;=TabS!$G$8,H28*$C$70,IF(H$105&lt;=TabS!$G$9,H28*$C$71,IF(H$105&lt;=TabS!$G$10,H28*$C$72))))))</f>
        <v>0</v>
      </c>
      <c r="I118" s="151">
        <f>IF(I$105&lt;=TabS!$G$5,I28*$C$67,IF(I$105&lt;=TabS!$G$6,I28*$C$68,IF(I$105&lt;=TabS!$G$7,I28*$C$69,IF(I$105&lt;=TabS!$G$8,I28*$C$70,IF(I$105&lt;=TabS!$G$9,I28*$C$71,IF(I$105&lt;=TabS!$G$10,I28*$C$72))))))</f>
        <v>0</v>
      </c>
      <c r="J118" s="151">
        <f>IF(J$105&lt;=TabS!$G$5,J28*$C$67,IF(J$105&lt;=TabS!$G$6,J28*$C$68,IF(J$105&lt;=TabS!$G$7,J28*$C$69,IF(J$105&lt;=TabS!$G$8,J28*$C$70,IF(J$105&lt;=TabS!$G$9,J28*$C$71,IF(J$105&lt;=TabS!$G$10,J28*$C$72))))))</f>
        <v>0</v>
      </c>
      <c r="K118" s="151">
        <f>IF(K$105&lt;=TabS!$G$5,K28*$C$67,IF(K$105&lt;=TabS!$G$6,K28*$C$68,IF(K$105&lt;=TabS!$G$7,K28*$C$69,IF(K$105&lt;=TabS!$G$8,K28*$C$70,IF(K$105&lt;=TabS!$G$9,K28*$C$71,IF(K$105&lt;=TabS!$G$10,K28*$C$72))))))</f>
        <v>0</v>
      </c>
      <c r="L118" s="151">
        <f>IF(L$105&lt;=TabS!$G$5,L28*$C$67,IF(L$105&lt;=TabS!$G$6,L28*$C$68,IF(L$105&lt;=TabS!$G$7,L28*$C$69,IF(L$105&lt;=TabS!$G$8,L28*$C$70,IF(L$105&lt;=TabS!$G$9,L28*$C$71,IF(L$105&lt;=TabS!$G$10,L28*$C$72))))))</f>
        <v>0</v>
      </c>
      <c r="M118" s="151">
        <f>IF(M$105&lt;=TabS!$G$5,M28*$C$67,IF(M$105&lt;=TabS!$G$6,M28*$C$68,IF(M$105&lt;=TabS!$G$7,M28*$C$69,IF(M$105&lt;=TabS!$G$8,M28*$C$70,IF(M$105&lt;=TabS!$G$9,M28*$C$71,IF(M$105&lt;=TabS!$G$10,M28*$C$72))))))</f>
        <v>0</v>
      </c>
      <c r="N118" s="151">
        <f>IF(N$105&lt;=TabS!$G$5,N28*$C$67,IF(N$105&lt;=TabS!$G$6,N28*$C$68,IF(N$105&lt;=TabS!$G$7,N28*$C$69,IF(N$105&lt;=TabS!$G$8,N28*$C$70,IF(N$105&lt;=TabS!$G$9,N28*$C$71,IF(N$105&lt;=TabS!$G$10,N28*$C$72))))))</f>
        <v>0</v>
      </c>
      <c r="O118" s="152">
        <f t="shared" ref="O118:O125" si="49">SUM(C118:N118)</f>
        <v>0</v>
      </c>
      <c r="Q118" s="150" t="s">
        <v>141</v>
      </c>
      <c r="R118" s="151">
        <f>IF(C105&lt;R106,IF(C$105&lt;=TabS!$G$5,C28*$E$67,IF(C$105&lt;=TabS!$G$6,C28*$E$68,IF(C$105&lt;=TabS!$G$7,C28*$E$69,IF(C$105&lt;=TabS!$G$8,C28*$E$70,IF(C$105&lt;=TabS!$G$9,C28*$E$71,IF(C$105&lt;=TabS!$G$10,C28*$E$72)))))),C24*R117)</f>
        <v>0</v>
      </c>
      <c r="S118" s="151">
        <f>IF(D105&lt;S106,IF(D$105&lt;=TabS!$G$5,D28*$E$67,IF(D$105&lt;=TabS!$G$6,D28*$E$68,IF(D$105&lt;=TabS!$G$7,D28*$E$69,IF(D$105&lt;=TabS!$G$8,D28*$E$70,IF(D$105&lt;=TabS!$G$9,D28*$E$71,IF(D$105&lt;=TabS!$G$10,D28*$E$72)))))),D24*S117)</f>
        <v>0</v>
      </c>
      <c r="T118" s="151">
        <f>IF(E105&lt;T106,IF(E$105&lt;=TabS!$G$5,E28*$E$67,IF(E$105&lt;=TabS!$G$6,E28*$E$68,IF(E$105&lt;=TabS!$G$7,E28*$E$69,IF(E$105&lt;=TabS!$G$8,E28*$E$70,IF(E$105&lt;=TabS!$G$9,E28*$E$71,IF(E$105&lt;=TabS!$G$10,E28*$E$72)))))),E24*T117)</f>
        <v>0</v>
      </c>
      <c r="U118" s="151">
        <f>IF(F105&lt;U106,IF(F$105&lt;=TabS!$G$5,F28*$E$67,IF(F$105&lt;=TabS!$G$6,F28*$E$68,IF(F$105&lt;=TabS!$G$7,F28*$E$69,IF(F$105&lt;=TabS!$G$8,F28*$E$70,IF(F$105&lt;=TabS!$G$9,F28*$E$71,IF(F$105&lt;=TabS!$G$10,F28*$E$72)))))),F24*U117)</f>
        <v>0</v>
      </c>
      <c r="V118" s="151">
        <f>IF(G105&lt;V106,IF(G$105&lt;=TabS!$G$5,G28*$E$67,IF(G$105&lt;=TabS!$G$6,G28*$E$68,IF(G$105&lt;=TabS!$G$7,G28*$E$69,IF(G$105&lt;=TabS!$G$8,G28*$E$70,IF(G$105&lt;=TabS!$G$9,G28*$E$71,IF(G$105&lt;=TabS!$G$10,G28*$E$72)))))),G24*V117)</f>
        <v>0</v>
      </c>
      <c r="W118" s="151">
        <f>IF(H105&lt;W106,IF(H$105&lt;=TabS!$G$5,H28*$E$67,IF(H$105&lt;=TabS!$G$6,H28*$E$68,IF(H$105&lt;=TabS!$G$7,H28*$E$69,IF(H$105&lt;=TabS!$G$8,H28*$E$70,IF(H$105&lt;=TabS!$G$9,H28*$E$71,IF(H$105&lt;=TabS!$G$10,H28*$E$72)))))),H24*W117)</f>
        <v>0</v>
      </c>
      <c r="X118" s="151">
        <f>IF(I105&lt;X106,IF(I$105&lt;=TabS!$G$5,I28*$E$67,IF(I$105&lt;=TabS!$G$6,I28*$E$68,IF(I$105&lt;=TabS!$G$7,I28*$E$69,IF(I$105&lt;=TabS!$G$8,I28*$E$70,IF(I$105&lt;=TabS!$G$9,I28*$E$71,IF(I$105&lt;=TabS!$G$10,I28*$E$72)))))),I24*X117)</f>
        <v>0</v>
      </c>
      <c r="Y118" s="151">
        <f>IF(J105&lt;Y106,IF(J$105&lt;=TabS!$G$5,J28*$E$67,IF(J$105&lt;=TabS!$G$6,J28*$E$68,IF(J$105&lt;=TabS!$G$7,J28*$E$69,IF(J$105&lt;=TabS!$G$8,J28*$E$70,IF(J$105&lt;=TabS!$G$9,J28*$E$71,IF(J$105&lt;=TabS!$G$10,J28*$E$72)))))),J24*Y117)</f>
        <v>0</v>
      </c>
      <c r="Z118" s="151">
        <f>IF(K105&lt;Z106,IF(K$105&lt;=TabS!$G$5,K28*$E$67,IF(K$105&lt;=TabS!$G$6,K28*$E$68,IF(K$105&lt;=TabS!$G$7,K28*$E$69,IF(K$105&lt;=TabS!$G$8,K28*$E$70,IF(K$105&lt;=TabS!$G$9,K28*$E$71,IF(K$105&lt;=TabS!$G$10,K28*$E$72)))))),K24*Z117)</f>
        <v>0</v>
      </c>
      <c r="AA118" s="151">
        <f>IF(L105&lt;AA106,IF(L$105&lt;=TabS!$G$5,L28*$E$67,IF(L$105&lt;=TabS!$G$6,L28*$E$68,IF(L$105&lt;=TabS!$G$7,L28*$E$69,IF(L$105&lt;=TabS!$G$8,L28*$E$70,IF(L$105&lt;=TabS!$G$9,L28*$E$71,IF(L$105&lt;=TabS!$G$10,L28*$E$72)))))),L24*AA117)</f>
        <v>0</v>
      </c>
      <c r="AB118" s="151">
        <f>IF(M105&lt;AB106,IF(M$105&lt;=TabS!$G$5,M28*$E$67,IF(M$105&lt;=TabS!$G$6,M28*$E$68,IF(M$105&lt;=TabS!$G$7,M28*$E$69,IF(M$105&lt;=TabS!$G$8,M28*$E$70,IF(M$105&lt;=TabS!$G$9,M28*$E$71,IF(M$105&lt;=TabS!$G$10,M28*$E$72)))))),M24*AB117)</f>
        <v>0</v>
      </c>
      <c r="AC118" s="151">
        <f>IF(N105&lt;AC106,IF(N$105&lt;=TabS!$G$5,N28*$E$67,IF(N$105&lt;=TabS!$G$6,N28*$E$68,IF(N$105&lt;=TabS!$G$7,N28*$E$69,IF(N$105&lt;=TabS!$G$8,N28*$E$70,IF(N$105&lt;=TabS!$G$9,N28*$E$71,IF(N$105&lt;=TabS!$G$10,N28*$E$72)))))),N24*AC117)</f>
        <v>0</v>
      </c>
      <c r="AD118" s="152">
        <f>SUM(R118:AC118)</f>
        <v>0</v>
      </c>
    </row>
    <row r="119" spans="2:30" ht="20.100000000000001" customHeight="1" x14ac:dyDescent="0.25">
      <c r="B119" s="167" t="s">
        <v>98</v>
      </c>
      <c r="C119" s="151">
        <f>IF(C$105&lt;=TabS!$G$5,C28*$D$67,IF(C$105&lt;=TabS!$G$6,C28*$D$68,IF(C$105&lt;=TabS!$G$7,C28*$D$69,IF(C$105&lt;=TabS!$G$8,C28*$D$70,IF(C$105&lt;=TabS!$G$9,C28*$D$71,IF(C$105&lt;=TabS!$G$10,C28*$D$72))))))</f>
        <v>0</v>
      </c>
      <c r="D119" s="151">
        <f>IF(D$105&lt;=TabS!$G$5,D28*$D$67,IF(D$105&lt;=TabS!$G$6,D28*$D$68,IF(D$105&lt;=TabS!$G$7,D28*$D$69,IF(D$105&lt;=TabS!$G$8,D28*$D$70,IF(D$105&lt;=TabS!$G$9,D28*$D$71,IF(D$105&lt;=TabS!$G$10,D28*$D$72))))))</f>
        <v>0</v>
      </c>
      <c r="E119" s="151">
        <f>IF(E$105&lt;=TabS!$G$5,E28*$D$67,IF(E$105&lt;=TabS!$G$6,E28*$D$68,IF(E$105&lt;=TabS!$G$7,E28*$D$69,IF(E$105&lt;=TabS!$G$8,E28*$D$70,IF(E$105&lt;=TabS!$G$9,E28*$D$71,IF(E$105&lt;=TabS!$G$10,E28*$D$72))))))</f>
        <v>0</v>
      </c>
      <c r="F119" s="151">
        <f>IF(F$105&lt;=TabS!$G$5,F28*$D$67,IF(F$105&lt;=TabS!$G$6,F28*$D$68,IF(F$105&lt;=TabS!$G$7,F28*$D$69,IF(F$105&lt;=TabS!$G$8,F28*$D$70,IF(F$105&lt;=TabS!$G$9,F28*$D$71,IF(F$105&lt;=TabS!$G$10,F28*$D$72))))))</f>
        <v>0</v>
      </c>
      <c r="G119" s="151">
        <f>IF(G$105&lt;=TabS!$G$5,G28*$D$67,IF(G$105&lt;=TabS!$G$6,G28*$D$68,IF(G$105&lt;=TabS!$G$7,G28*$D$69,IF(G$105&lt;=TabS!$G$8,G28*$D$70,IF(G$105&lt;=TabS!$G$9,G28*$D$71,IF(G$105&lt;=TabS!$G$10,G28*$D$72))))))</f>
        <v>0</v>
      </c>
      <c r="H119" s="151">
        <f>IF(H$105&lt;=TabS!$G$5,H28*$D$67,IF(H$105&lt;=TabS!$G$6,H28*$D$68,IF(H$105&lt;=TabS!$G$7,H28*$D$69,IF(H$105&lt;=TabS!$G$8,H28*$D$70,IF(H$105&lt;=TabS!$G$9,H28*$D$71,IF(H$105&lt;=TabS!$G$10,H28*$D$72))))))</f>
        <v>0</v>
      </c>
      <c r="I119" s="151">
        <f>IF(I$105&lt;=TabS!$G$5,I28*$D$67,IF(I$105&lt;=TabS!$G$6,I28*$D$68,IF(I$105&lt;=TabS!$G$7,I28*$D$69,IF(I$105&lt;=TabS!$G$8,I28*$D$70,IF(I$105&lt;=TabS!$G$9,I28*$D$71,IF(I$105&lt;=TabS!$G$10,I28*$D$72))))))</f>
        <v>0</v>
      </c>
      <c r="J119" s="151">
        <f>IF(J$105&lt;=TabS!$G$5,J28*$D$67,IF(J$105&lt;=TabS!$G$6,J28*$D$68,IF(J$105&lt;=TabS!$G$7,J28*$D$69,IF(J$105&lt;=TabS!$G$8,J28*$D$70,IF(J$105&lt;=TabS!$G$9,J28*$D$71,IF(J$105&lt;=TabS!$G$10,J28*$D$72))))))</f>
        <v>0</v>
      </c>
      <c r="K119" s="151">
        <f>IF(K$105&lt;=TabS!$G$5,K28*$D$67,IF(K$105&lt;=TabS!$G$6,K28*$D$68,IF(K$105&lt;=TabS!$G$7,K28*$D$69,IF(K$105&lt;=TabS!$G$8,K28*$D$70,IF(K$105&lt;=TabS!$G$9,K28*$D$71,IF(K$105&lt;=TabS!$G$10,K28*$D$72))))))</f>
        <v>0</v>
      </c>
      <c r="L119" s="151">
        <f>IF(L$105&lt;=TabS!$G$5,L28*$D$67,IF(L$105&lt;=TabS!$G$6,L28*$D$68,IF(L$105&lt;=TabS!$G$7,L28*$D$69,IF(L$105&lt;=TabS!$G$8,L28*$D$70,IF(L$105&lt;=TabS!$G$9,L28*$D$71,IF(L$105&lt;=TabS!$G$10,L28*$D$72))))))</f>
        <v>0</v>
      </c>
      <c r="M119" s="151">
        <f>IF(M$105&lt;=TabS!$G$5,M28*$D$67,IF(M$105&lt;=TabS!$G$6,M28*$D$68,IF(M$105&lt;=TabS!$G$7,M28*$D$69,IF(M$105&lt;=TabS!$G$8,M28*$D$70,IF(M$105&lt;=TabS!$G$9,M28*$D$71,IF(M$105&lt;=TabS!$G$10,M28*$D$72))))))</f>
        <v>0</v>
      </c>
      <c r="N119" s="151">
        <f>IF(N$105&lt;=TabS!$G$5,N28*$D$67,IF(N$105&lt;=TabS!$G$6,N28*$D$68,IF(N$105&lt;=TabS!$G$7,N28*$D$69,IF(N$105&lt;=TabS!$G$8,N28*$D$70,IF(N$105&lt;=TabS!$G$9,N28*$D$71,IF(N$105&lt;=TabS!$G$10,N28*$D$72))))))</f>
        <v>0</v>
      </c>
      <c r="O119" s="152">
        <f t="shared" si="49"/>
        <v>0</v>
      </c>
    </row>
    <row r="120" spans="2:30" ht="20.100000000000001" customHeight="1" x14ac:dyDescent="0.25">
      <c r="B120" s="167" t="s">
        <v>37</v>
      </c>
      <c r="C120" s="151">
        <f>R118</f>
        <v>0</v>
      </c>
      <c r="D120" s="151">
        <f t="shared" ref="D120:N120" si="50">S118</f>
        <v>0</v>
      </c>
      <c r="E120" s="151">
        <f t="shared" si="50"/>
        <v>0</v>
      </c>
      <c r="F120" s="151">
        <f t="shared" si="50"/>
        <v>0</v>
      </c>
      <c r="G120" s="151">
        <f t="shared" si="50"/>
        <v>0</v>
      </c>
      <c r="H120" s="151">
        <f t="shared" si="50"/>
        <v>0</v>
      </c>
      <c r="I120" s="151">
        <f t="shared" si="50"/>
        <v>0</v>
      </c>
      <c r="J120" s="151">
        <f t="shared" si="50"/>
        <v>0</v>
      </c>
      <c r="K120" s="151">
        <f t="shared" si="50"/>
        <v>0</v>
      </c>
      <c r="L120" s="151">
        <f t="shared" si="50"/>
        <v>0</v>
      </c>
      <c r="M120" s="151">
        <f t="shared" si="50"/>
        <v>0</v>
      </c>
      <c r="N120" s="151">
        <f t="shared" si="50"/>
        <v>0</v>
      </c>
      <c r="O120" s="152">
        <f t="shared" si="49"/>
        <v>0</v>
      </c>
    </row>
    <row r="121" spans="2:30" ht="20.100000000000001" customHeight="1" x14ac:dyDescent="0.25">
      <c r="B121" s="167" t="s">
        <v>129</v>
      </c>
      <c r="C121" s="151">
        <f>IF(C$105&lt;=TabS!$G$5,C28*$F$67,IF(C$105&lt;=TabS!$G$6,C28*$F$68,IF(C$105&lt;=TabS!$G$7,C28*$F$69,IF(C$105&lt;=TabS!$G$8,C28*$F$70,IF(C$105&lt;=TabS!$G$9,C28*$F$71,IF(C$105&lt;=TabS!$G$10,C28*$F$72))))))</f>
        <v>0</v>
      </c>
      <c r="D121" s="151">
        <f>IF(D$105&lt;=TabS!$G$5,D28*$F$67,IF(D$105&lt;=TabS!$G$6,D28*$F$68,IF(D$105&lt;=TabS!$G$7,D28*$F$69,IF(D$105&lt;=TabS!$G$8,D28*$F$70,IF(D$105&lt;=TabS!$G$9,D28*$F$71,IF(D$105&lt;=TabS!$G$10,D28*$F$72))))))</f>
        <v>0</v>
      </c>
      <c r="E121" s="151">
        <f>IF(E$105&lt;=TabS!$G$5,E28*$F$67,IF(E$105&lt;=TabS!$G$6,E28*$F$68,IF(E$105&lt;=TabS!$G$7,E28*$F$69,IF(E$105&lt;=TabS!$G$8,E28*$F$70,IF(E$105&lt;=TabS!$G$9,E28*$F$71,IF(E$105&lt;=TabS!$G$10,E28*$F$72))))))</f>
        <v>0</v>
      </c>
      <c r="F121" s="151">
        <f>IF(F$105&lt;=TabS!$G$5,F28*$F$67,IF(F$105&lt;=TabS!$G$6,F28*$F$68,IF(F$105&lt;=TabS!$G$7,F28*$F$69,IF(F$105&lt;=TabS!$G$8,F28*$F$70,IF(F$105&lt;=TabS!$G$9,F28*$F$71,IF(F$105&lt;=TabS!$G$10,F28*$F$72))))))</f>
        <v>0</v>
      </c>
      <c r="G121" s="151">
        <f>IF(G$105&lt;=TabS!$G$5,G28*$F$67,IF(G$105&lt;=TabS!$G$6,G28*$F$68,IF(G$105&lt;=TabS!$G$7,G28*$F$69,IF(G$105&lt;=TabS!$G$8,G28*$F$70,IF(G$105&lt;=TabS!$G$9,G28*$F$71,IF(G$105&lt;=TabS!$G$10,G28*$F$72))))))</f>
        <v>0</v>
      </c>
      <c r="H121" s="151">
        <f>IF(H$105&lt;=TabS!$G$5,H28*$F$67,IF(H$105&lt;=TabS!$G$6,H28*$F$68,IF(H$105&lt;=TabS!$G$7,H28*$F$69,IF(H$105&lt;=TabS!$G$8,H28*$F$70,IF(H$105&lt;=TabS!$G$9,H28*$F$71,IF(H$105&lt;=TabS!$G$10,H28*$F$72))))))</f>
        <v>0</v>
      </c>
      <c r="I121" s="151">
        <f>IF(I$105&lt;=TabS!$G$5,I28*$F$67,IF(I$105&lt;=TabS!$G$6,I28*$F$68,IF(I$105&lt;=TabS!$G$7,I28*$F$69,IF(I$105&lt;=TabS!$G$8,I28*$F$70,IF(I$105&lt;=TabS!$G$9,I28*$F$71,IF(I$105&lt;=TabS!$G$10,I28*$F$72))))))</f>
        <v>0</v>
      </c>
      <c r="J121" s="151">
        <f>IF(J$105&lt;=TabS!$G$5,J28*$F$67,IF(J$105&lt;=TabS!$G$6,J28*$F$68,IF(J$105&lt;=TabS!$G$7,J28*$F$69,IF(J$105&lt;=TabS!$G$8,J28*$F$70,IF(J$105&lt;=TabS!$G$9,J28*$F$71,IF(J$105&lt;=TabS!$G$10,J28*$F$72))))))</f>
        <v>0</v>
      </c>
      <c r="K121" s="151">
        <f>IF(K$105&lt;=TabS!$G$5,K28*$F$67,IF(K$105&lt;=TabS!$G$6,K28*$F$68,IF(K$105&lt;=TabS!$G$7,K28*$F$69,IF(K$105&lt;=TabS!$G$8,K28*$F$70,IF(K$105&lt;=TabS!$G$9,K28*$F$71,IF(K$105&lt;=TabS!$G$10,K28*$F$72))))))</f>
        <v>0</v>
      </c>
      <c r="L121" s="151">
        <f>IF(L$105&lt;=TabS!$G$5,L28*$F$67,IF(L$105&lt;=TabS!$G$6,L28*$F$68,IF(L$105&lt;=TabS!$G$7,L28*$F$69,IF(L$105&lt;=TabS!$G$8,L28*$F$70,IF(L$105&lt;=TabS!$G$9,L28*$F$71,IF(L$105&lt;=TabS!$G$10,L28*$F$72))))))</f>
        <v>0</v>
      </c>
      <c r="M121" s="151">
        <f>IF(M$105&lt;=TabS!$G$5,M28*$F$67,IF(M$105&lt;=TabS!$G$6,M28*$F$68,IF(M$105&lt;=TabS!$G$7,M28*$F$69,IF(M$105&lt;=TabS!$G$8,M28*$F$70,IF(M$105&lt;=TabS!$G$9,M28*$F$71,IF(M$105&lt;=TabS!$G$10,M28*$F$72))))))</f>
        <v>0</v>
      </c>
      <c r="N121" s="151">
        <f>IF(N$105&lt;=TabS!$G$5,N28*$F$67,IF(N$105&lt;=TabS!$G$6,N28*$F$68,IF(N$105&lt;=TabS!$G$7,N28*$F$69,IF(N$105&lt;=TabS!$G$8,N28*$F$70,IF(N$105&lt;=TabS!$G$9,N28*$F$71,IF(N$105&lt;=TabS!$G$10,N28*$F$72))))))</f>
        <v>0</v>
      </c>
      <c r="O121" s="152">
        <f t="shared" si="49"/>
        <v>0</v>
      </c>
    </row>
    <row r="122" spans="2:30" ht="20.100000000000001" customHeight="1" x14ac:dyDescent="0.25">
      <c r="B122" s="167" t="s">
        <v>42</v>
      </c>
      <c r="C122" s="151">
        <f>IF(C$105&lt;=TabS!$G$5,C28*$G$67,IF(C$105&lt;=TabS!$G$6,C28*$G$68,IF(C$105&lt;=TabS!$G$7,C28*$G$69,IF(C$105&lt;=TabS!$G$8,C28*$G$70,IF(C$105&lt;=TabS!$G$9,C28*$G$71,IF(C$105&lt;=TabS!$G$10,C28*$G$72))))))</f>
        <v>0</v>
      </c>
      <c r="D122" s="151">
        <f>IF(D$105&lt;=TabS!$G$5,D28*$G$67,IF(D$105&lt;=TabS!$G$6,D28*$G$68,IF(D$105&lt;=TabS!$G$7,D28*$G$69,IF(D$105&lt;=TabS!$G$8,D28*$G$70,IF(D$105&lt;=TabS!$G$9,D28*$G$71,IF(D$105&lt;=TabS!$G$10,D28*$G$72))))))</f>
        <v>0</v>
      </c>
      <c r="E122" s="151">
        <f>IF(E$105&lt;=TabS!$G$5,E28*$G$67,IF(E$105&lt;=TabS!$G$6,E28*$G$68,IF(E$105&lt;=TabS!$G$7,E28*$G$69,IF(E$105&lt;=TabS!$G$8,E28*$G$70,IF(E$105&lt;=TabS!$G$9,E28*$G$71,IF(E$105&lt;=TabS!$G$10,E28*$G$72))))))</f>
        <v>0</v>
      </c>
      <c r="F122" s="151">
        <f>IF(F$105&lt;=TabS!$G$5,F28*$G$67,IF(F$105&lt;=TabS!$G$6,F28*$G$68,IF(F$105&lt;=TabS!$G$7,F28*$G$69,IF(F$105&lt;=TabS!$G$8,F28*$G$70,IF(F$105&lt;=TabS!$G$9,F28*$G$71,IF(F$105&lt;=TabS!$G$10,F28*$G$72))))))</f>
        <v>0</v>
      </c>
      <c r="G122" s="151">
        <f>IF(G$105&lt;=TabS!$G$5,G28*$G$67,IF(G$105&lt;=TabS!$G$6,G28*$G$68,IF(G$105&lt;=TabS!$G$7,G28*$G$69,IF(G$105&lt;=TabS!$G$8,G28*$G$70,IF(G$105&lt;=TabS!$G$9,G28*$G$71,IF(G$105&lt;=TabS!$G$10,G28*$G$72))))))</f>
        <v>0</v>
      </c>
      <c r="H122" s="151">
        <f>IF(H$105&lt;=TabS!$G$5,H28*$G$67,IF(H$105&lt;=TabS!$G$6,H28*$G$68,IF(H$105&lt;=TabS!$G$7,H28*$G$69,IF(H$105&lt;=TabS!$G$8,H28*$G$70,IF(H$105&lt;=TabS!$G$9,H28*$G$71,IF(H$105&lt;=TabS!$G$10,H28*$G$72))))))</f>
        <v>0</v>
      </c>
      <c r="I122" s="151">
        <f>IF(I$105&lt;=TabS!$G$5,I28*$G$67,IF(I$105&lt;=TabS!$G$6,I28*$G$68,IF(I$105&lt;=TabS!$G$7,I28*$G$69,IF(I$105&lt;=TabS!$G$8,I28*$G$70,IF(I$105&lt;=TabS!$G$9,I28*$G$71,IF(I$105&lt;=TabS!$G$10,I28*$G$72))))))</f>
        <v>0</v>
      </c>
      <c r="J122" s="151">
        <f>IF(J$105&lt;=TabS!$G$5,J28*$G$67,IF(J$105&lt;=TabS!$G$6,J28*$G$68,IF(J$105&lt;=TabS!$G$7,J28*$G$69,IF(J$105&lt;=TabS!$G$8,J28*$G$70,IF(J$105&lt;=TabS!$G$9,J28*$G$71,IF(J$105&lt;=TabS!$G$10,J28*$G$72))))))</f>
        <v>0</v>
      </c>
      <c r="K122" s="151">
        <f>IF(K$105&lt;=TabS!$G$5,K28*$G$67,IF(K$105&lt;=TabS!$G$6,K28*$G$68,IF(K$105&lt;=TabS!$G$7,K28*$G$69,IF(K$105&lt;=TabS!$G$8,K28*$G$70,IF(K$105&lt;=TabS!$G$9,K28*$G$71,IF(K$105&lt;=TabS!$G$10,K28*$G$72))))))</f>
        <v>0</v>
      </c>
      <c r="L122" s="151">
        <f>IF(L$105&lt;=TabS!$G$5,L28*$G$67,IF(L$105&lt;=TabS!$G$6,L28*$G$68,IF(L$105&lt;=TabS!$G$7,L28*$G$69,IF(L$105&lt;=TabS!$G$8,L28*$G$70,IF(L$105&lt;=TabS!$G$9,L28*$G$71,IF(L$105&lt;=TabS!$G$10,L28*$G$72))))))</f>
        <v>0</v>
      </c>
      <c r="M122" s="151">
        <f>IF(M$105&lt;=TabS!$G$5,M28*$G$67,IF(M$105&lt;=TabS!$G$6,M28*$G$68,IF(M$105&lt;=TabS!$G$7,M28*$G$69,IF(M$105&lt;=TabS!$G$8,M28*$G$70,IF(M$105&lt;=TabS!$G$9,M28*$G$71,IF(M$105&lt;=TabS!$G$10,M28*$G$72))))))</f>
        <v>0</v>
      </c>
      <c r="N122" s="151">
        <f>IF(N$105&lt;=TabS!$G$5,N28*$G$67,IF(N$105&lt;=TabS!$G$6,N28*$G$68,IF(N$105&lt;=TabS!$G$7,N28*$G$69,IF(N$105&lt;=TabS!$G$8,N28*$G$70,IF(N$105&lt;=TabS!$G$9,N28*$G$71,IF(N$105&lt;=TabS!$G$10,N28*$G$72))))))</f>
        <v>0</v>
      </c>
      <c r="O122" s="152">
        <f t="shared" si="49"/>
        <v>0</v>
      </c>
    </row>
    <row r="123" spans="2:30" ht="20.100000000000001" customHeight="1" x14ac:dyDescent="0.25">
      <c r="B123" s="167" t="s">
        <v>40</v>
      </c>
      <c r="C123" s="151">
        <f>IF(C$105&lt;=TabS!$G$5,C28*$H$67,IF(C$105&lt;=TabS!$G$6,C28*$H$68,IF(C$105&lt;=TabS!$G$7,C28*$H$69,IF(C$105&lt;=TabS!$G$8,C28*$H$70,IF(C$105&lt;=TabS!$G$9,C28*$H$71,IF(C$105&lt;=TabS!$G$10,C28*$H$72))))))</f>
        <v>0</v>
      </c>
      <c r="D123" s="151">
        <f>IF(D$105&lt;=TabS!$G$5,D28*$H$67,IF(D$105&lt;=TabS!$G$6,D28*$H$68,IF(D$105&lt;=TabS!$G$7,D28*$H$69,IF(D$105&lt;=TabS!$G$8,D28*$H$70,IF(D$105&lt;=TabS!$G$9,D28*$H$71,IF(D$105&lt;=TabS!$G$10,D28*$H$72))))))</f>
        <v>0</v>
      </c>
      <c r="E123" s="151">
        <f>IF(E$105&lt;=TabS!$G$5,E28*$H$67,IF(E$105&lt;=TabS!$G$6,E28*$H$68,IF(E$105&lt;=TabS!$G$7,E28*$H$69,IF(E$105&lt;=TabS!$G$8,E28*$H$70,IF(E$105&lt;=TabS!$G$9,E28*$H$71,IF(E$105&lt;=TabS!$G$10,E28*$H$72))))))</f>
        <v>0</v>
      </c>
      <c r="F123" s="151">
        <f>IF(F$105&lt;=TabS!$G$5,F28*$H$67,IF(F$105&lt;=TabS!$G$6,F28*$H$68,IF(F$105&lt;=TabS!$G$7,F28*$H$69,IF(F$105&lt;=TabS!$G$8,F28*$H$70,IF(F$105&lt;=TabS!$G$9,F28*$H$71,IF(F$105&lt;=TabS!$G$10,F28*$H$72))))))</f>
        <v>0</v>
      </c>
      <c r="G123" s="151">
        <f>IF(G$105&lt;=TabS!$G$5,G28*$H$67,IF(G$105&lt;=TabS!$G$6,G28*$H$68,IF(G$105&lt;=TabS!$G$7,G28*$H$69,IF(G$105&lt;=TabS!$G$8,G28*$H$70,IF(G$105&lt;=TabS!$G$9,G28*$H$71,IF(G$105&lt;=TabS!$G$10,G28*$H$72))))))</f>
        <v>0</v>
      </c>
      <c r="H123" s="151">
        <f>IF(H$105&lt;=TabS!$G$5,H28*$H$67,IF(H$105&lt;=TabS!$G$6,H28*$H$68,IF(H$105&lt;=TabS!$G$7,H28*$H$69,IF(H$105&lt;=TabS!$G$8,H28*$H$70,IF(H$105&lt;=TabS!$G$9,H28*$H$71,IF(H$105&lt;=TabS!$G$10,H28*$H$72))))))</f>
        <v>0</v>
      </c>
      <c r="I123" s="151">
        <f>IF(I$105&lt;=TabS!$G$5,I28*$H$67,IF(I$105&lt;=TabS!$G$6,I28*$H$68,IF(I$105&lt;=TabS!$G$7,I28*$H$69,IF(I$105&lt;=TabS!$G$8,I28*$H$70,IF(I$105&lt;=TabS!$G$9,I28*$H$71,IF(I$105&lt;=TabS!$G$10,I28*$H$72))))))</f>
        <v>0</v>
      </c>
      <c r="J123" s="151">
        <f>IF(J$105&lt;=TabS!$G$5,J28*$H$67,IF(J$105&lt;=TabS!$G$6,J28*$H$68,IF(J$105&lt;=TabS!$G$7,J28*$H$69,IF(J$105&lt;=TabS!$G$8,J28*$H$70,IF(J$105&lt;=TabS!$G$9,J28*$H$71,IF(J$105&lt;=TabS!$G$10,J28*$H$72))))))</f>
        <v>0</v>
      </c>
      <c r="K123" s="151">
        <f>IF(K$105&lt;=TabS!$G$5,K28*$H$67,IF(K$105&lt;=TabS!$G$6,K28*$H$68,IF(K$105&lt;=TabS!$G$7,K28*$H$69,IF(K$105&lt;=TabS!$G$8,K28*$H$70,IF(K$105&lt;=TabS!$G$9,K28*$H$71,IF(K$105&lt;=TabS!$G$10,K28*$H$72))))))</f>
        <v>0</v>
      </c>
      <c r="L123" s="151">
        <f>IF(L$105&lt;=TabS!$G$5,L28*$H$67,IF(L$105&lt;=TabS!$G$6,L28*$H$68,IF(L$105&lt;=TabS!$G$7,L28*$H$69,IF(L$105&lt;=TabS!$G$8,L28*$H$70,IF(L$105&lt;=TabS!$G$9,L28*$H$71,IF(L$105&lt;=TabS!$G$10,L28*$H$72))))))</f>
        <v>0</v>
      </c>
      <c r="M123" s="151">
        <f>IF(M$105&lt;=TabS!$G$5,M28*$H$67,IF(M$105&lt;=TabS!$G$6,M28*$H$68,IF(M$105&lt;=TabS!$G$7,M28*$H$69,IF(M$105&lt;=TabS!$G$8,M28*$H$70,IF(M$105&lt;=TabS!$G$9,M28*$H$71,IF(M$105&lt;=TabS!$G$10,M28*$H$72))))))</f>
        <v>0</v>
      </c>
      <c r="N123" s="151">
        <f>IF(N$105&lt;=TabS!$G$5,N28*$H$67,IF(N$105&lt;=TabS!$G$6,N28*$H$68,IF(N$105&lt;=TabS!$G$7,N28*$H$69,IF(N$105&lt;=TabS!$G$8,N28*$H$70,IF(N$105&lt;=TabS!$G$9,N28*$H$71,IF(N$105&lt;=TabS!$G$10,N28*$H$72))))))</f>
        <v>0</v>
      </c>
      <c r="O123" s="152">
        <f t="shared" si="49"/>
        <v>0</v>
      </c>
    </row>
    <row r="124" spans="2:30" ht="20.100000000000001" customHeight="1" x14ac:dyDescent="0.25">
      <c r="B124" s="167" t="s">
        <v>38</v>
      </c>
      <c r="C124" s="151">
        <f>IF(C$105&lt;=TabS!$G$5,C28*$I$67,IF(C$105&lt;=TabS!$G$6,C28*$I$68,IF(C$105&lt;=TabS!$G$7,C28*$I$69,IF(C$105&lt;=TabS!$G$8,C28*$I$70,IF(C$105&lt;=TabS!$G$9,C28*$I$71,IF(C$105&lt;=TabS!$G$10,C28*$I$72))))))</f>
        <v>0</v>
      </c>
      <c r="D124" s="151">
        <f>IF(D$105&lt;=TabS!$G$5,D28*$I$67,IF(D$105&lt;=TabS!$G$6,D28*$I$68,IF(D$105&lt;=TabS!$G$7,D28*$I$69,IF(D$105&lt;=TabS!$G$8,D28*$I$70,IF(D$105&lt;=TabS!$G$9,D28*$I$71,IF(D$105&lt;=TabS!$G$10,D28*$I$72))))))</f>
        <v>0</v>
      </c>
      <c r="E124" s="151">
        <f>IF(E$105&lt;=TabS!$G$5,E28*$I$67,IF(E$105&lt;=TabS!$G$6,E28*$I$68,IF(E$105&lt;=TabS!$G$7,E28*$I$69,IF(E$105&lt;=TabS!$G$8,E28*$I$70,IF(E$105&lt;=TabS!$G$9,E28*$I$71,IF(E$105&lt;=TabS!$G$10,E28*$I$72))))))</f>
        <v>0</v>
      </c>
      <c r="F124" s="151">
        <f>IF(F$105&lt;=TabS!$G$5,F28*$I$67,IF(F$105&lt;=TabS!$G$6,F28*$I$68,IF(F$105&lt;=TabS!$G$7,F28*$I$69,IF(F$105&lt;=TabS!$G$8,F28*$I$70,IF(F$105&lt;=TabS!$G$9,F28*$I$71,IF(F$105&lt;=TabS!$G$10,F28*$I$72))))))</f>
        <v>0</v>
      </c>
      <c r="G124" s="151">
        <f>IF(G$105&lt;=TabS!$G$5,G28*$I$67,IF(G$105&lt;=TabS!$G$6,G28*$I$68,IF(G$105&lt;=TabS!$G$7,G28*$I$69,IF(G$105&lt;=TabS!$G$8,G28*$I$70,IF(G$105&lt;=TabS!$G$9,G28*$I$71,IF(G$105&lt;=TabS!$G$10,G28*$I$72))))))</f>
        <v>0</v>
      </c>
      <c r="H124" s="151">
        <f>IF(H$105&lt;=TabS!$G$5,H28*$I$67,IF(H$105&lt;=TabS!$G$6,H28*$I$68,IF(H$105&lt;=TabS!$G$7,H28*$I$69,IF(H$105&lt;=TabS!$G$8,H28*$I$70,IF(H$105&lt;=TabS!$G$9,H28*$I$71,IF(H$105&lt;=TabS!$G$10,H28*$I$72))))))</f>
        <v>0</v>
      </c>
      <c r="I124" s="151">
        <f>IF(I$105&lt;=TabS!$G$5,I28*$I$67,IF(I$105&lt;=TabS!$G$6,I28*$I$68,IF(I$105&lt;=TabS!$G$7,I28*$I$69,IF(I$105&lt;=TabS!$G$8,I28*$I$70,IF(I$105&lt;=TabS!$G$9,I28*$I$71,IF(I$105&lt;=TabS!$G$10,I28*$I$72))))))</f>
        <v>0</v>
      </c>
      <c r="J124" s="151">
        <f>IF(J$105&lt;=TabS!$G$5,J28*$I$67,IF(J$105&lt;=TabS!$G$6,J28*$I$68,IF(J$105&lt;=TabS!$G$7,J28*$I$69,IF(J$105&lt;=TabS!$G$8,J28*$I$70,IF(J$105&lt;=TabS!$G$9,J28*$I$71,IF(J$105&lt;=TabS!$G$10,J28*$I$72))))))</f>
        <v>0</v>
      </c>
      <c r="K124" s="151">
        <f>IF(K$105&lt;=TabS!$G$5,K28*$I$67,IF(K$105&lt;=TabS!$G$6,K28*$I$68,IF(K$105&lt;=TabS!$G$7,K28*$I$69,IF(K$105&lt;=TabS!$G$8,K28*$I$70,IF(K$105&lt;=TabS!$G$9,K28*$I$71,IF(K$105&lt;=TabS!$G$10,K28*$I$72))))))</f>
        <v>0</v>
      </c>
      <c r="L124" s="151">
        <f>IF(L$105&lt;=TabS!$G$5,L28*$I$67,IF(L$105&lt;=TabS!$G$6,L28*$I$68,IF(L$105&lt;=TabS!$G$7,L28*$I$69,IF(L$105&lt;=TabS!$G$8,L28*$I$70,IF(L$105&lt;=TabS!$G$9,L28*$I$71,IF(L$105&lt;=TabS!$G$10,L28*$I$72))))))</f>
        <v>0</v>
      </c>
      <c r="M124" s="151">
        <f>IF(M$105&lt;=TabS!$G$5,M28*$I$67,IF(M$105&lt;=TabS!$G$6,M28*$I$68,IF(M$105&lt;=TabS!$G$7,M28*$I$69,IF(M$105&lt;=TabS!$G$8,M28*$I$70,IF(M$105&lt;=TabS!$G$9,M28*$I$71,IF(M$105&lt;=TabS!$G$10,M28*$I$72))))))</f>
        <v>0</v>
      </c>
      <c r="N124" s="151">
        <f>IF(N$105&lt;=TabS!$G$5,N28*$I$67,IF(N$105&lt;=TabS!$G$6,N28*$I$68,IF(N$105&lt;=TabS!$G$7,N28*$I$69,IF(N$105&lt;=TabS!$G$8,N28*$I$70,IF(N$105&lt;=TabS!$G$9,N28*$I$71,IF(N$105&lt;=TabS!$G$10,N28*$I$72))))))</f>
        <v>0</v>
      </c>
      <c r="O124" s="152">
        <f t="shared" si="49"/>
        <v>0</v>
      </c>
    </row>
    <row r="125" spans="2:30" ht="20.100000000000001" customHeight="1" x14ac:dyDescent="0.25">
      <c r="B125" s="168" t="s">
        <v>99</v>
      </c>
      <c r="C125" s="152">
        <f>SUM(C118:C124)</f>
        <v>0</v>
      </c>
      <c r="D125" s="152">
        <f t="shared" ref="D125:N125" si="51">SUM(D118:D124)</f>
        <v>0</v>
      </c>
      <c r="E125" s="152">
        <f t="shared" si="51"/>
        <v>0</v>
      </c>
      <c r="F125" s="152">
        <f t="shared" si="51"/>
        <v>0</v>
      </c>
      <c r="G125" s="152">
        <f t="shared" si="51"/>
        <v>0</v>
      </c>
      <c r="H125" s="152">
        <f t="shared" si="51"/>
        <v>0</v>
      </c>
      <c r="I125" s="152">
        <f t="shared" si="51"/>
        <v>0</v>
      </c>
      <c r="J125" s="152">
        <f t="shared" si="51"/>
        <v>0</v>
      </c>
      <c r="K125" s="152">
        <f t="shared" si="51"/>
        <v>0</v>
      </c>
      <c r="L125" s="152">
        <f t="shared" si="51"/>
        <v>0</v>
      </c>
      <c r="M125" s="152">
        <f t="shared" si="51"/>
        <v>0</v>
      </c>
      <c r="N125" s="152">
        <f t="shared" si="51"/>
        <v>0</v>
      </c>
      <c r="O125" s="152">
        <f t="shared" si="49"/>
        <v>0</v>
      </c>
    </row>
    <row r="126" spans="2:30" ht="20.100000000000001" customHeight="1" x14ac:dyDescent="0.25">
      <c r="B126" s="164" t="s">
        <v>75</v>
      </c>
    </row>
    <row r="127" spans="2:30" ht="20.100000000000001" customHeight="1" x14ac:dyDescent="0.25">
      <c r="B127" s="149" t="s">
        <v>82</v>
      </c>
      <c r="C127" s="149" t="s">
        <v>83</v>
      </c>
      <c r="D127" s="149" t="s">
        <v>84</v>
      </c>
      <c r="E127" s="149" t="s">
        <v>85</v>
      </c>
      <c r="F127" s="149" t="s">
        <v>86</v>
      </c>
      <c r="G127" s="149" t="s">
        <v>87</v>
      </c>
      <c r="H127" s="149" t="s">
        <v>88</v>
      </c>
      <c r="I127" s="149" t="s">
        <v>89</v>
      </c>
      <c r="J127" s="149" t="s">
        <v>90</v>
      </c>
      <c r="K127" s="149" t="s">
        <v>91</v>
      </c>
      <c r="L127" s="149" t="s">
        <v>92</v>
      </c>
      <c r="M127" s="149" t="s">
        <v>93</v>
      </c>
      <c r="N127" s="149" t="s">
        <v>94</v>
      </c>
      <c r="O127" s="149" t="s">
        <v>95</v>
      </c>
    </row>
    <row r="128" spans="2:30" ht="20.100000000000001" customHeight="1" x14ac:dyDescent="0.25">
      <c r="B128" s="167" t="s">
        <v>97</v>
      </c>
      <c r="C128" s="151">
        <f>IF(C$167&gt;$C$168,C180,IF(C$105&lt;=TabS!$G$5,C35*$C$77,IF(C$105&lt;=TabS!$G$6,C35*$C$78,IF(C$105&lt;=TabS!$G$7,C35*$C$79,IF(C$105&lt;=TabS!$G$8,C35*$C$80,IF(C$105&lt;=TabS!$G$9,C35*$C$81,IF(C$105&lt;=TabS!$G$10,C35*$C$82)))))))</f>
        <v>0</v>
      </c>
      <c r="D128" s="151">
        <f>IF(D$167&gt;$C$168,D180,IF(D$105&lt;=TabS!$G$5,D35*$C$77,IF(D$105&lt;=TabS!$G$6,D35*$C$78,IF(D$105&lt;=TabS!$G$7,D35*$C$79,IF(D$105&lt;=TabS!$G$8,D35*$C$80,IF(D$105&lt;=TabS!$G$9,D35*$C$81,IF(D$105&lt;=TabS!$G$10,D35*$C$82)))))))</f>
        <v>0</v>
      </c>
      <c r="E128" s="151">
        <f>IF(E$167&gt;$C$168,E180,IF(E$105&lt;=TabS!$G$5,E35*$C$77,IF(E$105&lt;=TabS!$G$6,E35*$C$78,IF(E$105&lt;=TabS!$G$7,E35*$C$79,IF(E$105&lt;=TabS!$G$8,E35*$C$80,IF(E$105&lt;=TabS!$G$9,E35*$C$81,IF(E$105&lt;=TabS!$G$10,E35*$C$82)))))))</f>
        <v>0</v>
      </c>
      <c r="F128" s="151">
        <f>IF(F$167&gt;$C$168,F180,IF(F$105&lt;=TabS!$G$5,F35*$C$77,IF(F$105&lt;=TabS!$G$6,F35*$C$78,IF(F$105&lt;=TabS!$G$7,F35*$C$79,IF(F$105&lt;=TabS!$G$8,F35*$C$80,IF(F$105&lt;=TabS!$G$9,F35*$C$81,IF(F$105&lt;=TabS!$G$10,F35*$C$82)))))))</f>
        <v>0</v>
      </c>
      <c r="G128" s="151">
        <f>IF(G$167&gt;$C$168,G180,IF(G$105&lt;=TabS!$G$5,G35*$C$77,IF(G$105&lt;=TabS!$G$6,G35*$C$78,IF(G$105&lt;=TabS!$G$7,G35*$C$79,IF(G$105&lt;=TabS!$G$8,G35*$C$80,IF(G$105&lt;=TabS!$G$9,G35*$C$81,IF(G$105&lt;=TabS!$G$10,G35*$C$82)))))))</f>
        <v>0</v>
      </c>
      <c r="H128" s="151">
        <f>IF(H$167&gt;$C$168,H180,IF(H$105&lt;=TabS!$G$5,H35*$C$77,IF(H$105&lt;=TabS!$G$6,H35*$C$78,IF(H$105&lt;=TabS!$G$7,H35*$C$79,IF(H$105&lt;=TabS!$G$8,H35*$C$80,IF(H$105&lt;=TabS!$G$9,H35*$C$81,IF(H$105&lt;=TabS!$G$10,H35*$C$82)))))))</f>
        <v>0</v>
      </c>
      <c r="I128" s="151">
        <f>IF(I$167&gt;$C$168,I180,IF(I$105&lt;=TabS!$G$5,I35*$C$77,IF(I$105&lt;=TabS!$G$6,I35*$C$78,IF(I$105&lt;=TabS!$G$7,I35*$C$79,IF(I$105&lt;=TabS!$G$8,I35*$C$80,IF(I$105&lt;=TabS!$G$9,I35*$C$81,IF(I$105&lt;=TabS!$G$10,I35*$C$82)))))))</f>
        <v>0</v>
      </c>
      <c r="J128" s="151">
        <f>IF(J$167&gt;$C$168,J180,IF(J$105&lt;=TabS!$G$5,J35*$C$77,IF(J$105&lt;=TabS!$G$6,J35*$C$78,IF(J$105&lt;=TabS!$G$7,J35*$C$79,IF(J$105&lt;=TabS!$G$8,J35*$C$80,IF(J$105&lt;=TabS!$G$9,J35*$C$81,IF(J$105&lt;=TabS!$G$10,J35*$C$82)))))))</f>
        <v>0</v>
      </c>
      <c r="K128" s="151">
        <f>IF(K$167&gt;$C$168,K180,IF(K$105&lt;=TabS!$G$5,K35*$C$77,IF(K$105&lt;=TabS!$G$6,K35*$C$78,IF(K$105&lt;=TabS!$G$7,K35*$C$79,IF(K$105&lt;=TabS!$G$8,K35*$C$80,IF(K$105&lt;=TabS!$G$9,K35*$C$81,IF(K$105&lt;=TabS!$G$10,K35*$C$82)))))))</f>
        <v>0</v>
      </c>
      <c r="L128" s="151">
        <f>IF(L$167&gt;$C$168,L180,IF(L$105&lt;=TabS!$G$5,L35*$C$77,IF(L$105&lt;=TabS!$G$6,L35*$C$78,IF(L$105&lt;=TabS!$G$7,L35*$C$79,IF(L$105&lt;=TabS!$G$8,L35*$C$80,IF(L$105&lt;=TabS!$G$9,L35*$C$81,IF(L$105&lt;=TabS!$G$10,L35*$C$82)))))))</f>
        <v>0</v>
      </c>
      <c r="M128" s="151">
        <f>IF(M$167&gt;$C$168,M180,IF(M$105&lt;=TabS!$G$5,M35*$C$77,IF(M$105&lt;=TabS!$G$6,M35*$C$78,IF(M$105&lt;=TabS!$G$7,M35*$C$79,IF(M$105&lt;=TabS!$G$8,M35*$C$80,IF(M$105&lt;=TabS!$G$9,M35*$C$81,IF(M$105&lt;=TabS!$G$10,M35*$C$82)))))))</f>
        <v>0</v>
      </c>
      <c r="N128" s="151">
        <f>IF(N$167&gt;$C$168,N180,IF(N$105&lt;=TabS!$G$5,N35*$C$77,IF(N$105&lt;=TabS!$G$6,N35*$C$78,IF(N$105&lt;=TabS!$G$7,N35*$C$79,IF(N$105&lt;=TabS!$G$8,N35*$C$80,IF(N$105&lt;=TabS!$G$9,N35*$C$81,IF(N$105&lt;=TabS!$G$10,N35*$C$82)))))))</f>
        <v>0</v>
      </c>
      <c r="O128" s="152">
        <f t="shared" ref="O128:O134" si="52">SUM(C128:N128)</f>
        <v>0</v>
      </c>
    </row>
    <row r="129" spans="2:15" ht="20.100000000000001" customHeight="1" x14ac:dyDescent="0.25">
      <c r="B129" s="167" t="s">
        <v>98</v>
      </c>
      <c r="C129" s="151">
        <f>IF(C$167&gt;$C$168,C181,IF(C$105&lt;=TabS!$G$5,C35*$D$77,IF(C$105&lt;=TabS!$G$6,C35*$D$78,IF(C$105&lt;=TabS!$G$7,C35*$D$79,IF(C$105&lt;=TabS!$G$8,C35*$D$80,IF(C$105&lt;=TabS!$G$9,C35*$D$81,IF(C$105&lt;=TabS!$G$10,C35*$D$82)))))))</f>
        <v>0</v>
      </c>
      <c r="D129" s="151">
        <f>IF(D$167&gt;$C$168,D181,IF(D$105&lt;=TabS!$G$5,D35*$D$77,IF(D$105&lt;=TabS!$G$6,D35*$D$78,IF(D$105&lt;=TabS!$G$7,D35*$D$79,IF(D$105&lt;=TabS!$G$8,D35*$D$80,IF(D$105&lt;=TabS!$G$9,D35*$D$81,IF(D$105&lt;=TabS!$G$10,D35*$D$82)))))))</f>
        <v>0</v>
      </c>
      <c r="E129" s="151">
        <f>IF(E$167&gt;$C$168,E181,IF(E$105&lt;=TabS!$G$5,E35*$D$77,IF(E$105&lt;=TabS!$G$6,E35*$D$78,IF(E$105&lt;=TabS!$G$7,E35*$D$79,IF(E$105&lt;=TabS!$G$8,E35*$D$80,IF(E$105&lt;=TabS!$G$9,E35*$D$81,IF(E$105&lt;=TabS!$G$10,E35*$D$82)))))))</f>
        <v>0</v>
      </c>
      <c r="F129" s="151">
        <f>IF(F$167&gt;$C$168,F181,IF(F$105&lt;=TabS!$G$5,F35*$D$77,IF(F$105&lt;=TabS!$G$6,F35*$D$78,IF(F$105&lt;=TabS!$G$7,F35*$D$79,IF(F$105&lt;=TabS!$G$8,F35*$D$80,IF(F$105&lt;=TabS!$G$9,F35*$D$81,IF(F$105&lt;=TabS!$G$10,F35*$D$82)))))))</f>
        <v>0</v>
      </c>
      <c r="G129" s="151">
        <f>IF(G$167&gt;$C$168,G181,IF(G$105&lt;=TabS!$G$5,G35*$D$77,IF(G$105&lt;=TabS!$G$6,G35*$D$78,IF(G$105&lt;=TabS!$G$7,G35*$D$79,IF(G$105&lt;=TabS!$G$8,G35*$D$80,IF(G$105&lt;=TabS!$G$9,G35*$D$81,IF(G$105&lt;=TabS!$G$10,G35*$D$82)))))))</f>
        <v>0</v>
      </c>
      <c r="H129" s="151">
        <f>IF(H$167&gt;$C$168,H181,IF(H$105&lt;=TabS!$G$5,H35*$D$77,IF(H$105&lt;=TabS!$G$6,H35*$D$78,IF(H$105&lt;=TabS!$G$7,H35*$D$79,IF(H$105&lt;=TabS!$G$8,H35*$D$80,IF(H$105&lt;=TabS!$G$9,H35*$D$81,IF(H$105&lt;=TabS!$G$10,H35*$D$82)))))))</f>
        <v>0</v>
      </c>
      <c r="I129" s="151">
        <f>IF(I$167&gt;$C$168,I181,IF(I$105&lt;=TabS!$G$5,I35*$D$77,IF(I$105&lt;=TabS!$G$6,I35*$D$78,IF(I$105&lt;=TabS!$G$7,I35*$D$79,IF(I$105&lt;=TabS!$G$8,I35*$D$80,IF(I$105&lt;=TabS!$G$9,I35*$D$81,IF(I$105&lt;=TabS!$G$10,I35*$D$82)))))))</f>
        <v>0</v>
      </c>
      <c r="J129" s="151">
        <f>IF(J$167&gt;$C$168,J181,IF(J$105&lt;=TabS!$G$5,J35*$D$77,IF(J$105&lt;=TabS!$G$6,J35*$D$78,IF(J$105&lt;=TabS!$G$7,J35*$D$79,IF(J$105&lt;=TabS!$G$8,J35*$D$80,IF(J$105&lt;=TabS!$G$9,J35*$D$81,IF(J$105&lt;=TabS!$G$10,J35*$D$82)))))))</f>
        <v>0</v>
      </c>
      <c r="K129" s="151">
        <f>IF(K$167&gt;$C$168,K181,IF(K$105&lt;=TabS!$G$5,K35*$D$77,IF(K$105&lt;=TabS!$G$6,K35*$D$78,IF(K$105&lt;=TabS!$G$7,K35*$D$79,IF(K$105&lt;=TabS!$G$8,K35*$D$80,IF(K$105&lt;=TabS!$G$9,K35*$D$81,IF(K$105&lt;=TabS!$G$10,K35*$D$82)))))))</f>
        <v>0</v>
      </c>
      <c r="L129" s="151">
        <f>IF(L$167&gt;$C$168,L181,IF(L$105&lt;=TabS!$G$5,L35*$D$77,IF(L$105&lt;=TabS!$G$6,L35*$D$78,IF(L$105&lt;=TabS!$G$7,L35*$D$79,IF(L$105&lt;=TabS!$G$8,L35*$D$80,IF(L$105&lt;=TabS!$G$9,L35*$D$81,IF(L$105&lt;=TabS!$G$10,L35*$D$82)))))))</f>
        <v>0</v>
      </c>
      <c r="M129" s="151">
        <f>IF(M$167&gt;$C$168,M181,IF(M$105&lt;=TabS!$G$5,M35*$D$77,IF(M$105&lt;=TabS!$G$6,M35*$D$78,IF(M$105&lt;=TabS!$G$7,M35*$D$79,IF(M$105&lt;=TabS!$G$8,M35*$D$80,IF(M$105&lt;=TabS!$G$9,M35*$D$81,IF(M$105&lt;=TabS!$G$10,M35*$D$82)))))))</f>
        <v>0</v>
      </c>
      <c r="N129" s="151">
        <f>IF(N$167&gt;$C$168,N181,IF(N$105&lt;=TabS!$G$5,N35*$D$77,IF(N$105&lt;=TabS!$G$6,N35*$D$78,IF(N$105&lt;=TabS!$G$7,N35*$D$79,IF(N$105&lt;=TabS!$G$8,N35*$D$80,IF(N$105&lt;=TabS!$G$9,N35*$D$81,IF(N$105&lt;=TabS!$G$10,N35*$D$82)))))))</f>
        <v>0</v>
      </c>
      <c r="O129" s="152">
        <f t="shared" si="52"/>
        <v>0</v>
      </c>
    </row>
    <row r="130" spans="2:15" ht="20.100000000000001" customHeight="1" x14ac:dyDescent="0.25">
      <c r="B130" s="167" t="s">
        <v>39</v>
      </c>
      <c r="C130" s="151">
        <f>IF(C$167&gt;$C$168,C182,IF(C$105&lt;=TabS!$G$5,C35*$E$77,IF(C$105&lt;=TabS!$G$6,C35*$E$78,IF(C$105&lt;=TabS!$G$7,C35*$E$79,IF(C$105&lt;=TabS!$G$8,C35*$E$80,IF(C$105&lt;=TabS!$G$9,C35*$E$81,IF(C$105&lt;=TabS!$G$10,C35*$E$82)))))))</f>
        <v>0</v>
      </c>
      <c r="D130" s="151">
        <f>IF(D$167&gt;$C$168,D182,IF(D$105&lt;=TabS!$G$5,D35*$E$77,IF(D$105&lt;=TabS!$G$6,D35*$E$78,IF(D$105&lt;=TabS!$G$7,D35*$E$79,IF(D$105&lt;=TabS!$G$8,D35*$E$80,IF(D$105&lt;=TabS!$G$9,D35*$E$81,IF(D$105&lt;=TabS!$G$10,D35*$E$82)))))))</f>
        <v>0</v>
      </c>
      <c r="E130" s="151">
        <f>IF(E$167&gt;$C$168,E182,IF(E$105&lt;=TabS!$G$5,E35*$E$77,IF(E$105&lt;=TabS!$G$6,E35*$E$78,IF(E$105&lt;=TabS!$G$7,E35*$E$79,IF(E$105&lt;=TabS!$G$8,E35*$E$80,IF(E$105&lt;=TabS!$G$9,E35*$E$81,IF(E$105&lt;=TabS!$G$10,E35*$E$82)))))))</f>
        <v>0</v>
      </c>
      <c r="F130" s="151">
        <f>IF(F$167&gt;$C$168,F182,IF(F$105&lt;=TabS!$G$5,F35*$E$77,IF(F$105&lt;=TabS!$G$6,F35*$E$78,IF(F$105&lt;=TabS!$G$7,F35*$E$79,IF(F$105&lt;=TabS!$G$8,F35*$E$80,IF(F$105&lt;=TabS!$G$9,F35*$E$81,IF(F$105&lt;=TabS!$G$10,F35*$E$82)))))))</f>
        <v>0</v>
      </c>
      <c r="G130" s="151">
        <f>IF(G$167&gt;$C$168,G182,IF(G$105&lt;=TabS!$G$5,G35*$E$77,IF(G$105&lt;=TabS!$G$6,G35*$E$78,IF(G$105&lt;=TabS!$G$7,G35*$E$79,IF(G$105&lt;=TabS!$G$8,G35*$E$80,IF(G$105&lt;=TabS!$G$9,G35*$E$81,IF(G$105&lt;=TabS!$G$10,G35*$E$82)))))))</f>
        <v>0</v>
      </c>
      <c r="H130" s="151">
        <f>IF(H$167&gt;$C$168,H182,IF(H$105&lt;=TabS!$G$5,H35*$E$77,IF(H$105&lt;=TabS!$G$6,H35*$E$78,IF(H$105&lt;=TabS!$G$7,H35*$E$79,IF(H$105&lt;=TabS!$G$8,H35*$E$80,IF(H$105&lt;=TabS!$G$9,H35*$E$81,IF(H$105&lt;=TabS!$G$10,H35*$E$82)))))))</f>
        <v>0</v>
      </c>
      <c r="I130" s="151">
        <f>IF(I$167&gt;$C$168,I182,IF(I$105&lt;=TabS!$G$5,I35*$E$77,IF(I$105&lt;=TabS!$G$6,I35*$E$78,IF(I$105&lt;=TabS!$G$7,I35*$E$79,IF(I$105&lt;=TabS!$G$8,I35*$E$80,IF(I$105&lt;=TabS!$G$9,I35*$E$81,IF(I$105&lt;=TabS!$G$10,I35*$E$82)))))))</f>
        <v>0</v>
      </c>
      <c r="J130" s="151">
        <f>IF(J$167&gt;$C$168,J182,IF(J$105&lt;=TabS!$G$5,J35*$E$77,IF(J$105&lt;=TabS!$G$6,J35*$E$78,IF(J$105&lt;=TabS!$G$7,J35*$E$79,IF(J$105&lt;=TabS!$G$8,J35*$E$80,IF(J$105&lt;=TabS!$G$9,J35*$E$81,IF(J$105&lt;=TabS!$G$10,J35*$E$82)))))))</f>
        <v>0</v>
      </c>
      <c r="K130" s="151">
        <f>IF(K$167&gt;$C$168,K182,IF(K$105&lt;=TabS!$G$5,K35*$E$77,IF(K$105&lt;=TabS!$G$6,K35*$E$78,IF(K$105&lt;=TabS!$G$7,K35*$E$79,IF(K$105&lt;=TabS!$G$8,K35*$E$80,IF(K$105&lt;=TabS!$G$9,K35*$E$81,IF(K$105&lt;=TabS!$G$10,K35*$E$82)))))))</f>
        <v>0</v>
      </c>
      <c r="L130" s="151">
        <f>IF(L$167&gt;$C$168,L182,IF(L$105&lt;=TabS!$G$5,L35*$E$77,IF(L$105&lt;=TabS!$G$6,L35*$E$78,IF(L$105&lt;=TabS!$G$7,L35*$E$79,IF(L$105&lt;=TabS!$G$8,L35*$E$80,IF(L$105&lt;=TabS!$G$9,L35*$E$81,IF(L$105&lt;=TabS!$G$10,L35*$E$82)))))))</f>
        <v>0</v>
      </c>
      <c r="M130" s="151">
        <f>IF(M$167&gt;$C$168,M182,IF(M$105&lt;=TabS!$G$5,M35*$E$77,IF(M$105&lt;=TabS!$G$6,M35*$E$78,IF(M$105&lt;=TabS!$G$7,M35*$E$79,IF(M$105&lt;=TabS!$G$8,M35*$E$80,IF(M$105&lt;=TabS!$G$9,M35*$E$81,IF(M$105&lt;=TabS!$G$10,M35*$E$82)))))))</f>
        <v>0</v>
      </c>
      <c r="N130" s="151">
        <f>IF(N$167&gt;$C$168,N182,IF(N$105&lt;=TabS!$G$5,N35*$E$77,IF(N$105&lt;=TabS!$G$6,N35*$E$78,IF(N$105&lt;=TabS!$G$7,N35*$E$79,IF(N$105&lt;=TabS!$G$8,N35*$E$80,IF(N$105&lt;=TabS!$G$9,N35*$E$81,IF(N$105&lt;=TabS!$G$10,N35*$E$82)))))))</f>
        <v>0</v>
      </c>
      <c r="O130" s="152">
        <f>SUM(C130:N130)</f>
        <v>0</v>
      </c>
    </row>
    <row r="131" spans="2:15" ht="20.100000000000001" customHeight="1" x14ac:dyDescent="0.25">
      <c r="B131" s="167" t="s">
        <v>129</v>
      </c>
      <c r="C131" s="151">
        <f>IF(C$167&gt;$C$168,C183,IF(C$105&lt;=TabS!$G$5,C35*$F$77,IF(C$105&lt;=TabS!$G$6,C35*$F$78,IF(C$105&lt;=TabS!$G$7,C35*$F$79,IF(C$105&lt;=TabS!$G$8,C35*$F$80,IF(C$105&lt;=TabS!$G$9,C35*$F$81,IF(C$105&lt;=TabS!$G$10,C35*$F$82)))))))</f>
        <v>0</v>
      </c>
      <c r="D131" s="151">
        <f>IF(D$167&gt;$C$168,D183,IF(D$105&lt;=TabS!$G$5,D35*$F$77,IF(D$105&lt;=TabS!$G$6,D35*$F$78,IF(D$105&lt;=TabS!$G$7,D35*$F$79,IF(D$105&lt;=TabS!$G$8,D35*$F$80,IF(D$105&lt;=TabS!$G$9,D35*$F$81,IF(D$105&lt;=TabS!$G$10,D35*$F$82)))))))</f>
        <v>0</v>
      </c>
      <c r="E131" s="151">
        <f>IF(E$167&gt;$C$168,E183,IF(E$105&lt;=TabS!$G$5,E35*$F$77,IF(E$105&lt;=TabS!$G$6,E35*$F$78,IF(E$105&lt;=TabS!$G$7,E35*$F$79,IF(E$105&lt;=TabS!$G$8,E35*$F$80,IF(E$105&lt;=TabS!$G$9,E35*$F$81,IF(E$105&lt;=TabS!$G$10,E35*$F$82)))))))</f>
        <v>0</v>
      </c>
      <c r="F131" s="151">
        <f>IF(F$167&gt;$C$168,F183,IF(F$105&lt;=TabS!$G$5,F35*$F$77,IF(F$105&lt;=TabS!$G$6,F35*$F$78,IF(F$105&lt;=TabS!$G$7,F35*$F$79,IF(F$105&lt;=TabS!$G$8,F35*$F$80,IF(F$105&lt;=TabS!$G$9,F35*$F$81,IF(F$105&lt;=TabS!$G$10,F35*$F$82)))))))</f>
        <v>0</v>
      </c>
      <c r="G131" s="151">
        <f>IF(G$167&gt;$C$168,G183,IF(G$105&lt;=TabS!$G$5,G35*$F$77,IF(G$105&lt;=TabS!$G$6,G35*$F$78,IF(G$105&lt;=TabS!$G$7,G35*$F$79,IF(G$105&lt;=TabS!$G$8,G35*$F$80,IF(G$105&lt;=TabS!$G$9,G35*$F$81,IF(G$105&lt;=TabS!$G$10,G35*$F$82)))))))</f>
        <v>0</v>
      </c>
      <c r="H131" s="151">
        <f>IF(H$167&gt;$C$168,H183,IF(H$105&lt;=TabS!$G$5,H35*$F$77,IF(H$105&lt;=TabS!$G$6,H35*$F$78,IF(H$105&lt;=TabS!$G$7,H35*$F$79,IF(H$105&lt;=TabS!$G$8,H35*$F$80,IF(H$105&lt;=TabS!$G$9,H35*$F$81,IF(H$105&lt;=TabS!$G$10,H35*$F$82)))))))</f>
        <v>0</v>
      </c>
      <c r="I131" s="151">
        <f>IF(I$167&gt;$C$168,I183,IF(I$105&lt;=TabS!$G$5,I35*$F$77,IF(I$105&lt;=TabS!$G$6,I35*$F$78,IF(I$105&lt;=TabS!$G$7,I35*$F$79,IF(I$105&lt;=TabS!$G$8,I35*$F$80,IF(I$105&lt;=TabS!$G$9,I35*$F$81,IF(I$105&lt;=TabS!$G$10,I35*$F$82)))))))</f>
        <v>0</v>
      </c>
      <c r="J131" s="151">
        <f>IF(J$167&gt;$C$168,J183,IF(J$105&lt;=TabS!$G$5,J35*$F$77,IF(J$105&lt;=TabS!$G$6,J35*$F$78,IF(J$105&lt;=TabS!$G$7,J35*$F$79,IF(J$105&lt;=TabS!$G$8,J35*$F$80,IF(J$105&lt;=TabS!$G$9,J35*$F$81,IF(J$105&lt;=TabS!$G$10,J35*$F$82)))))))</f>
        <v>0</v>
      </c>
      <c r="K131" s="151">
        <f>IF(K$167&gt;$C$168,K183,IF(K$105&lt;=TabS!$G$5,K35*$F$77,IF(K$105&lt;=TabS!$G$6,K35*$F$78,IF(K$105&lt;=TabS!$G$7,K35*$F$79,IF(K$105&lt;=TabS!$G$8,K35*$F$80,IF(K$105&lt;=TabS!$G$9,K35*$F$81,IF(K$105&lt;=TabS!$G$10,K35*$F$82)))))))</f>
        <v>0</v>
      </c>
      <c r="L131" s="151">
        <f>IF(L$167&gt;$C$168,L183,IF(L$105&lt;=TabS!$G$5,L35*$F$77,IF(L$105&lt;=TabS!$G$6,L35*$F$78,IF(L$105&lt;=TabS!$G$7,L35*$F$79,IF(L$105&lt;=TabS!$G$8,L35*$F$80,IF(L$105&lt;=TabS!$G$9,L35*$F$81,IF(L$105&lt;=TabS!$G$10,L35*$F$82)))))))</f>
        <v>0</v>
      </c>
      <c r="M131" s="151">
        <f>IF(M$167&gt;$C$168,M183,IF(M$105&lt;=TabS!$G$5,M35*$F$77,IF(M$105&lt;=TabS!$G$6,M35*$F$78,IF(M$105&lt;=TabS!$G$7,M35*$F$79,IF(M$105&lt;=TabS!$G$8,M35*$F$80,IF(M$105&lt;=TabS!$G$9,M35*$F$81,IF(M$105&lt;=TabS!$G$10,M35*$F$82)))))))</f>
        <v>0</v>
      </c>
      <c r="N131" s="151">
        <f>IF(N$167&gt;$C$168,N183,IF(N$105&lt;=TabS!$G$5,N35*$F$77,IF(N$105&lt;=TabS!$G$6,N35*$F$78,IF(N$105&lt;=TabS!$G$7,N35*$F$79,IF(N$105&lt;=TabS!$G$8,N35*$F$80,IF(N$105&lt;=TabS!$G$9,N35*$F$81,IF(N$105&lt;=TabS!$G$10,N35*$F$82)))))))</f>
        <v>0</v>
      </c>
      <c r="O131" s="152">
        <f t="shared" si="52"/>
        <v>0</v>
      </c>
    </row>
    <row r="132" spans="2:15" ht="20.100000000000001" customHeight="1" x14ac:dyDescent="0.25">
      <c r="B132" s="167" t="s">
        <v>42</v>
      </c>
      <c r="C132" s="151">
        <f>IF(C$167&gt;$C$168,C184,IF(C$105&lt;=TabS!$G$5,C35*$G$77,IF(C$105&lt;=TabS!$G$6,C35*$G$78,IF(C$105&lt;=TabS!$G$7,C35*$G$79,IF(C$105&lt;=TabS!$G$8,C35*$G$80,IF(C$105&lt;=TabS!$G$9,C35*$G$81,IF(C$105&lt;=TabS!$G$10,C35*$G$82)))))))</f>
        <v>0</v>
      </c>
      <c r="D132" s="151">
        <f>IF(D$167&gt;$C$168,D184,IF(D$105&lt;=TabS!$G$5,D35*$G$77,IF(D$105&lt;=TabS!$G$6,D35*$G$78,IF(D$105&lt;=TabS!$G$7,D35*$G$79,IF(D$105&lt;=TabS!$G$8,D35*$G$80,IF(D$105&lt;=TabS!$G$9,D35*$G$81,IF(D$105&lt;=TabS!$G$10,D35*$G$82)))))))</f>
        <v>0</v>
      </c>
      <c r="E132" s="151">
        <f>IF(E$167&gt;$C$168,E184,IF(E$105&lt;=TabS!$G$5,E35*$G$77,IF(E$105&lt;=TabS!$G$6,E35*$G$78,IF(E$105&lt;=TabS!$G$7,E35*$G$79,IF(E$105&lt;=TabS!$G$8,E35*$G$80,IF(E$105&lt;=TabS!$G$9,E35*$G$81,IF(E$105&lt;=TabS!$G$10,E35*$G$82)))))))</f>
        <v>0</v>
      </c>
      <c r="F132" s="151">
        <f>IF(F$167&gt;$C$168,F184,IF(F$105&lt;=TabS!$G$5,F35*$G$77,IF(F$105&lt;=TabS!$G$6,F35*$G$78,IF(F$105&lt;=TabS!$G$7,F35*$G$79,IF(F$105&lt;=TabS!$G$8,F35*$G$80,IF(F$105&lt;=TabS!$G$9,F35*$G$81,IF(F$105&lt;=TabS!$G$10,F35*$G$82)))))))</f>
        <v>0</v>
      </c>
      <c r="G132" s="151">
        <f>IF(G$167&gt;$C$168,G184,IF(G$105&lt;=TabS!$G$5,G35*$G$77,IF(G$105&lt;=TabS!$G$6,G35*$G$78,IF(G$105&lt;=TabS!$G$7,G35*$G$79,IF(G$105&lt;=TabS!$G$8,G35*$G$80,IF(G$105&lt;=TabS!$G$9,G35*$G$81,IF(G$105&lt;=TabS!$G$10,G35*$G$82)))))))</f>
        <v>0</v>
      </c>
      <c r="H132" s="151">
        <f>IF(H$167&gt;$C$168,H184,IF(H$105&lt;=TabS!$G$5,H35*$G$77,IF(H$105&lt;=TabS!$G$6,H35*$G$78,IF(H$105&lt;=TabS!$G$7,H35*$G$79,IF(H$105&lt;=TabS!$G$8,H35*$G$80,IF(H$105&lt;=TabS!$G$9,H35*$G$81,IF(H$105&lt;=TabS!$G$10,H35*$G$82)))))))</f>
        <v>0</v>
      </c>
      <c r="I132" s="151">
        <f>IF(I$167&gt;$C$168,I184,IF(I$105&lt;=TabS!$G$5,I35*$G$77,IF(I$105&lt;=TabS!$G$6,I35*$G$78,IF(I$105&lt;=TabS!$G$7,I35*$G$79,IF(I$105&lt;=TabS!$G$8,I35*$G$80,IF(I$105&lt;=TabS!$G$9,I35*$G$81,IF(I$105&lt;=TabS!$G$10,I35*$G$82)))))))</f>
        <v>0</v>
      </c>
      <c r="J132" s="151">
        <f>IF(J$167&gt;$C$168,J184,IF(J$105&lt;=TabS!$G$5,J35*$G$77,IF(J$105&lt;=TabS!$G$6,J35*$G$78,IF(J$105&lt;=TabS!$G$7,J35*$G$79,IF(J$105&lt;=TabS!$G$8,J35*$G$80,IF(J$105&lt;=TabS!$G$9,J35*$G$81,IF(J$105&lt;=TabS!$G$10,J35*$G$82)))))))</f>
        <v>0</v>
      </c>
      <c r="K132" s="151">
        <f>IF(K$167&gt;$C$168,K184,IF(K$105&lt;=TabS!$G$5,K35*$G$77,IF(K$105&lt;=TabS!$G$6,K35*$G$78,IF(K$105&lt;=TabS!$G$7,K35*$G$79,IF(K$105&lt;=TabS!$G$8,K35*$G$80,IF(K$105&lt;=TabS!$G$9,K35*$G$81,IF(K$105&lt;=TabS!$G$10,K35*$G$82)))))))</f>
        <v>0</v>
      </c>
      <c r="L132" s="151">
        <f>IF(L$167&gt;$C$168,L184,IF(L$105&lt;=TabS!$G$5,L35*$G$77,IF(L$105&lt;=TabS!$G$6,L35*$G$78,IF(L$105&lt;=TabS!$G$7,L35*$G$79,IF(L$105&lt;=TabS!$G$8,L35*$G$80,IF(L$105&lt;=TabS!$G$9,L35*$G$81,IF(L$105&lt;=TabS!$G$10,L35*$G$82)))))))</f>
        <v>0</v>
      </c>
      <c r="M132" s="151">
        <f>IF(M$167&gt;$C$168,M184,IF(M$105&lt;=TabS!$G$5,M35*$G$77,IF(M$105&lt;=TabS!$G$6,M35*$G$78,IF(M$105&lt;=TabS!$G$7,M35*$G$79,IF(M$105&lt;=TabS!$G$8,M35*$G$80,IF(M$105&lt;=TabS!$G$9,M35*$G$81,IF(M$105&lt;=TabS!$G$10,M35*$G$82)))))))</f>
        <v>0</v>
      </c>
      <c r="N132" s="151">
        <f>IF(N$167&gt;$C$168,N184,IF(N$105&lt;=TabS!$G$5,N35*$G$77,IF(N$105&lt;=TabS!$G$6,N35*$G$78,IF(N$105&lt;=TabS!$G$7,N35*$G$79,IF(N$105&lt;=TabS!$G$8,N35*$G$80,IF(N$105&lt;=TabS!$G$9,N35*$G$81,IF(N$105&lt;=TabS!$G$10,N35*$G$82)))))))</f>
        <v>0</v>
      </c>
      <c r="O132" s="152">
        <f t="shared" si="52"/>
        <v>0</v>
      </c>
    </row>
    <row r="133" spans="2:15" ht="20.100000000000001" customHeight="1" x14ac:dyDescent="0.25">
      <c r="B133" s="167" t="s">
        <v>40</v>
      </c>
      <c r="C133" s="151">
        <f>IF(C$167&gt;$C$168,C185,IF(C$105&lt;=TabS!$G$5,C35*$H$77,IF(C$105&lt;=TabS!$G$6,C35*$H$78,IF(C$105&lt;=TabS!$G$7,C35*$H$79,IF(C$105&lt;=TabS!$G$8,C35*$H$80,IF(C$105&lt;=TabS!$G$9,C35*$H$81,IF(C$105&lt;=TabS!$G$10,C35*$H$82)))))))</f>
        <v>0</v>
      </c>
      <c r="D133" s="151">
        <f>IF(D$167&gt;$C$168,D185,IF(D$105&lt;=TabS!$G$5,D35*$H$77,IF(D$105&lt;=TabS!$G$6,D35*$H$78,IF(D$105&lt;=TabS!$G$7,D35*$H$79,IF(D$105&lt;=TabS!$G$8,D35*$H$80,IF(D$105&lt;=TabS!$G$9,D35*$H$81,IF(D$105&lt;=TabS!$G$10,D35*$H$82)))))))</f>
        <v>0</v>
      </c>
      <c r="E133" s="151">
        <f>IF(E$167&gt;$C$168,E185,IF(E$105&lt;=TabS!$G$5,E35*$H$77,IF(E$105&lt;=TabS!$G$6,E35*$H$78,IF(E$105&lt;=TabS!$G$7,E35*$H$79,IF(E$105&lt;=TabS!$G$8,E35*$H$80,IF(E$105&lt;=TabS!$G$9,E35*$H$81,IF(E$105&lt;=TabS!$G$10,E35*$H$82)))))))</f>
        <v>0</v>
      </c>
      <c r="F133" s="151">
        <f>IF(F$167&gt;$C$168,F185,IF(F$105&lt;=TabS!$G$5,F35*$H$77,IF(F$105&lt;=TabS!$G$6,F35*$H$78,IF(F$105&lt;=TabS!$G$7,F35*$H$79,IF(F$105&lt;=TabS!$G$8,F35*$H$80,IF(F$105&lt;=TabS!$G$9,F35*$H$81,IF(F$105&lt;=TabS!$G$10,F35*$H$82)))))))</f>
        <v>0</v>
      </c>
      <c r="G133" s="151">
        <f>IF(G$167&gt;$C$168,G185,IF(G$105&lt;=TabS!$G$5,G35*$H$77,IF(G$105&lt;=TabS!$G$6,G35*$H$78,IF(G$105&lt;=TabS!$G$7,G35*$H$79,IF(G$105&lt;=TabS!$G$8,G35*$H$80,IF(G$105&lt;=TabS!$G$9,G35*$H$81,IF(G$105&lt;=TabS!$G$10,G35*$H$82)))))))</f>
        <v>0</v>
      </c>
      <c r="H133" s="151">
        <f>IF(H$167&gt;$C$168,H185,IF(H$105&lt;=TabS!$G$5,H35*$H$77,IF(H$105&lt;=TabS!$G$6,H35*$H$78,IF(H$105&lt;=TabS!$G$7,H35*$H$79,IF(H$105&lt;=TabS!$G$8,H35*$H$80,IF(H$105&lt;=TabS!$G$9,H35*$H$81,IF(H$105&lt;=TabS!$G$10,H35*$H$82)))))))</f>
        <v>0</v>
      </c>
      <c r="I133" s="151">
        <f>IF(I$167&gt;$C$168,I185,IF(I$105&lt;=TabS!$G$5,I35*$H$77,IF(I$105&lt;=TabS!$G$6,I35*$H$78,IF(I$105&lt;=TabS!$G$7,I35*$H$79,IF(I$105&lt;=TabS!$G$8,I35*$H$80,IF(I$105&lt;=TabS!$G$9,I35*$H$81,IF(I$105&lt;=TabS!$G$10,I35*$H$82)))))))</f>
        <v>0</v>
      </c>
      <c r="J133" s="151">
        <f>IF(J$167&gt;$C$168,J185,IF(J$105&lt;=TabS!$G$5,J35*$H$77,IF(J$105&lt;=TabS!$G$6,J35*$H$78,IF(J$105&lt;=TabS!$G$7,J35*$H$79,IF(J$105&lt;=TabS!$G$8,J35*$H$80,IF(J$105&lt;=TabS!$G$9,J35*$H$81,IF(J$105&lt;=TabS!$G$10,J35*$H$82)))))))</f>
        <v>0</v>
      </c>
      <c r="K133" s="151">
        <f>IF(K$167&gt;$C$168,K185,IF(K$105&lt;=TabS!$G$5,K35*$H$77,IF(K$105&lt;=TabS!$G$6,K35*$H$78,IF(K$105&lt;=TabS!$G$7,K35*$H$79,IF(K$105&lt;=TabS!$G$8,K35*$H$80,IF(K$105&lt;=TabS!$G$9,K35*$H$81,IF(K$105&lt;=TabS!$G$10,K35*$H$82)))))))</f>
        <v>0</v>
      </c>
      <c r="L133" s="151">
        <f>IF(L$167&gt;$C$168,L185,IF(L$105&lt;=TabS!$G$5,L35*$H$77,IF(L$105&lt;=TabS!$G$6,L35*$H$78,IF(L$105&lt;=TabS!$G$7,L35*$H$79,IF(L$105&lt;=TabS!$G$8,L35*$H$80,IF(L$105&lt;=TabS!$G$9,L35*$H$81,IF(L$105&lt;=TabS!$G$10,L35*$H$82)))))))</f>
        <v>0</v>
      </c>
      <c r="M133" s="151">
        <f>IF(M$167&gt;$C$168,M185,IF(M$105&lt;=TabS!$G$5,M35*$H$77,IF(M$105&lt;=TabS!$G$6,M35*$H$78,IF(M$105&lt;=TabS!$G$7,M35*$H$79,IF(M$105&lt;=TabS!$G$8,M35*$H$80,IF(M$105&lt;=TabS!$G$9,M35*$H$81,IF(M$105&lt;=TabS!$G$10,M35*$H$82)))))))</f>
        <v>0</v>
      </c>
      <c r="N133" s="151">
        <f>IF(N$167&gt;$C$168,N185,IF(N$105&lt;=TabS!$G$5,N35*$H$77,IF(N$105&lt;=TabS!$G$6,N35*$H$78,IF(N$105&lt;=TabS!$G$7,N35*$H$79,IF(N$105&lt;=TabS!$G$8,N35*$H$80,IF(N$105&lt;=TabS!$G$9,N35*$H$81,IF(N$105&lt;=TabS!$G$10,N35*$H$82)))))))</f>
        <v>0</v>
      </c>
      <c r="O133" s="152">
        <f t="shared" si="52"/>
        <v>0</v>
      </c>
    </row>
    <row r="134" spans="2:15" ht="20.100000000000001" customHeight="1" x14ac:dyDescent="0.25">
      <c r="B134" s="168" t="s">
        <v>99</v>
      </c>
      <c r="C134" s="152">
        <f>SUM(C128:C133)</f>
        <v>0</v>
      </c>
      <c r="D134" s="152">
        <f t="shared" ref="D134:N134" si="53">SUM(D128:D133)</f>
        <v>0</v>
      </c>
      <c r="E134" s="152">
        <f t="shared" si="53"/>
        <v>0</v>
      </c>
      <c r="F134" s="152">
        <f t="shared" si="53"/>
        <v>0</v>
      </c>
      <c r="G134" s="152">
        <f t="shared" si="53"/>
        <v>0</v>
      </c>
      <c r="H134" s="152">
        <f t="shared" si="53"/>
        <v>0</v>
      </c>
      <c r="I134" s="152">
        <f t="shared" si="53"/>
        <v>0</v>
      </c>
      <c r="J134" s="152">
        <f t="shared" si="53"/>
        <v>0</v>
      </c>
      <c r="K134" s="152">
        <f t="shared" si="53"/>
        <v>0</v>
      </c>
      <c r="L134" s="152">
        <f t="shared" si="53"/>
        <v>0</v>
      </c>
      <c r="M134" s="152">
        <f t="shared" si="53"/>
        <v>0</v>
      </c>
      <c r="N134" s="152">
        <f t="shared" si="53"/>
        <v>0</v>
      </c>
      <c r="O134" s="152">
        <f t="shared" si="52"/>
        <v>0</v>
      </c>
    </row>
    <row r="135" spans="2:15" ht="20.100000000000001" customHeight="1" x14ac:dyDescent="0.25">
      <c r="B135" s="164" t="s">
        <v>76</v>
      </c>
    </row>
    <row r="136" spans="2:15" ht="20.100000000000001" customHeight="1" x14ac:dyDescent="0.25">
      <c r="B136" s="149" t="s">
        <v>82</v>
      </c>
      <c r="C136" s="149" t="s">
        <v>83</v>
      </c>
      <c r="D136" s="149" t="s">
        <v>84</v>
      </c>
      <c r="E136" s="149" t="s">
        <v>85</v>
      </c>
      <c r="F136" s="149" t="s">
        <v>86</v>
      </c>
      <c r="G136" s="149" t="s">
        <v>87</v>
      </c>
      <c r="H136" s="149" t="s">
        <v>88</v>
      </c>
      <c r="I136" s="149" t="s">
        <v>89</v>
      </c>
      <c r="J136" s="149" t="s">
        <v>90</v>
      </c>
      <c r="K136" s="149" t="s">
        <v>91</v>
      </c>
      <c r="L136" s="149" t="s">
        <v>92</v>
      </c>
      <c r="M136" s="149" t="s">
        <v>93</v>
      </c>
      <c r="N136" s="149" t="s">
        <v>94</v>
      </c>
      <c r="O136" s="149" t="s">
        <v>95</v>
      </c>
    </row>
    <row r="137" spans="2:15" ht="20.100000000000001" customHeight="1" x14ac:dyDescent="0.25">
      <c r="B137" s="167" t="s">
        <v>97</v>
      </c>
      <c r="C137" s="151">
        <f>IF(C$190&gt;$C$191,C203,IF(C$105&lt;=TabS!$G$5,C42*$C$87,IF(C$105&lt;=TabS!$G$6,C42*$C$88,IF(C$105&lt;=TabS!$G$7,C42*$C$89,IF(C$105&lt;=TabS!$G$8,C42*$C$90,IF(C$105&lt;=TabS!$G$9,C42*$C$91,IF(C$105&lt;=TabS!$G$10,C42*$C$92)))))))</f>
        <v>0</v>
      </c>
      <c r="D137" s="151">
        <f>IF(D$190&gt;$C$191,D203,IF(D$105&lt;=TabS!$G$5,D42*$C$87,IF(D$105&lt;=TabS!$G$6,D42*$C$88,IF(D$105&lt;=TabS!$G$7,D42*$C$89,IF(D$105&lt;=TabS!$G$8,D42*$C$90,IF(D$105&lt;=TabS!$G$9,D42*$C$91,IF(D$105&lt;=TabS!$G$10,D42*$C$92)))))))</f>
        <v>0</v>
      </c>
      <c r="E137" s="151">
        <f>IF(E$190&gt;$C$191,E203,IF(E$105&lt;=TabS!$G$5,E42*$C$87,IF(E$105&lt;=TabS!$G$6,E42*$C$88,IF(E$105&lt;=TabS!$G$7,E42*$C$89,IF(E$105&lt;=TabS!$G$8,E42*$C$90,IF(E$105&lt;=TabS!$G$9,E42*$C$91,IF(E$105&lt;=TabS!$G$10,E42*$C$92)))))))</f>
        <v>0</v>
      </c>
      <c r="F137" s="151">
        <f>IF(F$190&gt;$C$191,F203,IF(F$105&lt;=TabS!$G$5,F42*$C$87,IF(F$105&lt;=TabS!$G$6,F42*$C$88,IF(F$105&lt;=TabS!$G$7,F42*$C$89,IF(F$105&lt;=TabS!$G$8,F42*$C$90,IF(F$105&lt;=TabS!$G$9,F42*$C$91,IF(F$105&lt;=TabS!$G$10,F42*$C$92)))))))</f>
        <v>0</v>
      </c>
      <c r="G137" s="151">
        <f>IF(G$190&gt;$C$191,G203,IF(G$105&lt;=TabS!$G$5,G42*$C$87,IF(G$105&lt;=TabS!$G$6,G42*$C$88,IF(G$105&lt;=TabS!$G$7,G42*$C$89,IF(G$105&lt;=TabS!$G$8,G42*$C$90,IF(G$105&lt;=TabS!$G$9,G42*$C$91,IF(G$105&lt;=TabS!$G$10,G42*$C$92)))))))</f>
        <v>0</v>
      </c>
      <c r="H137" s="151">
        <f>IF(H$190&gt;$C$191,H203,IF(H$105&lt;=TabS!$G$5,H42*$C$87,IF(H$105&lt;=TabS!$G$6,H42*$C$88,IF(H$105&lt;=TabS!$G$7,H42*$C$89,IF(H$105&lt;=TabS!$G$8,H42*$C$90,IF(H$105&lt;=TabS!$G$9,H42*$C$91,IF(H$105&lt;=TabS!$G$10,H42*$C$92)))))))</f>
        <v>0</v>
      </c>
      <c r="I137" s="151">
        <f>IF(I$190&gt;$C$191,I203,IF(I$105&lt;=TabS!$G$5,I42*$C$87,IF(I$105&lt;=TabS!$G$6,I42*$C$88,IF(I$105&lt;=TabS!$G$7,I42*$C$89,IF(I$105&lt;=TabS!$G$8,I42*$C$90,IF(I$105&lt;=TabS!$G$9,I42*$C$91,IF(I$105&lt;=TabS!$G$10,I42*$C$92)))))))</f>
        <v>0</v>
      </c>
      <c r="J137" s="151">
        <f>IF(J$190&gt;$C$191,J203,IF(J$105&lt;=TabS!$G$5,J42*$C$87,IF(J$105&lt;=TabS!$G$6,J42*$C$88,IF(J$105&lt;=TabS!$G$7,J42*$C$89,IF(J$105&lt;=TabS!$G$8,J42*$C$90,IF(J$105&lt;=TabS!$G$9,J42*$C$91,IF(J$105&lt;=TabS!$G$10,J42*$C$92)))))))</f>
        <v>0</v>
      </c>
      <c r="K137" s="151">
        <f>IF(K$190&gt;$C$191,K203,IF(K$105&lt;=TabS!$G$5,K42*$C$87,IF(K$105&lt;=TabS!$G$6,K42*$C$88,IF(K$105&lt;=TabS!$G$7,K42*$C$89,IF(K$105&lt;=TabS!$G$8,K42*$C$90,IF(K$105&lt;=TabS!$G$9,K42*$C$91,IF(K$105&lt;=TabS!$G$10,K42*$C$92)))))))</f>
        <v>0</v>
      </c>
      <c r="L137" s="151">
        <f>IF(L$190&gt;$C$191,L203,IF(L$105&lt;=TabS!$G$5,L42*$C$87,IF(L$105&lt;=TabS!$G$6,L42*$C$88,IF(L$105&lt;=TabS!$G$7,L42*$C$89,IF(L$105&lt;=TabS!$G$8,L42*$C$90,IF(L$105&lt;=TabS!$G$9,L42*$C$91,IF(L$105&lt;=TabS!$G$10,L42*$C$92)))))))</f>
        <v>0</v>
      </c>
      <c r="M137" s="151">
        <f>IF(M$190&gt;$C$191,M203,IF(M$105&lt;=TabS!$G$5,M42*$C$87,IF(M$105&lt;=TabS!$G$6,M42*$C$88,IF(M$105&lt;=TabS!$G$7,M42*$C$89,IF(M$105&lt;=TabS!$G$8,M42*$C$90,IF(M$105&lt;=TabS!$G$9,M42*$C$91,IF(M$105&lt;=TabS!$G$10,M42*$C$92)))))))</f>
        <v>0</v>
      </c>
      <c r="N137" s="151">
        <f>IF(N$190&gt;$C$191,N203,IF(N$105&lt;=TabS!$G$5,N42*$C$87,IF(N$105&lt;=TabS!$G$6,N42*$C$88,IF(N$105&lt;=TabS!$G$7,N42*$C$89,IF(N$105&lt;=TabS!$G$8,N42*$C$90,IF(N$105&lt;=TabS!$G$9,N42*$C$91,IF(N$105&lt;=TabS!$G$10,N42*$C$92)))))))</f>
        <v>0</v>
      </c>
      <c r="O137" s="152">
        <f t="shared" ref="O137:O143" si="54">SUM(C137:N137)</f>
        <v>0</v>
      </c>
    </row>
    <row r="138" spans="2:15" ht="20.100000000000001" customHeight="1" x14ac:dyDescent="0.25">
      <c r="B138" s="167" t="s">
        <v>98</v>
      </c>
      <c r="C138" s="151">
        <f>IF(C$190&gt;$C$191,C204,IF(C$105&lt;=TabS!$G$5,C42*$D$87,IF(C$105&lt;=TabS!$G$6,C42*$D$88,IF(C$105&lt;=TabS!$G$7,C42*$D$89,IF(C$105&lt;=TabS!$G$8,C42*$D$90,IF(C$105&lt;=TabS!$G$9,C42*$D$91,IF(C$105&lt;=TabS!$G$10,C42*$D$92)))))))</f>
        <v>0</v>
      </c>
      <c r="D138" s="151">
        <f>IF(D$190&gt;$C$191,D204,IF(D$105&lt;=TabS!$G$5,D42*$D$87,IF(D$105&lt;=TabS!$G$6,D42*$D$88,IF(D$105&lt;=TabS!$G$7,D42*$D$89,IF(D$105&lt;=TabS!$G$8,D42*$D$90,IF(D$105&lt;=TabS!$G$9,D42*$D$91,IF(D$105&lt;=TabS!$G$10,D42*$D$92)))))))</f>
        <v>0</v>
      </c>
      <c r="E138" s="151">
        <f>IF(E$190&gt;$C$191,E204,IF(E$105&lt;=TabS!$G$5,E42*$D$87,IF(E$105&lt;=TabS!$G$6,E42*$D$88,IF(E$105&lt;=TabS!$G$7,E42*$D$89,IF(E$105&lt;=TabS!$G$8,E42*$D$90,IF(E$105&lt;=TabS!$G$9,E42*$D$91,IF(E$105&lt;=TabS!$G$10,E42*$D$92)))))))</f>
        <v>0</v>
      </c>
      <c r="F138" s="151">
        <f>IF(F$190&gt;$C$191,F204,IF(F$105&lt;=TabS!$G$5,F42*$D$87,IF(F$105&lt;=TabS!$G$6,F42*$D$88,IF(F$105&lt;=TabS!$G$7,F42*$D$89,IF(F$105&lt;=TabS!$G$8,F42*$D$90,IF(F$105&lt;=TabS!$G$9,F42*$D$91,IF(F$105&lt;=TabS!$G$10,F42*$D$92)))))))</f>
        <v>0</v>
      </c>
      <c r="G138" s="151">
        <f>IF(G$190&gt;$C$191,G204,IF(G$105&lt;=TabS!$G$5,G42*$D$87,IF(G$105&lt;=TabS!$G$6,G42*$D$88,IF(G$105&lt;=TabS!$G$7,G42*$D$89,IF(G$105&lt;=TabS!$G$8,G42*$D$90,IF(G$105&lt;=TabS!$G$9,G42*$D$91,IF(G$105&lt;=TabS!$G$10,G42*$D$92)))))))</f>
        <v>0</v>
      </c>
      <c r="H138" s="151">
        <f>IF(H$190&gt;$C$191,H204,IF(H$105&lt;=TabS!$G$5,H42*$D$87,IF(H$105&lt;=TabS!$G$6,H42*$D$88,IF(H$105&lt;=TabS!$G$7,H42*$D$89,IF(H$105&lt;=TabS!$G$8,H42*$D$90,IF(H$105&lt;=TabS!$G$9,H42*$D$91,IF(H$105&lt;=TabS!$G$10,H42*$D$92)))))))</f>
        <v>0</v>
      </c>
      <c r="I138" s="151">
        <f>IF(I$190&gt;$C$191,I204,IF(I$105&lt;=TabS!$G$5,I42*$D$87,IF(I$105&lt;=TabS!$G$6,I42*$D$88,IF(I$105&lt;=TabS!$G$7,I42*$D$89,IF(I$105&lt;=TabS!$G$8,I42*$D$90,IF(I$105&lt;=TabS!$G$9,I42*$D$91,IF(I$105&lt;=TabS!$G$10,I42*$D$92)))))))</f>
        <v>0</v>
      </c>
      <c r="J138" s="151">
        <f>IF(J$190&gt;$C$191,J204,IF(J$105&lt;=TabS!$G$5,J42*$D$87,IF(J$105&lt;=TabS!$G$6,J42*$D$88,IF(J$105&lt;=TabS!$G$7,J42*$D$89,IF(J$105&lt;=TabS!$G$8,J42*$D$90,IF(J$105&lt;=TabS!$G$9,J42*$D$91,IF(J$105&lt;=TabS!$G$10,J42*$D$92)))))))</f>
        <v>0</v>
      </c>
      <c r="K138" s="151">
        <f>IF(K$190&gt;$C$191,K204,IF(K$105&lt;=TabS!$G$5,K42*$D$87,IF(K$105&lt;=TabS!$G$6,K42*$D$88,IF(K$105&lt;=TabS!$G$7,K42*$D$89,IF(K$105&lt;=TabS!$G$8,K42*$D$90,IF(K$105&lt;=TabS!$G$9,K42*$D$91,IF(K$105&lt;=TabS!$G$10,K42*$D$92)))))))</f>
        <v>0</v>
      </c>
      <c r="L138" s="151">
        <f>IF(L$190&gt;$C$191,L204,IF(L$105&lt;=TabS!$G$5,L42*$D$87,IF(L$105&lt;=TabS!$G$6,L42*$D$88,IF(L$105&lt;=TabS!$G$7,L42*$D$89,IF(L$105&lt;=TabS!$G$8,L42*$D$90,IF(L$105&lt;=TabS!$G$9,L42*$D$91,IF(L$105&lt;=TabS!$G$10,L42*$D$92)))))))</f>
        <v>0</v>
      </c>
      <c r="M138" s="151">
        <f>IF(M$190&gt;$C$191,M204,IF(M$105&lt;=TabS!$G$5,M42*$D$87,IF(M$105&lt;=TabS!$G$6,M42*$D$88,IF(M$105&lt;=TabS!$G$7,M42*$D$89,IF(M$105&lt;=TabS!$G$8,M42*$D$90,IF(M$105&lt;=TabS!$G$9,M42*$D$91,IF(M$105&lt;=TabS!$G$10,M42*$D$92)))))))</f>
        <v>0</v>
      </c>
      <c r="N138" s="151">
        <f>IF(N$190&gt;$C$191,N204,IF(N$105&lt;=TabS!$G$5,N42*$D$87,IF(N$105&lt;=TabS!$G$6,N42*$D$88,IF(N$105&lt;=TabS!$G$7,N42*$D$89,IF(N$105&lt;=TabS!$G$8,N42*$D$90,IF(N$105&lt;=TabS!$G$9,N42*$D$91,IF(N$105&lt;=TabS!$G$10,N42*$D$92)))))))</f>
        <v>0</v>
      </c>
      <c r="O138" s="152">
        <f t="shared" si="54"/>
        <v>0</v>
      </c>
    </row>
    <row r="139" spans="2:15" ht="20.100000000000001" customHeight="1" x14ac:dyDescent="0.25">
      <c r="B139" s="167" t="s">
        <v>39</v>
      </c>
      <c r="C139" s="151">
        <f>IF(C$190&gt;$C$191,C205,IF(C$105&lt;=TabS!$G$5,C42*$E$87,IF(C$105&lt;=TabS!$G$6,C42*$E$88,IF(C$105&lt;=TabS!$G$7,C42*$E$89,IF(C$105&lt;=TabS!$G$8,C42*$E$90,IF(C$105&lt;=TabS!$G$9,C42*$E$91,IF(C$105&lt;=TabS!$G$10,C42*$E$92)))))))</f>
        <v>0</v>
      </c>
      <c r="D139" s="151">
        <f>IF(D$190&gt;$C$191,D205,IF(D$105&lt;=TabS!$G$5,D42*$E$87,IF(D$105&lt;=TabS!$G$6,D42*$E$88,IF(D$105&lt;=TabS!$G$7,D42*$E$89,IF(D$105&lt;=TabS!$G$8,D42*$E$90,IF(D$105&lt;=TabS!$G$9,D42*$E$91,IF(D$105&lt;=TabS!$G$10,D42*$E$92)))))))</f>
        <v>0</v>
      </c>
      <c r="E139" s="151">
        <f>IF(E$190&gt;$C$191,E205,IF(E$105&lt;=TabS!$G$5,E42*$E$87,IF(E$105&lt;=TabS!$G$6,E42*$E$88,IF(E$105&lt;=TabS!$G$7,E42*$E$89,IF(E$105&lt;=TabS!$G$8,E42*$E$90,IF(E$105&lt;=TabS!$G$9,E42*$E$91,IF(E$105&lt;=TabS!$G$10,E42*$E$92)))))))</f>
        <v>0</v>
      </c>
      <c r="F139" s="151">
        <f>IF(F$190&gt;$C$191,F205,IF(F$105&lt;=TabS!$G$5,F42*$E$87,IF(F$105&lt;=TabS!$G$6,F42*$E$88,IF(F$105&lt;=TabS!$G$7,F42*$E$89,IF(F$105&lt;=TabS!$G$8,F42*$E$90,IF(F$105&lt;=TabS!$G$9,F42*$E$91,IF(F$105&lt;=TabS!$G$10,F42*$E$92)))))))</f>
        <v>0</v>
      </c>
      <c r="G139" s="151">
        <f>IF(G$190&gt;$C$191,G205,IF(G$105&lt;=TabS!$G$5,G42*$E$87,IF(G$105&lt;=TabS!$G$6,G42*$E$88,IF(G$105&lt;=TabS!$G$7,G42*$E$89,IF(G$105&lt;=TabS!$G$8,G42*$E$90,IF(G$105&lt;=TabS!$G$9,G42*$E$91,IF(G$105&lt;=TabS!$G$10,G42*$E$92)))))))</f>
        <v>0</v>
      </c>
      <c r="H139" s="151">
        <f>IF(H$190&gt;$C$191,H205,IF(H$105&lt;=TabS!$G$5,H42*$E$87,IF(H$105&lt;=TabS!$G$6,H42*$E$88,IF(H$105&lt;=TabS!$G$7,H42*$E$89,IF(H$105&lt;=TabS!$G$8,H42*$E$90,IF(H$105&lt;=TabS!$G$9,H42*$E$91,IF(H$105&lt;=TabS!$G$10,H42*$E$92)))))))</f>
        <v>0</v>
      </c>
      <c r="I139" s="151">
        <f>IF(I$190&gt;$C$191,I205,IF(I$105&lt;=TabS!$G$5,I42*$E$87,IF(I$105&lt;=TabS!$G$6,I42*$E$88,IF(I$105&lt;=TabS!$G$7,I42*$E$89,IF(I$105&lt;=TabS!$G$8,I42*$E$90,IF(I$105&lt;=TabS!$G$9,I42*$E$91,IF(I$105&lt;=TabS!$G$10,I42*$E$92)))))))</f>
        <v>0</v>
      </c>
      <c r="J139" s="151">
        <f>IF(J$190&gt;$C$191,J205,IF(J$105&lt;=TabS!$G$5,J42*$E$87,IF(J$105&lt;=TabS!$G$6,J42*$E$88,IF(J$105&lt;=TabS!$G$7,J42*$E$89,IF(J$105&lt;=TabS!$G$8,J42*$E$90,IF(J$105&lt;=TabS!$G$9,J42*$E$91,IF(J$105&lt;=TabS!$G$10,J42*$E$92)))))))</f>
        <v>0</v>
      </c>
      <c r="K139" s="151">
        <f>IF(K$190&gt;$C$191,K205,IF(K$105&lt;=TabS!$G$5,K42*$E$87,IF(K$105&lt;=TabS!$G$6,K42*$E$88,IF(K$105&lt;=TabS!$G$7,K42*$E$89,IF(K$105&lt;=TabS!$G$8,K42*$E$90,IF(K$105&lt;=TabS!$G$9,K42*$E$91,IF(K$105&lt;=TabS!$G$10,K42*$E$92)))))))</f>
        <v>0</v>
      </c>
      <c r="L139" s="151">
        <f>IF(L$190&gt;$C$191,L205,IF(L$105&lt;=TabS!$G$5,L42*$E$87,IF(L$105&lt;=TabS!$G$6,L42*$E$88,IF(L$105&lt;=TabS!$G$7,L42*$E$89,IF(L$105&lt;=TabS!$G$8,L42*$E$90,IF(L$105&lt;=TabS!$G$9,L42*$E$91,IF(L$105&lt;=TabS!$G$10,L42*$E$92)))))))</f>
        <v>0</v>
      </c>
      <c r="M139" s="151">
        <f>IF(M$190&gt;$C$191,M205,IF(M$105&lt;=TabS!$G$5,M42*$E$87,IF(M$105&lt;=TabS!$G$6,M42*$E$88,IF(M$105&lt;=TabS!$G$7,M42*$E$89,IF(M$105&lt;=TabS!$G$8,M42*$E$90,IF(M$105&lt;=TabS!$G$9,M42*$E$91,IF(M$105&lt;=TabS!$G$10,M42*$E$92)))))))</f>
        <v>0</v>
      </c>
      <c r="N139" s="151">
        <f>IF(N$190&gt;$C$191,N205,IF(N$105&lt;=TabS!$G$5,N42*$E$87,IF(N$105&lt;=TabS!$G$6,N42*$E$88,IF(N$105&lt;=TabS!$G$7,N42*$E$89,IF(N$105&lt;=TabS!$G$8,N42*$E$90,IF(N$105&lt;=TabS!$G$9,N42*$E$91,IF(N$105&lt;=TabS!$G$10,N42*$E$92)))))))</f>
        <v>0</v>
      </c>
      <c r="O139" s="152">
        <f>SUM(C139:N139)</f>
        <v>0</v>
      </c>
    </row>
    <row r="140" spans="2:15" ht="20.100000000000001" customHeight="1" x14ac:dyDescent="0.25">
      <c r="B140" s="167" t="s">
        <v>129</v>
      </c>
      <c r="C140" s="151">
        <f>IF(C$190&gt;$C$191,C206,IF(C$105&lt;=TabS!$G$5,C42*$F$87,IF(C$105&lt;=TabS!$G$6,C42*$F$88,IF(C$105&lt;=TabS!$G$7,C42*$F$89,IF(C$105&lt;=TabS!$G$8,C42*$F$90,IF(C$105&lt;=TabS!$G$9,C42*$F$91,IF(C$105&lt;=TabS!$G$10,C42*$F$92)))))))</f>
        <v>0</v>
      </c>
      <c r="D140" s="151">
        <f>IF(D$190&gt;$C$191,D206,IF(D$105&lt;=TabS!$G$5,D42*$F$87,IF(D$105&lt;=TabS!$G$6,D42*$F$88,IF(D$105&lt;=TabS!$G$7,D42*$F$89,IF(D$105&lt;=TabS!$G$8,D42*$F$90,IF(D$105&lt;=TabS!$G$9,D42*$F$91,IF(D$105&lt;=TabS!$G$10,D42*$F$92)))))))</f>
        <v>0</v>
      </c>
      <c r="E140" s="151">
        <f>IF(E$190&gt;$C$191,E206,IF(E$105&lt;=TabS!$G$5,E42*$F$87,IF(E$105&lt;=TabS!$G$6,E42*$F$88,IF(E$105&lt;=TabS!$G$7,E42*$F$89,IF(E$105&lt;=TabS!$G$8,E42*$F$90,IF(E$105&lt;=TabS!$G$9,E42*$F$91,IF(E$105&lt;=TabS!$G$10,E42*$F$92)))))))</f>
        <v>0</v>
      </c>
      <c r="F140" s="151">
        <f>IF(F$190&gt;$C$191,F206,IF(F$105&lt;=TabS!$G$5,F42*$F$87,IF(F$105&lt;=TabS!$G$6,F42*$F$88,IF(F$105&lt;=TabS!$G$7,F42*$F$89,IF(F$105&lt;=TabS!$G$8,F42*$F$90,IF(F$105&lt;=TabS!$G$9,F42*$F$91,IF(F$105&lt;=TabS!$G$10,F42*$F$92)))))))</f>
        <v>0</v>
      </c>
      <c r="G140" s="151">
        <f>IF(G$190&gt;$C$191,G206,IF(G$105&lt;=TabS!$G$5,G42*$F$87,IF(G$105&lt;=TabS!$G$6,G42*$F$88,IF(G$105&lt;=TabS!$G$7,G42*$F$89,IF(G$105&lt;=TabS!$G$8,G42*$F$90,IF(G$105&lt;=TabS!$G$9,G42*$F$91,IF(G$105&lt;=TabS!$G$10,G42*$F$92)))))))</f>
        <v>0</v>
      </c>
      <c r="H140" s="151">
        <f>IF(H$190&gt;$C$191,H206,IF(H$105&lt;=TabS!$G$5,H42*$F$87,IF(H$105&lt;=TabS!$G$6,H42*$F$88,IF(H$105&lt;=TabS!$G$7,H42*$F$89,IF(H$105&lt;=TabS!$G$8,H42*$F$90,IF(H$105&lt;=TabS!$G$9,H42*$F$91,IF(H$105&lt;=TabS!$G$10,H42*$F$92)))))))</f>
        <v>0</v>
      </c>
      <c r="I140" s="151">
        <f>IF(I$190&gt;$C$191,I206,IF(I$105&lt;=TabS!$G$5,I42*$F$87,IF(I$105&lt;=TabS!$G$6,I42*$F$88,IF(I$105&lt;=TabS!$G$7,I42*$F$89,IF(I$105&lt;=TabS!$G$8,I42*$F$90,IF(I$105&lt;=TabS!$G$9,I42*$F$91,IF(I$105&lt;=TabS!$G$10,I42*$F$92)))))))</f>
        <v>0</v>
      </c>
      <c r="J140" s="151">
        <f>IF(J$190&gt;$C$191,J206,IF(J$105&lt;=TabS!$G$5,J42*$F$87,IF(J$105&lt;=TabS!$G$6,J42*$F$88,IF(J$105&lt;=TabS!$G$7,J42*$F$89,IF(J$105&lt;=TabS!$G$8,J42*$F$90,IF(J$105&lt;=TabS!$G$9,J42*$F$91,IF(J$105&lt;=TabS!$G$10,J42*$F$92)))))))</f>
        <v>0</v>
      </c>
      <c r="K140" s="151">
        <f>IF(K$190&gt;$C$191,K206,IF(K$105&lt;=TabS!$G$5,K42*$F$87,IF(K$105&lt;=TabS!$G$6,K42*$F$88,IF(K$105&lt;=TabS!$G$7,K42*$F$89,IF(K$105&lt;=TabS!$G$8,K42*$F$90,IF(K$105&lt;=TabS!$G$9,K42*$F$91,IF(K$105&lt;=TabS!$G$10,K42*$F$92)))))))</f>
        <v>0</v>
      </c>
      <c r="L140" s="151">
        <f>IF(L$190&gt;$C$191,L206,IF(L$105&lt;=TabS!$G$5,L42*$F$87,IF(L$105&lt;=TabS!$G$6,L42*$F$88,IF(L$105&lt;=TabS!$G$7,L42*$F$89,IF(L$105&lt;=TabS!$G$8,L42*$F$90,IF(L$105&lt;=TabS!$G$9,L42*$F$91,IF(L$105&lt;=TabS!$G$10,L42*$F$92)))))))</f>
        <v>0</v>
      </c>
      <c r="M140" s="151">
        <f>IF(M$190&gt;$C$191,M206,IF(M$105&lt;=TabS!$G$5,M42*$F$87,IF(M$105&lt;=TabS!$G$6,M42*$F$88,IF(M$105&lt;=TabS!$G$7,M42*$F$89,IF(M$105&lt;=TabS!$G$8,M42*$F$90,IF(M$105&lt;=TabS!$G$9,M42*$F$91,IF(M$105&lt;=TabS!$G$10,M42*$F$92)))))))</f>
        <v>0</v>
      </c>
      <c r="N140" s="151">
        <f>IF(N$190&gt;$C$191,N206,IF(N$105&lt;=TabS!$G$5,N42*$F$87,IF(N$105&lt;=TabS!$G$6,N42*$F$88,IF(N$105&lt;=TabS!$G$7,N42*$F$89,IF(N$105&lt;=TabS!$G$8,N42*$F$90,IF(N$105&lt;=TabS!$G$9,N42*$F$91,IF(N$105&lt;=TabS!$G$10,N42*$F$92)))))))</f>
        <v>0</v>
      </c>
      <c r="O140" s="152">
        <f t="shared" si="54"/>
        <v>0</v>
      </c>
    </row>
    <row r="141" spans="2:15" ht="20.100000000000001" customHeight="1" x14ac:dyDescent="0.25">
      <c r="B141" s="167" t="s">
        <v>42</v>
      </c>
      <c r="C141" s="151">
        <f>IF(C$190&gt;$C$191,C207,IF(C$105&lt;=TabS!$G$5,C42*$G$87,IF(C$105&lt;=TabS!$G$6,C42*$G$88,IF(C$105&lt;=TabS!$G$7,C42*$G$89,IF(C$105&lt;=TabS!$G$8,C42*$G$90,IF(C$105&lt;=TabS!$G$9,C42*$G$91,IF(C$105&lt;=TabS!$G$10,C42*$G$92)))))))</f>
        <v>0</v>
      </c>
      <c r="D141" s="151">
        <f>IF(D$190&gt;$C$191,D207,IF(D$105&lt;=TabS!$G$5,D42*$G$87,IF(D$105&lt;=TabS!$G$6,D42*$G$88,IF(D$105&lt;=TabS!$G$7,D42*$G$89,IF(D$105&lt;=TabS!$G$8,D42*$G$90,IF(D$105&lt;=TabS!$G$9,D42*$G$91,IF(D$105&lt;=TabS!$G$10,D42*$G$92)))))))</f>
        <v>0</v>
      </c>
      <c r="E141" s="151">
        <f>IF(E$190&gt;$C$191,E207,IF(E$105&lt;=TabS!$G$5,E42*$G$87,IF(E$105&lt;=TabS!$G$6,E42*$G$88,IF(E$105&lt;=TabS!$G$7,E42*$G$89,IF(E$105&lt;=TabS!$G$8,E42*$G$90,IF(E$105&lt;=TabS!$G$9,E42*$G$91,IF(E$105&lt;=TabS!$G$10,E42*$G$92)))))))</f>
        <v>0</v>
      </c>
      <c r="F141" s="151">
        <f>IF(F$190&gt;$C$191,F207,IF(F$105&lt;=TabS!$G$5,F42*$G$87,IF(F$105&lt;=TabS!$G$6,F42*$G$88,IF(F$105&lt;=TabS!$G$7,F42*$G$89,IF(F$105&lt;=TabS!$G$8,F42*$G$90,IF(F$105&lt;=TabS!$G$9,F42*$G$91,IF(F$105&lt;=TabS!$G$10,F42*$G$92)))))))</f>
        <v>0</v>
      </c>
      <c r="G141" s="151">
        <f>IF(G$190&gt;$C$191,G207,IF(G$105&lt;=TabS!$G$5,G42*$G$87,IF(G$105&lt;=TabS!$G$6,G42*$G$88,IF(G$105&lt;=TabS!$G$7,G42*$G$89,IF(G$105&lt;=TabS!$G$8,G42*$G$90,IF(G$105&lt;=TabS!$G$9,G42*$G$91,IF(G$105&lt;=TabS!$G$10,G42*$G$92)))))))</f>
        <v>0</v>
      </c>
      <c r="H141" s="151">
        <f>IF(H$190&gt;$C$191,H207,IF(H$105&lt;=TabS!$G$5,H42*$G$87,IF(H$105&lt;=TabS!$G$6,H42*$G$88,IF(H$105&lt;=TabS!$G$7,H42*$G$89,IF(H$105&lt;=TabS!$G$8,H42*$G$90,IF(H$105&lt;=TabS!$G$9,H42*$G$91,IF(H$105&lt;=TabS!$G$10,H42*$G$92)))))))</f>
        <v>0</v>
      </c>
      <c r="I141" s="151">
        <f>IF(I$190&gt;$C$191,I207,IF(I$105&lt;=TabS!$G$5,I42*$G$87,IF(I$105&lt;=TabS!$G$6,I42*$G$88,IF(I$105&lt;=TabS!$G$7,I42*$G$89,IF(I$105&lt;=TabS!$G$8,I42*$G$90,IF(I$105&lt;=TabS!$G$9,I42*$G$91,IF(I$105&lt;=TabS!$G$10,I42*$G$92)))))))</f>
        <v>0</v>
      </c>
      <c r="J141" s="151">
        <f>IF(J$190&gt;$C$191,J207,IF(J$105&lt;=TabS!$G$5,J42*$G$87,IF(J$105&lt;=TabS!$G$6,J42*$G$88,IF(J$105&lt;=TabS!$G$7,J42*$G$89,IF(J$105&lt;=TabS!$G$8,J42*$G$90,IF(J$105&lt;=TabS!$G$9,J42*$G$91,IF(J$105&lt;=TabS!$G$10,J42*$G$92)))))))</f>
        <v>0</v>
      </c>
      <c r="K141" s="151">
        <f>IF(K$190&gt;$C$191,K207,IF(K$105&lt;=TabS!$G$5,K42*$G$87,IF(K$105&lt;=TabS!$G$6,K42*$G$88,IF(K$105&lt;=TabS!$G$7,K42*$G$89,IF(K$105&lt;=TabS!$G$8,K42*$G$90,IF(K$105&lt;=TabS!$G$9,K42*$G$91,IF(K$105&lt;=TabS!$G$10,K42*$G$92)))))))</f>
        <v>0</v>
      </c>
      <c r="L141" s="151">
        <f>IF(L$190&gt;$C$191,L207,IF(L$105&lt;=TabS!$G$5,L42*$G$87,IF(L$105&lt;=TabS!$G$6,L42*$G$88,IF(L$105&lt;=TabS!$G$7,L42*$G$89,IF(L$105&lt;=TabS!$G$8,L42*$G$90,IF(L$105&lt;=TabS!$G$9,L42*$G$91,IF(L$105&lt;=TabS!$G$10,L42*$G$92)))))))</f>
        <v>0</v>
      </c>
      <c r="M141" s="151">
        <f>IF(M$190&gt;$C$191,M207,IF(M$105&lt;=TabS!$G$5,M42*$G$87,IF(M$105&lt;=TabS!$G$6,M42*$G$88,IF(M$105&lt;=TabS!$G$7,M42*$G$89,IF(M$105&lt;=TabS!$G$8,M42*$G$90,IF(M$105&lt;=TabS!$G$9,M42*$G$91,IF(M$105&lt;=TabS!$G$10,M42*$G$92)))))))</f>
        <v>0</v>
      </c>
      <c r="N141" s="151">
        <f>IF(N$190&gt;$C$191,N207,IF(N$105&lt;=TabS!$G$5,N42*$G$87,IF(N$105&lt;=TabS!$G$6,N42*$G$88,IF(N$105&lt;=TabS!$G$7,N42*$G$89,IF(N$105&lt;=TabS!$G$8,N42*$G$90,IF(N$105&lt;=TabS!$G$9,N42*$G$91,IF(N$105&lt;=TabS!$G$10,N42*$G$92)))))))</f>
        <v>0</v>
      </c>
      <c r="O141" s="152">
        <f t="shared" si="54"/>
        <v>0</v>
      </c>
    </row>
    <row r="142" spans="2:15" ht="20.100000000000001" customHeight="1" x14ac:dyDescent="0.25">
      <c r="B142" s="167" t="s">
        <v>40</v>
      </c>
      <c r="C142" s="151">
        <f>IF(C$190&gt;$C$191,C208,IF(C$105&lt;=TabS!$G$5,C42*$H$87,IF(C$105&lt;=TabS!$G$6,C42*$H$88,IF(C$105&lt;=TabS!$G$7,C42*$H$89,IF(C$105&lt;=TabS!$G$8,C42*$H$90,IF(C$105&lt;=TabS!$G$9,C42*$H$91,IF(C$105&lt;=TabS!$G$10,C42*$H$92)))))))</f>
        <v>0</v>
      </c>
      <c r="D142" s="151">
        <f>IF(D$190&gt;$C$191,D208,IF(D$105&lt;=TabS!$G$5,D42*$H$87,IF(D$105&lt;=TabS!$G$6,D42*$H$88,IF(D$105&lt;=TabS!$G$7,D42*$H$89,IF(D$105&lt;=TabS!$G$8,D42*$H$90,IF(D$105&lt;=TabS!$G$9,D42*$H$91,IF(D$105&lt;=TabS!$G$10,D42*$H$92)))))))</f>
        <v>0</v>
      </c>
      <c r="E142" s="151">
        <f>IF(E$190&gt;$C$191,E208,IF(E$105&lt;=TabS!$G$5,E42*$H$87,IF(E$105&lt;=TabS!$G$6,E42*$H$88,IF(E$105&lt;=TabS!$G$7,E42*$H$89,IF(E$105&lt;=TabS!$G$8,E42*$H$90,IF(E$105&lt;=TabS!$G$9,E42*$H$91,IF(E$105&lt;=TabS!$G$10,E42*$H$92)))))))</f>
        <v>0</v>
      </c>
      <c r="F142" s="151">
        <f>IF(F$190&gt;$C$191,F208,IF(F$105&lt;=TabS!$G$5,F42*$H$87,IF(F$105&lt;=TabS!$G$6,F42*$H$88,IF(F$105&lt;=TabS!$G$7,F42*$H$89,IF(F$105&lt;=TabS!$G$8,F42*$H$90,IF(F$105&lt;=TabS!$G$9,F42*$H$91,IF(F$105&lt;=TabS!$G$10,F42*$H$92)))))))</f>
        <v>0</v>
      </c>
      <c r="G142" s="151">
        <f>IF(G$190&gt;$C$191,G208,IF(G$105&lt;=TabS!$G$5,G42*$H$87,IF(G$105&lt;=TabS!$G$6,G42*$H$88,IF(G$105&lt;=TabS!$G$7,G42*$H$89,IF(G$105&lt;=TabS!$G$8,G42*$H$90,IF(G$105&lt;=TabS!$G$9,G42*$H$91,IF(G$105&lt;=TabS!$G$10,G42*$H$92)))))))</f>
        <v>0</v>
      </c>
      <c r="H142" s="151">
        <f>IF(H$190&gt;$C$191,H208,IF(H$105&lt;=TabS!$G$5,H42*$H$87,IF(H$105&lt;=TabS!$G$6,H42*$H$88,IF(H$105&lt;=TabS!$G$7,H42*$H$89,IF(H$105&lt;=TabS!$G$8,H42*$H$90,IF(H$105&lt;=TabS!$G$9,H42*$H$91,IF(H$105&lt;=TabS!$G$10,H42*$H$92)))))))</f>
        <v>0</v>
      </c>
      <c r="I142" s="151">
        <f>IF(I$190&gt;$C$191,I208,IF(I$105&lt;=TabS!$G$5,I42*$H$87,IF(I$105&lt;=TabS!$G$6,I42*$H$88,IF(I$105&lt;=TabS!$G$7,I42*$H$89,IF(I$105&lt;=TabS!$G$8,I42*$H$90,IF(I$105&lt;=TabS!$G$9,I42*$H$91,IF(I$105&lt;=TabS!$G$10,I42*$H$92)))))))</f>
        <v>0</v>
      </c>
      <c r="J142" s="151">
        <f>IF(J$190&gt;$C$191,J208,IF(J$105&lt;=TabS!$G$5,J42*$H$87,IF(J$105&lt;=TabS!$G$6,J42*$H$88,IF(J$105&lt;=TabS!$G$7,J42*$H$89,IF(J$105&lt;=TabS!$G$8,J42*$H$90,IF(J$105&lt;=TabS!$G$9,J42*$H$91,IF(J$105&lt;=TabS!$G$10,J42*$H$92)))))))</f>
        <v>0</v>
      </c>
      <c r="K142" s="151">
        <f>IF(K$190&gt;$C$191,K208,IF(K$105&lt;=TabS!$G$5,K42*$H$87,IF(K$105&lt;=TabS!$G$6,K42*$H$88,IF(K$105&lt;=TabS!$G$7,K42*$H$89,IF(K$105&lt;=TabS!$G$8,K42*$H$90,IF(K$105&lt;=TabS!$G$9,K42*$H$91,IF(K$105&lt;=TabS!$G$10,K42*$H$92)))))))</f>
        <v>0</v>
      </c>
      <c r="L142" s="151">
        <f>IF(L$190&gt;$C$191,L208,IF(L$105&lt;=TabS!$G$5,L42*$H$87,IF(L$105&lt;=TabS!$G$6,L42*$H$88,IF(L$105&lt;=TabS!$G$7,L42*$H$89,IF(L$105&lt;=TabS!$G$8,L42*$H$90,IF(L$105&lt;=TabS!$G$9,L42*$H$91,IF(L$105&lt;=TabS!$G$10,L42*$H$92)))))))</f>
        <v>0</v>
      </c>
      <c r="M142" s="151">
        <f>IF(M$190&gt;$C$191,M208,IF(M$105&lt;=TabS!$G$5,M42*$H$87,IF(M$105&lt;=TabS!$G$6,M42*$H$88,IF(M$105&lt;=TabS!$G$7,M42*$H$89,IF(M$105&lt;=TabS!$G$8,M42*$H$90,IF(M$105&lt;=TabS!$G$9,M42*$H$91,IF(M$105&lt;=TabS!$G$10,M42*$H$92)))))))</f>
        <v>0</v>
      </c>
      <c r="N142" s="151">
        <f>IF(N$190&gt;$C$191,N208,IF(N$105&lt;=TabS!$G$5,N42*$H$87,IF(N$105&lt;=TabS!$G$6,N42*$H$88,IF(N$105&lt;=TabS!$G$7,N42*$H$89,IF(N$105&lt;=TabS!$G$8,N42*$H$90,IF(N$105&lt;=TabS!$G$9,N42*$H$91,IF(N$105&lt;=TabS!$G$10,N42*$H$92)))))))</f>
        <v>0</v>
      </c>
      <c r="O142" s="152">
        <f t="shared" si="54"/>
        <v>0</v>
      </c>
    </row>
    <row r="143" spans="2:15" ht="20.100000000000001" customHeight="1" x14ac:dyDescent="0.25">
      <c r="B143" s="168" t="s">
        <v>99</v>
      </c>
      <c r="C143" s="152">
        <f>SUM(C137:C142)</f>
        <v>0</v>
      </c>
      <c r="D143" s="152">
        <f t="shared" ref="D143:N143" si="55">SUM(D137:D142)</f>
        <v>0</v>
      </c>
      <c r="E143" s="152">
        <f t="shared" si="55"/>
        <v>0</v>
      </c>
      <c r="F143" s="152">
        <f t="shared" si="55"/>
        <v>0</v>
      </c>
      <c r="G143" s="152">
        <f t="shared" si="55"/>
        <v>0</v>
      </c>
      <c r="H143" s="152">
        <f t="shared" si="55"/>
        <v>0</v>
      </c>
      <c r="I143" s="152">
        <f t="shared" si="55"/>
        <v>0</v>
      </c>
      <c r="J143" s="152">
        <f t="shared" si="55"/>
        <v>0</v>
      </c>
      <c r="K143" s="152">
        <f t="shared" si="55"/>
        <v>0</v>
      </c>
      <c r="L143" s="152">
        <f t="shared" si="55"/>
        <v>0</v>
      </c>
      <c r="M143" s="152">
        <f t="shared" si="55"/>
        <v>0</v>
      </c>
      <c r="N143" s="152">
        <f t="shared" si="55"/>
        <v>0</v>
      </c>
      <c r="O143" s="152">
        <f t="shared" si="54"/>
        <v>0</v>
      </c>
    </row>
    <row r="144" spans="2:15" ht="20.100000000000001" customHeight="1" x14ac:dyDescent="0.25">
      <c r="B144" s="164" t="s">
        <v>77</v>
      </c>
    </row>
    <row r="145" spans="2:15" ht="20.100000000000001" customHeight="1" x14ac:dyDescent="0.25">
      <c r="B145" s="149" t="s">
        <v>82</v>
      </c>
      <c r="C145" s="149" t="s">
        <v>83</v>
      </c>
      <c r="D145" s="149" t="s">
        <v>84</v>
      </c>
      <c r="E145" s="149" t="s">
        <v>85</v>
      </c>
      <c r="F145" s="149" t="s">
        <v>86</v>
      </c>
      <c r="G145" s="149" t="s">
        <v>87</v>
      </c>
      <c r="H145" s="149" t="s">
        <v>88</v>
      </c>
      <c r="I145" s="149" t="s">
        <v>89</v>
      </c>
      <c r="J145" s="149" t="s">
        <v>90</v>
      </c>
      <c r="K145" s="149" t="s">
        <v>91</v>
      </c>
      <c r="L145" s="149" t="s">
        <v>92</v>
      </c>
      <c r="M145" s="149" t="s">
        <v>93</v>
      </c>
      <c r="N145" s="149" t="s">
        <v>94</v>
      </c>
      <c r="O145" s="149" t="s">
        <v>95</v>
      </c>
    </row>
    <row r="146" spans="2:15" ht="20.100000000000001" customHeight="1" x14ac:dyDescent="0.25">
      <c r="B146" s="167" t="s">
        <v>97</v>
      </c>
      <c r="C146" s="151">
        <f>IF(C$105&lt;=TabS!$G$5,C49*$C$97,IF(C$105&lt;=TabS!$G$6,C49*$C$98,IF(C$105&lt;=TabS!$G$7,C49*$C$99,IF(C$105&lt;=TabS!$G$8,C49*$C$100,IF(C$105&lt;=TabS!$G$9,C49*$C$101,IF(C$105&lt;=TabS!$G$10,C49*$C$102))))))</f>
        <v>0</v>
      </c>
      <c r="D146" s="151">
        <f>IF(D$105&lt;=TabS!$G$5,D49*$C$97,IF(D$105&lt;=TabS!$G$6,D49*$C$98,IF(D$105&lt;=TabS!$G$7,D49*$C$99,IF(D$105&lt;=TabS!$G$8,D49*$C$100,IF(D$105&lt;=TabS!$G$9,D49*$C$101,IF(D$105&lt;=TabS!$G$10,D49*$C$102))))))</f>
        <v>0</v>
      </c>
      <c r="E146" s="151">
        <f>IF(E$105&lt;=TabS!$G$5,E49*$C$97,IF(E$105&lt;=TabS!$G$6,E49*$C$98,IF(E$105&lt;=TabS!$G$7,E49*$C$99,IF(E$105&lt;=TabS!$G$8,E49*$C$100,IF(E$105&lt;=TabS!$G$9,E49*$C$101,IF(E$105&lt;=TabS!$G$10,E49*$C$102))))))</f>
        <v>0</v>
      </c>
      <c r="F146" s="151">
        <f>IF(F$105&lt;=TabS!$G$5,F49*$C$97,IF(F$105&lt;=TabS!$G$6,F49*$C$98,IF(F$105&lt;=TabS!$G$7,F49*$C$99,IF(F$105&lt;=TabS!$G$8,F49*$C$100,IF(F$105&lt;=TabS!$G$9,F49*$C$101,IF(F$105&lt;=TabS!$G$10,F49*$C$102))))))</f>
        <v>0</v>
      </c>
      <c r="G146" s="151">
        <f>IF(G$105&lt;=TabS!$G$5,G49*$C$97,IF(G$105&lt;=TabS!$G$6,G49*$C$98,IF(G$105&lt;=TabS!$G$7,G49*$C$99,IF(G$105&lt;=TabS!$G$8,G49*$C$100,IF(G$105&lt;=TabS!$G$9,G49*$C$101,IF(G$105&lt;=TabS!$G$10,G49*$C$102))))))</f>
        <v>0</v>
      </c>
      <c r="H146" s="151">
        <f>IF(H$105&lt;=TabS!$G$5,H49*$C$97,IF(H$105&lt;=TabS!$G$6,H49*$C$98,IF(H$105&lt;=TabS!$G$7,H49*$C$99,IF(H$105&lt;=TabS!$G$8,H49*$C$100,IF(H$105&lt;=TabS!$G$9,H49*$C$101,IF(H$105&lt;=TabS!$G$10,H49*$C$102))))))</f>
        <v>0</v>
      </c>
      <c r="I146" s="151">
        <f>IF(I$105&lt;=TabS!$G$5,I49*$C$97,IF(I$105&lt;=TabS!$G$6,I49*$C$98,IF(I$105&lt;=TabS!$G$7,I49*$C$99,IF(I$105&lt;=TabS!$G$8,I49*$C$100,IF(I$105&lt;=TabS!$G$9,I49*$C$101,IF(I$105&lt;=TabS!$G$10,I49*$C$102))))))</f>
        <v>0</v>
      </c>
      <c r="J146" s="151">
        <f>IF(J$105&lt;=TabS!$G$5,J49*$C$97,IF(J$105&lt;=TabS!$G$6,J49*$C$98,IF(J$105&lt;=TabS!$G$7,J49*$C$99,IF(J$105&lt;=TabS!$G$8,J49*$C$100,IF(J$105&lt;=TabS!$G$9,J49*$C$101,IF(J$105&lt;=TabS!$G$10,J49*$C$102))))))</f>
        <v>0</v>
      </c>
      <c r="K146" s="151">
        <f>IF(K$105&lt;=TabS!$G$5,K49*$C$97,IF(K$105&lt;=TabS!$G$6,K49*$C$98,IF(K$105&lt;=TabS!$G$7,K49*$C$99,IF(K$105&lt;=TabS!$G$8,K49*$C$100,IF(K$105&lt;=TabS!$G$9,K49*$C$101,IF(K$105&lt;=TabS!$G$10,K49*$C$102))))))</f>
        <v>0</v>
      </c>
      <c r="L146" s="151">
        <f>IF(L$105&lt;=TabS!$G$5,L49*$C$97,IF(L$105&lt;=TabS!$G$6,L49*$C$98,IF(L$105&lt;=TabS!$G$7,L49*$C$99,IF(L$105&lt;=TabS!$G$8,L49*$C$100,IF(L$105&lt;=TabS!$G$9,L49*$C$101,IF(L$105&lt;=TabS!$G$10,L49*$C$102))))))</f>
        <v>0</v>
      </c>
      <c r="M146" s="151">
        <f>IF(M$105&lt;=TabS!$G$5,M49*$C$97,IF(M$105&lt;=TabS!$G$6,M49*$C$98,IF(M$105&lt;=TabS!$G$7,M49*$C$99,IF(M$105&lt;=TabS!$G$8,M49*$C$100,IF(M$105&lt;=TabS!$G$9,M49*$C$101,IF(M$105&lt;=TabS!$G$10,M49*$C$102))))))</f>
        <v>0</v>
      </c>
      <c r="N146" s="151">
        <f>IF(N$105&lt;=TabS!$G$5,N49*$C$97,IF(N$105&lt;=TabS!$G$6,N49*$C$98,IF(N$105&lt;=TabS!$G$7,N49*$C$99,IF(N$105&lt;=TabS!$G$8,N49*$C$100,IF(N$105&lt;=TabS!$G$9,N49*$C$101,IF(N$105&lt;=TabS!$G$10,N49*$C$102))))))</f>
        <v>0</v>
      </c>
      <c r="O146" s="152">
        <f t="shared" ref="O146:O151" si="56">SUM(C146:N146)</f>
        <v>0</v>
      </c>
    </row>
    <row r="147" spans="2:15" ht="20.100000000000001" customHeight="1" x14ac:dyDescent="0.25">
      <c r="B147" s="167" t="s">
        <v>98</v>
      </c>
      <c r="C147" s="151">
        <f>IF(C$105&lt;=TabS!$G$5,C49*$D$97,IF(C$105&lt;=TabS!$G$6,C49*$D$98,IF(C$105&lt;=TabS!$G$7,C49*$D$99,IF(C$105&lt;=TabS!$G$8,C49*$D$100,IF(C$105&lt;=TabS!$G$9,C49*$D$101,IF(C$105&lt;=TabS!$G$10,C49*$D$102))))))</f>
        <v>0</v>
      </c>
      <c r="D147" s="151">
        <f>IF(D$105&lt;=TabS!$G$5,D49*$D$97,IF(D$105&lt;=TabS!$G$6,D49*$D$98,IF(D$105&lt;=TabS!$G$7,D49*$D$99,IF(D$105&lt;=TabS!$G$8,D49*$D$100,IF(D$105&lt;=TabS!$G$9,D49*$D$101,IF(D$105&lt;=TabS!$G$10,D49*$D$102))))))</f>
        <v>0</v>
      </c>
      <c r="E147" s="151">
        <f>IF(E$105&lt;=TabS!$G$5,E49*$D$97,IF(E$105&lt;=TabS!$G$6,E49*$D$98,IF(E$105&lt;=TabS!$G$7,E49*$D$99,IF(E$105&lt;=TabS!$G$8,E49*$D$100,IF(E$105&lt;=TabS!$G$9,E49*$D$101,IF(E$105&lt;=TabS!$G$10,E49*$D$102))))))</f>
        <v>0</v>
      </c>
      <c r="F147" s="151">
        <f>IF(F$105&lt;=TabS!$G$5,F49*$D$97,IF(F$105&lt;=TabS!$G$6,F49*$D$98,IF(F$105&lt;=TabS!$G$7,F49*$D$99,IF(F$105&lt;=TabS!$G$8,F49*$D$100,IF(F$105&lt;=TabS!$G$9,F49*$D$101,IF(F$105&lt;=TabS!$G$10,F49*$D$102))))))</f>
        <v>0</v>
      </c>
      <c r="G147" s="151">
        <f>IF(G$105&lt;=TabS!$G$5,G49*$D$97,IF(G$105&lt;=TabS!$G$6,G49*$D$98,IF(G$105&lt;=TabS!$G$7,G49*$D$99,IF(G$105&lt;=TabS!$G$8,G49*$D$100,IF(G$105&lt;=TabS!$G$9,G49*$D$101,IF(G$105&lt;=TabS!$G$10,G49*$D$102))))))</f>
        <v>0</v>
      </c>
      <c r="H147" s="151">
        <f>IF(H$105&lt;=TabS!$G$5,H49*$D$97,IF(H$105&lt;=TabS!$G$6,H49*$D$98,IF(H$105&lt;=TabS!$G$7,H49*$D$99,IF(H$105&lt;=TabS!$G$8,H49*$D$100,IF(H$105&lt;=TabS!$G$9,H49*$D$101,IF(H$105&lt;=TabS!$G$10,H49*$D$102))))))</f>
        <v>0</v>
      </c>
      <c r="I147" s="151">
        <f>IF(I$105&lt;=TabS!$G$5,I49*$D$97,IF(I$105&lt;=TabS!$G$6,I49*$D$98,IF(I$105&lt;=TabS!$G$7,I49*$D$99,IF(I$105&lt;=TabS!$G$8,I49*$D$100,IF(I$105&lt;=TabS!$G$9,I49*$D$101,IF(I$105&lt;=TabS!$G$10,I49*$D$102))))))</f>
        <v>0</v>
      </c>
      <c r="J147" s="151">
        <f>IF(J$105&lt;=TabS!$G$5,J49*$D$97,IF(J$105&lt;=TabS!$G$6,J49*$D$98,IF(J$105&lt;=TabS!$G$7,J49*$D$99,IF(J$105&lt;=TabS!$G$8,J49*$D$100,IF(J$105&lt;=TabS!$G$9,J49*$D$101,IF(J$105&lt;=TabS!$G$10,J49*$D$102))))))</f>
        <v>0</v>
      </c>
      <c r="K147" s="151">
        <f>IF(K$105&lt;=TabS!$G$5,K49*$D$97,IF(K$105&lt;=TabS!$G$6,K49*$D$98,IF(K$105&lt;=TabS!$G$7,K49*$D$99,IF(K$105&lt;=TabS!$G$8,K49*$D$100,IF(K$105&lt;=TabS!$G$9,K49*$D$101,IF(K$105&lt;=TabS!$G$10,K49*$D$102))))))</f>
        <v>0</v>
      </c>
      <c r="L147" s="151">
        <f>IF(L$105&lt;=TabS!$G$5,L49*$D$97,IF(L$105&lt;=TabS!$G$6,L49*$D$98,IF(L$105&lt;=TabS!$G$7,L49*$D$99,IF(L$105&lt;=TabS!$G$8,L49*$D$100,IF(L$105&lt;=TabS!$G$9,L49*$D$101,IF(L$105&lt;=TabS!$G$10,L49*$D$102))))))</f>
        <v>0</v>
      </c>
      <c r="M147" s="151">
        <f>IF(M$105&lt;=TabS!$G$5,M49*$D$97,IF(M$105&lt;=TabS!$G$6,M49*$D$98,IF(M$105&lt;=TabS!$G$7,M49*$D$99,IF(M$105&lt;=TabS!$G$8,M49*$D$100,IF(M$105&lt;=TabS!$G$9,M49*$D$101,IF(M$105&lt;=TabS!$G$10,M49*$D$102))))))</f>
        <v>0</v>
      </c>
      <c r="N147" s="151">
        <f>IF(N$105&lt;=TabS!$G$5,N49*$D$97,IF(N$105&lt;=TabS!$G$6,N49*$D$98,IF(N$105&lt;=TabS!$G$7,N49*$D$99,IF(N$105&lt;=TabS!$G$8,N49*$D$100,IF(N$105&lt;=TabS!$G$9,N49*$D$101,IF(N$105&lt;=TabS!$G$10,N49*$D$102))))))</f>
        <v>0</v>
      </c>
      <c r="O147" s="152">
        <f t="shared" si="56"/>
        <v>0</v>
      </c>
    </row>
    <row r="148" spans="2:15" ht="20.100000000000001" customHeight="1" x14ac:dyDescent="0.25">
      <c r="B148" s="167" t="s">
        <v>39</v>
      </c>
      <c r="C148" s="151">
        <f>IF(C$105&lt;=TabS!$G$5,C49*$E$97,IF(C$105&lt;=TabS!$G$6,C49*$E$98,IF(C$105&lt;=TabS!$G$7,C49*$E$99,IF(C$105&lt;=TabS!$G$8,C49*$E$100,IF(C$105&lt;=TabS!$G$9,C49*$E$101,IF(C$105&lt;=TabS!$G$10,C49*$E$102))))))</f>
        <v>0</v>
      </c>
      <c r="D148" s="151">
        <f>IF(D$105&lt;=TabS!$G$5,D49*$E$97,IF(D$105&lt;=TabS!$G$6,D49*$E$98,IF(D$105&lt;=TabS!$G$7,D49*$E$99,IF(D$105&lt;=TabS!$G$8,D49*$E$100,IF(D$105&lt;=TabS!$G$9,D49*$E$101,IF(D$105&lt;=TabS!$G$10,D49*$E$102))))))</f>
        <v>0</v>
      </c>
      <c r="E148" s="151">
        <f>IF(E$105&lt;=TabS!$G$5,E49*$E$97,IF(E$105&lt;=TabS!$G$6,E49*$E$98,IF(E$105&lt;=TabS!$G$7,E49*$E$99,IF(E$105&lt;=TabS!$G$8,E49*$E$100,IF(E$105&lt;=TabS!$G$9,E49*$E$101,IF(E$105&lt;=TabS!$G$10,E49*$E$102))))))</f>
        <v>0</v>
      </c>
      <c r="F148" s="151">
        <f>IF(F$105&lt;=TabS!$G$5,F49*$E$97,IF(F$105&lt;=TabS!$G$6,F49*$E$98,IF(F$105&lt;=TabS!$G$7,F49*$E$99,IF(F$105&lt;=TabS!$G$8,F49*$E$100,IF(F$105&lt;=TabS!$G$9,F49*$E$101,IF(F$105&lt;=TabS!$G$10,F49*$E$102))))))</f>
        <v>0</v>
      </c>
      <c r="G148" s="151">
        <f>IF(G$105&lt;=TabS!$G$5,G49*$E$97,IF(G$105&lt;=TabS!$G$6,G49*$E$98,IF(G$105&lt;=TabS!$G$7,G49*$E$99,IF(G$105&lt;=TabS!$G$8,G49*$E$100,IF(G$105&lt;=TabS!$G$9,G49*$E$101,IF(G$105&lt;=TabS!$G$10,G49*$E$102))))))</f>
        <v>0</v>
      </c>
      <c r="H148" s="151">
        <f>IF(H$105&lt;=TabS!$G$5,H49*$E$97,IF(H$105&lt;=TabS!$G$6,H49*$E$98,IF(H$105&lt;=TabS!$G$7,H49*$E$99,IF(H$105&lt;=TabS!$G$8,H49*$E$100,IF(H$105&lt;=TabS!$G$9,H49*$E$101,IF(H$105&lt;=TabS!$G$10,H49*$E$102))))))</f>
        <v>0</v>
      </c>
      <c r="I148" s="151">
        <f>IF(I$105&lt;=TabS!$G$5,I49*$E$97,IF(I$105&lt;=TabS!$G$6,I49*$E$98,IF(I$105&lt;=TabS!$G$7,I49*$E$99,IF(I$105&lt;=TabS!$G$8,I49*$E$100,IF(I$105&lt;=TabS!$G$9,I49*$E$101,IF(I$105&lt;=TabS!$G$10,I49*$E$102))))))</f>
        <v>0</v>
      </c>
      <c r="J148" s="151">
        <f>IF(J$105&lt;=TabS!$G$5,J49*$E$97,IF(J$105&lt;=TabS!$G$6,J49*$E$98,IF(J$105&lt;=TabS!$G$7,J49*$E$99,IF(J$105&lt;=TabS!$G$8,J49*$E$100,IF(J$105&lt;=TabS!$G$9,J49*$E$101,IF(J$105&lt;=TabS!$G$10,J49*$E$102))))))</f>
        <v>0</v>
      </c>
      <c r="K148" s="151">
        <f>IF(K$105&lt;=TabS!$G$5,K49*$E$97,IF(K$105&lt;=TabS!$G$6,K49*$E$98,IF(K$105&lt;=TabS!$G$7,K49*$E$99,IF(K$105&lt;=TabS!$G$8,K49*$E$100,IF(K$105&lt;=TabS!$G$9,K49*$E$101,IF(K$105&lt;=TabS!$G$10,K49*$E$102))))))</f>
        <v>0</v>
      </c>
      <c r="L148" s="151">
        <f>IF(L$105&lt;=TabS!$G$5,L49*$E$97,IF(L$105&lt;=TabS!$G$6,L49*$E$98,IF(L$105&lt;=TabS!$G$7,L49*$E$99,IF(L$105&lt;=TabS!$G$8,L49*$E$100,IF(L$105&lt;=TabS!$G$9,L49*$E$101,IF(L$105&lt;=TabS!$G$10,L49*$E$102))))))</f>
        <v>0</v>
      </c>
      <c r="M148" s="151">
        <f>IF(M$105&lt;=TabS!$G$5,M49*$E$97,IF(M$105&lt;=TabS!$G$6,M49*$E$98,IF(M$105&lt;=TabS!$G$7,M49*$E$99,IF(M$105&lt;=TabS!$G$8,M49*$E$100,IF(M$105&lt;=TabS!$G$9,M49*$E$101,IF(M$105&lt;=TabS!$G$10,M49*$E$102))))))</f>
        <v>0</v>
      </c>
      <c r="N148" s="151">
        <f>IF(N$105&lt;=TabS!$G$5,N49*$E$97,IF(N$105&lt;=TabS!$G$6,N49*$E$98,IF(N$105&lt;=TabS!$G$7,N49*$E$99,IF(N$105&lt;=TabS!$G$8,N49*$E$100,IF(N$105&lt;=TabS!$G$9,N49*$E$101,IF(N$105&lt;=TabS!$G$10,N49*$E$102))))))</f>
        <v>0</v>
      </c>
      <c r="O148" s="152">
        <f t="shared" si="56"/>
        <v>0</v>
      </c>
    </row>
    <row r="149" spans="2:15" ht="20.100000000000001" customHeight="1" x14ac:dyDescent="0.25">
      <c r="B149" s="167" t="s">
        <v>129</v>
      </c>
      <c r="C149" s="151">
        <f>IF(C$105&lt;=TabS!$G$5,C49*$F$97,IF(C$105&lt;=TabS!$G$6,C49*$F$98,IF(C$105&lt;=TabS!$G$7,C49*$F$99,IF(C$105&lt;=TabS!$G$8,C49*$F$100,IF(C$105&lt;=TabS!$G$9,C49*$F$101,IF(C$105&lt;=TabS!$G$10,C49*$F$102))))))</f>
        <v>0</v>
      </c>
      <c r="D149" s="151">
        <f>IF(D$105&lt;=TabS!$G$5,D49*$F$97,IF(D$105&lt;=TabS!$G$6,D49*$F$98,IF(D$105&lt;=TabS!$G$7,D49*$F$99,IF(D$105&lt;=TabS!$G$8,D49*$F$100,IF(D$105&lt;=TabS!$G$9,D49*$F$101,IF(D$105&lt;=TabS!$G$10,D49*$F$102))))))</f>
        <v>0</v>
      </c>
      <c r="E149" s="151">
        <f>IF(E$105&lt;=TabS!$G$5,E49*$F$97,IF(E$105&lt;=TabS!$G$6,E49*$F$98,IF(E$105&lt;=TabS!$G$7,E49*$F$99,IF(E$105&lt;=TabS!$G$8,E49*$F$100,IF(E$105&lt;=TabS!$G$9,E49*$F$101,IF(E$105&lt;=TabS!$G$10,E49*$F$102))))))</f>
        <v>0</v>
      </c>
      <c r="F149" s="151">
        <f>IF(F$105&lt;=TabS!$G$5,F49*$F$97,IF(F$105&lt;=TabS!$G$6,F49*$F$98,IF(F$105&lt;=TabS!$G$7,F49*$F$99,IF(F$105&lt;=TabS!$G$8,F49*$F$100,IF(F$105&lt;=TabS!$G$9,F49*$F$101,IF(F$105&lt;=TabS!$G$10,F49*$F$102))))))</f>
        <v>0</v>
      </c>
      <c r="G149" s="151">
        <f>IF(G$105&lt;=TabS!$G$5,G49*$F$97,IF(G$105&lt;=TabS!$G$6,G49*$F$98,IF(G$105&lt;=TabS!$G$7,G49*$F$99,IF(G$105&lt;=TabS!$G$8,G49*$F$100,IF(G$105&lt;=TabS!$G$9,G49*$F$101,IF(G$105&lt;=TabS!$G$10,G49*$F$102))))))</f>
        <v>0</v>
      </c>
      <c r="H149" s="151">
        <f>IF(H$105&lt;=TabS!$G$5,H49*$F$97,IF(H$105&lt;=TabS!$G$6,H49*$F$98,IF(H$105&lt;=TabS!$G$7,H49*$F$99,IF(H$105&lt;=TabS!$G$8,H49*$F$100,IF(H$105&lt;=TabS!$G$9,H49*$F$101,IF(H$105&lt;=TabS!$G$10,H49*$F$102))))))</f>
        <v>0</v>
      </c>
      <c r="I149" s="151">
        <f>IF(I$105&lt;=TabS!$G$5,I49*$F$97,IF(I$105&lt;=TabS!$G$6,I49*$F$98,IF(I$105&lt;=TabS!$G$7,I49*$F$99,IF(I$105&lt;=TabS!$G$8,I49*$F$100,IF(I$105&lt;=TabS!$G$9,I49*$F$101,IF(I$105&lt;=TabS!$G$10,I49*$F$102))))))</f>
        <v>0</v>
      </c>
      <c r="J149" s="151">
        <f>IF(J$105&lt;=TabS!$G$5,J49*$F$97,IF(J$105&lt;=TabS!$G$6,J49*$F$98,IF(J$105&lt;=TabS!$G$7,J49*$F$99,IF(J$105&lt;=TabS!$G$8,J49*$F$100,IF(J$105&lt;=TabS!$G$9,J49*$F$101,IF(J$105&lt;=TabS!$G$10,J49*$F$102))))))</f>
        <v>0</v>
      </c>
      <c r="K149" s="151">
        <f>IF(K$105&lt;=TabS!$G$5,K49*$F$97,IF(K$105&lt;=TabS!$G$6,K49*$F$98,IF(K$105&lt;=TabS!$G$7,K49*$F$99,IF(K$105&lt;=TabS!$G$8,K49*$F$100,IF(K$105&lt;=TabS!$G$9,K49*$F$101,IF(K$105&lt;=TabS!$G$10,K49*$F$102))))))</f>
        <v>0</v>
      </c>
      <c r="L149" s="151">
        <f>IF(L$105&lt;=TabS!$G$5,L49*$F$97,IF(L$105&lt;=TabS!$G$6,L49*$F$98,IF(L$105&lt;=TabS!$G$7,L49*$F$99,IF(L$105&lt;=TabS!$G$8,L49*$F$100,IF(L$105&lt;=TabS!$G$9,L49*$F$101,IF(L$105&lt;=TabS!$G$10,L49*$F$102))))))</f>
        <v>0</v>
      </c>
      <c r="M149" s="151">
        <f>IF(M$105&lt;=TabS!$G$5,M49*$F$97,IF(M$105&lt;=TabS!$G$6,M49*$F$98,IF(M$105&lt;=TabS!$G$7,M49*$F$99,IF(M$105&lt;=TabS!$G$8,M49*$F$100,IF(M$105&lt;=TabS!$G$9,M49*$F$101,IF(M$105&lt;=TabS!$G$10,M49*$F$102))))))</f>
        <v>0</v>
      </c>
      <c r="N149" s="151">
        <f>IF(N$105&lt;=TabS!$G$5,N49*$F$97,IF(N$105&lt;=TabS!$G$6,N49*$F$98,IF(N$105&lt;=TabS!$G$7,N49*$F$99,IF(N$105&lt;=TabS!$G$8,N49*$F$100,IF(N$105&lt;=TabS!$G$9,N49*$F$101,IF(N$105&lt;=TabS!$G$10,N49*$F$102))))))</f>
        <v>0</v>
      </c>
      <c r="O149" s="152">
        <f t="shared" si="56"/>
        <v>0</v>
      </c>
    </row>
    <row r="150" spans="2:15" ht="20.100000000000001" customHeight="1" x14ac:dyDescent="0.25">
      <c r="B150" s="167" t="s">
        <v>42</v>
      </c>
      <c r="C150" s="151">
        <f>IF(C$105&lt;=TabS!$G$5,C49*$G$97,IF(C$105&lt;=TabS!$G$6,C49*$G$98,IF(C$105&lt;=TabS!$G$7,C49*$G$99,IF(C$105&lt;=TabS!$G$8,C49*$G$100,IF(C$105&lt;=TabS!$G$9,C49*$G$101,IF(C$105&lt;=TabS!$G$10,C49*$G$102))))))</f>
        <v>0</v>
      </c>
      <c r="D150" s="151">
        <f>IF(D$105&lt;=TabS!$G$5,D49*$G$97,IF(D$105&lt;=TabS!$G$6,D49*$G$98,IF(D$105&lt;=TabS!$G$7,D49*$G$99,IF(D$105&lt;=TabS!$G$8,D49*$G$100,IF(D$105&lt;=TabS!$G$9,D49*$G$101,IF(D$105&lt;=TabS!$G$10,D49*$G$102))))))</f>
        <v>0</v>
      </c>
      <c r="E150" s="151">
        <f>IF(E$105&lt;=TabS!$G$5,E49*$G$97,IF(E$105&lt;=TabS!$G$6,E49*$G$98,IF(E$105&lt;=TabS!$G$7,E49*$G$99,IF(E$105&lt;=TabS!$G$8,E49*$G$100,IF(E$105&lt;=TabS!$G$9,E49*$G$101,IF(E$105&lt;=TabS!$G$10,E49*$G$102))))))</f>
        <v>0</v>
      </c>
      <c r="F150" s="151">
        <f>IF(F$105&lt;=TabS!$G$5,F49*$G$97,IF(F$105&lt;=TabS!$G$6,F49*$G$98,IF(F$105&lt;=TabS!$G$7,F49*$G$99,IF(F$105&lt;=TabS!$G$8,F49*$G$100,IF(F$105&lt;=TabS!$G$9,F49*$G$101,IF(F$105&lt;=TabS!$G$10,F49*$G$102))))))</f>
        <v>0</v>
      </c>
      <c r="G150" s="151">
        <f>IF(G$105&lt;=TabS!$G$5,G49*$G$97,IF(G$105&lt;=TabS!$G$6,G49*$G$98,IF(G$105&lt;=TabS!$G$7,G49*$G$99,IF(G$105&lt;=TabS!$G$8,G49*$G$100,IF(G$105&lt;=TabS!$G$9,G49*$G$101,IF(G$105&lt;=TabS!$G$10,G49*$G$102))))))</f>
        <v>0</v>
      </c>
      <c r="H150" s="151">
        <f>IF(H$105&lt;=TabS!$G$5,H49*$G$97,IF(H$105&lt;=TabS!$G$6,H49*$G$98,IF(H$105&lt;=TabS!$G$7,H49*$G$99,IF(H$105&lt;=TabS!$G$8,H49*$G$100,IF(H$105&lt;=TabS!$G$9,H49*$G$101,IF(H$105&lt;=TabS!$G$10,H49*$G$102))))))</f>
        <v>0</v>
      </c>
      <c r="I150" s="151">
        <f>IF(I$105&lt;=TabS!$G$5,I49*$G$97,IF(I$105&lt;=TabS!$G$6,I49*$G$98,IF(I$105&lt;=TabS!$G$7,I49*$G$99,IF(I$105&lt;=TabS!$G$8,I49*$G$100,IF(I$105&lt;=TabS!$G$9,I49*$G$101,IF(I$105&lt;=TabS!$G$10,I49*$G$102))))))</f>
        <v>0</v>
      </c>
      <c r="J150" s="151">
        <f>IF(J$105&lt;=TabS!$G$5,J49*$G$97,IF(J$105&lt;=TabS!$G$6,J49*$G$98,IF(J$105&lt;=TabS!$G$7,J49*$G$99,IF(J$105&lt;=TabS!$G$8,J49*$G$100,IF(J$105&lt;=TabS!$G$9,J49*$G$101,IF(J$105&lt;=TabS!$G$10,J49*$G$102))))))</f>
        <v>0</v>
      </c>
      <c r="K150" s="151">
        <f>IF(K$105&lt;=TabS!$G$5,K49*$G$97,IF(K$105&lt;=TabS!$G$6,K49*$G$98,IF(K$105&lt;=TabS!$G$7,K49*$G$99,IF(K$105&lt;=TabS!$G$8,K49*$G$100,IF(K$105&lt;=TabS!$G$9,K49*$G$101,IF(K$105&lt;=TabS!$G$10,K49*$G$102))))))</f>
        <v>0</v>
      </c>
      <c r="L150" s="151">
        <f>IF(L$105&lt;=TabS!$G$5,L49*$G$97,IF(L$105&lt;=TabS!$G$6,L49*$G$98,IF(L$105&lt;=TabS!$G$7,L49*$G$99,IF(L$105&lt;=TabS!$G$8,L49*$G$100,IF(L$105&lt;=TabS!$G$9,L49*$G$101,IF(L$105&lt;=TabS!$G$10,L49*$G$102))))))</f>
        <v>0</v>
      </c>
      <c r="M150" s="151">
        <f>IF(M$105&lt;=TabS!$G$5,M49*$G$97,IF(M$105&lt;=TabS!$G$6,M49*$G$98,IF(M$105&lt;=TabS!$G$7,M49*$G$99,IF(M$105&lt;=TabS!$G$8,M49*$G$100,IF(M$105&lt;=TabS!$G$9,M49*$G$101,IF(M$105&lt;=TabS!$G$10,M49*$G$102))))))</f>
        <v>0</v>
      </c>
      <c r="N150" s="151">
        <f>IF(N$105&lt;=TabS!$G$5,N49*$G$97,IF(N$105&lt;=TabS!$G$6,N49*$G$98,IF(N$105&lt;=TabS!$G$7,N49*$G$99,IF(N$105&lt;=TabS!$G$8,N49*$G$100,IF(N$105&lt;=TabS!$G$9,N49*$G$101,IF(N$105&lt;=TabS!$G$10,N49*$G$102))))))</f>
        <v>0</v>
      </c>
      <c r="O150" s="152">
        <f t="shared" si="56"/>
        <v>0</v>
      </c>
    </row>
    <row r="151" spans="2:15" ht="20.100000000000001" customHeight="1" x14ac:dyDescent="0.25">
      <c r="B151" s="167" t="s">
        <v>40</v>
      </c>
      <c r="C151" s="151">
        <f>IF(C$105&lt;=TabS!$G$5,C49*$H$97,IF(C$105&lt;=TabS!$G$6,C49*$H$98,IF(C$105&lt;=TabS!$G$7,C49*$H$99,IF(C$105&lt;=TabS!$G$8,C49*$H$100,IF(C$105&lt;=TabS!$G$9,C49*$H$101,IF(C$105&lt;=TabS!$G$10,C49*$H$102))))))</f>
        <v>0</v>
      </c>
      <c r="D151" s="151">
        <f>IF(D$105&lt;=TabS!$G$5,D49*$H$97,IF(D$105&lt;=TabS!$G$6,D49*$H$98,IF(D$105&lt;=TabS!$G$7,D49*$H$99,IF(D$105&lt;=TabS!$G$8,D49*$H$100,IF(D$105&lt;=TabS!$G$9,D49*$H$101,IF(D$105&lt;=TabS!$G$10,D49*$H$102))))))</f>
        <v>0</v>
      </c>
      <c r="E151" s="151">
        <f>IF(E$105&lt;=TabS!$G$5,E49*$H$97,IF(E$105&lt;=TabS!$G$6,E49*$H$98,IF(E$105&lt;=TabS!$G$7,E49*$H$99,IF(E$105&lt;=TabS!$G$8,E49*$H$100,IF(E$105&lt;=TabS!$G$9,E49*$H$101,IF(E$105&lt;=TabS!$G$10,E49*$H$102))))))</f>
        <v>0</v>
      </c>
      <c r="F151" s="151">
        <f>IF(F$105&lt;=TabS!$G$5,F49*$H$97,IF(F$105&lt;=TabS!$G$6,F49*$H$98,IF(F$105&lt;=TabS!$G$7,F49*$H$99,IF(F$105&lt;=TabS!$G$8,F49*$H$100,IF(F$105&lt;=TabS!$G$9,F49*$H$101,IF(F$105&lt;=TabS!$G$10,F49*$H$102))))))</f>
        <v>0</v>
      </c>
      <c r="G151" s="151">
        <f>IF(G$105&lt;=TabS!$G$5,G49*$H$97,IF(G$105&lt;=TabS!$G$6,G49*$H$98,IF(G$105&lt;=TabS!$G$7,G49*$H$99,IF(G$105&lt;=TabS!$G$8,G49*$H$100,IF(G$105&lt;=TabS!$G$9,G49*$H$101,IF(G$105&lt;=TabS!$G$10,G49*$H$102))))))</f>
        <v>0</v>
      </c>
      <c r="H151" s="151">
        <f>IF(H$105&lt;=TabS!$G$5,H49*$H$97,IF(H$105&lt;=TabS!$G$6,H49*$H$98,IF(H$105&lt;=TabS!$G$7,H49*$H$99,IF(H$105&lt;=TabS!$G$8,H49*$H$100,IF(H$105&lt;=TabS!$G$9,H49*$H$101,IF(H$105&lt;=TabS!$G$10,H49*$H$102))))))</f>
        <v>0</v>
      </c>
      <c r="I151" s="151">
        <f>IF(I$105&lt;=TabS!$G$5,I49*$H$97,IF(I$105&lt;=TabS!$G$6,I49*$H$98,IF(I$105&lt;=TabS!$G$7,I49*$H$99,IF(I$105&lt;=TabS!$G$8,I49*$H$100,IF(I$105&lt;=TabS!$G$9,I49*$H$101,IF(I$105&lt;=TabS!$G$10,I49*$H$102))))))</f>
        <v>0</v>
      </c>
      <c r="J151" s="151">
        <f>IF(J$105&lt;=TabS!$G$5,J49*$H$97,IF(J$105&lt;=TabS!$G$6,J49*$H$98,IF(J$105&lt;=TabS!$G$7,J49*$H$99,IF(J$105&lt;=TabS!$G$8,J49*$H$100,IF(J$105&lt;=TabS!$G$9,J49*$H$101,IF(J$105&lt;=TabS!$G$10,J49*$H$102))))))</f>
        <v>0</v>
      </c>
      <c r="K151" s="151">
        <f>IF(K$105&lt;=TabS!$G$5,K49*$H$97,IF(K$105&lt;=TabS!$G$6,K49*$H$98,IF(K$105&lt;=TabS!$G$7,K49*$H$99,IF(K$105&lt;=TabS!$G$8,K49*$H$100,IF(K$105&lt;=TabS!$G$9,K49*$H$101,IF(K$105&lt;=TabS!$G$10,K49*$H$102))))))</f>
        <v>0</v>
      </c>
      <c r="L151" s="151">
        <f>IF(L$105&lt;=TabS!$G$5,L49*$H$97,IF(L$105&lt;=TabS!$G$6,L49*$H$98,IF(L$105&lt;=TabS!$G$7,L49*$H$99,IF(L$105&lt;=TabS!$G$8,L49*$H$100,IF(L$105&lt;=TabS!$G$9,L49*$H$101,IF(L$105&lt;=TabS!$G$10,L49*$H$102))))))</f>
        <v>0</v>
      </c>
      <c r="M151" s="151">
        <f>IF(M$105&lt;=TabS!$G$5,M49*$H$97,IF(M$105&lt;=TabS!$G$6,M49*$H$98,IF(M$105&lt;=TabS!$G$7,M49*$H$99,IF(M$105&lt;=TabS!$G$8,M49*$H$100,IF(M$105&lt;=TabS!$G$9,M49*$H$101,IF(M$105&lt;=TabS!$G$10,M49*$H$102))))))</f>
        <v>0</v>
      </c>
      <c r="N151" s="151">
        <f>IF(N$105&lt;=TabS!$G$5,N49*$H$97,IF(N$105&lt;=TabS!$G$6,N49*$H$98,IF(N$105&lt;=TabS!$G$7,N49*$H$99,IF(N$105&lt;=TabS!$G$8,N49*$H$100,IF(N$105&lt;=TabS!$G$9,N49*$H$101,IF(N$105&lt;=TabS!$G$10,N49*$H$102))))))</f>
        <v>0</v>
      </c>
      <c r="O151" s="152">
        <f t="shared" si="56"/>
        <v>0</v>
      </c>
    </row>
    <row r="152" spans="2:15" ht="20.100000000000001" customHeight="1" x14ac:dyDescent="0.25">
      <c r="B152" s="168" t="s">
        <v>99</v>
      </c>
      <c r="C152" s="152">
        <f>SUM(C146:C151)</f>
        <v>0</v>
      </c>
      <c r="D152" s="152">
        <f t="shared" ref="D152:N152" si="57">SUM(D146:D151)</f>
        <v>0</v>
      </c>
      <c r="E152" s="152">
        <f t="shared" si="57"/>
        <v>0</v>
      </c>
      <c r="F152" s="152">
        <f t="shared" si="57"/>
        <v>0</v>
      </c>
      <c r="G152" s="152">
        <f t="shared" si="57"/>
        <v>0</v>
      </c>
      <c r="H152" s="152">
        <f t="shared" si="57"/>
        <v>0</v>
      </c>
      <c r="I152" s="152">
        <f t="shared" si="57"/>
        <v>0</v>
      </c>
      <c r="J152" s="152">
        <f t="shared" si="57"/>
        <v>0</v>
      </c>
      <c r="K152" s="152">
        <f t="shared" si="57"/>
        <v>0</v>
      </c>
      <c r="L152" s="152">
        <f t="shared" si="57"/>
        <v>0</v>
      </c>
      <c r="M152" s="152">
        <f t="shared" si="57"/>
        <v>0</v>
      </c>
      <c r="N152" s="152">
        <f t="shared" si="57"/>
        <v>0</v>
      </c>
      <c r="O152" s="152">
        <f>SUM(C152:N152)</f>
        <v>0</v>
      </c>
    </row>
    <row r="153" spans="2:15" ht="20.100000000000001" customHeight="1" x14ac:dyDescent="0.25">
      <c r="B153" s="278" t="s">
        <v>130</v>
      </c>
      <c r="C153" s="278"/>
      <c r="D153" s="278"/>
      <c r="E153" s="278"/>
      <c r="F153" s="278"/>
      <c r="G153" s="278"/>
      <c r="H153" s="278"/>
      <c r="I153" s="278"/>
      <c r="J153" s="278"/>
      <c r="K153" s="278"/>
      <c r="L153" s="278"/>
      <c r="M153" s="278"/>
      <c r="N153" s="278"/>
      <c r="O153" s="278"/>
    </row>
    <row r="154" spans="2:15" ht="20.100000000000001" customHeight="1" x14ac:dyDescent="0.25">
      <c r="B154" s="149" t="s">
        <v>82</v>
      </c>
      <c r="C154" s="149" t="s">
        <v>83</v>
      </c>
      <c r="D154" s="149" t="s">
        <v>84</v>
      </c>
      <c r="E154" s="149" t="s">
        <v>85</v>
      </c>
      <c r="F154" s="149" t="s">
        <v>86</v>
      </c>
      <c r="G154" s="149" t="s">
        <v>87</v>
      </c>
      <c r="H154" s="149" t="s">
        <v>88</v>
      </c>
      <c r="I154" s="149" t="s">
        <v>89</v>
      </c>
      <c r="J154" s="149" t="s">
        <v>90</v>
      </c>
      <c r="K154" s="149" t="s">
        <v>91</v>
      </c>
      <c r="L154" s="149" t="s">
        <v>92</v>
      </c>
      <c r="M154" s="149" t="s">
        <v>93</v>
      </c>
      <c r="N154" s="149" t="s">
        <v>94</v>
      </c>
      <c r="O154" s="149" t="s">
        <v>95</v>
      </c>
    </row>
    <row r="155" spans="2:15" ht="20.100000000000001" customHeight="1" x14ac:dyDescent="0.25">
      <c r="B155" s="167" t="s">
        <v>97</v>
      </c>
      <c r="C155" s="151">
        <f>C109+C118+C128+C137+C146</f>
        <v>0</v>
      </c>
      <c r="D155" s="151">
        <f t="shared" ref="D155:N156" si="58">D109+D118+D128+D137+D146</f>
        <v>0</v>
      </c>
      <c r="E155" s="151">
        <f t="shared" si="58"/>
        <v>0</v>
      </c>
      <c r="F155" s="151">
        <f t="shared" si="58"/>
        <v>0</v>
      </c>
      <c r="G155" s="151">
        <f t="shared" si="58"/>
        <v>0</v>
      </c>
      <c r="H155" s="151">
        <f t="shared" si="58"/>
        <v>0</v>
      </c>
      <c r="I155" s="151">
        <f t="shared" si="58"/>
        <v>0</v>
      </c>
      <c r="J155" s="151">
        <f t="shared" si="58"/>
        <v>0</v>
      </c>
      <c r="K155" s="151">
        <f t="shared" si="58"/>
        <v>0</v>
      </c>
      <c r="L155" s="151">
        <f t="shared" si="58"/>
        <v>0</v>
      </c>
      <c r="M155" s="151">
        <f t="shared" si="58"/>
        <v>0</v>
      </c>
      <c r="N155" s="151">
        <f t="shared" si="58"/>
        <v>0</v>
      </c>
      <c r="O155" s="152">
        <f>SUM(C155:N155)</f>
        <v>0</v>
      </c>
    </row>
    <row r="156" spans="2:15" ht="20.100000000000001" customHeight="1" x14ac:dyDescent="0.25">
      <c r="B156" s="167" t="s">
        <v>98</v>
      </c>
      <c r="C156" s="151">
        <f>C110+C119+C129+C138+C147</f>
        <v>0</v>
      </c>
      <c r="D156" s="151">
        <f t="shared" si="58"/>
        <v>0</v>
      </c>
      <c r="E156" s="151">
        <f t="shared" si="58"/>
        <v>0</v>
      </c>
      <c r="F156" s="151">
        <f t="shared" si="58"/>
        <v>0</v>
      </c>
      <c r="G156" s="151">
        <f t="shared" si="58"/>
        <v>0</v>
      </c>
      <c r="H156" s="151">
        <f t="shared" si="58"/>
        <v>0</v>
      </c>
      <c r="I156" s="151">
        <f t="shared" si="58"/>
        <v>0</v>
      </c>
      <c r="J156" s="151">
        <f t="shared" si="58"/>
        <v>0</v>
      </c>
      <c r="K156" s="151">
        <f t="shared" si="58"/>
        <v>0</v>
      </c>
      <c r="L156" s="151">
        <f t="shared" si="58"/>
        <v>0</v>
      </c>
      <c r="M156" s="151">
        <f t="shared" si="58"/>
        <v>0</v>
      </c>
      <c r="N156" s="151">
        <f t="shared" si="58"/>
        <v>0</v>
      </c>
      <c r="O156" s="152">
        <f>SUM(C156:N156)</f>
        <v>0</v>
      </c>
    </row>
    <row r="157" spans="2:15" ht="20.100000000000001" customHeight="1" x14ac:dyDescent="0.25">
      <c r="B157" s="167" t="s">
        <v>37</v>
      </c>
      <c r="C157" s="151">
        <f>C111+C120</f>
        <v>0</v>
      </c>
      <c r="D157" s="151">
        <f t="shared" ref="D157:N157" si="59">D111+D120</f>
        <v>0</v>
      </c>
      <c r="E157" s="151">
        <f t="shared" si="59"/>
        <v>0</v>
      </c>
      <c r="F157" s="151">
        <f t="shared" si="59"/>
        <v>0</v>
      </c>
      <c r="G157" s="151">
        <f t="shared" si="59"/>
        <v>0</v>
      </c>
      <c r="H157" s="151">
        <f t="shared" si="59"/>
        <v>0</v>
      </c>
      <c r="I157" s="151">
        <f t="shared" si="59"/>
        <v>0</v>
      </c>
      <c r="J157" s="151">
        <f t="shared" si="59"/>
        <v>0</v>
      </c>
      <c r="K157" s="151">
        <f t="shared" si="59"/>
        <v>0</v>
      </c>
      <c r="L157" s="151">
        <f t="shared" si="59"/>
        <v>0</v>
      </c>
      <c r="M157" s="151">
        <f t="shared" si="59"/>
        <v>0</v>
      </c>
      <c r="N157" s="151">
        <f t="shared" si="59"/>
        <v>0</v>
      </c>
      <c r="O157" s="152">
        <f t="shared" ref="O157:O162" si="60">SUM(C157:N157)</f>
        <v>0</v>
      </c>
    </row>
    <row r="158" spans="2:15" ht="20.100000000000001" customHeight="1" x14ac:dyDescent="0.25">
      <c r="B158" s="167" t="s">
        <v>38</v>
      </c>
      <c r="C158" s="151">
        <f>C124</f>
        <v>0</v>
      </c>
      <c r="D158" s="151">
        <f t="shared" ref="D158:N158" si="61">D124</f>
        <v>0</v>
      </c>
      <c r="E158" s="151">
        <f t="shared" si="61"/>
        <v>0</v>
      </c>
      <c r="F158" s="151">
        <f t="shared" si="61"/>
        <v>0</v>
      </c>
      <c r="G158" s="151">
        <f t="shared" si="61"/>
        <v>0</v>
      </c>
      <c r="H158" s="151">
        <f t="shared" si="61"/>
        <v>0</v>
      </c>
      <c r="I158" s="151">
        <f t="shared" si="61"/>
        <v>0</v>
      </c>
      <c r="J158" s="151">
        <f t="shared" si="61"/>
        <v>0</v>
      </c>
      <c r="K158" s="151">
        <f t="shared" si="61"/>
        <v>0</v>
      </c>
      <c r="L158" s="151">
        <f t="shared" si="61"/>
        <v>0</v>
      </c>
      <c r="M158" s="151">
        <f t="shared" si="61"/>
        <v>0</v>
      </c>
      <c r="N158" s="151">
        <f t="shared" si="61"/>
        <v>0</v>
      </c>
      <c r="O158" s="152">
        <f t="shared" si="60"/>
        <v>0</v>
      </c>
    </row>
    <row r="159" spans="2:15" ht="20.100000000000001" customHeight="1" x14ac:dyDescent="0.25">
      <c r="B159" s="167" t="s">
        <v>39</v>
      </c>
      <c r="C159" s="151">
        <f>C130+C139+C148</f>
        <v>0</v>
      </c>
      <c r="D159" s="151">
        <f t="shared" ref="D159:N159" si="62">D130+D139+D148</f>
        <v>0</v>
      </c>
      <c r="E159" s="151">
        <f t="shared" si="62"/>
        <v>0</v>
      </c>
      <c r="F159" s="151">
        <f t="shared" si="62"/>
        <v>0</v>
      </c>
      <c r="G159" s="151">
        <f t="shared" si="62"/>
        <v>0</v>
      </c>
      <c r="H159" s="151">
        <f t="shared" si="62"/>
        <v>0</v>
      </c>
      <c r="I159" s="151">
        <f t="shared" si="62"/>
        <v>0</v>
      </c>
      <c r="J159" s="151">
        <f t="shared" si="62"/>
        <v>0</v>
      </c>
      <c r="K159" s="151">
        <f t="shared" si="62"/>
        <v>0</v>
      </c>
      <c r="L159" s="151">
        <f t="shared" si="62"/>
        <v>0</v>
      </c>
      <c r="M159" s="151">
        <f t="shared" si="62"/>
        <v>0</v>
      </c>
      <c r="N159" s="151">
        <f t="shared" si="62"/>
        <v>0</v>
      </c>
      <c r="O159" s="152">
        <f t="shared" si="60"/>
        <v>0</v>
      </c>
    </row>
    <row r="160" spans="2:15" ht="20.100000000000001" customHeight="1" x14ac:dyDescent="0.25">
      <c r="B160" s="167" t="s">
        <v>129</v>
      </c>
      <c r="C160" s="151">
        <f>C121+C131+C140+C149+C112</f>
        <v>0</v>
      </c>
      <c r="D160" s="151">
        <f t="shared" ref="D160:N160" si="63">D121+D131+D140+D149+D112</f>
        <v>0</v>
      </c>
      <c r="E160" s="151">
        <f t="shared" si="63"/>
        <v>0</v>
      </c>
      <c r="F160" s="151">
        <f t="shared" si="63"/>
        <v>0</v>
      </c>
      <c r="G160" s="151">
        <f t="shared" si="63"/>
        <v>0</v>
      </c>
      <c r="H160" s="151">
        <f t="shared" si="63"/>
        <v>0</v>
      </c>
      <c r="I160" s="151">
        <f t="shared" si="63"/>
        <v>0</v>
      </c>
      <c r="J160" s="151">
        <f t="shared" si="63"/>
        <v>0</v>
      </c>
      <c r="K160" s="151">
        <f t="shared" si="63"/>
        <v>0</v>
      </c>
      <c r="L160" s="151">
        <f t="shared" si="63"/>
        <v>0</v>
      </c>
      <c r="M160" s="151">
        <f t="shared" si="63"/>
        <v>0</v>
      </c>
      <c r="N160" s="151">
        <f t="shared" si="63"/>
        <v>0</v>
      </c>
      <c r="O160" s="152">
        <f t="shared" si="60"/>
        <v>0</v>
      </c>
    </row>
    <row r="161" spans="1:15" ht="20.100000000000001" customHeight="1" x14ac:dyDescent="0.25">
      <c r="B161" s="167" t="s">
        <v>42</v>
      </c>
      <c r="C161" s="151">
        <f t="shared" ref="C161:N162" si="64">C122+C132+C141+C150+C113</f>
        <v>0</v>
      </c>
      <c r="D161" s="151">
        <f t="shared" si="64"/>
        <v>0</v>
      </c>
      <c r="E161" s="151">
        <f t="shared" si="64"/>
        <v>0</v>
      </c>
      <c r="F161" s="151">
        <f t="shared" si="64"/>
        <v>0</v>
      </c>
      <c r="G161" s="151">
        <f t="shared" si="64"/>
        <v>0</v>
      </c>
      <c r="H161" s="151">
        <f t="shared" si="64"/>
        <v>0</v>
      </c>
      <c r="I161" s="151">
        <f t="shared" si="64"/>
        <v>0</v>
      </c>
      <c r="J161" s="151">
        <f t="shared" si="64"/>
        <v>0</v>
      </c>
      <c r="K161" s="151">
        <f t="shared" si="64"/>
        <v>0</v>
      </c>
      <c r="L161" s="151">
        <f t="shared" si="64"/>
        <v>0</v>
      </c>
      <c r="M161" s="151">
        <f t="shared" si="64"/>
        <v>0</v>
      </c>
      <c r="N161" s="151">
        <f t="shared" si="64"/>
        <v>0</v>
      </c>
      <c r="O161" s="152">
        <f t="shared" si="60"/>
        <v>0</v>
      </c>
    </row>
    <row r="162" spans="1:15" ht="20.100000000000001" customHeight="1" x14ac:dyDescent="0.25">
      <c r="B162" s="167" t="s">
        <v>40</v>
      </c>
      <c r="C162" s="151">
        <f t="shared" si="64"/>
        <v>0</v>
      </c>
      <c r="D162" s="151">
        <f t="shared" si="64"/>
        <v>0</v>
      </c>
      <c r="E162" s="151">
        <f t="shared" si="64"/>
        <v>0</v>
      </c>
      <c r="F162" s="151">
        <f t="shared" si="64"/>
        <v>0</v>
      </c>
      <c r="G162" s="151">
        <f t="shared" si="64"/>
        <v>0</v>
      </c>
      <c r="H162" s="151">
        <f t="shared" si="64"/>
        <v>0</v>
      </c>
      <c r="I162" s="151">
        <f t="shared" si="64"/>
        <v>0</v>
      </c>
      <c r="J162" s="151">
        <f t="shared" si="64"/>
        <v>0</v>
      </c>
      <c r="K162" s="151">
        <f t="shared" si="64"/>
        <v>0</v>
      </c>
      <c r="L162" s="151">
        <f t="shared" si="64"/>
        <v>0</v>
      </c>
      <c r="M162" s="151">
        <f t="shared" si="64"/>
        <v>0</v>
      </c>
      <c r="N162" s="151">
        <f t="shared" si="64"/>
        <v>0</v>
      </c>
      <c r="O162" s="152">
        <f t="shared" si="60"/>
        <v>0</v>
      </c>
    </row>
    <row r="163" spans="1:15" ht="20.100000000000001" customHeight="1" x14ac:dyDescent="0.25">
      <c r="B163" s="168" t="s">
        <v>99</v>
      </c>
      <c r="C163" s="152">
        <f>SUM(C155:C162)</f>
        <v>0</v>
      </c>
      <c r="D163" s="152">
        <f t="shared" ref="D163:N163" si="65">SUM(D155:D162)</f>
        <v>0</v>
      </c>
      <c r="E163" s="152">
        <f t="shared" si="65"/>
        <v>0</v>
      </c>
      <c r="F163" s="152">
        <f t="shared" si="65"/>
        <v>0</v>
      </c>
      <c r="G163" s="152">
        <f t="shared" si="65"/>
        <v>0</v>
      </c>
      <c r="H163" s="152">
        <f t="shared" si="65"/>
        <v>0</v>
      </c>
      <c r="I163" s="152">
        <f t="shared" si="65"/>
        <v>0</v>
      </c>
      <c r="J163" s="152">
        <f t="shared" si="65"/>
        <v>0</v>
      </c>
      <c r="K163" s="152">
        <f t="shared" si="65"/>
        <v>0</v>
      </c>
      <c r="L163" s="152">
        <f t="shared" si="65"/>
        <v>0</v>
      </c>
      <c r="M163" s="152">
        <f t="shared" si="65"/>
        <v>0</v>
      </c>
      <c r="N163" s="152">
        <f t="shared" si="65"/>
        <v>0</v>
      </c>
      <c r="O163" s="152">
        <f>SUM(C163:N163)</f>
        <v>0</v>
      </c>
    </row>
    <row r="165" spans="1:15" ht="20.100000000000001" customHeight="1" x14ac:dyDescent="0.25">
      <c r="B165" s="162" t="s">
        <v>136</v>
      </c>
    </row>
    <row r="167" spans="1:15" ht="20.100000000000001" customHeight="1" x14ac:dyDescent="0.25">
      <c r="B167" s="169" t="s">
        <v>131</v>
      </c>
      <c r="C167" s="155">
        <f>IF(C5&gt;TabS!$G$9,C34+R34,C34)</f>
        <v>0</v>
      </c>
      <c r="D167" s="155">
        <f>IF(D5&gt;TabS!$G$9,D34+S34,D34)</f>
        <v>0</v>
      </c>
      <c r="E167" s="155">
        <f>IF(E5&gt;TabS!$G$9,E34+T34,E34)</f>
        <v>0</v>
      </c>
      <c r="F167" s="155">
        <f>IF(F5&gt;TabS!$G$9,F34+U34,F34)</f>
        <v>0</v>
      </c>
      <c r="G167" s="155">
        <f>IF(G5&gt;TabS!$G$9,G34+V34,G34)</f>
        <v>0</v>
      </c>
      <c r="H167" s="155">
        <f>IF(H5&gt;TabS!$G$9,H34+W34,H34)</f>
        <v>0</v>
      </c>
      <c r="I167" s="155">
        <f>IF(I5&gt;TabS!$G$9,I34+X34,I34)</f>
        <v>0</v>
      </c>
      <c r="J167" s="155">
        <f>IF(J5&gt;TabS!$G$9,J34+Y34,J34)</f>
        <v>0</v>
      </c>
      <c r="K167" s="155">
        <f>IF(K5&gt;TabS!$G$9,K34+Z34,K34)</f>
        <v>0</v>
      </c>
      <c r="L167" s="155">
        <f>IF(L5&gt;TabS!$G$9,L34+AA34,L34)</f>
        <v>0</v>
      </c>
      <c r="M167" s="155">
        <f>IF(M5&gt;TabS!$G$9,M34+AB34,M34)</f>
        <v>0</v>
      </c>
      <c r="N167" s="155">
        <f>IF(N5&gt;TabS!$G$9,N34+AC34,N34)</f>
        <v>0</v>
      </c>
      <c r="O167" s="133"/>
    </row>
    <row r="168" spans="1:15" ht="20.100000000000001" customHeight="1" x14ac:dyDescent="0.25">
      <c r="B168" s="19" t="s">
        <v>132</v>
      </c>
      <c r="C168" s="154">
        <v>0.14925369999999999</v>
      </c>
    </row>
    <row r="169" spans="1:15" ht="20.100000000000001" customHeight="1" x14ac:dyDescent="0.25">
      <c r="B169" s="169" t="s">
        <v>133</v>
      </c>
      <c r="C169" s="156">
        <f>C167-5%</f>
        <v>-0.05</v>
      </c>
      <c r="D169" s="156">
        <f t="shared" ref="D169:N169" si="66">D167-5%</f>
        <v>-0.05</v>
      </c>
      <c r="E169" s="156">
        <f t="shared" si="66"/>
        <v>-0.05</v>
      </c>
      <c r="F169" s="156">
        <f t="shared" si="66"/>
        <v>-0.05</v>
      </c>
      <c r="G169" s="156">
        <f t="shared" si="66"/>
        <v>-0.05</v>
      </c>
      <c r="H169" s="156">
        <f t="shared" si="66"/>
        <v>-0.05</v>
      </c>
      <c r="I169" s="156">
        <f t="shared" si="66"/>
        <v>-0.05</v>
      </c>
      <c r="J169" s="156">
        <f t="shared" si="66"/>
        <v>-0.05</v>
      </c>
      <c r="K169" s="156">
        <f t="shared" si="66"/>
        <v>-0.05</v>
      </c>
      <c r="L169" s="156">
        <f t="shared" si="66"/>
        <v>-0.05</v>
      </c>
      <c r="M169" s="156">
        <f t="shared" si="66"/>
        <v>-0.05</v>
      </c>
      <c r="N169" s="156">
        <f t="shared" si="66"/>
        <v>-0.05</v>
      </c>
    </row>
    <row r="171" spans="1:15" ht="20.100000000000001" customHeight="1" x14ac:dyDescent="0.25">
      <c r="B171" s="149" t="s">
        <v>82</v>
      </c>
      <c r="C171" s="149" t="s">
        <v>83</v>
      </c>
      <c r="D171" s="149" t="s">
        <v>84</v>
      </c>
      <c r="E171" s="149" t="s">
        <v>85</v>
      </c>
      <c r="F171" s="149" t="s">
        <v>86</v>
      </c>
      <c r="G171" s="149" t="s">
        <v>87</v>
      </c>
      <c r="H171" s="149" t="s">
        <v>88</v>
      </c>
      <c r="I171" s="149" t="s">
        <v>89</v>
      </c>
      <c r="J171" s="149" t="s">
        <v>90</v>
      </c>
      <c r="K171" s="149" t="s">
        <v>91</v>
      </c>
      <c r="L171" s="149" t="s">
        <v>92</v>
      </c>
      <c r="M171" s="149" t="s">
        <v>93</v>
      </c>
      <c r="N171" s="149" t="s">
        <v>94</v>
      </c>
      <c r="O171" s="149" t="s">
        <v>95</v>
      </c>
    </row>
    <row r="172" spans="1:15" ht="20.100000000000001" customHeight="1" x14ac:dyDescent="0.25">
      <c r="A172" s="157">
        <v>4.1799999999999997E-2</v>
      </c>
      <c r="B172" s="9" t="s">
        <v>35</v>
      </c>
      <c r="C172" s="158" t="b">
        <f>IF(C$167&gt;$C$168,C$169*$A172)</f>
        <v>0</v>
      </c>
      <c r="D172" s="158" t="b">
        <f t="shared" ref="D172:N172" si="67">IF(D$167&gt;$C$168,D$169*$A172)</f>
        <v>0</v>
      </c>
      <c r="E172" s="158" t="b">
        <f t="shared" si="67"/>
        <v>0</v>
      </c>
      <c r="F172" s="158" t="b">
        <f t="shared" si="67"/>
        <v>0</v>
      </c>
      <c r="G172" s="158" t="b">
        <f t="shared" si="67"/>
        <v>0</v>
      </c>
      <c r="H172" s="158" t="b">
        <f t="shared" si="67"/>
        <v>0</v>
      </c>
      <c r="I172" s="158" t="b">
        <f t="shared" si="67"/>
        <v>0</v>
      </c>
      <c r="J172" s="158" t="b">
        <f t="shared" si="67"/>
        <v>0</v>
      </c>
      <c r="K172" s="158" t="b">
        <f t="shared" si="67"/>
        <v>0</v>
      </c>
      <c r="L172" s="158" t="b">
        <f t="shared" si="67"/>
        <v>0</v>
      </c>
      <c r="M172" s="158" t="b">
        <f t="shared" si="67"/>
        <v>0</v>
      </c>
      <c r="N172" s="158" t="b">
        <f t="shared" si="67"/>
        <v>0</v>
      </c>
    </row>
    <row r="173" spans="1:15" ht="20.100000000000001" customHeight="1" x14ac:dyDescent="0.25">
      <c r="A173" s="157">
        <v>0.1928</v>
      </c>
      <c r="B173" s="9" t="s">
        <v>36</v>
      </c>
      <c r="C173" s="158" t="b">
        <f t="shared" ref="C173:N177" si="68">IF(C$167&gt;$C$168,C$169*$A173)</f>
        <v>0</v>
      </c>
      <c r="D173" s="158" t="b">
        <f t="shared" si="68"/>
        <v>0</v>
      </c>
      <c r="E173" s="158" t="b">
        <f t="shared" si="68"/>
        <v>0</v>
      </c>
      <c r="F173" s="158" t="b">
        <f t="shared" si="68"/>
        <v>0</v>
      </c>
      <c r="G173" s="158" t="b">
        <f t="shared" si="68"/>
        <v>0</v>
      </c>
      <c r="H173" s="158" t="b">
        <f t="shared" si="68"/>
        <v>0</v>
      </c>
      <c r="I173" s="158" t="b">
        <f t="shared" si="68"/>
        <v>0</v>
      </c>
      <c r="J173" s="158" t="b">
        <f t="shared" si="68"/>
        <v>0</v>
      </c>
      <c r="K173" s="158" t="b">
        <f t="shared" si="68"/>
        <v>0</v>
      </c>
      <c r="L173" s="158" t="b">
        <f t="shared" si="68"/>
        <v>0</v>
      </c>
      <c r="M173" s="158" t="b">
        <f t="shared" si="68"/>
        <v>0</v>
      </c>
      <c r="N173" s="158" t="b">
        <f t="shared" si="68"/>
        <v>0</v>
      </c>
    </row>
    <row r="174" spans="1:15" ht="20.100000000000001" customHeight="1" x14ac:dyDescent="0.25">
      <c r="A174" s="157">
        <v>0</v>
      </c>
      <c r="B174" s="9" t="s">
        <v>39</v>
      </c>
      <c r="C174" s="158">
        <f>$A$174</f>
        <v>0</v>
      </c>
      <c r="D174" s="158">
        <f t="shared" ref="D174:N174" si="69">$A$174</f>
        <v>0</v>
      </c>
      <c r="E174" s="158">
        <f t="shared" si="69"/>
        <v>0</v>
      </c>
      <c r="F174" s="158">
        <f t="shared" si="69"/>
        <v>0</v>
      </c>
      <c r="G174" s="158">
        <f t="shared" si="69"/>
        <v>0</v>
      </c>
      <c r="H174" s="158">
        <f t="shared" si="69"/>
        <v>0</v>
      </c>
      <c r="I174" s="158">
        <f t="shared" si="69"/>
        <v>0</v>
      </c>
      <c r="J174" s="158">
        <f t="shared" si="69"/>
        <v>0</v>
      </c>
      <c r="K174" s="158">
        <f t="shared" si="69"/>
        <v>0</v>
      </c>
      <c r="L174" s="158">
        <f t="shared" si="69"/>
        <v>0</v>
      </c>
      <c r="M174" s="158">
        <f t="shared" si="69"/>
        <v>0</v>
      </c>
      <c r="N174" s="158">
        <f t="shared" si="69"/>
        <v>0</v>
      </c>
    </row>
    <row r="175" spans="1:15" ht="20.100000000000001" customHeight="1" x14ac:dyDescent="0.25">
      <c r="A175" s="157">
        <v>0.65259999999999996</v>
      </c>
      <c r="B175" s="9" t="s">
        <v>129</v>
      </c>
      <c r="C175" s="158" t="b">
        <f t="shared" si="68"/>
        <v>0</v>
      </c>
      <c r="D175" s="158" t="b">
        <f t="shared" si="68"/>
        <v>0</v>
      </c>
      <c r="E175" s="158" t="b">
        <f t="shared" si="68"/>
        <v>0</v>
      </c>
      <c r="F175" s="158" t="b">
        <f t="shared" si="68"/>
        <v>0</v>
      </c>
      <c r="G175" s="158" t="b">
        <f t="shared" si="68"/>
        <v>0</v>
      </c>
      <c r="H175" s="158" t="b">
        <f t="shared" si="68"/>
        <v>0</v>
      </c>
      <c r="I175" s="158" t="b">
        <f t="shared" si="68"/>
        <v>0</v>
      </c>
      <c r="J175" s="158" t="b">
        <f t="shared" si="68"/>
        <v>0</v>
      </c>
      <c r="K175" s="158" t="b">
        <f t="shared" si="68"/>
        <v>0</v>
      </c>
      <c r="L175" s="158" t="b">
        <f t="shared" si="68"/>
        <v>0</v>
      </c>
      <c r="M175" s="158" t="b">
        <f t="shared" si="68"/>
        <v>0</v>
      </c>
      <c r="N175" s="158" t="b">
        <f t="shared" si="68"/>
        <v>0</v>
      </c>
    </row>
    <row r="176" spans="1:15" ht="20.100000000000001" customHeight="1" x14ac:dyDescent="0.25">
      <c r="A176" s="157">
        <v>5.2600000000000001E-2</v>
      </c>
      <c r="B176" s="9" t="s">
        <v>42</v>
      </c>
      <c r="C176" s="158" t="b">
        <f t="shared" si="68"/>
        <v>0</v>
      </c>
      <c r="D176" s="158" t="b">
        <f t="shared" si="68"/>
        <v>0</v>
      </c>
      <c r="E176" s="158" t="b">
        <f t="shared" si="68"/>
        <v>0</v>
      </c>
      <c r="F176" s="158" t="b">
        <f t="shared" si="68"/>
        <v>0</v>
      </c>
      <c r="G176" s="158" t="b">
        <f t="shared" si="68"/>
        <v>0</v>
      </c>
      <c r="H176" s="158" t="b">
        <f t="shared" si="68"/>
        <v>0</v>
      </c>
      <c r="I176" s="158" t="b">
        <f t="shared" si="68"/>
        <v>0</v>
      </c>
      <c r="J176" s="158" t="b">
        <f t="shared" si="68"/>
        <v>0</v>
      </c>
      <c r="K176" s="158" t="b">
        <f t="shared" si="68"/>
        <v>0</v>
      </c>
      <c r="L176" s="158" t="b">
        <f t="shared" si="68"/>
        <v>0</v>
      </c>
      <c r="M176" s="158" t="b">
        <f t="shared" si="68"/>
        <v>0</v>
      </c>
      <c r="N176" s="158" t="b">
        <f t="shared" si="68"/>
        <v>0</v>
      </c>
    </row>
    <row r="177" spans="1:15" ht="20.100000000000001" customHeight="1" x14ac:dyDescent="0.25">
      <c r="A177" s="157">
        <v>6.0199999999999997E-2</v>
      </c>
      <c r="B177" s="9" t="s">
        <v>134</v>
      </c>
      <c r="C177" s="158" t="b">
        <f t="shared" si="68"/>
        <v>0</v>
      </c>
      <c r="D177" s="158" t="b">
        <f t="shared" si="68"/>
        <v>0</v>
      </c>
      <c r="E177" s="158" t="b">
        <f t="shared" si="68"/>
        <v>0</v>
      </c>
      <c r="F177" s="158" t="b">
        <f t="shared" si="68"/>
        <v>0</v>
      </c>
      <c r="G177" s="158" t="b">
        <f t="shared" si="68"/>
        <v>0</v>
      </c>
      <c r="H177" s="158" t="b">
        <f t="shared" si="68"/>
        <v>0</v>
      </c>
      <c r="I177" s="158" t="b">
        <f t="shared" si="68"/>
        <v>0</v>
      </c>
      <c r="J177" s="158" t="b">
        <f t="shared" si="68"/>
        <v>0</v>
      </c>
      <c r="K177" s="158" t="b">
        <f t="shared" si="68"/>
        <v>0</v>
      </c>
      <c r="L177" s="158" t="b">
        <f t="shared" si="68"/>
        <v>0</v>
      </c>
      <c r="M177" s="158" t="b">
        <f t="shared" si="68"/>
        <v>0</v>
      </c>
      <c r="N177" s="158" t="b">
        <f t="shared" si="68"/>
        <v>0</v>
      </c>
    </row>
    <row r="179" spans="1:15" ht="20.100000000000001" customHeight="1" x14ac:dyDescent="0.25">
      <c r="B179" s="169" t="s">
        <v>135</v>
      </c>
      <c r="C179" s="159">
        <f>C31</f>
        <v>0</v>
      </c>
      <c r="D179" s="159">
        <f t="shared" ref="D179:N179" si="70">D31</f>
        <v>0</v>
      </c>
      <c r="E179" s="159">
        <f t="shared" si="70"/>
        <v>0</v>
      </c>
      <c r="F179" s="159">
        <f t="shared" si="70"/>
        <v>0</v>
      </c>
      <c r="G179" s="159">
        <f t="shared" si="70"/>
        <v>0</v>
      </c>
      <c r="H179" s="159">
        <f t="shared" si="70"/>
        <v>0</v>
      </c>
      <c r="I179" s="159">
        <f t="shared" si="70"/>
        <v>0</v>
      </c>
      <c r="J179" s="159">
        <f t="shared" si="70"/>
        <v>0</v>
      </c>
      <c r="K179" s="159">
        <f t="shared" si="70"/>
        <v>0</v>
      </c>
      <c r="L179" s="159">
        <f t="shared" si="70"/>
        <v>0</v>
      </c>
      <c r="M179" s="159">
        <f t="shared" si="70"/>
        <v>0</v>
      </c>
      <c r="N179" s="159">
        <f t="shared" si="70"/>
        <v>0</v>
      </c>
      <c r="O179" s="152">
        <f>SUM(C179:N179)</f>
        <v>0</v>
      </c>
    </row>
    <row r="180" spans="1:15" ht="20.100000000000001" customHeight="1" x14ac:dyDescent="0.25">
      <c r="B180" s="9" t="s">
        <v>35</v>
      </c>
      <c r="C180" s="151">
        <f>IFERROR(C$179*C172,0)</f>
        <v>0</v>
      </c>
      <c r="D180" s="151">
        <f t="shared" ref="D180:N180" si="71">IFERROR(D$179*D172,0)</f>
        <v>0</v>
      </c>
      <c r="E180" s="151">
        <f t="shared" si="71"/>
        <v>0</v>
      </c>
      <c r="F180" s="151">
        <f t="shared" si="71"/>
        <v>0</v>
      </c>
      <c r="G180" s="151">
        <f t="shared" si="71"/>
        <v>0</v>
      </c>
      <c r="H180" s="151">
        <f t="shared" si="71"/>
        <v>0</v>
      </c>
      <c r="I180" s="151">
        <f t="shared" si="71"/>
        <v>0</v>
      </c>
      <c r="J180" s="151">
        <f t="shared" si="71"/>
        <v>0</v>
      </c>
      <c r="K180" s="151">
        <f t="shared" si="71"/>
        <v>0</v>
      </c>
      <c r="L180" s="151">
        <f t="shared" si="71"/>
        <v>0</v>
      </c>
      <c r="M180" s="151">
        <f t="shared" si="71"/>
        <v>0</v>
      </c>
      <c r="N180" s="151">
        <f t="shared" si="71"/>
        <v>0</v>
      </c>
      <c r="O180" s="152">
        <f t="shared" ref="O180:O185" si="72">SUM(C180:N180)</f>
        <v>0</v>
      </c>
    </row>
    <row r="181" spans="1:15" ht="20.100000000000001" customHeight="1" x14ac:dyDescent="0.25">
      <c r="B181" s="9" t="s">
        <v>36</v>
      </c>
      <c r="C181" s="151">
        <f t="shared" ref="C181:N185" si="73">IFERROR(C$179*C173,0)</f>
        <v>0</v>
      </c>
      <c r="D181" s="151">
        <f t="shared" si="73"/>
        <v>0</v>
      </c>
      <c r="E181" s="151">
        <f t="shared" si="73"/>
        <v>0</v>
      </c>
      <c r="F181" s="151">
        <f t="shared" si="73"/>
        <v>0</v>
      </c>
      <c r="G181" s="151">
        <f t="shared" si="73"/>
        <v>0</v>
      </c>
      <c r="H181" s="151">
        <f t="shared" si="73"/>
        <v>0</v>
      </c>
      <c r="I181" s="151">
        <f t="shared" si="73"/>
        <v>0</v>
      </c>
      <c r="J181" s="151">
        <f t="shared" si="73"/>
        <v>0</v>
      </c>
      <c r="K181" s="151">
        <f t="shared" si="73"/>
        <v>0</v>
      </c>
      <c r="L181" s="151">
        <f t="shared" si="73"/>
        <v>0</v>
      </c>
      <c r="M181" s="151">
        <f t="shared" si="73"/>
        <v>0</v>
      </c>
      <c r="N181" s="151">
        <f t="shared" si="73"/>
        <v>0</v>
      </c>
      <c r="O181" s="152">
        <f t="shared" si="72"/>
        <v>0</v>
      </c>
    </row>
    <row r="182" spans="1:15" ht="20.100000000000001" customHeight="1" x14ac:dyDescent="0.25">
      <c r="B182" s="9" t="s">
        <v>39</v>
      </c>
      <c r="C182" s="151">
        <f t="shared" si="73"/>
        <v>0</v>
      </c>
      <c r="D182" s="151">
        <f t="shared" si="73"/>
        <v>0</v>
      </c>
      <c r="E182" s="151">
        <f t="shared" si="73"/>
        <v>0</v>
      </c>
      <c r="F182" s="151">
        <f t="shared" si="73"/>
        <v>0</v>
      </c>
      <c r="G182" s="151">
        <f t="shared" si="73"/>
        <v>0</v>
      </c>
      <c r="H182" s="151">
        <f t="shared" si="73"/>
        <v>0</v>
      </c>
      <c r="I182" s="151">
        <f t="shared" si="73"/>
        <v>0</v>
      </c>
      <c r="J182" s="151">
        <f t="shared" si="73"/>
        <v>0</v>
      </c>
      <c r="K182" s="151">
        <f t="shared" si="73"/>
        <v>0</v>
      </c>
      <c r="L182" s="151">
        <f t="shared" si="73"/>
        <v>0</v>
      </c>
      <c r="M182" s="151">
        <f t="shared" si="73"/>
        <v>0</v>
      </c>
      <c r="N182" s="151">
        <f t="shared" si="73"/>
        <v>0</v>
      </c>
      <c r="O182" s="152">
        <f t="shared" si="72"/>
        <v>0</v>
      </c>
    </row>
    <row r="183" spans="1:15" ht="20.100000000000001" customHeight="1" x14ac:dyDescent="0.25">
      <c r="B183" s="9" t="s">
        <v>129</v>
      </c>
      <c r="C183" s="151">
        <f t="shared" si="73"/>
        <v>0</v>
      </c>
      <c r="D183" s="151">
        <f t="shared" si="73"/>
        <v>0</v>
      </c>
      <c r="E183" s="151">
        <f t="shared" si="73"/>
        <v>0</v>
      </c>
      <c r="F183" s="151">
        <f t="shared" si="73"/>
        <v>0</v>
      </c>
      <c r="G183" s="151">
        <f t="shared" si="73"/>
        <v>0</v>
      </c>
      <c r="H183" s="151">
        <f t="shared" si="73"/>
        <v>0</v>
      </c>
      <c r="I183" s="151">
        <f t="shared" si="73"/>
        <v>0</v>
      </c>
      <c r="J183" s="151">
        <f t="shared" si="73"/>
        <v>0</v>
      </c>
      <c r="K183" s="151">
        <f t="shared" si="73"/>
        <v>0</v>
      </c>
      <c r="L183" s="151">
        <f t="shared" si="73"/>
        <v>0</v>
      </c>
      <c r="M183" s="151">
        <f t="shared" si="73"/>
        <v>0</v>
      </c>
      <c r="N183" s="151">
        <f t="shared" si="73"/>
        <v>0</v>
      </c>
      <c r="O183" s="152">
        <f t="shared" si="72"/>
        <v>0</v>
      </c>
    </row>
    <row r="184" spans="1:15" ht="20.100000000000001" customHeight="1" x14ac:dyDescent="0.25">
      <c r="B184" s="9" t="s">
        <v>42</v>
      </c>
      <c r="C184" s="151">
        <f t="shared" si="73"/>
        <v>0</v>
      </c>
      <c r="D184" s="151">
        <f t="shared" si="73"/>
        <v>0</v>
      </c>
      <c r="E184" s="151">
        <f t="shared" si="73"/>
        <v>0</v>
      </c>
      <c r="F184" s="151">
        <f t="shared" si="73"/>
        <v>0</v>
      </c>
      <c r="G184" s="151">
        <f t="shared" si="73"/>
        <v>0</v>
      </c>
      <c r="H184" s="151">
        <f t="shared" si="73"/>
        <v>0</v>
      </c>
      <c r="I184" s="151">
        <f t="shared" si="73"/>
        <v>0</v>
      </c>
      <c r="J184" s="151">
        <f t="shared" si="73"/>
        <v>0</v>
      </c>
      <c r="K184" s="151">
        <f t="shared" si="73"/>
        <v>0</v>
      </c>
      <c r="L184" s="151">
        <f t="shared" si="73"/>
        <v>0</v>
      </c>
      <c r="M184" s="151">
        <f t="shared" si="73"/>
        <v>0</v>
      </c>
      <c r="N184" s="151">
        <f t="shared" si="73"/>
        <v>0</v>
      </c>
      <c r="O184" s="152">
        <f t="shared" si="72"/>
        <v>0</v>
      </c>
    </row>
    <row r="185" spans="1:15" ht="20.100000000000001" customHeight="1" x14ac:dyDescent="0.25">
      <c r="B185" s="9" t="s">
        <v>134</v>
      </c>
      <c r="C185" s="151">
        <f t="shared" si="73"/>
        <v>0</v>
      </c>
      <c r="D185" s="151">
        <f t="shared" si="73"/>
        <v>0</v>
      </c>
      <c r="E185" s="151">
        <f t="shared" si="73"/>
        <v>0</v>
      </c>
      <c r="F185" s="151">
        <f t="shared" si="73"/>
        <v>0</v>
      </c>
      <c r="G185" s="151">
        <f t="shared" si="73"/>
        <v>0</v>
      </c>
      <c r="H185" s="151">
        <f t="shared" si="73"/>
        <v>0</v>
      </c>
      <c r="I185" s="151">
        <f t="shared" si="73"/>
        <v>0</v>
      </c>
      <c r="J185" s="151">
        <f t="shared" si="73"/>
        <v>0</v>
      </c>
      <c r="K185" s="151">
        <f t="shared" si="73"/>
        <v>0</v>
      </c>
      <c r="L185" s="151">
        <f t="shared" si="73"/>
        <v>0</v>
      </c>
      <c r="M185" s="151">
        <f t="shared" si="73"/>
        <v>0</v>
      </c>
      <c r="N185" s="151">
        <f t="shared" si="73"/>
        <v>0</v>
      </c>
      <c r="O185" s="152">
        <f t="shared" si="72"/>
        <v>0</v>
      </c>
    </row>
    <row r="186" spans="1:15" ht="20.100000000000001" customHeight="1" x14ac:dyDescent="0.25">
      <c r="B186" s="168" t="s">
        <v>99</v>
      </c>
      <c r="C186" s="152">
        <f>SUM(C180:C185)</f>
        <v>0</v>
      </c>
      <c r="D186" s="152">
        <f t="shared" ref="D186:N186" si="74">SUM(D180:D185)</f>
        <v>0</v>
      </c>
      <c r="E186" s="152">
        <f t="shared" si="74"/>
        <v>0</v>
      </c>
      <c r="F186" s="152">
        <f t="shared" si="74"/>
        <v>0</v>
      </c>
      <c r="G186" s="152">
        <f t="shared" si="74"/>
        <v>0</v>
      </c>
      <c r="H186" s="152">
        <f t="shared" si="74"/>
        <v>0</v>
      </c>
      <c r="I186" s="152">
        <f t="shared" si="74"/>
        <v>0</v>
      </c>
      <c r="J186" s="152">
        <f t="shared" si="74"/>
        <v>0</v>
      </c>
      <c r="K186" s="152">
        <f t="shared" si="74"/>
        <v>0</v>
      </c>
      <c r="L186" s="152">
        <f t="shared" si="74"/>
        <v>0</v>
      </c>
      <c r="M186" s="152">
        <f t="shared" si="74"/>
        <v>0</v>
      </c>
      <c r="N186" s="152">
        <f t="shared" si="74"/>
        <v>0</v>
      </c>
      <c r="O186" s="152">
        <f>SUM(C186:N186)</f>
        <v>0</v>
      </c>
    </row>
    <row r="188" spans="1:15" ht="20.100000000000001" customHeight="1" x14ac:dyDescent="0.25">
      <c r="B188" s="162" t="s">
        <v>137</v>
      </c>
    </row>
    <row r="190" spans="1:15" ht="20.100000000000001" customHeight="1" x14ac:dyDescent="0.25">
      <c r="B190" s="169" t="s">
        <v>131</v>
      </c>
      <c r="C190" s="155">
        <f>C41</f>
        <v>0</v>
      </c>
      <c r="D190" s="155">
        <f t="shared" ref="D190:N190" si="75">D41</f>
        <v>0</v>
      </c>
      <c r="E190" s="155">
        <f t="shared" si="75"/>
        <v>0</v>
      </c>
      <c r="F190" s="155">
        <f t="shared" si="75"/>
        <v>0</v>
      </c>
      <c r="G190" s="155">
        <f t="shared" si="75"/>
        <v>0</v>
      </c>
      <c r="H190" s="155">
        <f t="shared" si="75"/>
        <v>0</v>
      </c>
      <c r="I190" s="155">
        <f t="shared" si="75"/>
        <v>0</v>
      </c>
      <c r="J190" s="155">
        <f t="shared" si="75"/>
        <v>0</v>
      </c>
      <c r="K190" s="155">
        <f t="shared" si="75"/>
        <v>0</v>
      </c>
      <c r="L190" s="155">
        <f t="shared" si="75"/>
        <v>0</v>
      </c>
      <c r="M190" s="155">
        <f t="shared" si="75"/>
        <v>0</v>
      </c>
      <c r="N190" s="155">
        <f t="shared" si="75"/>
        <v>0</v>
      </c>
    </row>
    <row r="191" spans="1:15" ht="20.100000000000001" customHeight="1" x14ac:dyDescent="0.25">
      <c r="B191" s="19" t="s">
        <v>132</v>
      </c>
      <c r="C191" s="154">
        <v>0.125</v>
      </c>
    </row>
    <row r="192" spans="1:15" ht="20.100000000000001" customHeight="1" x14ac:dyDescent="0.25">
      <c r="B192" s="169" t="s">
        <v>133</v>
      </c>
      <c r="C192" s="156">
        <f>C190-5%</f>
        <v>-0.05</v>
      </c>
      <c r="D192" s="156">
        <f t="shared" ref="D192:N192" si="76">D190-5%</f>
        <v>-0.05</v>
      </c>
      <c r="E192" s="156">
        <f t="shared" si="76"/>
        <v>-0.05</v>
      </c>
      <c r="F192" s="156">
        <f t="shared" si="76"/>
        <v>-0.05</v>
      </c>
      <c r="G192" s="156">
        <f t="shared" si="76"/>
        <v>-0.05</v>
      </c>
      <c r="H192" s="156">
        <f t="shared" si="76"/>
        <v>-0.05</v>
      </c>
      <c r="I192" s="156">
        <f t="shared" si="76"/>
        <v>-0.05</v>
      </c>
      <c r="J192" s="156">
        <f t="shared" si="76"/>
        <v>-0.05</v>
      </c>
      <c r="K192" s="156">
        <f t="shared" si="76"/>
        <v>-0.05</v>
      </c>
      <c r="L192" s="156">
        <f t="shared" si="76"/>
        <v>-0.05</v>
      </c>
      <c r="M192" s="156">
        <f t="shared" si="76"/>
        <v>-0.05</v>
      </c>
      <c r="N192" s="156">
        <f t="shared" si="76"/>
        <v>-0.05</v>
      </c>
    </row>
    <row r="194" spans="1:15" ht="20.100000000000001" customHeight="1" x14ac:dyDescent="0.25">
      <c r="B194" s="149" t="s">
        <v>82</v>
      </c>
      <c r="C194" s="149" t="s">
        <v>83</v>
      </c>
      <c r="D194" s="149" t="s">
        <v>84</v>
      </c>
      <c r="E194" s="149" t="s">
        <v>85</v>
      </c>
      <c r="F194" s="149" t="s">
        <v>86</v>
      </c>
      <c r="G194" s="149" t="s">
        <v>87</v>
      </c>
      <c r="H194" s="149" t="s">
        <v>88</v>
      </c>
      <c r="I194" s="149" t="s">
        <v>89</v>
      </c>
      <c r="J194" s="149" t="s">
        <v>90</v>
      </c>
      <c r="K194" s="149" t="s">
        <v>91</v>
      </c>
      <c r="L194" s="149" t="s">
        <v>92</v>
      </c>
      <c r="M194" s="149" t="s">
        <v>93</v>
      </c>
      <c r="N194" s="149" t="s">
        <v>94</v>
      </c>
    </row>
    <row r="195" spans="1:15" ht="20.100000000000001" customHeight="1" x14ac:dyDescent="0.25">
      <c r="A195" s="157">
        <v>6.54E-2</v>
      </c>
      <c r="B195" s="9" t="s">
        <v>35</v>
      </c>
      <c r="C195" s="158" t="b">
        <f>IF(C$190&gt;$C$191,C$192*$A195)</f>
        <v>0</v>
      </c>
      <c r="D195" s="158" t="b">
        <f t="shared" ref="D195:N195" si="77">IF(D$190&gt;$C$191,D$192*$A195)</f>
        <v>0</v>
      </c>
      <c r="E195" s="158" t="b">
        <f t="shared" si="77"/>
        <v>0</v>
      </c>
      <c r="F195" s="158" t="b">
        <f t="shared" si="77"/>
        <v>0</v>
      </c>
      <c r="G195" s="158" t="b">
        <f t="shared" si="77"/>
        <v>0</v>
      </c>
      <c r="H195" s="158" t="b">
        <f t="shared" si="77"/>
        <v>0</v>
      </c>
      <c r="I195" s="158" t="b">
        <f t="shared" si="77"/>
        <v>0</v>
      </c>
      <c r="J195" s="158" t="b">
        <f t="shared" si="77"/>
        <v>0</v>
      </c>
      <c r="K195" s="158" t="b">
        <f t="shared" si="77"/>
        <v>0</v>
      </c>
      <c r="L195" s="158" t="b">
        <f t="shared" si="77"/>
        <v>0</v>
      </c>
      <c r="M195" s="158" t="b">
        <f t="shared" si="77"/>
        <v>0</v>
      </c>
      <c r="N195" s="158" t="b">
        <f t="shared" si="77"/>
        <v>0</v>
      </c>
    </row>
    <row r="196" spans="1:15" ht="20.100000000000001" customHeight="1" x14ac:dyDescent="0.25">
      <c r="A196" s="157">
        <v>0.30130000000000001</v>
      </c>
      <c r="B196" s="9" t="s">
        <v>36</v>
      </c>
      <c r="C196" s="158" t="b">
        <f t="shared" ref="C196:N200" si="78">IF(C$190&gt;$C$191,C$192*$A196)</f>
        <v>0</v>
      </c>
      <c r="D196" s="158" t="b">
        <f t="shared" si="78"/>
        <v>0</v>
      </c>
      <c r="E196" s="158" t="b">
        <f t="shared" si="78"/>
        <v>0</v>
      </c>
      <c r="F196" s="158" t="b">
        <f t="shared" si="78"/>
        <v>0</v>
      </c>
      <c r="G196" s="158" t="b">
        <f t="shared" si="78"/>
        <v>0</v>
      </c>
      <c r="H196" s="158" t="b">
        <f t="shared" si="78"/>
        <v>0</v>
      </c>
      <c r="I196" s="158" t="b">
        <f t="shared" si="78"/>
        <v>0</v>
      </c>
      <c r="J196" s="158" t="b">
        <f t="shared" si="78"/>
        <v>0</v>
      </c>
      <c r="K196" s="158" t="b">
        <f t="shared" si="78"/>
        <v>0</v>
      </c>
      <c r="L196" s="158" t="b">
        <f t="shared" si="78"/>
        <v>0</v>
      </c>
      <c r="M196" s="158" t="b">
        <f t="shared" si="78"/>
        <v>0</v>
      </c>
      <c r="N196" s="158" t="b">
        <f t="shared" si="78"/>
        <v>0</v>
      </c>
    </row>
    <row r="197" spans="1:15" ht="20.100000000000001" customHeight="1" x14ac:dyDescent="0.25">
      <c r="A197" s="157">
        <v>0</v>
      </c>
      <c r="B197" s="9" t="s">
        <v>39</v>
      </c>
      <c r="C197" s="158">
        <f>$A$197</f>
        <v>0</v>
      </c>
      <c r="D197" s="158">
        <f t="shared" ref="D197:N197" si="79">$A$197</f>
        <v>0</v>
      </c>
      <c r="E197" s="158">
        <f t="shared" si="79"/>
        <v>0</v>
      </c>
      <c r="F197" s="158">
        <f t="shared" si="79"/>
        <v>0</v>
      </c>
      <c r="G197" s="158">
        <f t="shared" si="79"/>
        <v>0</v>
      </c>
      <c r="H197" s="158">
        <f t="shared" si="79"/>
        <v>0</v>
      </c>
      <c r="I197" s="158">
        <f t="shared" si="79"/>
        <v>0</v>
      </c>
      <c r="J197" s="158">
        <f t="shared" si="79"/>
        <v>0</v>
      </c>
      <c r="K197" s="158">
        <f t="shared" si="79"/>
        <v>0</v>
      </c>
      <c r="L197" s="158">
        <f t="shared" si="79"/>
        <v>0</v>
      </c>
      <c r="M197" s="158">
        <f t="shared" si="79"/>
        <v>0</v>
      </c>
      <c r="N197" s="158">
        <f t="shared" si="79"/>
        <v>0</v>
      </c>
    </row>
    <row r="198" spans="1:15" ht="20.100000000000001" customHeight="1" x14ac:dyDescent="0.25">
      <c r="A198" s="157">
        <v>0</v>
      </c>
      <c r="B198" s="9" t="s">
        <v>129</v>
      </c>
      <c r="C198" s="158" t="b">
        <f t="shared" si="78"/>
        <v>0</v>
      </c>
      <c r="D198" s="158" t="b">
        <f t="shared" si="78"/>
        <v>0</v>
      </c>
      <c r="E198" s="158" t="b">
        <f t="shared" si="78"/>
        <v>0</v>
      </c>
      <c r="F198" s="158" t="b">
        <f t="shared" si="78"/>
        <v>0</v>
      </c>
      <c r="G198" s="158" t="b">
        <f t="shared" si="78"/>
        <v>0</v>
      </c>
      <c r="H198" s="158" t="b">
        <f t="shared" si="78"/>
        <v>0</v>
      </c>
      <c r="I198" s="158" t="b">
        <f t="shared" si="78"/>
        <v>0</v>
      </c>
      <c r="J198" s="158" t="b">
        <f t="shared" si="78"/>
        <v>0</v>
      </c>
      <c r="K198" s="158" t="b">
        <f t="shared" si="78"/>
        <v>0</v>
      </c>
      <c r="L198" s="158" t="b">
        <f t="shared" si="78"/>
        <v>0</v>
      </c>
      <c r="M198" s="158" t="b">
        <f t="shared" si="78"/>
        <v>0</v>
      </c>
      <c r="N198" s="158" t="b">
        <f t="shared" si="78"/>
        <v>0</v>
      </c>
    </row>
    <row r="199" spans="1:15" ht="20.100000000000001" customHeight="1" x14ac:dyDescent="0.25">
      <c r="A199" s="157">
        <v>0.32</v>
      </c>
      <c r="B199" s="9" t="s">
        <v>42</v>
      </c>
      <c r="C199" s="158" t="b">
        <f t="shared" si="78"/>
        <v>0</v>
      </c>
      <c r="D199" s="158" t="b">
        <f t="shared" si="78"/>
        <v>0</v>
      </c>
      <c r="E199" s="158" t="b">
        <f t="shared" si="78"/>
        <v>0</v>
      </c>
      <c r="F199" s="158" t="b">
        <f t="shared" si="78"/>
        <v>0</v>
      </c>
      <c r="G199" s="158" t="b">
        <f t="shared" si="78"/>
        <v>0</v>
      </c>
      <c r="H199" s="158" t="b">
        <f t="shared" si="78"/>
        <v>0</v>
      </c>
      <c r="I199" s="158" t="b">
        <f t="shared" si="78"/>
        <v>0</v>
      </c>
      <c r="J199" s="158" t="b">
        <f t="shared" si="78"/>
        <v>0</v>
      </c>
      <c r="K199" s="158" t="b">
        <f t="shared" si="78"/>
        <v>0</v>
      </c>
      <c r="L199" s="158" t="b">
        <f t="shared" si="78"/>
        <v>0</v>
      </c>
      <c r="M199" s="158" t="b">
        <f t="shared" si="78"/>
        <v>0</v>
      </c>
      <c r="N199" s="158" t="b">
        <f t="shared" si="78"/>
        <v>0</v>
      </c>
    </row>
    <row r="200" spans="1:15" ht="20.100000000000001" customHeight="1" x14ac:dyDescent="0.25">
      <c r="A200" s="157">
        <v>0.31330000000000002</v>
      </c>
      <c r="B200" s="9" t="s">
        <v>134</v>
      </c>
      <c r="C200" s="158" t="b">
        <f t="shared" si="78"/>
        <v>0</v>
      </c>
      <c r="D200" s="158" t="b">
        <f t="shared" si="78"/>
        <v>0</v>
      </c>
      <c r="E200" s="158" t="b">
        <f t="shared" si="78"/>
        <v>0</v>
      </c>
      <c r="F200" s="158" t="b">
        <f t="shared" si="78"/>
        <v>0</v>
      </c>
      <c r="G200" s="158" t="b">
        <f t="shared" si="78"/>
        <v>0</v>
      </c>
      <c r="H200" s="158" t="b">
        <f t="shared" si="78"/>
        <v>0</v>
      </c>
      <c r="I200" s="158" t="b">
        <f t="shared" si="78"/>
        <v>0</v>
      </c>
      <c r="J200" s="158" t="b">
        <f t="shared" si="78"/>
        <v>0</v>
      </c>
      <c r="K200" s="158" t="b">
        <f t="shared" si="78"/>
        <v>0</v>
      </c>
      <c r="L200" s="158" t="b">
        <f t="shared" si="78"/>
        <v>0</v>
      </c>
      <c r="M200" s="158" t="b">
        <f t="shared" si="78"/>
        <v>0</v>
      </c>
      <c r="N200" s="158" t="b">
        <f t="shared" si="78"/>
        <v>0</v>
      </c>
    </row>
    <row r="202" spans="1:15" ht="20.100000000000001" customHeight="1" x14ac:dyDescent="0.25">
      <c r="B202" s="169" t="s">
        <v>135</v>
      </c>
      <c r="C202" s="159">
        <f>C38</f>
        <v>0</v>
      </c>
      <c r="D202" s="159">
        <f t="shared" ref="D202:N202" si="80">D38</f>
        <v>0</v>
      </c>
      <c r="E202" s="159">
        <f t="shared" si="80"/>
        <v>0</v>
      </c>
      <c r="F202" s="159">
        <f t="shared" si="80"/>
        <v>0</v>
      </c>
      <c r="G202" s="159">
        <f t="shared" si="80"/>
        <v>0</v>
      </c>
      <c r="H202" s="159">
        <f t="shared" si="80"/>
        <v>0</v>
      </c>
      <c r="I202" s="159">
        <f t="shared" si="80"/>
        <v>0</v>
      </c>
      <c r="J202" s="159">
        <f t="shared" si="80"/>
        <v>0</v>
      </c>
      <c r="K202" s="159">
        <f t="shared" si="80"/>
        <v>0</v>
      </c>
      <c r="L202" s="159">
        <f t="shared" si="80"/>
        <v>0</v>
      </c>
      <c r="M202" s="159">
        <f t="shared" si="80"/>
        <v>0</v>
      </c>
      <c r="N202" s="159">
        <f t="shared" si="80"/>
        <v>0</v>
      </c>
      <c r="O202" s="152">
        <f>SUM(C202:N202)</f>
        <v>0</v>
      </c>
    </row>
    <row r="203" spans="1:15" ht="20.100000000000001" customHeight="1" x14ac:dyDescent="0.25">
      <c r="B203" s="9" t="s">
        <v>35</v>
      </c>
      <c r="C203" s="151">
        <f>IFERROR(C$202*C195,0)</f>
        <v>0</v>
      </c>
      <c r="D203" s="151">
        <f t="shared" ref="D203:N203" si="81">IFERROR(D$202*D195,0)</f>
        <v>0</v>
      </c>
      <c r="E203" s="151">
        <f t="shared" si="81"/>
        <v>0</v>
      </c>
      <c r="F203" s="151">
        <f t="shared" si="81"/>
        <v>0</v>
      </c>
      <c r="G203" s="151">
        <f t="shared" si="81"/>
        <v>0</v>
      </c>
      <c r="H203" s="151">
        <f t="shared" si="81"/>
        <v>0</v>
      </c>
      <c r="I203" s="151">
        <f t="shared" si="81"/>
        <v>0</v>
      </c>
      <c r="J203" s="151">
        <f t="shared" si="81"/>
        <v>0</v>
      </c>
      <c r="K203" s="151">
        <f t="shared" si="81"/>
        <v>0</v>
      </c>
      <c r="L203" s="151">
        <f t="shared" si="81"/>
        <v>0</v>
      </c>
      <c r="M203" s="151">
        <f t="shared" si="81"/>
        <v>0</v>
      </c>
      <c r="N203" s="151">
        <f t="shared" si="81"/>
        <v>0</v>
      </c>
      <c r="O203" s="152">
        <f t="shared" ref="O203:O208" si="82">SUM(C203:N203)</f>
        <v>0</v>
      </c>
    </row>
    <row r="204" spans="1:15" ht="20.100000000000001" customHeight="1" x14ac:dyDescent="0.25">
      <c r="B204" s="9" t="s">
        <v>36</v>
      </c>
      <c r="C204" s="151">
        <f t="shared" ref="C204:N208" si="83">IFERROR(C$202*C196,0)</f>
        <v>0</v>
      </c>
      <c r="D204" s="151">
        <f t="shared" si="83"/>
        <v>0</v>
      </c>
      <c r="E204" s="151">
        <f t="shared" si="83"/>
        <v>0</v>
      </c>
      <c r="F204" s="151">
        <f t="shared" si="83"/>
        <v>0</v>
      </c>
      <c r="G204" s="151">
        <f t="shared" si="83"/>
        <v>0</v>
      </c>
      <c r="H204" s="151">
        <f t="shared" si="83"/>
        <v>0</v>
      </c>
      <c r="I204" s="151">
        <f t="shared" si="83"/>
        <v>0</v>
      </c>
      <c r="J204" s="151">
        <f t="shared" si="83"/>
        <v>0</v>
      </c>
      <c r="K204" s="151">
        <f t="shared" si="83"/>
        <v>0</v>
      </c>
      <c r="L204" s="151">
        <f t="shared" si="83"/>
        <v>0</v>
      </c>
      <c r="M204" s="151">
        <f t="shared" si="83"/>
        <v>0</v>
      </c>
      <c r="N204" s="151">
        <f t="shared" si="83"/>
        <v>0</v>
      </c>
      <c r="O204" s="152">
        <f t="shared" si="82"/>
        <v>0</v>
      </c>
    </row>
    <row r="205" spans="1:15" ht="20.100000000000001" customHeight="1" x14ac:dyDescent="0.25">
      <c r="B205" s="9" t="s">
        <v>39</v>
      </c>
      <c r="C205" s="151">
        <f t="shared" si="83"/>
        <v>0</v>
      </c>
      <c r="D205" s="151">
        <f t="shared" si="83"/>
        <v>0</v>
      </c>
      <c r="E205" s="151">
        <f t="shared" si="83"/>
        <v>0</v>
      </c>
      <c r="F205" s="151">
        <f t="shared" si="83"/>
        <v>0</v>
      </c>
      <c r="G205" s="151">
        <f t="shared" si="83"/>
        <v>0</v>
      </c>
      <c r="H205" s="151">
        <f t="shared" si="83"/>
        <v>0</v>
      </c>
      <c r="I205" s="151">
        <f t="shared" si="83"/>
        <v>0</v>
      </c>
      <c r="J205" s="151">
        <f t="shared" si="83"/>
        <v>0</v>
      </c>
      <c r="K205" s="151">
        <f t="shared" si="83"/>
        <v>0</v>
      </c>
      <c r="L205" s="151">
        <f t="shared" si="83"/>
        <v>0</v>
      </c>
      <c r="M205" s="151">
        <f t="shared" si="83"/>
        <v>0</v>
      </c>
      <c r="N205" s="151">
        <f t="shared" si="83"/>
        <v>0</v>
      </c>
      <c r="O205" s="152">
        <f t="shared" si="82"/>
        <v>0</v>
      </c>
    </row>
    <row r="206" spans="1:15" ht="20.100000000000001" customHeight="1" x14ac:dyDescent="0.25">
      <c r="B206" s="9" t="s">
        <v>129</v>
      </c>
      <c r="C206" s="151">
        <f t="shared" si="83"/>
        <v>0</v>
      </c>
      <c r="D206" s="151">
        <f t="shared" si="83"/>
        <v>0</v>
      </c>
      <c r="E206" s="151">
        <f t="shared" si="83"/>
        <v>0</v>
      </c>
      <c r="F206" s="151">
        <f t="shared" si="83"/>
        <v>0</v>
      </c>
      <c r="G206" s="151">
        <f t="shared" si="83"/>
        <v>0</v>
      </c>
      <c r="H206" s="151">
        <f t="shared" si="83"/>
        <v>0</v>
      </c>
      <c r="I206" s="151">
        <f t="shared" si="83"/>
        <v>0</v>
      </c>
      <c r="J206" s="151">
        <f t="shared" si="83"/>
        <v>0</v>
      </c>
      <c r="K206" s="151">
        <f t="shared" si="83"/>
        <v>0</v>
      </c>
      <c r="L206" s="151">
        <f t="shared" si="83"/>
        <v>0</v>
      </c>
      <c r="M206" s="151">
        <f t="shared" si="83"/>
        <v>0</v>
      </c>
      <c r="N206" s="151">
        <f t="shared" si="83"/>
        <v>0</v>
      </c>
      <c r="O206" s="152">
        <f t="shared" si="82"/>
        <v>0</v>
      </c>
    </row>
    <row r="207" spans="1:15" ht="20.100000000000001" customHeight="1" x14ac:dyDescent="0.25">
      <c r="B207" s="9" t="s">
        <v>42</v>
      </c>
      <c r="C207" s="151">
        <f t="shared" si="83"/>
        <v>0</v>
      </c>
      <c r="D207" s="151">
        <f t="shared" si="83"/>
        <v>0</v>
      </c>
      <c r="E207" s="151">
        <f t="shared" si="83"/>
        <v>0</v>
      </c>
      <c r="F207" s="151">
        <f t="shared" si="83"/>
        <v>0</v>
      </c>
      <c r="G207" s="151">
        <f t="shared" si="83"/>
        <v>0</v>
      </c>
      <c r="H207" s="151">
        <f t="shared" si="83"/>
        <v>0</v>
      </c>
      <c r="I207" s="151">
        <f t="shared" si="83"/>
        <v>0</v>
      </c>
      <c r="J207" s="151">
        <f t="shared" si="83"/>
        <v>0</v>
      </c>
      <c r="K207" s="151">
        <f t="shared" si="83"/>
        <v>0</v>
      </c>
      <c r="L207" s="151">
        <f t="shared" si="83"/>
        <v>0</v>
      </c>
      <c r="M207" s="151">
        <f t="shared" si="83"/>
        <v>0</v>
      </c>
      <c r="N207" s="151">
        <f t="shared" si="83"/>
        <v>0</v>
      </c>
      <c r="O207" s="152">
        <f t="shared" si="82"/>
        <v>0</v>
      </c>
    </row>
    <row r="208" spans="1:15" ht="20.100000000000001" customHeight="1" x14ac:dyDescent="0.25">
      <c r="B208" s="9" t="s">
        <v>134</v>
      </c>
      <c r="C208" s="151">
        <f t="shared" si="83"/>
        <v>0</v>
      </c>
      <c r="D208" s="151">
        <f t="shared" si="83"/>
        <v>0</v>
      </c>
      <c r="E208" s="151">
        <f t="shared" si="83"/>
        <v>0</v>
      </c>
      <c r="F208" s="151">
        <f t="shared" si="83"/>
        <v>0</v>
      </c>
      <c r="G208" s="151">
        <f t="shared" si="83"/>
        <v>0</v>
      </c>
      <c r="H208" s="151">
        <f t="shared" si="83"/>
        <v>0</v>
      </c>
      <c r="I208" s="151">
        <f t="shared" si="83"/>
        <v>0</v>
      </c>
      <c r="J208" s="151">
        <f t="shared" si="83"/>
        <v>0</v>
      </c>
      <c r="K208" s="151">
        <f t="shared" si="83"/>
        <v>0</v>
      </c>
      <c r="L208" s="151">
        <f t="shared" si="83"/>
        <v>0</v>
      </c>
      <c r="M208" s="151">
        <f t="shared" si="83"/>
        <v>0</v>
      </c>
      <c r="N208" s="151">
        <f t="shared" si="83"/>
        <v>0</v>
      </c>
      <c r="O208" s="152">
        <f t="shared" si="82"/>
        <v>0</v>
      </c>
    </row>
    <row r="209" spans="2:15" ht="20.100000000000001" customHeight="1" x14ac:dyDescent="0.25">
      <c r="B209" s="168" t="s">
        <v>99</v>
      </c>
      <c r="C209" s="152">
        <f>SUM(C203:C208)</f>
        <v>0</v>
      </c>
      <c r="D209" s="152">
        <f t="shared" ref="D209:N209" si="84">SUM(D203:D208)</f>
        <v>0</v>
      </c>
      <c r="E209" s="152">
        <f t="shared" si="84"/>
        <v>0</v>
      </c>
      <c r="F209" s="152">
        <f t="shared" si="84"/>
        <v>0</v>
      </c>
      <c r="G209" s="152">
        <f t="shared" si="84"/>
        <v>0</v>
      </c>
      <c r="H209" s="152">
        <f t="shared" si="84"/>
        <v>0</v>
      </c>
      <c r="I209" s="152">
        <f t="shared" si="84"/>
        <v>0</v>
      </c>
      <c r="J209" s="152">
        <f t="shared" si="84"/>
        <v>0</v>
      </c>
      <c r="K209" s="152">
        <f t="shared" si="84"/>
        <v>0</v>
      </c>
      <c r="L209" s="152">
        <f t="shared" si="84"/>
        <v>0</v>
      </c>
      <c r="M209" s="152">
        <f t="shared" si="84"/>
        <v>0</v>
      </c>
      <c r="N209" s="152">
        <f t="shared" si="84"/>
        <v>0</v>
      </c>
      <c r="O209" s="152">
        <f>SUM(C209:N209)</f>
        <v>0</v>
      </c>
    </row>
  </sheetData>
  <mergeCells count="2">
    <mergeCell ref="B2:E2"/>
    <mergeCell ref="B153:O15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0">
    <tabColor theme="9"/>
  </sheetPr>
  <dimension ref="A1:AD209"/>
  <sheetViews>
    <sheetView showGridLines="0" topLeftCell="A112" workbookViewId="0">
      <selection activeCell="C140" sqref="C140"/>
    </sheetView>
  </sheetViews>
  <sheetFormatPr defaultColWidth="20.7109375" defaultRowHeight="20.100000000000001" customHeight="1" x14ac:dyDescent="0.25"/>
  <cols>
    <col min="1" max="1" width="11" style="19" customWidth="1"/>
    <col min="2" max="15" width="12.7109375" style="19" customWidth="1"/>
    <col min="16" max="16" width="5.7109375" style="19" customWidth="1"/>
    <col min="17" max="17" width="12.7109375" style="144" customWidth="1"/>
    <col min="18" max="30" width="12.7109375" style="19" customWidth="1"/>
    <col min="31" max="16384" width="20.7109375" style="19"/>
  </cols>
  <sheetData>
    <row r="1" spans="2:30" s="20" customFormat="1" ht="20.100000000000001" customHeight="1" x14ac:dyDescent="0.25">
      <c r="Q1" s="143"/>
    </row>
    <row r="2" spans="2:30" s="22" customFormat="1" ht="20.100000000000001" customHeight="1" x14ac:dyDescent="0.25">
      <c r="B2" s="279" t="s">
        <v>146</v>
      </c>
      <c r="C2" s="279"/>
      <c r="D2" s="279"/>
      <c r="E2" s="279"/>
      <c r="F2" s="279"/>
      <c r="Q2" s="170"/>
    </row>
    <row r="4" spans="2:30" ht="20.100000000000001" customHeight="1" x14ac:dyDescent="0.25">
      <c r="B4" s="112" t="s">
        <v>82</v>
      </c>
      <c r="C4" s="112" t="s">
        <v>83</v>
      </c>
      <c r="D4" s="112" t="s">
        <v>84</v>
      </c>
      <c r="E4" s="112" t="s">
        <v>85</v>
      </c>
      <c r="F4" s="112" t="s">
        <v>86</v>
      </c>
      <c r="G4" s="112" t="s">
        <v>87</v>
      </c>
      <c r="H4" s="112" t="s">
        <v>88</v>
      </c>
      <c r="I4" s="112" t="s">
        <v>89</v>
      </c>
      <c r="J4" s="112" t="s">
        <v>90</v>
      </c>
      <c r="K4" s="112" t="s">
        <v>91</v>
      </c>
      <c r="L4" s="112" t="s">
        <v>92</v>
      </c>
      <c r="M4" s="112" t="s">
        <v>93</v>
      </c>
      <c r="N4" s="112" t="s">
        <v>94</v>
      </c>
      <c r="O4" s="132"/>
    </row>
    <row r="5" spans="2:30" ht="20.100000000000001" customHeight="1" x14ac:dyDescent="0.25">
      <c r="B5" s="19" t="s">
        <v>120</v>
      </c>
      <c r="C5" s="132">
        <f>Simp1!D11</f>
        <v>0</v>
      </c>
      <c r="D5" s="132">
        <f>Simp1!E11</f>
        <v>0</v>
      </c>
      <c r="E5" s="132">
        <f>Simp1!F11</f>
        <v>0</v>
      </c>
      <c r="F5" s="132">
        <f>Simp1!G11</f>
        <v>0</v>
      </c>
      <c r="G5" s="132">
        <f>Simp1!H11</f>
        <v>0</v>
      </c>
      <c r="H5" s="132">
        <f>Simp1!I11</f>
        <v>0</v>
      </c>
      <c r="I5" s="132">
        <f>Simp1!J11</f>
        <v>0</v>
      </c>
      <c r="J5" s="132">
        <f>Simp1!K11</f>
        <v>0</v>
      </c>
      <c r="K5" s="132">
        <f>Simp1!L11</f>
        <v>0</v>
      </c>
      <c r="L5" s="132">
        <f>Simp1!M11</f>
        <v>0</v>
      </c>
      <c r="M5" s="132">
        <f>Simp1!N11</f>
        <v>0</v>
      </c>
      <c r="N5" s="132">
        <f>Simp1!O11</f>
        <v>0</v>
      </c>
      <c r="O5" s="132"/>
    </row>
    <row r="7" spans="2:30" ht="20.100000000000001" customHeight="1" x14ac:dyDescent="0.2">
      <c r="B7" s="120" t="s">
        <v>109</v>
      </c>
    </row>
    <row r="8" spans="2:30" ht="20.100000000000001" customHeight="1" x14ac:dyDescent="0.25">
      <c r="B8" s="112" t="s">
        <v>82</v>
      </c>
      <c r="C8" s="112" t="s">
        <v>83</v>
      </c>
      <c r="D8" s="112" t="s">
        <v>84</v>
      </c>
      <c r="E8" s="112" t="s">
        <v>85</v>
      </c>
      <c r="F8" s="112" t="s">
        <v>86</v>
      </c>
      <c r="G8" s="112" t="s">
        <v>87</v>
      </c>
      <c r="H8" s="112" t="s">
        <v>88</v>
      </c>
      <c r="I8" s="112" t="s">
        <v>89</v>
      </c>
      <c r="J8" s="112" t="s">
        <v>90</v>
      </c>
      <c r="K8" s="112" t="s">
        <v>91</v>
      </c>
      <c r="L8" s="112" t="s">
        <v>92</v>
      </c>
      <c r="M8" s="112" t="s">
        <v>93</v>
      </c>
      <c r="N8" s="112" t="s">
        <v>94</v>
      </c>
      <c r="O8" s="112" t="s">
        <v>95</v>
      </c>
    </row>
    <row r="9" spans="2:30" ht="20.100000000000001" customHeight="1" x14ac:dyDescent="0.25">
      <c r="B9" s="19" t="s">
        <v>80</v>
      </c>
      <c r="C9" s="116">
        <f>Simp4!D5</f>
        <v>0</v>
      </c>
      <c r="D9" s="116">
        <f>Simp4!E5</f>
        <v>0</v>
      </c>
      <c r="E9" s="116">
        <f>Simp4!F5</f>
        <v>0</v>
      </c>
      <c r="F9" s="116">
        <f>Simp4!G5</f>
        <v>0</v>
      </c>
      <c r="G9" s="116">
        <f>Simp4!H5</f>
        <v>0</v>
      </c>
      <c r="H9" s="116">
        <f>Simp4!I5</f>
        <v>0</v>
      </c>
      <c r="I9" s="116">
        <f>Simp4!J5</f>
        <v>0</v>
      </c>
      <c r="J9" s="116">
        <f>Simp4!K5</f>
        <v>0</v>
      </c>
      <c r="K9" s="116">
        <f>Simp4!L5</f>
        <v>0</v>
      </c>
      <c r="L9" s="116">
        <f>Simp4!M5</f>
        <v>0</v>
      </c>
      <c r="M9" s="116">
        <f>Simp4!N5</f>
        <v>0</v>
      </c>
      <c r="N9" s="116">
        <f>Simp4!O5</f>
        <v>0</v>
      </c>
      <c r="O9" s="119">
        <f t="shared" ref="O9:O14" si="0">SUM(C9:N9)</f>
        <v>0</v>
      </c>
    </row>
    <row r="10" spans="2:30" ht="20.100000000000001" customHeight="1" x14ac:dyDescent="0.25">
      <c r="B10" s="19" t="s">
        <v>81</v>
      </c>
      <c r="C10" s="116">
        <f>Simp4!D6</f>
        <v>0</v>
      </c>
      <c r="D10" s="116">
        <f>Simp4!E6</f>
        <v>0</v>
      </c>
      <c r="E10" s="116">
        <f>Simp4!F6</f>
        <v>0</v>
      </c>
      <c r="F10" s="116">
        <f>Simp4!G6</f>
        <v>0</v>
      </c>
      <c r="G10" s="116">
        <f>Simp4!H6</f>
        <v>0</v>
      </c>
      <c r="H10" s="116">
        <f>Simp4!I6</f>
        <v>0</v>
      </c>
      <c r="I10" s="116">
        <f>Simp4!J6</f>
        <v>0</v>
      </c>
      <c r="J10" s="116">
        <f>Simp4!K6</f>
        <v>0</v>
      </c>
      <c r="K10" s="116">
        <f>Simp4!L6</f>
        <v>0</v>
      </c>
      <c r="L10" s="116">
        <f>Simp4!M6</f>
        <v>0</v>
      </c>
      <c r="M10" s="116">
        <f>Simp4!N6</f>
        <v>0</v>
      </c>
      <c r="N10" s="116">
        <f>Simp4!O6</f>
        <v>0</v>
      </c>
      <c r="O10" s="119">
        <f t="shared" si="0"/>
        <v>0</v>
      </c>
    </row>
    <row r="11" spans="2:30" ht="20.100000000000001" customHeight="1" x14ac:dyDescent="0.25">
      <c r="B11" s="19" t="s">
        <v>75</v>
      </c>
      <c r="C11" s="116">
        <f>Simp4!D7</f>
        <v>0</v>
      </c>
      <c r="D11" s="116">
        <f>Simp4!E7</f>
        <v>0</v>
      </c>
      <c r="E11" s="116">
        <f>Simp4!F7</f>
        <v>0</v>
      </c>
      <c r="F11" s="116">
        <f>Simp4!G7</f>
        <v>0</v>
      </c>
      <c r="G11" s="116">
        <f>Simp4!H7</f>
        <v>0</v>
      </c>
      <c r="H11" s="116">
        <f>Simp4!I7</f>
        <v>0</v>
      </c>
      <c r="I11" s="116">
        <f>Simp4!J7</f>
        <v>0</v>
      </c>
      <c r="J11" s="116">
        <f>Simp4!K7</f>
        <v>0</v>
      </c>
      <c r="K11" s="116">
        <f>Simp4!L7</f>
        <v>0</v>
      </c>
      <c r="L11" s="116">
        <f>Simp4!M7</f>
        <v>0</v>
      </c>
      <c r="M11" s="116">
        <f>Simp4!N7</f>
        <v>0</v>
      </c>
      <c r="N11" s="116">
        <f>Simp4!O7</f>
        <v>0</v>
      </c>
      <c r="O11" s="119">
        <f t="shared" si="0"/>
        <v>0</v>
      </c>
    </row>
    <row r="12" spans="2:30" ht="20.100000000000001" customHeight="1" x14ac:dyDescent="0.25">
      <c r="B12" s="19" t="s">
        <v>76</v>
      </c>
      <c r="C12" s="116">
        <f>Simp4!D8</f>
        <v>0</v>
      </c>
      <c r="D12" s="116">
        <f>Simp4!E8</f>
        <v>0</v>
      </c>
      <c r="E12" s="116">
        <f>Simp4!F8</f>
        <v>0</v>
      </c>
      <c r="F12" s="116">
        <f>Simp4!G8</f>
        <v>0</v>
      </c>
      <c r="G12" s="116">
        <f>Simp4!H8</f>
        <v>0</v>
      </c>
      <c r="H12" s="116">
        <f>Simp4!I8</f>
        <v>0</v>
      </c>
      <c r="I12" s="116">
        <f>Simp4!J8</f>
        <v>0</v>
      </c>
      <c r="J12" s="116">
        <f>Simp4!K8</f>
        <v>0</v>
      </c>
      <c r="K12" s="116">
        <f>Simp4!L8</f>
        <v>0</v>
      </c>
      <c r="L12" s="116">
        <f>Simp4!M8</f>
        <v>0</v>
      </c>
      <c r="M12" s="116">
        <f>Simp4!N8</f>
        <v>0</v>
      </c>
      <c r="N12" s="116">
        <f>Simp4!O8</f>
        <v>0</v>
      </c>
      <c r="O12" s="119">
        <f t="shared" si="0"/>
        <v>0</v>
      </c>
    </row>
    <row r="13" spans="2:30" ht="20.100000000000001" customHeight="1" x14ac:dyDescent="0.25">
      <c r="B13" s="19" t="s">
        <v>77</v>
      </c>
      <c r="C13" s="116">
        <f>Simp4!D9</f>
        <v>0</v>
      </c>
      <c r="D13" s="116">
        <f>Simp4!E9</f>
        <v>0</v>
      </c>
      <c r="E13" s="116">
        <f>Simp4!F9</f>
        <v>0</v>
      </c>
      <c r="F13" s="116">
        <f>Simp4!G9</f>
        <v>0</v>
      </c>
      <c r="G13" s="116">
        <f>Simp4!H9</f>
        <v>0</v>
      </c>
      <c r="H13" s="116">
        <f>Simp4!I9</f>
        <v>0</v>
      </c>
      <c r="I13" s="116">
        <f>Simp4!J9</f>
        <v>0</v>
      </c>
      <c r="J13" s="116">
        <f>Simp4!K9</f>
        <v>0</v>
      </c>
      <c r="K13" s="116">
        <f>Simp4!L9</f>
        <v>0</v>
      </c>
      <c r="L13" s="116">
        <f>Simp4!M9</f>
        <v>0</v>
      </c>
      <c r="M13" s="116">
        <f>Simp4!N9</f>
        <v>0</v>
      </c>
      <c r="N13" s="116">
        <f>Simp4!O9</f>
        <v>0</v>
      </c>
      <c r="O13" s="119">
        <f t="shared" si="0"/>
        <v>0</v>
      </c>
    </row>
    <row r="14" spans="2:30" ht="20.100000000000001" customHeight="1" x14ac:dyDescent="0.25">
      <c r="B14" s="118" t="s">
        <v>99</v>
      </c>
      <c r="C14" s="119">
        <f>SUM(C9:C13)</f>
        <v>0</v>
      </c>
      <c r="D14" s="119">
        <f t="shared" ref="D14:N14" si="1">SUM(D9:D13)</f>
        <v>0</v>
      </c>
      <c r="E14" s="119">
        <f t="shared" si="1"/>
        <v>0</v>
      </c>
      <c r="F14" s="119">
        <f t="shared" si="1"/>
        <v>0</v>
      </c>
      <c r="G14" s="119">
        <f t="shared" si="1"/>
        <v>0</v>
      </c>
      <c r="H14" s="119">
        <f t="shared" si="1"/>
        <v>0</v>
      </c>
      <c r="I14" s="119">
        <f t="shared" si="1"/>
        <v>0</v>
      </c>
      <c r="J14" s="119">
        <f t="shared" si="1"/>
        <v>0</v>
      </c>
      <c r="K14" s="119">
        <f t="shared" si="1"/>
        <v>0</v>
      </c>
      <c r="L14" s="119">
        <f t="shared" si="1"/>
        <v>0</v>
      </c>
      <c r="M14" s="119">
        <f t="shared" si="1"/>
        <v>0</v>
      </c>
      <c r="N14" s="119">
        <f t="shared" si="1"/>
        <v>0</v>
      </c>
      <c r="O14" s="119">
        <f t="shared" si="0"/>
        <v>0</v>
      </c>
    </row>
    <row r="16" spans="2:30" ht="20.100000000000001" customHeight="1" x14ac:dyDescent="0.25">
      <c r="B16" s="112" t="s">
        <v>82</v>
      </c>
      <c r="C16" s="112" t="s">
        <v>83</v>
      </c>
      <c r="D16" s="112" t="s">
        <v>84</v>
      </c>
      <c r="E16" s="112" t="s">
        <v>85</v>
      </c>
      <c r="F16" s="112" t="s">
        <v>86</v>
      </c>
      <c r="G16" s="112" t="s">
        <v>87</v>
      </c>
      <c r="H16" s="112" t="s">
        <v>88</v>
      </c>
      <c r="I16" s="112" t="s">
        <v>89</v>
      </c>
      <c r="J16" s="112" t="s">
        <v>90</v>
      </c>
      <c r="K16" s="112" t="s">
        <v>91</v>
      </c>
      <c r="L16" s="112" t="s">
        <v>92</v>
      </c>
      <c r="M16" s="112" t="s">
        <v>93</v>
      </c>
      <c r="N16" s="112" t="s">
        <v>94</v>
      </c>
      <c r="O16" s="112" t="s">
        <v>95</v>
      </c>
      <c r="Q16" s="145" t="s">
        <v>82</v>
      </c>
      <c r="R16" s="112" t="s">
        <v>83</v>
      </c>
      <c r="S16" s="112" t="s">
        <v>84</v>
      </c>
      <c r="T16" s="112" t="s">
        <v>85</v>
      </c>
      <c r="U16" s="112" t="s">
        <v>86</v>
      </c>
      <c r="V16" s="112" t="s">
        <v>87</v>
      </c>
      <c r="W16" s="112" t="s">
        <v>88</v>
      </c>
      <c r="X16" s="112" t="s">
        <v>89</v>
      </c>
      <c r="Y16" s="112" t="s">
        <v>90</v>
      </c>
      <c r="Z16" s="112" t="s">
        <v>91</v>
      </c>
      <c r="AA16" s="112" t="s">
        <v>92</v>
      </c>
      <c r="AB16" s="112" t="s">
        <v>93</v>
      </c>
      <c r="AC16" s="112" t="s">
        <v>94</v>
      </c>
      <c r="AD16" s="112" t="s">
        <v>95</v>
      </c>
    </row>
    <row r="17" spans="2:30" ht="20.100000000000001" customHeight="1" x14ac:dyDescent="0.25">
      <c r="B17" s="19" t="s">
        <v>80</v>
      </c>
      <c r="C17" s="132">
        <f>C9</f>
        <v>0</v>
      </c>
      <c r="D17" s="132">
        <f t="shared" ref="D17:N17" si="2">D9</f>
        <v>0</v>
      </c>
      <c r="E17" s="132">
        <f t="shared" si="2"/>
        <v>0</v>
      </c>
      <c r="F17" s="132">
        <f t="shared" si="2"/>
        <v>0</v>
      </c>
      <c r="G17" s="132">
        <f t="shared" si="2"/>
        <v>0</v>
      </c>
      <c r="H17" s="132">
        <f t="shared" si="2"/>
        <v>0</v>
      </c>
      <c r="I17" s="132">
        <f t="shared" si="2"/>
        <v>0</v>
      </c>
      <c r="J17" s="132">
        <f t="shared" si="2"/>
        <v>0</v>
      </c>
      <c r="K17" s="132">
        <f t="shared" si="2"/>
        <v>0</v>
      </c>
      <c r="L17" s="132">
        <f t="shared" si="2"/>
        <v>0</v>
      </c>
      <c r="M17" s="132">
        <f t="shared" si="2"/>
        <v>0</v>
      </c>
      <c r="N17" s="132">
        <f t="shared" si="2"/>
        <v>0</v>
      </c>
      <c r="O17" s="119">
        <f t="shared" ref="O17:O22" si="3">SUM(C17:N17)</f>
        <v>0</v>
      </c>
      <c r="Q17" s="144" t="s">
        <v>80</v>
      </c>
      <c r="R17" s="132">
        <f>C9</f>
        <v>0</v>
      </c>
      <c r="S17" s="132">
        <f t="shared" ref="S17:AC17" si="4">D9</f>
        <v>0</v>
      </c>
      <c r="T17" s="132">
        <f t="shared" si="4"/>
        <v>0</v>
      </c>
      <c r="U17" s="132">
        <f t="shared" si="4"/>
        <v>0</v>
      </c>
      <c r="V17" s="132">
        <f t="shared" si="4"/>
        <v>0</v>
      </c>
      <c r="W17" s="132">
        <f t="shared" si="4"/>
        <v>0</v>
      </c>
      <c r="X17" s="132">
        <f t="shared" si="4"/>
        <v>0</v>
      </c>
      <c r="Y17" s="132">
        <f t="shared" si="4"/>
        <v>0</v>
      </c>
      <c r="Z17" s="132">
        <f t="shared" si="4"/>
        <v>0</v>
      </c>
      <c r="AA17" s="132">
        <f t="shared" si="4"/>
        <v>0</v>
      </c>
      <c r="AB17" s="132">
        <f t="shared" si="4"/>
        <v>0</v>
      </c>
      <c r="AC17" s="132">
        <f t="shared" si="4"/>
        <v>0</v>
      </c>
      <c r="AD17" s="119">
        <f t="shared" ref="AD17:AD22" si="5">SUM(R17:AC17)</f>
        <v>0</v>
      </c>
    </row>
    <row r="18" spans="2:30" ht="20.100000000000001" customHeight="1" x14ac:dyDescent="0.25">
      <c r="B18" s="19" t="s">
        <v>121</v>
      </c>
      <c r="C18" s="133">
        <f>IF(C5&lt;=TabS!$G$5,TabS!$H$5,IF(C5&lt;=TabS!$G$6,TabS!$H$6,IF(C5&lt;=TabS!$G$7,TabS!$H$7,IF(C5&lt;=TabS!$G$8,TabS!$H$8,IF(C5&lt;=TabS!$G$9,TabS!$H$9,IF(C5&lt;=TabS!$G$10,TabS!$H$10))))))</f>
        <v>0.04</v>
      </c>
      <c r="D18" s="133">
        <f>IF(D5&lt;=TabS!$G$5,TabS!$H$5,IF(D5&lt;=TabS!$G$6,TabS!$H$6,IF(D5&lt;=TabS!$G$7,TabS!$H$7,IF(D5&lt;=TabS!$G$8,TabS!$H$8,IF(D5&lt;=TabS!$G$9,TabS!$H$9,IF(D5&lt;=TabS!$G$10,TabS!$H$10))))))</f>
        <v>0.04</v>
      </c>
      <c r="E18" s="133">
        <f>IF(E5&lt;=TabS!$G$5,TabS!$H$5,IF(E5&lt;=TabS!$G$6,TabS!$H$6,IF(E5&lt;=TabS!$G$7,TabS!$H$7,IF(E5&lt;=TabS!$G$8,TabS!$H$8,IF(E5&lt;=TabS!$G$9,TabS!$H$9,IF(E5&lt;=TabS!$G$10,TabS!$H$10))))))</f>
        <v>0.04</v>
      </c>
      <c r="F18" s="133">
        <f>IF(F5&lt;=TabS!$G$5,TabS!$H$5,IF(F5&lt;=TabS!$G$6,TabS!$H$6,IF(F5&lt;=TabS!$G$7,TabS!$H$7,IF(F5&lt;=TabS!$G$8,TabS!$H$8,IF(F5&lt;=TabS!$G$9,TabS!$H$9,IF(F5&lt;=TabS!$G$10,TabS!$H$10))))))</f>
        <v>0.04</v>
      </c>
      <c r="G18" s="133">
        <f>IF(G5&lt;=TabS!$G$5,TabS!$H$5,IF(G5&lt;=TabS!$G$6,TabS!$H$6,IF(G5&lt;=TabS!$G$7,TabS!$H$7,IF(G5&lt;=TabS!$G$8,TabS!$H$8,IF(G5&lt;=TabS!$G$9,TabS!$H$9,IF(G5&lt;=TabS!$G$10,TabS!$H$10))))))</f>
        <v>0.04</v>
      </c>
      <c r="H18" s="133">
        <f>IF(H5&lt;=TabS!$G$5,TabS!$H$5,IF(H5&lt;=TabS!$G$6,TabS!$H$6,IF(H5&lt;=TabS!$G$7,TabS!$H$7,IF(H5&lt;=TabS!$G$8,TabS!$H$8,IF(H5&lt;=TabS!$G$9,TabS!$H$9,IF(H5&lt;=TabS!$G$10,TabS!$H$10))))))</f>
        <v>0.04</v>
      </c>
      <c r="I18" s="133">
        <f>IF(I5&lt;=TabS!$G$5,TabS!$H$5,IF(I5&lt;=TabS!$G$6,TabS!$H$6,IF(I5&lt;=TabS!$G$7,TabS!$H$7,IF(I5&lt;=TabS!$G$8,TabS!$H$8,IF(I5&lt;=TabS!$G$9,TabS!$H$9,IF(I5&lt;=TabS!$G$10,TabS!$H$10))))))</f>
        <v>0.04</v>
      </c>
      <c r="J18" s="133">
        <f>IF(J5&lt;=TabS!$G$5,TabS!$H$5,IF(J5&lt;=TabS!$G$6,TabS!$H$6,IF(J5&lt;=TabS!$G$7,TabS!$H$7,IF(J5&lt;=TabS!$G$8,TabS!$H$8,IF(J5&lt;=TabS!$G$9,TabS!$H$9,IF(J5&lt;=TabS!$G$10,TabS!$H$10))))))</f>
        <v>0.04</v>
      </c>
      <c r="K18" s="133">
        <f>IF(K5&lt;=TabS!$G$5,TabS!$H$5,IF(K5&lt;=TabS!$G$6,TabS!$H$6,IF(K5&lt;=TabS!$G$7,TabS!$H$7,IF(K5&lt;=TabS!$G$8,TabS!$H$8,IF(K5&lt;=TabS!$G$9,TabS!$H$9,IF(K5&lt;=TabS!$G$10,TabS!$H$10))))))</f>
        <v>0.04</v>
      </c>
      <c r="L18" s="133">
        <f>IF(L5&lt;=TabS!$G$5,TabS!$H$5,IF(L5&lt;=TabS!$G$6,TabS!$H$6,IF(L5&lt;=TabS!$G$7,TabS!$H$7,IF(L5&lt;=TabS!$G$8,TabS!$H$8,IF(L5&lt;=TabS!$G$9,TabS!$H$9,IF(L5&lt;=TabS!$G$10,TabS!$H$10))))))</f>
        <v>0.04</v>
      </c>
      <c r="M18" s="133">
        <f>IF(M5&lt;=TabS!$G$5,TabS!$H$5,IF(M5&lt;=TabS!$G$6,TabS!$H$6,IF(M5&lt;=TabS!$G$7,TabS!$H$7,IF(M5&lt;=TabS!$G$8,TabS!$H$8,IF(M5&lt;=TabS!$G$9,TabS!$H$9,IF(M5&lt;=TabS!$G$10,TabS!$H$10))))))</f>
        <v>0.04</v>
      </c>
      <c r="N18" s="133">
        <f>IF(N5&lt;=TabS!$G$5,TabS!$H$5,IF(N5&lt;=TabS!$G$6,TabS!$H$6,IF(N5&lt;=TabS!$G$7,TabS!$H$7,IF(N5&lt;=TabS!$G$8,TabS!$H$8,IF(N5&lt;=TabS!$G$9,TabS!$H$9,IF(N5&lt;=TabS!$G$10,TabS!$H$10))))))</f>
        <v>0.04</v>
      </c>
      <c r="O18" s="134">
        <f t="shared" si="3"/>
        <v>0.47999999999999993</v>
      </c>
      <c r="Q18" s="144" t="s">
        <v>121</v>
      </c>
      <c r="R18" s="133">
        <f>IF(C5&lt;=TabS!$G$5,TabS!$H$5,IF(C5&lt;=TabS!$G$6,TabS!$H$6,IF(C5&lt;=TabS!$G$7,TabS!$H$7,IF(C5&lt;=TabS!$G$8,TabS!$H$8,IF(C5&lt;=TabS!$G$9,TabS!$H$9,IF(C5&lt;=TabS!$G$10,TabS!$H$10))))))</f>
        <v>0.04</v>
      </c>
      <c r="S18" s="133">
        <f>IF(D5&lt;=TabS!$G$5,TabS!$H$5,IF(D5&lt;=TabS!$G$6,TabS!$H$6,IF(D5&lt;=TabS!$G$7,TabS!$H$7,IF(D5&lt;=TabS!$G$8,TabS!$H$8,IF(D5&lt;=TabS!$G$9,TabS!$H$9,IF(D5&lt;=TabS!$G$10,TabS!$H$10))))))</f>
        <v>0.04</v>
      </c>
      <c r="T18" s="133">
        <f>IF(E5&lt;=TabS!$G$5,TabS!$H$5,IF(E5&lt;=TabS!$G$6,TabS!$H$6,IF(E5&lt;=TabS!$G$7,TabS!$H$7,IF(E5&lt;=TabS!$G$8,TabS!$H$8,IF(E5&lt;=TabS!$G$9,TabS!$H$9,IF(E5&lt;=TabS!$G$10,TabS!$H$10))))))</f>
        <v>0.04</v>
      </c>
      <c r="U18" s="133">
        <f>IF(F5&lt;=TabS!$G$5,TabS!$H$5,IF(F5&lt;=TabS!$G$6,TabS!$H$6,IF(F5&lt;=TabS!$G$7,TabS!$H$7,IF(F5&lt;=TabS!$G$8,TabS!$H$8,IF(F5&lt;=TabS!$G$9,TabS!$H$9,IF(F5&lt;=TabS!$G$10,TabS!$H$10))))))</f>
        <v>0.04</v>
      </c>
      <c r="V18" s="133">
        <f>IF(G5&lt;=TabS!$G$5,TabS!$H$5,IF(G5&lt;=TabS!$G$6,TabS!$H$6,IF(G5&lt;=TabS!$G$7,TabS!$H$7,IF(G5&lt;=TabS!$G$8,TabS!$H$8,IF(G5&lt;=TabS!$G$9,TabS!$H$9,IF(G5&lt;=TabS!$G$10,TabS!$H$10))))))</f>
        <v>0.04</v>
      </c>
      <c r="W18" s="133">
        <f>IF(H5&lt;=TabS!$G$5,TabS!$H$5,IF(H5&lt;=TabS!$G$6,TabS!$H$6,IF(H5&lt;=TabS!$G$7,TabS!$H$7,IF(H5&lt;=TabS!$G$8,TabS!$H$8,IF(H5&lt;=TabS!$G$9,TabS!$H$9,IF(H5&lt;=TabS!$G$10,TabS!$H$10))))))</f>
        <v>0.04</v>
      </c>
      <c r="X18" s="133">
        <f>IF(I5&lt;=TabS!$G$5,TabS!$H$5,IF(I5&lt;=TabS!$G$6,TabS!$H$6,IF(I5&lt;=TabS!$G$7,TabS!$H$7,IF(I5&lt;=TabS!$G$8,TabS!$H$8,IF(I5&lt;=TabS!$G$9,TabS!$H$9,IF(I5&lt;=TabS!$G$10,TabS!$H$10))))))</f>
        <v>0.04</v>
      </c>
      <c r="Y18" s="133">
        <f>IF(J5&lt;=TabS!$G$5,TabS!$H$5,IF(J5&lt;=TabS!$G$6,TabS!$H$6,IF(J5&lt;=TabS!$G$7,TabS!$H$7,IF(J5&lt;=TabS!$G$8,TabS!$H$8,IF(J5&lt;=TabS!$G$9,TabS!$H$9,IF(J5&lt;=TabS!$G$10,TabS!$H$10))))))</f>
        <v>0.04</v>
      </c>
      <c r="Z18" s="133">
        <f>IF(K5&lt;=TabS!$G$5,TabS!$H$5,IF(K5&lt;=TabS!$G$6,TabS!$H$6,IF(K5&lt;=TabS!$G$7,TabS!$H$7,IF(K5&lt;=TabS!$G$8,TabS!$H$8,IF(K5&lt;=TabS!$G$9,TabS!$H$9,IF(K5&lt;=TabS!$G$10,TabS!$H$10))))))</f>
        <v>0.04</v>
      </c>
      <c r="AA18" s="133">
        <f>IF(L5&lt;=TabS!$G$5,TabS!$H$5,IF(L5&lt;=TabS!$G$6,TabS!$H$6,IF(L5&lt;=TabS!$G$7,TabS!$H$7,IF(L5&lt;=TabS!$G$8,TabS!$H$8,IF(L5&lt;=TabS!$G$9,TabS!$H$9,IF(L5&lt;=TabS!$G$10,TabS!$H$10))))))</f>
        <v>0.04</v>
      </c>
      <c r="AB18" s="133">
        <f>IF(M5&lt;=TabS!$G$5,TabS!$H$5,IF(M5&lt;=TabS!$G$6,TabS!$H$6,IF(M5&lt;=TabS!$G$7,TabS!$H$7,IF(M5&lt;=TabS!$G$8,TabS!$H$8,IF(M5&lt;=TabS!$G$9,TabS!$H$9,IF(M5&lt;=TabS!$G$10,TabS!$H$10))))))</f>
        <v>0.04</v>
      </c>
      <c r="AC18" s="133">
        <f>IF(N5&lt;=TabS!$G$5,TabS!$H$5,IF(N5&lt;=TabS!$G$6,TabS!$H$6,IF(N5&lt;=TabS!$G$7,TabS!$H$7,IF(N5&lt;=TabS!$G$8,TabS!$H$8,IF(N5&lt;=TabS!$G$9,TabS!$H$9,IF(N5&lt;=TabS!$G$10,TabS!$H$10))))))</f>
        <v>0.04</v>
      </c>
      <c r="AD18" s="134">
        <f t="shared" si="5"/>
        <v>0.47999999999999993</v>
      </c>
    </row>
    <row r="19" spans="2:30" ht="20.100000000000001" customHeight="1" x14ac:dyDescent="0.25">
      <c r="B19" s="19" t="s">
        <v>122</v>
      </c>
      <c r="C19" s="132">
        <f>IF(C5&lt;=TabS!$G$5,TabS!$I$5,IF(C5&lt;=TabS!$G$6,TabS!$I$6,IF(C5&lt;=TabS!$G$7,TabS!$I$7,IF(C5&lt;=TabS!$G$8,TabS!$I$8,IF(C5&lt;=TabS!$G$9,TabS!$I$9,IF(C5&lt;=TabS!$G$10,TabS!$I$10))))))</f>
        <v>0</v>
      </c>
      <c r="D19" s="132">
        <f>IF(D5&lt;=TabS!$G$5,TabS!$I$5,IF(D5&lt;=TabS!$G$6,TabS!$I$6,IF(D5&lt;=TabS!$G$7,TabS!$I$7,IF(D5&lt;=TabS!$G$8,TabS!$I$8,IF(D5&lt;=TabS!$G$9,TabS!$I$9,IF(D5&lt;=TabS!$G$10,TabS!$I$10))))))</f>
        <v>0</v>
      </c>
      <c r="E19" s="132">
        <f>IF(E5&lt;=TabS!$G$5,TabS!$I$5,IF(E5&lt;=TabS!$G$6,TabS!$I$6,IF(E5&lt;=TabS!$G$7,TabS!$I$7,IF(E5&lt;=TabS!$G$8,TabS!$I$8,IF(E5&lt;=TabS!$G$9,TabS!$I$9,IF(E5&lt;=TabS!$G$10,TabS!$I$10))))))</f>
        <v>0</v>
      </c>
      <c r="F19" s="132">
        <f>IF(F5&lt;=TabS!$G$5,TabS!$I$5,IF(F5&lt;=TabS!$G$6,TabS!$I$6,IF(F5&lt;=TabS!$G$7,TabS!$I$7,IF(F5&lt;=TabS!$G$8,TabS!$I$8,IF(F5&lt;=TabS!$G$9,TabS!$I$9,IF(F5&lt;=TabS!$G$10,TabS!$I$10))))))</f>
        <v>0</v>
      </c>
      <c r="G19" s="132">
        <f>IF(G5&lt;=TabS!$G$5,TabS!$I$5,IF(G5&lt;=TabS!$G$6,TabS!$I$6,IF(G5&lt;=TabS!$G$7,TabS!$I$7,IF(G5&lt;=TabS!$G$8,TabS!$I$8,IF(G5&lt;=TabS!$G$9,TabS!$I$9,IF(G5&lt;=TabS!$G$10,TabS!$I$10))))))</f>
        <v>0</v>
      </c>
      <c r="H19" s="132">
        <f>IF(H5&lt;=TabS!$G$5,TabS!$I$5,IF(H5&lt;=TabS!$G$6,TabS!$I$6,IF(H5&lt;=TabS!$G$7,TabS!$I$7,IF(H5&lt;=TabS!$G$8,TabS!$I$8,IF(H5&lt;=TabS!$G$9,TabS!$I$9,IF(H5&lt;=TabS!$G$10,TabS!$I$10))))))</f>
        <v>0</v>
      </c>
      <c r="I19" s="132">
        <f>IF(I5&lt;=TabS!$G$5,TabS!$I$5,IF(I5&lt;=TabS!$G$6,TabS!$I$6,IF(I5&lt;=TabS!$G$7,TabS!$I$7,IF(I5&lt;=TabS!$G$8,TabS!$I$8,IF(I5&lt;=TabS!$G$9,TabS!$I$9,IF(I5&lt;=TabS!$G$10,TabS!$I$10))))))</f>
        <v>0</v>
      </c>
      <c r="J19" s="132">
        <f>IF(J5&lt;=TabS!$G$5,TabS!$I$5,IF(J5&lt;=TabS!$G$6,TabS!$I$6,IF(J5&lt;=TabS!$G$7,TabS!$I$7,IF(J5&lt;=TabS!$G$8,TabS!$I$8,IF(J5&lt;=TabS!$G$9,TabS!$I$9,IF(J5&lt;=TabS!$G$10,TabS!$I$10))))))</f>
        <v>0</v>
      </c>
      <c r="K19" s="132">
        <f>IF(K5&lt;=TabS!$G$5,TabS!$I$5,IF(K5&lt;=TabS!$G$6,TabS!$I$6,IF(K5&lt;=TabS!$G$7,TabS!$I$7,IF(K5&lt;=TabS!$G$8,TabS!$I$8,IF(K5&lt;=TabS!$G$9,TabS!$I$9,IF(K5&lt;=TabS!$G$10,TabS!$I$10))))))</f>
        <v>0</v>
      </c>
      <c r="L19" s="132">
        <f>IF(L5&lt;=TabS!$G$5,TabS!$I$5,IF(L5&lt;=TabS!$G$6,TabS!$I$6,IF(L5&lt;=TabS!$G$7,TabS!$I$7,IF(L5&lt;=TabS!$G$8,TabS!$I$8,IF(L5&lt;=TabS!$G$9,TabS!$I$9,IF(L5&lt;=TabS!$G$10,TabS!$I$10))))))</f>
        <v>0</v>
      </c>
      <c r="M19" s="132">
        <f>IF(M5&lt;=TabS!$G$5,TabS!$I$5,IF(M5&lt;=TabS!$G$6,TabS!$I$6,IF(M5&lt;=TabS!$G$7,TabS!$I$7,IF(M5&lt;=TabS!$G$8,TabS!$I$8,IF(M5&lt;=TabS!$G$9,TabS!$I$9,IF(M5&lt;=TabS!$G$10,TabS!$I$10))))))</f>
        <v>0</v>
      </c>
      <c r="N19" s="132">
        <f>IF(N5&lt;=TabS!$G$5,TabS!$I$5,IF(N5&lt;=TabS!$G$6,TabS!$I$6,IF(N5&lt;=TabS!$G$7,TabS!$I$7,IF(N5&lt;=TabS!$G$8,TabS!$I$8,IF(N5&lt;=TabS!$G$9,TabS!$I$9,IF(N5&lt;=TabS!$G$10,TabS!$I$10))))))</f>
        <v>0</v>
      </c>
      <c r="O19" s="119">
        <f t="shared" si="3"/>
        <v>0</v>
      </c>
      <c r="Q19" s="144" t="s">
        <v>122</v>
      </c>
      <c r="R19" s="132">
        <f>IF(C5&lt;=TabS!$G$5,TabS!$I$5,IF(C5&lt;=TabS!$G$6,TabS!$I$6,IF(C5&lt;=TabS!$G$7,TabS!$I$7,IF(C5&lt;=TabS!$G$8,TabS!$I$8,IF(C5&lt;=TabS!$G$9,TabS!$I$9,IF(C5&lt;=TabS!$G$10,TabS!$I$10))))))</f>
        <v>0</v>
      </c>
      <c r="S19" s="132">
        <f>IF(D5&lt;=TabS!$G$5,TabS!$I$5,IF(D5&lt;=TabS!$G$6,TabS!$I$6,IF(D5&lt;=TabS!$G$7,TabS!$I$7,IF(D5&lt;=TabS!$G$8,TabS!$I$8,IF(D5&lt;=TabS!$G$9,TabS!$I$9,IF(D5&lt;=TabS!$G$10,TabS!$I$10))))))</f>
        <v>0</v>
      </c>
      <c r="T19" s="132">
        <f>IF(E5&lt;=TabS!$G$5,TabS!$I$5,IF(E5&lt;=TabS!$G$6,TabS!$I$6,IF(E5&lt;=TabS!$G$7,TabS!$I$7,IF(E5&lt;=TabS!$G$8,TabS!$I$8,IF(E5&lt;=TabS!$G$9,TabS!$I$9,IF(E5&lt;=TabS!$G$10,TabS!$I$10))))))</f>
        <v>0</v>
      </c>
      <c r="U19" s="132">
        <f>IF(F5&lt;=TabS!$G$5,TabS!$I$5,IF(F5&lt;=TabS!$G$6,TabS!$I$6,IF(F5&lt;=TabS!$G$7,TabS!$I$7,IF(F5&lt;=TabS!$G$8,TabS!$I$8,IF(F5&lt;=TabS!$G$9,TabS!$I$9,IF(F5&lt;=TabS!$G$10,TabS!$I$10))))))</f>
        <v>0</v>
      </c>
      <c r="V19" s="132">
        <f>IF(G5&lt;=TabS!$G$5,TabS!$I$5,IF(G5&lt;=TabS!$G$6,TabS!$I$6,IF(G5&lt;=TabS!$G$7,TabS!$I$7,IF(G5&lt;=TabS!$G$8,TabS!$I$8,IF(G5&lt;=TabS!$G$9,TabS!$I$9,IF(G5&lt;=TabS!$G$10,TabS!$I$10))))))</f>
        <v>0</v>
      </c>
      <c r="W19" s="132">
        <f>IF(H5&lt;=TabS!$G$5,TabS!$I$5,IF(H5&lt;=TabS!$G$6,TabS!$I$6,IF(H5&lt;=TabS!$G$7,TabS!$I$7,IF(H5&lt;=TabS!$G$8,TabS!$I$8,IF(H5&lt;=TabS!$G$9,TabS!$I$9,IF(H5&lt;=TabS!$G$10,TabS!$I$10))))))</f>
        <v>0</v>
      </c>
      <c r="X19" s="132">
        <f>IF(I5&lt;=TabS!$G$5,TabS!$I$5,IF(I5&lt;=TabS!$G$6,TabS!$I$6,IF(I5&lt;=TabS!$G$7,TabS!$I$7,IF(I5&lt;=TabS!$G$8,TabS!$I$8,IF(I5&lt;=TabS!$G$9,TabS!$I$9,IF(I5&lt;=TabS!$G$10,TabS!$I$10))))))</f>
        <v>0</v>
      </c>
      <c r="Y19" s="132">
        <f>IF(J5&lt;=TabS!$G$5,TabS!$I$5,IF(J5&lt;=TabS!$G$6,TabS!$I$6,IF(J5&lt;=TabS!$G$7,TabS!$I$7,IF(J5&lt;=TabS!$G$8,TabS!$I$8,IF(J5&lt;=TabS!$G$9,TabS!$I$9,IF(J5&lt;=TabS!$G$10,TabS!$I$10))))))</f>
        <v>0</v>
      </c>
      <c r="Z19" s="132">
        <f>IF(K5&lt;=TabS!$G$5,TabS!$I$5,IF(K5&lt;=TabS!$G$6,TabS!$I$6,IF(K5&lt;=TabS!$G$7,TabS!$I$7,IF(K5&lt;=TabS!$G$8,TabS!$I$8,IF(K5&lt;=TabS!$G$9,TabS!$I$9,IF(K5&lt;=TabS!$G$10,TabS!$I$10))))))</f>
        <v>0</v>
      </c>
      <c r="AA19" s="132">
        <f>IF(L5&lt;=TabS!$G$5,TabS!$I$5,IF(L5&lt;=TabS!$G$6,TabS!$I$6,IF(L5&lt;=TabS!$G$7,TabS!$I$7,IF(L5&lt;=TabS!$G$8,TabS!$I$8,IF(L5&lt;=TabS!$G$9,TabS!$I$9,IF(L5&lt;=TabS!$G$10,TabS!$I$10))))))</f>
        <v>0</v>
      </c>
      <c r="AB19" s="132">
        <f>IF(M5&lt;=TabS!$G$5,TabS!$I$5,IF(M5&lt;=TabS!$G$6,TabS!$I$6,IF(M5&lt;=TabS!$G$7,TabS!$I$7,IF(M5&lt;=TabS!$G$8,TabS!$I$8,IF(M5&lt;=TabS!$G$9,TabS!$I$9,IF(M5&lt;=TabS!$G$10,TabS!$I$10))))))</f>
        <v>0</v>
      </c>
      <c r="AC19" s="132">
        <f>IF(N5&lt;=TabS!$G$5,TabS!$I$5,IF(N5&lt;=TabS!$G$6,TabS!$I$6,IF(N5&lt;=TabS!$G$7,TabS!$I$7,IF(N5&lt;=TabS!$G$8,TabS!$I$8,IF(N5&lt;=TabS!$G$9,TabS!$I$9,IF(N5&lt;=TabS!$G$10,TabS!$I$10))))))</f>
        <v>0</v>
      </c>
      <c r="AD19" s="119">
        <f t="shared" si="5"/>
        <v>0</v>
      </c>
    </row>
    <row r="20" spans="2:30" ht="20.100000000000001" customHeight="1" x14ac:dyDescent="0.25">
      <c r="B20" s="49" t="s">
        <v>123</v>
      </c>
      <c r="C20" s="135">
        <f>IFERROR(C22/C5,0)</f>
        <v>0</v>
      </c>
      <c r="D20" s="135">
        <f t="shared" ref="D20:N20" si="6">IFERROR(D22/D5,0)</f>
        <v>0</v>
      </c>
      <c r="E20" s="135">
        <f t="shared" si="6"/>
        <v>0</v>
      </c>
      <c r="F20" s="135">
        <f t="shared" si="6"/>
        <v>0</v>
      </c>
      <c r="G20" s="135">
        <f t="shared" si="6"/>
        <v>0</v>
      </c>
      <c r="H20" s="135">
        <f t="shared" si="6"/>
        <v>0</v>
      </c>
      <c r="I20" s="135">
        <f t="shared" si="6"/>
        <v>0</v>
      </c>
      <c r="J20" s="135">
        <f t="shared" si="6"/>
        <v>0</v>
      </c>
      <c r="K20" s="135">
        <f t="shared" si="6"/>
        <v>0</v>
      </c>
      <c r="L20" s="135">
        <f t="shared" si="6"/>
        <v>0</v>
      </c>
      <c r="M20" s="135">
        <f t="shared" si="6"/>
        <v>0</v>
      </c>
      <c r="N20" s="135">
        <f t="shared" si="6"/>
        <v>0</v>
      </c>
      <c r="O20" s="136">
        <f t="shared" si="3"/>
        <v>0</v>
      </c>
      <c r="Q20" s="130" t="s">
        <v>123</v>
      </c>
      <c r="R20" s="135">
        <f>IFERROR(R22/C5,0)</f>
        <v>0</v>
      </c>
      <c r="S20" s="135">
        <f t="shared" ref="S20:AC20" si="7">IFERROR(S22/D5,0)</f>
        <v>0</v>
      </c>
      <c r="T20" s="135">
        <f t="shared" si="7"/>
        <v>0</v>
      </c>
      <c r="U20" s="135">
        <f t="shared" si="7"/>
        <v>0</v>
      </c>
      <c r="V20" s="135">
        <f t="shared" si="7"/>
        <v>0</v>
      </c>
      <c r="W20" s="135">
        <f t="shared" si="7"/>
        <v>0</v>
      </c>
      <c r="X20" s="135">
        <f t="shared" si="7"/>
        <v>0</v>
      </c>
      <c r="Y20" s="135">
        <f t="shared" si="7"/>
        <v>0</v>
      </c>
      <c r="Z20" s="135">
        <f t="shared" si="7"/>
        <v>0</v>
      </c>
      <c r="AA20" s="135">
        <f t="shared" si="7"/>
        <v>0</v>
      </c>
      <c r="AB20" s="135">
        <f t="shared" si="7"/>
        <v>0</v>
      </c>
      <c r="AC20" s="135">
        <f t="shared" si="7"/>
        <v>0</v>
      </c>
      <c r="AD20" s="136">
        <f t="shared" si="5"/>
        <v>0</v>
      </c>
    </row>
    <row r="21" spans="2:30" ht="20.100000000000001" customHeight="1" x14ac:dyDescent="0.25">
      <c r="B21" s="161" t="s">
        <v>125</v>
      </c>
      <c r="C21" s="137">
        <f>C17*C20</f>
        <v>0</v>
      </c>
      <c r="D21" s="137">
        <f t="shared" ref="D21:N21" si="8">D17*D20</f>
        <v>0</v>
      </c>
      <c r="E21" s="137">
        <f t="shared" si="8"/>
        <v>0</v>
      </c>
      <c r="F21" s="137">
        <f t="shared" si="8"/>
        <v>0</v>
      </c>
      <c r="G21" s="137">
        <f t="shared" si="8"/>
        <v>0</v>
      </c>
      <c r="H21" s="137">
        <f t="shared" si="8"/>
        <v>0</v>
      </c>
      <c r="I21" s="137">
        <f t="shared" si="8"/>
        <v>0</v>
      </c>
      <c r="J21" s="137">
        <f t="shared" si="8"/>
        <v>0</v>
      </c>
      <c r="K21" s="137">
        <f t="shared" si="8"/>
        <v>0</v>
      </c>
      <c r="L21" s="137">
        <f t="shared" si="8"/>
        <v>0</v>
      </c>
      <c r="M21" s="137">
        <f t="shared" si="8"/>
        <v>0</v>
      </c>
      <c r="N21" s="137">
        <f t="shared" si="8"/>
        <v>0</v>
      </c>
      <c r="O21" s="138">
        <f>SUM(C21:N21)</f>
        <v>0</v>
      </c>
      <c r="Q21" s="146" t="s">
        <v>125</v>
      </c>
      <c r="R21" s="137">
        <f>R17*R20</f>
        <v>0</v>
      </c>
      <c r="S21" s="137">
        <f t="shared" ref="S21:AC21" si="9">S17*S20</f>
        <v>0</v>
      </c>
      <c r="T21" s="137">
        <f t="shared" si="9"/>
        <v>0</v>
      </c>
      <c r="U21" s="137">
        <f t="shared" si="9"/>
        <v>0</v>
      </c>
      <c r="V21" s="137">
        <f t="shared" si="9"/>
        <v>0</v>
      </c>
      <c r="W21" s="137">
        <f t="shared" si="9"/>
        <v>0</v>
      </c>
      <c r="X21" s="137">
        <f t="shared" si="9"/>
        <v>0</v>
      </c>
      <c r="Y21" s="137">
        <f t="shared" si="9"/>
        <v>0</v>
      </c>
      <c r="Z21" s="137">
        <f t="shared" si="9"/>
        <v>0</v>
      </c>
      <c r="AA21" s="137">
        <f t="shared" si="9"/>
        <v>0</v>
      </c>
      <c r="AB21" s="137">
        <f t="shared" si="9"/>
        <v>0</v>
      </c>
      <c r="AC21" s="137">
        <f t="shared" si="9"/>
        <v>0</v>
      </c>
      <c r="AD21" s="138">
        <f t="shared" si="5"/>
        <v>0</v>
      </c>
    </row>
    <row r="22" spans="2:30" ht="20.100000000000001" customHeight="1" x14ac:dyDescent="0.25">
      <c r="B22" s="19" t="s">
        <v>124</v>
      </c>
      <c r="C22" s="132">
        <f>IFERROR((C5*C18)-C19,0)</f>
        <v>0</v>
      </c>
      <c r="D22" s="132">
        <f t="shared" ref="D22:N22" si="10">IFERROR((D5*D18)-D19,0)</f>
        <v>0</v>
      </c>
      <c r="E22" s="132">
        <f t="shared" si="10"/>
        <v>0</v>
      </c>
      <c r="F22" s="132">
        <f t="shared" si="10"/>
        <v>0</v>
      </c>
      <c r="G22" s="132">
        <f t="shared" si="10"/>
        <v>0</v>
      </c>
      <c r="H22" s="132">
        <f t="shared" si="10"/>
        <v>0</v>
      </c>
      <c r="I22" s="132">
        <f t="shared" si="10"/>
        <v>0</v>
      </c>
      <c r="J22" s="132">
        <f t="shared" si="10"/>
        <v>0</v>
      </c>
      <c r="K22" s="132">
        <f t="shared" si="10"/>
        <v>0</v>
      </c>
      <c r="L22" s="132">
        <f t="shared" si="10"/>
        <v>0</v>
      </c>
      <c r="M22" s="132">
        <f t="shared" si="10"/>
        <v>0</v>
      </c>
      <c r="N22" s="132">
        <f t="shared" si="10"/>
        <v>0</v>
      </c>
      <c r="O22" s="119">
        <f t="shared" si="3"/>
        <v>0</v>
      </c>
      <c r="Q22" s="144" t="s">
        <v>124</v>
      </c>
      <c r="R22" s="132">
        <f>IFERROR((C5*R18)-R19,0)</f>
        <v>0</v>
      </c>
      <c r="S22" s="132">
        <f t="shared" ref="S22:AC22" si="11">IFERROR((D5*S18)-S19,0)</f>
        <v>0</v>
      </c>
      <c r="T22" s="132">
        <f t="shared" si="11"/>
        <v>0</v>
      </c>
      <c r="U22" s="132">
        <f t="shared" si="11"/>
        <v>0</v>
      </c>
      <c r="V22" s="132">
        <f t="shared" si="11"/>
        <v>0</v>
      </c>
      <c r="W22" s="132">
        <f t="shared" si="11"/>
        <v>0</v>
      </c>
      <c r="X22" s="132">
        <f t="shared" si="11"/>
        <v>0</v>
      </c>
      <c r="Y22" s="132">
        <f t="shared" si="11"/>
        <v>0</v>
      </c>
      <c r="Z22" s="132">
        <f t="shared" si="11"/>
        <v>0</v>
      </c>
      <c r="AA22" s="132">
        <f t="shared" si="11"/>
        <v>0</v>
      </c>
      <c r="AB22" s="132">
        <f t="shared" si="11"/>
        <v>0</v>
      </c>
      <c r="AC22" s="132">
        <f t="shared" si="11"/>
        <v>0</v>
      </c>
      <c r="AD22" s="119">
        <f t="shared" si="5"/>
        <v>0</v>
      </c>
    </row>
    <row r="23" spans="2:30" ht="20.100000000000001" customHeight="1" x14ac:dyDescent="0.25">
      <c r="B23" s="112" t="s">
        <v>82</v>
      </c>
      <c r="C23" s="112" t="s">
        <v>83</v>
      </c>
      <c r="D23" s="112" t="s">
        <v>84</v>
      </c>
      <c r="E23" s="112" t="s">
        <v>85</v>
      </c>
      <c r="F23" s="112" t="s">
        <v>86</v>
      </c>
      <c r="G23" s="112" t="s">
        <v>87</v>
      </c>
      <c r="H23" s="112" t="s">
        <v>88</v>
      </c>
      <c r="I23" s="112" t="s">
        <v>89</v>
      </c>
      <c r="J23" s="112" t="s">
        <v>90</v>
      </c>
      <c r="K23" s="112" t="s">
        <v>91</v>
      </c>
      <c r="L23" s="112" t="s">
        <v>92</v>
      </c>
      <c r="M23" s="112" t="s">
        <v>93</v>
      </c>
      <c r="N23" s="112" t="s">
        <v>94</v>
      </c>
      <c r="O23" s="112" t="s">
        <v>95</v>
      </c>
    </row>
    <row r="24" spans="2:30" ht="20.100000000000001" customHeight="1" x14ac:dyDescent="0.25">
      <c r="B24" s="19" t="s">
        <v>81</v>
      </c>
      <c r="C24" s="132">
        <f>C10</f>
        <v>0</v>
      </c>
      <c r="D24" s="132">
        <f t="shared" ref="D24:N24" si="12">D10</f>
        <v>0</v>
      </c>
      <c r="E24" s="132">
        <f t="shared" si="12"/>
        <v>0</v>
      </c>
      <c r="F24" s="132">
        <f t="shared" si="12"/>
        <v>0</v>
      </c>
      <c r="G24" s="132">
        <f t="shared" si="12"/>
        <v>0</v>
      </c>
      <c r="H24" s="132">
        <f t="shared" si="12"/>
        <v>0</v>
      </c>
      <c r="I24" s="132">
        <f t="shared" si="12"/>
        <v>0</v>
      </c>
      <c r="J24" s="132">
        <f t="shared" si="12"/>
        <v>0</v>
      </c>
      <c r="K24" s="132">
        <f t="shared" si="12"/>
        <v>0</v>
      </c>
      <c r="L24" s="132">
        <f t="shared" si="12"/>
        <v>0</v>
      </c>
      <c r="M24" s="132">
        <f t="shared" si="12"/>
        <v>0</v>
      </c>
      <c r="N24" s="132">
        <f t="shared" si="12"/>
        <v>0</v>
      </c>
      <c r="O24" s="119">
        <f t="shared" ref="O24:O29" si="13">SUM(C24:N24)</f>
        <v>0</v>
      </c>
    </row>
    <row r="25" spans="2:30" ht="20.100000000000001" customHeight="1" x14ac:dyDescent="0.25">
      <c r="B25" s="19" t="s">
        <v>121</v>
      </c>
      <c r="C25" s="133">
        <f>IF(C5&lt;=TabS!$G$11,TabS!$H$11,IF(C5&lt;=TabS!$G$12,TabS!$H$12,IF(C5&lt;=TabS!$G$13,TabS!$H$13,IF(C5&lt;=TabS!$G$14,TabS!$H$14,IF(C5&lt;=TabS!$G$15,TabS!$H$15,IF(C5&lt;=TabS!$G$16,TabS!$H$16))))))</f>
        <v>4.4999999999999998E-2</v>
      </c>
      <c r="D25" s="133">
        <f>IF(D5&lt;=TabS!$G$11,TabS!$H$11,IF(D5&lt;=TabS!$G$12,TabS!$H$12,IF(D5&lt;=TabS!$G$13,TabS!$H$13,IF(D5&lt;=TabS!$G$14,TabS!$H$14,IF(D5&lt;=TabS!$G$15,TabS!$H$15,IF(D5&lt;=TabS!$G$16,TabS!$H$16))))))</f>
        <v>4.4999999999999998E-2</v>
      </c>
      <c r="E25" s="133">
        <f>IF(E5&lt;=TabS!$G$11,TabS!$H$11,IF(E5&lt;=TabS!$G$12,TabS!$H$12,IF(E5&lt;=TabS!$G$13,TabS!$H$13,IF(E5&lt;=TabS!$G$14,TabS!$H$14,IF(E5&lt;=TabS!$G$15,TabS!$H$15,IF(E5&lt;=TabS!$G$16,TabS!$H$16))))))</f>
        <v>4.4999999999999998E-2</v>
      </c>
      <c r="F25" s="133">
        <f>IF(F5&lt;=TabS!$G$11,TabS!$H$11,IF(F5&lt;=TabS!$G$12,TabS!$H$12,IF(F5&lt;=TabS!$G$13,TabS!$H$13,IF(F5&lt;=TabS!$G$14,TabS!$H$14,IF(F5&lt;=TabS!$G$15,TabS!$H$15,IF(F5&lt;=TabS!$G$16,TabS!$H$16))))))</f>
        <v>4.4999999999999998E-2</v>
      </c>
      <c r="G25" s="133">
        <f>IF(G5&lt;=TabS!$G$11,TabS!$H$11,IF(G5&lt;=TabS!$G$12,TabS!$H$12,IF(G5&lt;=TabS!$G$13,TabS!$H$13,IF(G5&lt;=TabS!$G$14,TabS!$H$14,IF(G5&lt;=TabS!$G$15,TabS!$H$15,IF(G5&lt;=TabS!$G$16,TabS!$H$16))))))</f>
        <v>4.4999999999999998E-2</v>
      </c>
      <c r="H25" s="133">
        <f>IF(H5&lt;=TabS!$G$11,TabS!$H$11,IF(H5&lt;=TabS!$G$12,TabS!$H$12,IF(H5&lt;=TabS!$G$13,TabS!$H$13,IF(H5&lt;=TabS!$G$14,TabS!$H$14,IF(H5&lt;=TabS!$G$15,TabS!$H$15,IF(H5&lt;=TabS!$G$16,TabS!$H$16))))))</f>
        <v>4.4999999999999998E-2</v>
      </c>
      <c r="I25" s="133">
        <f>IF(I5&lt;=TabS!$G$11,TabS!$H$11,IF(I5&lt;=TabS!$G$12,TabS!$H$12,IF(I5&lt;=TabS!$G$13,TabS!$H$13,IF(I5&lt;=TabS!$G$14,TabS!$H$14,IF(I5&lt;=TabS!$G$15,TabS!$H$15,IF(I5&lt;=TabS!$G$16,TabS!$H$16))))))</f>
        <v>4.4999999999999998E-2</v>
      </c>
      <c r="J25" s="133">
        <f>IF(J5&lt;=TabS!$G$11,TabS!$H$11,IF(J5&lt;=TabS!$G$12,TabS!$H$12,IF(J5&lt;=TabS!$G$13,TabS!$H$13,IF(J5&lt;=TabS!$G$14,TabS!$H$14,IF(J5&lt;=TabS!$G$15,TabS!$H$15,IF(J5&lt;=TabS!$G$16,TabS!$H$16))))))</f>
        <v>4.4999999999999998E-2</v>
      </c>
      <c r="K25" s="133">
        <f>IF(K5&lt;=TabS!$G$11,TabS!$H$11,IF(K5&lt;=TabS!$G$12,TabS!$H$12,IF(K5&lt;=TabS!$G$13,TabS!$H$13,IF(K5&lt;=TabS!$G$14,TabS!$H$14,IF(K5&lt;=TabS!$G$15,TabS!$H$15,IF(K5&lt;=TabS!$G$16,TabS!$H$16))))))</f>
        <v>4.4999999999999998E-2</v>
      </c>
      <c r="L25" s="133">
        <f>IF(L5&lt;=TabS!$G$11,TabS!$H$11,IF(L5&lt;=TabS!$G$12,TabS!$H$12,IF(L5&lt;=TabS!$G$13,TabS!$H$13,IF(L5&lt;=TabS!$G$14,TabS!$H$14,IF(L5&lt;=TabS!$G$15,TabS!$H$15,IF(L5&lt;=TabS!$G$16,TabS!$H$16))))))</f>
        <v>4.4999999999999998E-2</v>
      </c>
      <c r="M25" s="133">
        <f>IF(M5&lt;=TabS!$G$11,TabS!$H$11,IF(M5&lt;=TabS!$G$12,TabS!$H$12,IF(M5&lt;=TabS!$G$13,TabS!$H$13,IF(M5&lt;=TabS!$G$14,TabS!$H$14,IF(M5&lt;=TabS!$G$15,TabS!$H$15,IF(M5&lt;=TabS!$G$16,TabS!$H$16))))))</f>
        <v>4.4999999999999998E-2</v>
      </c>
      <c r="N25" s="133">
        <f>IF(N5&lt;=TabS!$G$11,TabS!$H$11,IF(N5&lt;=TabS!$G$12,TabS!$H$12,IF(N5&lt;=TabS!$G$13,TabS!$H$13,IF(N5&lt;=TabS!$G$14,TabS!$H$14,IF(N5&lt;=TabS!$G$15,TabS!$H$15,IF(N5&lt;=TabS!$G$16,TabS!$H$16))))))</f>
        <v>4.4999999999999998E-2</v>
      </c>
      <c r="O25" s="134">
        <f t="shared" si="13"/>
        <v>0.53999999999999992</v>
      </c>
    </row>
    <row r="26" spans="2:30" ht="20.100000000000001" customHeight="1" x14ac:dyDescent="0.25">
      <c r="B26" s="19" t="s">
        <v>122</v>
      </c>
      <c r="C26" s="132">
        <f>IF(C5&lt;=TabS!$G$11,TabS!$I$11,IF(C5&lt;=TabS!$G$12,TabS!$I$12,IF(C5&lt;=TabS!$G$13,TabS!$I$13,IF(C5&lt;=TabS!$G$14,TabS!$I$14,IF(C5&lt;=TabS!$G$15,TabS!$I$15,IF(C5&lt;=TabS!$G$16,TabS!$I$16))))))</f>
        <v>0</v>
      </c>
      <c r="D26" s="132">
        <f>IF(D5&lt;=TabS!$G$11,TabS!$I$11,IF(D5&lt;=TabS!$G$12,TabS!$I$12,IF(D5&lt;=TabS!$G$13,TabS!$I$13,IF(D5&lt;=TabS!$G$14,TabS!$I$14,IF(D5&lt;=TabS!$G$15,TabS!$I$15,IF(D5&lt;=TabS!$G$16,TabS!$I$16))))))</f>
        <v>0</v>
      </c>
      <c r="E26" s="132">
        <f>IF(E5&lt;=TabS!$G$11,TabS!$I$11,IF(E5&lt;=TabS!$G$12,TabS!$I$12,IF(E5&lt;=TabS!$G$13,TabS!$I$13,IF(E5&lt;=TabS!$G$14,TabS!$I$14,IF(E5&lt;=TabS!$G$15,TabS!$I$15,IF(E5&lt;=TabS!$G$16,TabS!$I$16))))))</f>
        <v>0</v>
      </c>
      <c r="F26" s="132">
        <f>IF(F5&lt;=TabS!$G$11,TabS!$I$11,IF(F5&lt;=TabS!$G$12,TabS!$I$12,IF(F5&lt;=TabS!$G$13,TabS!$I$13,IF(F5&lt;=TabS!$G$14,TabS!$I$14,IF(F5&lt;=TabS!$G$15,TabS!$I$15,IF(F5&lt;=TabS!$G$16,TabS!$I$16))))))</f>
        <v>0</v>
      </c>
      <c r="G26" s="132">
        <f>IF(G5&lt;=TabS!$G$11,TabS!$I$11,IF(G5&lt;=TabS!$G$12,TabS!$I$12,IF(G5&lt;=TabS!$G$13,TabS!$I$13,IF(G5&lt;=TabS!$G$14,TabS!$I$14,IF(G5&lt;=TabS!$G$15,TabS!$I$15,IF(G5&lt;=TabS!$G$16,TabS!$I$16))))))</f>
        <v>0</v>
      </c>
      <c r="H26" s="132">
        <f>IF(H5&lt;=TabS!$G$11,TabS!$I$11,IF(H5&lt;=TabS!$G$12,TabS!$I$12,IF(H5&lt;=TabS!$G$13,TabS!$I$13,IF(H5&lt;=TabS!$G$14,TabS!$I$14,IF(H5&lt;=TabS!$G$15,TabS!$I$15,IF(H5&lt;=TabS!$G$16,TabS!$I$16))))))</f>
        <v>0</v>
      </c>
      <c r="I26" s="132">
        <f>IF(I5&lt;=TabS!$G$11,TabS!$I$11,IF(I5&lt;=TabS!$G$12,TabS!$I$12,IF(I5&lt;=TabS!$G$13,TabS!$I$13,IF(I5&lt;=TabS!$G$14,TabS!$I$14,IF(I5&lt;=TabS!$G$15,TabS!$I$15,IF(I5&lt;=TabS!$G$16,TabS!$I$16))))))</f>
        <v>0</v>
      </c>
      <c r="J26" s="132">
        <f>IF(J5&lt;=TabS!$G$11,TabS!$I$11,IF(J5&lt;=TabS!$G$12,TabS!$I$12,IF(J5&lt;=TabS!$G$13,TabS!$I$13,IF(J5&lt;=TabS!$G$14,TabS!$I$14,IF(J5&lt;=TabS!$G$15,TabS!$I$15,IF(J5&lt;=TabS!$G$16,TabS!$I$16))))))</f>
        <v>0</v>
      </c>
      <c r="K26" s="132">
        <f>IF(K5&lt;=TabS!$G$11,TabS!$I$11,IF(K5&lt;=TabS!$G$12,TabS!$I$12,IF(K5&lt;=TabS!$G$13,TabS!$I$13,IF(K5&lt;=TabS!$G$14,TabS!$I$14,IF(K5&lt;=TabS!$G$15,TabS!$I$15,IF(K5&lt;=TabS!$G$16,TabS!$I$16))))))</f>
        <v>0</v>
      </c>
      <c r="L26" s="132">
        <f>IF(L5&lt;=TabS!$G$11,TabS!$I$11,IF(L5&lt;=TabS!$G$12,TabS!$I$12,IF(L5&lt;=TabS!$G$13,TabS!$I$13,IF(L5&lt;=TabS!$G$14,TabS!$I$14,IF(L5&lt;=TabS!$G$15,TabS!$I$15,IF(L5&lt;=TabS!$G$16,TabS!$I$16))))))</f>
        <v>0</v>
      </c>
      <c r="M26" s="132">
        <f>IF(M5&lt;=TabS!$G$11,TabS!$I$11,IF(M5&lt;=TabS!$G$12,TabS!$I$12,IF(M5&lt;=TabS!$G$13,TabS!$I$13,IF(M5&lt;=TabS!$G$14,TabS!$I$14,IF(M5&lt;=TabS!$G$15,TabS!$I$15,IF(M5&lt;=TabS!$G$16,TabS!$I$16))))))</f>
        <v>0</v>
      </c>
      <c r="N26" s="132">
        <f>IF(N5&lt;=TabS!$G$11,TabS!$I$11,IF(N5&lt;=TabS!$G$12,TabS!$I$12,IF(N5&lt;=TabS!$G$13,TabS!$I$13,IF(N5&lt;=TabS!$G$14,TabS!$I$14,IF(N5&lt;=TabS!$G$15,TabS!$I$15,IF(N5&lt;=TabS!$G$16,TabS!$I$16))))))</f>
        <v>0</v>
      </c>
      <c r="O26" s="119">
        <f t="shared" si="13"/>
        <v>0</v>
      </c>
    </row>
    <row r="27" spans="2:30" ht="20.100000000000001" customHeight="1" x14ac:dyDescent="0.25">
      <c r="B27" s="49" t="s">
        <v>123</v>
      </c>
      <c r="C27" s="135">
        <f>IFERROR(C29/C5,0)</f>
        <v>0</v>
      </c>
      <c r="D27" s="135">
        <f t="shared" ref="D27:N27" si="14">IFERROR(D29/D5,0)</f>
        <v>0</v>
      </c>
      <c r="E27" s="135">
        <f t="shared" si="14"/>
        <v>0</v>
      </c>
      <c r="F27" s="135">
        <f t="shared" si="14"/>
        <v>0</v>
      </c>
      <c r="G27" s="135">
        <f t="shared" si="14"/>
        <v>0</v>
      </c>
      <c r="H27" s="135">
        <f t="shared" si="14"/>
        <v>0</v>
      </c>
      <c r="I27" s="135">
        <f t="shared" si="14"/>
        <v>0</v>
      </c>
      <c r="J27" s="135">
        <f t="shared" si="14"/>
        <v>0</v>
      </c>
      <c r="K27" s="135">
        <f t="shared" si="14"/>
        <v>0</v>
      </c>
      <c r="L27" s="135">
        <f t="shared" si="14"/>
        <v>0</v>
      </c>
      <c r="M27" s="135">
        <f t="shared" si="14"/>
        <v>0</v>
      </c>
      <c r="N27" s="135">
        <f t="shared" si="14"/>
        <v>0</v>
      </c>
      <c r="O27" s="136">
        <f t="shared" si="13"/>
        <v>0</v>
      </c>
    </row>
    <row r="28" spans="2:30" ht="20.100000000000001" customHeight="1" x14ac:dyDescent="0.25">
      <c r="B28" s="161" t="s">
        <v>125</v>
      </c>
      <c r="C28" s="137">
        <f>C24*C27</f>
        <v>0</v>
      </c>
      <c r="D28" s="137">
        <f t="shared" ref="D28:N28" si="15">D24*D27</f>
        <v>0</v>
      </c>
      <c r="E28" s="137">
        <f t="shared" si="15"/>
        <v>0</v>
      </c>
      <c r="F28" s="137">
        <f t="shared" si="15"/>
        <v>0</v>
      </c>
      <c r="G28" s="137">
        <f t="shared" si="15"/>
        <v>0</v>
      </c>
      <c r="H28" s="137">
        <f t="shared" si="15"/>
        <v>0</v>
      </c>
      <c r="I28" s="137">
        <f t="shared" si="15"/>
        <v>0</v>
      </c>
      <c r="J28" s="137">
        <f t="shared" si="15"/>
        <v>0</v>
      </c>
      <c r="K28" s="137">
        <f t="shared" si="15"/>
        <v>0</v>
      </c>
      <c r="L28" s="137">
        <f t="shared" si="15"/>
        <v>0</v>
      </c>
      <c r="M28" s="137">
        <f t="shared" si="15"/>
        <v>0</v>
      </c>
      <c r="N28" s="137">
        <f t="shared" si="15"/>
        <v>0</v>
      </c>
      <c r="O28" s="138">
        <f>SUM(C28:N28)</f>
        <v>0</v>
      </c>
    </row>
    <row r="29" spans="2:30" ht="20.100000000000001" customHeight="1" x14ac:dyDescent="0.25">
      <c r="B29" s="19" t="s">
        <v>124</v>
      </c>
      <c r="C29" s="132">
        <f>IFERROR((C5*C25)-C26,0)</f>
        <v>0</v>
      </c>
      <c r="D29" s="132">
        <f t="shared" ref="D29:N29" si="16">IFERROR((D5*D25)-D26,0)</f>
        <v>0</v>
      </c>
      <c r="E29" s="132">
        <f t="shared" si="16"/>
        <v>0</v>
      </c>
      <c r="F29" s="132">
        <f t="shared" si="16"/>
        <v>0</v>
      </c>
      <c r="G29" s="132">
        <f t="shared" si="16"/>
        <v>0</v>
      </c>
      <c r="H29" s="132">
        <f t="shared" si="16"/>
        <v>0</v>
      </c>
      <c r="I29" s="132">
        <f t="shared" si="16"/>
        <v>0</v>
      </c>
      <c r="J29" s="132">
        <f t="shared" si="16"/>
        <v>0</v>
      </c>
      <c r="K29" s="132">
        <f t="shared" si="16"/>
        <v>0</v>
      </c>
      <c r="L29" s="132">
        <f t="shared" si="16"/>
        <v>0</v>
      </c>
      <c r="M29" s="132">
        <f t="shared" si="16"/>
        <v>0</v>
      </c>
      <c r="N29" s="132">
        <f t="shared" si="16"/>
        <v>0</v>
      </c>
      <c r="O29" s="119">
        <f t="shared" si="13"/>
        <v>0</v>
      </c>
    </row>
    <row r="30" spans="2:30" ht="20.100000000000001" customHeight="1" x14ac:dyDescent="0.25">
      <c r="B30" s="112" t="s">
        <v>82</v>
      </c>
      <c r="C30" s="112" t="s">
        <v>83</v>
      </c>
      <c r="D30" s="112" t="s">
        <v>84</v>
      </c>
      <c r="E30" s="112" t="s">
        <v>85</v>
      </c>
      <c r="F30" s="112" t="s">
        <v>86</v>
      </c>
      <c r="G30" s="112" t="s">
        <v>87</v>
      </c>
      <c r="H30" s="112" t="s">
        <v>88</v>
      </c>
      <c r="I30" s="112" t="s">
        <v>89</v>
      </c>
      <c r="J30" s="112" t="s">
        <v>90</v>
      </c>
      <c r="K30" s="112" t="s">
        <v>91</v>
      </c>
      <c r="L30" s="112" t="s">
        <v>92</v>
      </c>
      <c r="M30" s="112" t="s">
        <v>93</v>
      </c>
      <c r="N30" s="112" t="s">
        <v>94</v>
      </c>
      <c r="O30" s="112" t="s">
        <v>95</v>
      </c>
      <c r="Q30" s="145" t="s">
        <v>82</v>
      </c>
      <c r="R30" s="112" t="s">
        <v>83</v>
      </c>
      <c r="S30" s="112" t="s">
        <v>84</v>
      </c>
      <c r="T30" s="112" t="s">
        <v>85</v>
      </c>
      <c r="U30" s="112" t="s">
        <v>86</v>
      </c>
      <c r="V30" s="112" t="s">
        <v>87</v>
      </c>
      <c r="W30" s="112" t="s">
        <v>88</v>
      </c>
      <c r="X30" s="112" t="s">
        <v>89</v>
      </c>
      <c r="Y30" s="112" t="s">
        <v>90</v>
      </c>
      <c r="Z30" s="112" t="s">
        <v>91</v>
      </c>
      <c r="AA30" s="112" t="s">
        <v>92</v>
      </c>
      <c r="AB30" s="112" t="s">
        <v>93</v>
      </c>
      <c r="AC30" s="112" t="s">
        <v>94</v>
      </c>
      <c r="AD30" s="112" t="s">
        <v>95</v>
      </c>
    </row>
    <row r="31" spans="2:30" ht="20.100000000000001" customHeight="1" x14ac:dyDescent="0.25">
      <c r="B31" s="19" t="s">
        <v>75</v>
      </c>
      <c r="C31" s="132">
        <f>C11</f>
        <v>0</v>
      </c>
      <c r="D31" s="132">
        <f t="shared" ref="D31:N31" si="17">D11</f>
        <v>0</v>
      </c>
      <c r="E31" s="132">
        <f t="shared" si="17"/>
        <v>0</v>
      </c>
      <c r="F31" s="132">
        <f t="shared" si="17"/>
        <v>0</v>
      </c>
      <c r="G31" s="132">
        <f t="shared" si="17"/>
        <v>0</v>
      </c>
      <c r="H31" s="132">
        <f t="shared" si="17"/>
        <v>0</v>
      </c>
      <c r="I31" s="132">
        <f t="shared" si="17"/>
        <v>0</v>
      </c>
      <c r="J31" s="132">
        <f t="shared" si="17"/>
        <v>0</v>
      </c>
      <c r="K31" s="132">
        <f t="shared" si="17"/>
        <v>0</v>
      </c>
      <c r="L31" s="132">
        <f t="shared" si="17"/>
        <v>0</v>
      </c>
      <c r="M31" s="132">
        <f t="shared" si="17"/>
        <v>0</v>
      </c>
      <c r="N31" s="132">
        <f t="shared" si="17"/>
        <v>0</v>
      </c>
      <c r="O31" s="119">
        <f t="shared" ref="O31:O36" si="18">SUM(C31:N31)</f>
        <v>0</v>
      </c>
      <c r="Q31" s="144" t="s">
        <v>75</v>
      </c>
      <c r="R31" s="132">
        <f>C11</f>
        <v>0</v>
      </c>
      <c r="S31" s="132">
        <f t="shared" ref="S31:AC31" si="19">D11</f>
        <v>0</v>
      </c>
      <c r="T31" s="132">
        <f t="shared" si="19"/>
        <v>0</v>
      </c>
      <c r="U31" s="132">
        <f t="shared" si="19"/>
        <v>0</v>
      </c>
      <c r="V31" s="132">
        <f t="shared" si="19"/>
        <v>0</v>
      </c>
      <c r="W31" s="132">
        <f t="shared" si="19"/>
        <v>0</v>
      </c>
      <c r="X31" s="132">
        <f t="shared" si="19"/>
        <v>0</v>
      </c>
      <c r="Y31" s="132">
        <f t="shared" si="19"/>
        <v>0</v>
      </c>
      <c r="Z31" s="132">
        <f t="shared" si="19"/>
        <v>0</v>
      </c>
      <c r="AA31" s="132">
        <f t="shared" si="19"/>
        <v>0</v>
      </c>
      <c r="AB31" s="132">
        <f t="shared" si="19"/>
        <v>0</v>
      </c>
      <c r="AC31" s="132">
        <f t="shared" si="19"/>
        <v>0</v>
      </c>
      <c r="AD31" s="119">
        <f t="shared" ref="AD31:AD36" si="20">SUM(R31:AC31)</f>
        <v>0</v>
      </c>
    </row>
    <row r="32" spans="2:30" ht="20.100000000000001" customHeight="1" x14ac:dyDescent="0.25">
      <c r="B32" s="19" t="s">
        <v>121</v>
      </c>
      <c r="C32" s="133">
        <f>IF(C5&lt;=TabS!$G$17,TabS!$H$17,IF(C5&lt;=TabS!$G$18,TabS!$H$18,IF(C5&lt;=TabS!$G$19,TabS!$H$19,IF(C5&lt;=TabS!$G$20,TabS!$H$20,IF(C5&lt;=TabS!$G$21,TabS!$H$21,IF(C5&lt;=TabS!$G$22,TabS!$H$22))))))</f>
        <v>0.06</v>
      </c>
      <c r="D32" s="133">
        <f>IF(D5&lt;=TabS!$G$17,TabS!$H$17,IF(D5&lt;=TabS!$G$18,TabS!$H$18,IF(D5&lt;=TabS!$G$19,TabS!$H$19,IF(D5&lt;=TabS!$G$20,TabS!$H$20,IF(D5&lt;=TabS!$G$21,TabS!$H$21,IF(D5&lt;=TabS!$G$22,TabS!$H$22))))))</f>
        <v>0.06</v>
      </c>
      <c r="E32" s="133">
        <f>IF(E5&lt;=TabS!$G$17,TabS!$H$17,IF(E5&lt;=TabS!$G$18,TabS!$H$18,IF(E5&lt;=TabS!$G$19,TabS!$H$19,IF(E5&lt;=TabS!$G$20,TabS!$H$20,IF(E5&lt;=TabS!$G$21,TabS!$H$21,IF(E5&lt;=TabS!$G$22,TabS!$H$22))))))</f>
        <v>0.06</v>
      </c>
      <c r="F32" s="133">
        <f>IF(F5&lt;=TabS!$G$17,TabS!$H$17,IF(F5&lt;=TabS!$G$18,TabS!$H$18,IF(F5&lt;=TabS!$G$19,TabS!$H$19,IF(F5&lt;=TabS!$G$20,TabS!$H$20,IF(F5&lt;=TabS!$G$21,TabS!$H$21,IF(F5&lt;=TabS!$G$22,TabS!$H$22))))))</f>
        <v>0.06</v>
      </c>
      <c r="G32" s="133">
        <f>IF(G5&lt;=TabS!$G$17,TabS!$H$17,IF(G5&lt;=TabS!$G$18,TabS!$H$18,IF(G5&lt;=TabS!$G$19,TabS!$H$19,IF(G5&lt;=TabS!$G$20,TabS!$H$20,IF(G5&lt;=TabS!$G$21,TabS!$H$21,IF(G5&lt;=TabS!$G$22,TabS!$H$22))))))</f>
        <v>0.06</v>
      </c>
      <c r="H32" s="133">
        <f>IF(H5&lt;=TabS!$G$17,TabS!$H$17,IF(H5&lt;=TabS!$G$18,TabS!$H$18,IF(H5&lt;=TabS!$G$19,TabS!$H$19,IF(H5&lt;=TabS!$G$20,TabS!$H$20,IF(H5&lt;=TabS!$G$21,TabS!$H$21,IF(H5&lt;=TabS!$G$22,TabS!$H$22))))))</f>
        <v>0.06</v>
      </c>
      <c r="I32" s="133">
        <f>IF(I5&lt;=TabS!$G$17,TabS!$H$17,IF(I5&lt;=TabS!$G$18,TabS!$H$18,IF(I5&lt;=TabS!$G$19,TabS!$H$19,IF(I5&lt;=TabS!$G$20,TabS!$H$20,IF(I5&lt;=TabS!$G$21,TabS!$H$21,IF(I5&lt;=TabS!$G$22,TabS!$H$22))))))</f>
        <v>0.06</v>
      </c>
      <c r="J32" s="133">
        <f>IF(J5&lt;=TabS!$G$17,TabS!$H$17,IF(J5&lt;=TabS!$G$18,TabS!$H$18,IF(J5&lt;=TabS!$G$19,TabS!$H$19,IF(J5&lt;=TabS!$G$20,TabS!$H$20,IF(J5&lt;=TabS!$G$21,TabS!$H$21,IF(J5&lt;=TabS!$G$22,TabS!$H$22))))))</f>
        <v>0.06</v>
      </c>
      <c r="K32" s="133">
        <f>IF(K5&lt;=TabS!$G$17,TabS!$H$17,IF(K5&lt;=TabS!$G$18,TabS!$H$18,IF(K5&lt;=TabS!$G$19,TabS!$H$19,IF(K5&lt;=TabS!$G$20,TabS!$H$20,IF(K5&lt;=TabS!$G$21,TabS!$H$21,IF(K5&lt;=TabS!$G$22,TabS!$H$22))))))</f>
        <v>0.06</v>
      </c>
      <c r="L32" s="133">
        <f>IF(L5&lt;=TabS!$G$17,TabS!$H$17,IF(L5&lt;=TabS!$G$18,TabS!$H$18,IF(L5&lt;=TabS!$G$19,TabS!$H$19,IF(L5&lt;=TabS!$G$20,TabS!$H$20,IF(L5&lt;=TabS!$G$21,TabS!$H$21,IF(L5&lt;=TabS!$G$22,TabS!$H$22))))))</f>
        <v>0.06</v>
      </c>
      <c r="M32" s="133">
        <f>IF(M5&lt;=TabS!$G$17,TabS!$H$17,IF(M5&lt;=TabS!$G$18,TabS!$H$18,IF(M5&lt;=TabS!$G$19,TabS!$H$19,IF(M5&lt;=TabS!$G$20,TabS!$H$20,IF(M5&lt;=TabS!$G$21,TabS!$H$21,IF(M5&lt;=TabS!$G$22,TabS!$H$22))))))</f>
        <v>0.06</v>
      </c>
      <c r="N32" s="133">
        <f>IF(N5&lt;=TabS!$G$17,TabS!$H$17,IF(N5&lt;=TabS!$G$18,TabS!$H$18,IF(N5&lt;=TabS!$G$19,TabS!$H$19,IF(N5&lt;=TabS!$G$20,TabS!$H$20,IF(N5&lt;=TabS!$G$21,TabS!$H$21,IF(N5&lt;=TabS!$G$22,TabS!$H$22))))))</f>
        <v>0.06</v>
      </c>
      <c r="O32" s="134">
        <f t="shared" si="18"/>
        <v>0.7200000000000002</v>
      </c>
      <c r="Q32" s="144" t="s">
        <v>121</v>
      </c>
      <c r="R32" s="133">
        <f>IF(C5&gt;TabS!$G$21,TabS!$H$21,0)</f>
        <v>0</v>
      </c>
      <c r="S32" s="133">
        <f>IF(D5&gt;TabS!$G$21,TabS!$H$21,0)</f>
        <v>0</v>
      </c>
      <c r="T32" s="133">
        <f>IF(E5&gt;TabS!$G$21,TabS!$H$21,0)</f>
        <v>0</v>
      </c>
      <c r="U32" s="133">
        <f>IF(F5&gt;TabS!$G$21,TabS!$H$21,0)</f>
        <v>0</v>
      </c>
      <c r="V32" s="133">
        <f>IF(G5&gt;TabS!$G$21,TabS!$H$21,0)</f>
        <v>0</v>
      </c>
      <c r="W32" s="133">
        <f>IF(H5&gt;TabS!$G$21,TabS!$H$21,0)</f>
        <v>0</v>
      </c>
      <c r="X32" s="133">
        <f>IF(I5&gt;TabS!$G$21,TabS!$H$21,0)</f>
        <v>0</v>
      </c>
      <c r="Y32" s="133">
        <f>IF(J5&gt;TabS!$G$21,TabS!$H$21,0)</f>
        <v>0</v>
      </c>
      <c r="Z32" s="133">
        <f>IF(K5&gt;TabS!$G$21,TabS!$H$21,0)</f>
        <v>0</v>
      </c>
      <c r="AA32" s="133">
        <f>IF(L5&gt;TabS!$G$21,TabS!$H$21,0)</f>
        <v>0</v>
      </c>
      <c r="AB32" s="133">
        <f>IF(M5&gt;TabS!$G$21,TabS!$H$21,0)</f>
        <v>0</v>
      </c>
      <c r="AC32" s="133">
        <f>IF(N5&gt;TabS!$G$21,TabS!$H$21,0)</f>
        <v>0</v>
      </c>
      <c r="AD32" s="134">
        <f t="shared" si="20"/>
        <v>0</v>
      </c>
    </row>
    <row r="33" spans="2:30" ht="20.100000000000001" customHeight="1" x14ac:dyDescent="0.25">
      <c r="B33" s="19" t="s">
        <v>122</v>
      </c>
      <c r="C33" s="132">
        <f>IF(C5&lt;=TabS!$G$17,TabS!$I$17,IF(C5&lt;=TabS!$G$18,TabS!$I$18,IF(C5&lt;=TabS!$G$19,TabS!$I$19,IF(C5&lt;=TabS!$G$20,TabS!$I$20,IF(C5&lt;=TabS!$G$21,TabS!$I$21,IF(C5&lt;=TabS!$G$22,TabS!$I$22))))))</f>
        <v>0</v>
      </c>
      <c r="D33" s="132">
        <f>IF(D5&lt;=TabS!$G$17,TabS!$I$17,IF(D5&lt;=TabS!$G$18,TabS!$I$18,IF(D5&lt;=TabS!$G$19,TabS!$I$19,IF(D5&lt;=TabS!$G$20,TabS!$I$20,IF(D5&lt;=TabS!$G$21,TabS!$I$21,IF(D5&lt;=TabS!$G$22,TabS!$I$22))))))</f>
        <v>0</v>
      </c>
      <c r="E33" s="132">
        <f>IF(E5&lt;=TabS!$G$17,TabS!$I$17,IF(E5&lt;=TabS!$G$18,TabS!$I$18,IF(E5&lt;=TabS!$G$19,TabS!$I$19,IF(E5&lt;=TabS!$G$20,TabS!$I$20,IF(E5&lt;=TabS!$G$21,TabS!$I$21,IF(E5&lt;=TabS!$G$22,TabS!$I$22))))))</f>
        <v>0</v>
      </c>
      <c r="F33" s="132">
        <f>IF(F5&lt;=TabS!$G$17,TabS!$I$17,IF(F5&lt;=TabS!$G$18,TabS!$I$18,IF(F5&lt;=TabS!$G$19,TabS!$I$19,IF(F5&lt;=TabS!$G$20,TabS!$I$20,IF(F5&lt;=TabS!$G$21,TabS!$I$21,IF(F5&lt;=TabS!$G$22,TabS!$I$22))))))</f>
        <v>0</v>
      </c>
      <c r="G33" s="132">
        <f>IF(G5&lt;=TabS!$G$17,TabS!$I$17,IF(G5&lt;=TabS!$G$18,TabS!$I$18,IF(G5&lt;=TabS!$G$19,TabS!$I$19,IF(G5&lt;=TabS!$G$20,TabS!$I$20,IF(G5&lt;=TabS!$G$21,TabS!$I$21,IF(G5&lt;=TabS!$G$22,TabS!$I$22))))))</f>
        <v>0</v>
      </c>
      <c r="H33" s="132">
        <f>IF(H5&lt;=TabS!$G$17,TabS!$I$17,IF(H5&lt;=TabS!$G$18,TabS!$I$18,IF(H5&lt;=TabS!$G$19,TabS!$I$19,IF(H5&lt;=TabS!$G$20,TabS!$I$20,IF(H5&lt;=TabS!$G$21,TabS!$I$21,IF(H5&lt;=TabS!$G$22,TabS!$I$22))))))</f>
        <v>0</v>
      </c>
      <c r="I33" s="132">
        <f>IF(I5&lt;=TabS!$G$17,TabS!$I$17,IF(I5&lt;=TabS!$G$18,TabS!$I$18,IF(I5&lt;=TabS!$G$19,TabS!$I$19,IF(I5&lt;=TabS!$G$20,TabS!$I$20,IF(I5&lt;=TabS!$G$21,TabS!$I$21,IF(I5&lt;=TabS!$G$22,TabS!$I$22))))))</f>
        <v>0</v>
      </c>
      <c r="J33" s="132">
        <f>IF(J5&lt;=TabS!$G$17,TabS!$I$17,IF(J5&lt;=TabS!$G$18,TabS!$I$18,IF(J5&lt;=TabS!$G$19,TabS!$I$19,IF(J5&lt;=TabS!$G$20,TabS!$I$20,IF(J5&lt;=TabS!$G$21,TabS!$I$21,IF(J5&lt;=TabS!$G$22,TabS!$I$22))))))</f>
        <v>0</v>
      </c>
      <c r="K33" s="132">
        <f>IF(K5&lt;=TabS!$G$17,TabS!$I$17,IF(K5&lt;=TabS!$G$18,TabS!$I$18,IF(K5&lt;=TabS!$G$19,TabS!$I$19,IF(K5&lt;=TabS!$G$20,TabS!$I$20,IF(K5&lt;=TabS!$G$21,TabS!$I$21,IF(K5&lt;=TabS!$G$22,TabS!$I$22))))))</f>
        <v>0</v>
      </c>
      <c r="L33" s="132">
        <f>IF(L5&lt;=TabS!$G$17,TabS!$I$17,IF(L5&lt;=TabS!$G$18,TabS!$I$18,IF(L5&lt;=TabS!$G$19,TabS!$I$19,IF(L5&lt;=TabS!$G$20,TabS!$I$20,IF(L5&lt;=TabS!$G$21,TabS!$I$21,IF(L5&lt;=TabS!$G$22,TabS!$I$22))))))</f>
        <v>0</v>
      </c>
      <c r="M33" s="132">
        <f>IF(M5&lt;=TabS!$G$17,TabS!$I$17,IF(M5&lt;=TabS!$G$18,TabS!$I$18,IF(M5&lt;=TabS!$G$19,TabS!$I$19,IF(M5&lt;=TabS!$G$20,TabS!$I$20,IF(M5&lt;=TabS!$G$21,TabS!$I$21,IF(M5&lt;=TabS!$G$22,TabS!$I$22))))))</f>
        <v>0</v>
      </c>
      <c r="N33" s="132">
        <f>IF(N5&lt;=TabS!$G$17,TabS!$I$17,IF(N5&lt;=TabS!$G$18,TabS!$I$18,IF(N5&lt;=TabS!$G$19,TabS!$I$19,IF(N5&lt;=TabS!$G$20,TabS!$I$20,IF(N5&lt;=TabS!$G$21,TabS!$I$21,IF(N5&lt;=TabS!$G$22,TabS!$I$22))))))</f>
        <v>0</v>
      </c>
      <c r="O33" s="119">
        <f t="shared" si="18"/>
        <v>0</v>
      </c>
      <c r="Q33" s="144" t="s">
        <v>122</v>
      </c>
      <c r="R33" s="132">
        <f>IF(C5&gt;TabS!$G$21,TabS!$I$21,0)</f>
        <v>0</v>
      </c>
      <c r="S33" s="132">
        <f>IF(D5&gt;TabS!$G$21,TabS!$I$21,0)</f>
        <v>0</v>
      </c>
      <c r="T33" s="132">
        <f>IF(E5&gt;TabS!$G$21,TabS!$I$21,0)</f>
        <v>0</v>
      </c>
      <c r="U33" s="132">
        <f>IF(F5&gt;TabS!$G$21,TabS!$I$21,0)</f>
        <v>0</v>
      </c>
      <c r="V33" s="132">
        <f>IF(G5&gt;TabS!$G$21,TabS!$I$21,0)</f>
        <v>0</v>
      </c>
      <c r="W33" s="132">
        <f>IF(H5&gt;TabS!$G$21,TabS!$I$21,0)</f>
        <v>0</v>
      </c>
      <c r="X33" s="132">
        <f>IF(I5&gt;TabS!$G$21,TabS!$I$21,0)</f>
        <v>0</v>
      </c>
      <c r="Y33" s="132">
        <f>IF(J5&gt;TabS!$G$21,TabS!$I$21,0)</f>
        <v>0</v>
      </c>
      <c r="Z33" s="132">
        <f>IF(K5&gt;TabS!$G$21,TabS!$I$21,0)</f>
        <v>0</v>
      </c>
      <c r="AA33" s="132">
        <f>IF(L5&gt;TabS!$G$21,TabS!$I$21,0)</f>
        <v>0</v>
      </c>
      <c r="AB33" s="132">
        <f>IF(M5&gt;TabS!$G$21,TabS!$I$21,0)</f>
        <v>0</v>
      </c>
      <c r="AC33" s="132">
        <f>IF(N5&gt;TabS!$G$21,TabS!$I$21,0)</f>
        <v>0</v>
      </c>
      <c r="AD33" s="119">
        <f t="shared" si="20"/>
        <v>0</v>
      </c>
    </row>
    <row r="34" spans="2:30" ht="20.100000000000001" customHeight="1" x14ac:dyDescent="0.25">
      <c r="B34" s="49" t="s">
        <v>123</v>
      </c>
      <c r="C34" s="135">
        <f>IFERROR(C36/C5,0)</f>
        <v>0</v>
      </c>
      <c r="D34" s="135">
        <f t="shared" ref="D34:N34" si="21">IFERROR(D36/D5,0)</f>
        <v>0</v>
      </c>
      <c r="E34" s="135">
        <f t="shared" si="21"/>
        <v>0</v>
      </c>
      <c r="F34" s="135">
        <f t="shared" si="21"/>
        <v>0</v>
      </c>
      <c r="G34" s="135">
        <f t="shared" si="21"/>
        <v>0</v>
      </c>
      <c r="H34" s="135">
        <f t="shared" si="21"/>
        <v>0</v>
      </c>
      <c r="I34" s="135">
        <f t="shared" si="21"/>
        <v>0</v>
      </c>
      <c r="J34" s="135">
        <f t="shared" si="21"/>
        <v>0</v>
      </c>
      <c r="K34" s="135">
        <f t="shared" si="21"/>
        <v>0</v>
      </c>
      <c r="L34" s="135">
        <f t="shared" si="21"/>
        <v>0</v>
      </c>
      <c r="M34" s="135">
        <f t="shared" si="21"/>
        <v>0</v>
      </c>
      <c r="N34" s="135">
        <f t="shared" si="21"/>
        <v>0</v>
      </c>
      <c r="O34" s="136">
        <f t="shared" si="18"/>
        <v>0</v>
      </c>
      <c r="Q34" s="130" t="s">
        <v>123</v>
      </c>
      <c r="R34" s="135">
        <f>IFERROR(R36/C5,0)</f>
        <v>0</v>
      </c>
      <c r="S34" s="135">
        <f t="shared" ref="S34:AC34" si="22">IFERROR(S36/D5,0)</f>
        <v>0</v>
      </c>
      <c r="T34" s="135">
        <f t="shared" si="22"/>
        <v>0</v>
      </c>
      <c r="U34" s="135">
        <f t="shared" si="22"/>
        <v>0</v>
      </c>
      <c r="V34" s="135">
        <f t="shared" si="22"/>
        <v>0</v>
      </c>
      <c r="W34" s="135">
        <f t="shared" si="22"/>
        <v>0</v>
      </c>
      <c r="X34" s="135">
        <f t="shared" si="22"/>
        <v>0</v>
      </c>
      <c r="Y34" s="135">
        <f t="shared" si="22"/>
        <v>0</v>
      </c>
      <c r="Z34" s="135">
        <f t="shared" si="22"/>
        <v>0</v>
      </c>
      <c r="AA34" s="135">
        <f t="shared" si="22"/>
        <v>0</v>
      </c>
      <c r="AB34" s="135">
        <f t="shared" si="22"/>
        <v>0</v>
      </c>
      <c r="AC34" s="135">
        <f t="shared" si="22"/>
        <v>0</v>
      </c>
      <c r="AD34" s="136">
        <f t="shared" si="20"/>
        <v>0</v>
      </c>
    </row>
    <row r="35" spans="2:30" ht="20.100000000000001" customHeight="1" x14ac:dyDescent="0.25">
      <c r="B35" s="161" t="s">
        <v>125</v>
      </c>
      <c r="C35" s="137">
        <f>C31*C34</f>
        <v>0</v>
      </c>
      <c r="D35" s="137">
        <f t="shared" ref="D35:N35" si="23">D31*D34</f>
        <v>0</v>
      </c>
      <c r="E35" s="137">
        <f t="shared" si="23"/>
        <v>0</v>
      </c>
      <c r="F35" s="137">
        <f t="shared" si="23"/>
        <v>0</v>
      </c>
      <c r="G35" s="137">
        <f t="shared" si="23"/>
        <v>0</v>
      </c>
      <c r="H35" s="137">
        <f t="shared" si="23"/>
        <v>0</v>
      </c>
      <c r="I35" s="137">
        <f t="shared" si="23"/>
        <v>0</v>
      </c>
      <c r="J35" s="137">
        <f t="shared" si="23"/>
        <v>0</v>
      </c>
      <c r="K35" s="137">
        <f t="shared" si="23"/>
        <v>0</v>
      </c>
      <c r="L35" s="137">
        <f t="shared" si="23"/>
        <v>0</v>
      </c>
      <c r="M35" s="137">
        <f t="shared" si="23"/>
        <v>0</v>
      </c>
      <c r="N35" s="137">
        <f t="shared" si="23"/>
        <v>0</v>
      </c>
      <c r="O35" s="138">
        <f>SUM(C35:N35)</f>
        <v>0</v>
      </c>
      <c r="Q35" s="146" t="s">
        <v>125</v>
      </c>
      <c r="R35" s="137">
        <f>R31*R34</f>
        <v>0</v>
      </c>
      <c r="S35" s="137">
        <f t="shared" ref="S35:AC35" si="24">S31*S34</f>
        <v>0</v>
      </c>
      <c r="T35" s="137">
        <f t="shared" si="24"/>
        <v>0</v>
      </c>
      <c r="U35" s="137">
        <f t="shared" si="24"/>
        <v>0</v>
      </c>
      <c r="V35" s="137">
        <f t="shared" si="24"/>
        <v>0</v>
      </c>
      <c r="W35" s="137">
        <f t="shared" si="24"/>
        <v>0</v>
      </c>
      <c r="X35" s="137">
        <f t="shared" si="24"/>
        <v>0</v>
      </c>
      <c r="Y35" s="137">
        <f t="shared" si="24"/>
        <v>0</v>
      </c>
      <c r="Z35" s="137">
        <f t="shared" si="24"/>
        <v>0</v>
      </c>
      <c r="AA35" s="137">
        <f t="shared" si="24"/>
        <v>0</v>
      </c>
      <c r="AB35" s="137">
        <f t="shared" si="24"/>
        <v>0</v>
      </c>
      <c r="AC35" s="137">
        <f t="shared" si="24"/>
        <v>0</v>
      </c>
      <c r="AD35" s="138">
        <f t="shared" si="20"/>
        <v>0</v>
      </c>
    </row>
    <row r="36" spans="2:30" ht="20.100000000000001" customHeight="1" x14ac:dyDescent="0.25">
      <c r="B36" s="19" t="s">
        <v>124</v>
      </c>
      <c r="C36" s="132">
        <f>IFERROR((C5*C32)-C33,0)</f>
        <v>0</v>
      </c>
      <c r="D36" s="132">
        <f t="shared" ref="D36:N36" si="25">IFERROR((D5*D32)-D33,0)</f>
        <v>0</v>
      </c>
      <c r="E36" s="132">
        <f t="shared" si="25"/>
        <v>0</v>
      </c>
      <c r="F36" s="132">
        <f t="shared" si="25"/>
        <v>0</v>
      </c>
      <c r="G36" s="132">
        <f t="shared" si="25"/>
        <v>0</v>
      </c>
      <c r="H36" s="132">
        <f t="shared" si="25"/>
        <v>0</v>
      </c>
      <c r="I36" s="132">
        <f t="shared" si="25"/>
        <v>0</v>
      </c>
      <c r="J36" s="132">
        <f t="shared" si="25"/>
        <v>0</v>
      </c>
      <c r="K36" s="132">
        <f t="shared" si="25"/>
        <v>0</v>
      </c>
      <c r="L36" s="132">
        <f t="shared" si="25"/>
        <v>0</v>
      </c>
      <c r="M36" s="132">
        <f t="shared" si="25"/>
        <v>0</v>
      </c>
      <c r="N36" s="132">
        <f t="shared" si="25"/>
        <v>0</v>
      </c>
      <c r="O36" s="119">
        <f t="shared" si="18"/>
        <v>0</v>
      </c>
      <c r="Q36" s="144" t="s">
        <v>124</v>
      </c>
      <c r="R36" s="132">
        <f>IFERROR((C5*R32)-R33,0)</f>
        <v>0</v>
      </c>
      <c r="S36" s="132">
        <f t="shared" ref="S36:AC36" si="26">IFERROR((D5*S32)-S33,0)</f>
        <v>0</v>
      </c>
      <c r="T36" s="132">
        <f t="shared" si="26"/>
        <v>0</v>
      </c>
      <c r="U36" s="132">
        <f t="shared" si="26"/>
        <v>0</v>
      </c>
      <c r="V36" s="132">
        <f t="shared" si="26"/>
        <v>0</v>
      </c>
      <c r="W36" s="132">
        <f t="shared" si="26"/>
        <v>0</v>
      </c>
      <c r="X36" s="132">
        <f t="shared" si="26"/>
        <v>0</v>
      </c>
      <c r="Y36" s="132">
        <f t="shared" si="26"/>
        <v>0</v>
      </c>
      <c r="Z36" s="132">
        <f t="shared" si="26"/>
        <v>0</v>
      </c>
      <c r="AA36" s="132">
        <f t="shared" si="26"/>
        <v>0</v>
      </c>
      <c r="AB36" s="132">
        <f t="shared" si="26"/>
        <v>0</v>
      </c>
      <c r="AC36" s="132">
        <f t="shared" si="26"/>
        <v>0</v>
      </c>
      <c r="AD36" s="119">
        <f t="shared" si="20"/>
        <v>0</v>
      </c>
    </row>
    <row r="37" spans="2:30" ht="20.100000000000001" customHeight="1" x14ac:dyDescent="0.25">
      <c r="B37" s="112" t="s">
        <v>82</v>
      </c>
      <c r="C37" s="112" t="s">
        <v>83</v>
      </c>
      <c r="D37" s="112" t="s">
        <v>84</v>
      </c>
      <c r="E37" s="112" t="s">
        <v>85</v>
      </c>
      <c r="F37" s="112" t="s">
        <v>86</v>
      </c>
      <c r="G37" s="112" t="s">
        <v>87</v>
      </c>
      <c r="H37" s="112" t="s">
        <v>88</v>
      </c>
      <c r="I37" s="112" t="s">
        <v>89</v>
      </c>
      <c r="J37" s="112" t="s">
        <v>90</v>
      </c>
      <c r="K37" s="112" t="s">
        <v>91</v>
      </c>
      <c r="L37" s="112" t="s">
        <v>92</v>
      </c>
      <c r="M37" s="112" t="s">
        <v>93</v>
      </c>
      <c r="N37" s="112" t="s">
        <v>94</v>
      </c>
      <c r="O37" s="112" t="s">
        <v>95</v>
      </c>
      <c r="Q37" s="145" t="s">
        <v>82</v>
      </c>
      <c r="R37" s="112" t="s">
        <v>83</v>
      </c>
      <c r="S37" s="112" t="s">
        <v>84</v>
      </c>
      <c r="T37" s="112" t="s">
        <v>85</v>
      </c>
      <c r="U37" s="112" t="s">
        <v>86</v>
      </c>
      <c r="V37" s="112" t="s">
        <v>87</v>
      </c>
      <c r="W37" s="112" t="s">
        <v>88</v>
      </c>
      <c r="X37" s="112" t="s">
        <v>89</v>
      </c>
      <c r="Y37" s="112" t="s">
        <v>90</v>
      </c>
      <c r="Z37" s="112" t="s">
        <v>91</v>
      </c>
      <c r="AA37" s="112" t="s">
        <v>92</v>
      </c>
      <c r="AB37" s="112" t="s">
        <v>93</v>
      </c>
      <c r="AC37" s="112" t="s">
        <v>94</v>
      </c>
      <c r="AD37" s="112" t="s">
        <v>95</v>
      </c>
    </row>
    <row r="38" spans="2:30" ht="20.100000000000001" customHeight="1" x14ac:dyDescent="0.25">
      <c r="B38" s="19" t="s">
        <v>76</v>
      </c>
      <c r="C38" s="132">
        <f>C12</f>
        <v>0</v>
      </c>
      <c r="D38" s="132">
        <f t="shared" ref="D38:N38" si="27">D12</f>
        <v>0</v>
      </c>
      <c r="E38" s="132">
        <f t="shared" si="27"/>
        <v>0</v>
      </c>
      <c r="F38" s="132">
        <f t="shared" si="27"/>
        <v>0</v>
      </c>
      <c r="G38" s="132">
        <f t="shared" si="27"/>
        <v>0</v>
      </c>
      <c r="H38" s="132">
        <f t="shared" si="27"/>
        <v>0</v>
      </c>
      <c r="I38" s="132">
        <f t="shared" si="27"/>
        <v>0</v>
      </c>
      <c r="J38" s="132">
        <f t="shared" si="27"/>
        <v>0</v>
      </c>
      <c r="K38" s="132">
        <f t="shared" si="27"/>
        <v>0</v>
      </c>
      <c r="L38" s="132">
        <f t="shared" si="27"/>
        <v>0</v>
      </c>
      <c r="M38" s="132">
        <f t="shared" si="27"/>
        <v>0</v>
      </c>
      <c r="N38" s="132">
        <f t="shared" si="27"/>
        <v>0</v>
      </c>
      <c r="O38" s="119">
        <f t="shared" ref="O38:O43" si="28">SUM(C38:N38)</f>
        <v>0</v>
      </c>
      <c r="Q38" s="144" t="s">
        <v>76</v>
      </c>
      <c r="R38" s="132">
        <f>C12</f>
        <v>0</v>
      </c>
      <c r="S38" s="132">
        <f t="shared" ref="S38:AC38" si="29">D12</f>
        <v>0</v>
      </c>
      <c r="T38" s="132">
        <f t="shared" si="29"/>
        <v>0</v>
      </c>
      <c r="U38" s="132">
        <f t="shared" si="29"/>
        <v>0</v>
      </c>
      <c r="V38" s="132">
        <f t="shared" si="29"/>
        <v>0</v>
      </c>
      <c r="W38" s="132">
        <f t="shared" si="29"/>
        <v>0</v>
      </c>
      <c r="X38" s="132">
        <f t="shared" si="29"/>
        <v>0</v>
      </c>
      <c r="Y38" s="132">
        <f t="shared" si="29"/>
        <v>0</v>
      </c>
      <c r="Z38" s="132">
        <f t="shared" si="29"/>
        <v>0</v>
      </c>
      <c r="AA38" s="132">
        <f t="shared" si="29"/>
        <v>0</v>
      </c>
      <c r="AB38" s="132">
        <f t="shared" si="29"/>
        <v>0</v>
      </c>
      <c r="AC38" s="132">
        <f t="shared" si="29"/>
        <v>0</v>
      </c>
      <c r="AD38" s="119">
        <f t="shared" ref="AD38:AD43" si="30">SUM(R38:AC38)</f>
        <v>0</v>
      </c>
    </row>
    <row r="39" spans="2:30" ht="20.100000000000001" customHeight="1" x14ac:dyDescent="0.25">
      <c r="B39" s="19" t="s">
        <v>121</v>
      </c>
      <c r="C39" s="133">
        <f>IF(C5&lt;=TabS!$G$23,TabS!$H$23,IF(C5&lt;=TabS!$G$24,TabS!$H$24,IF(C5&lt;=TabS!$G$25,TabS!$H$25,IF(C5&lt;=TabS!$G$26,TabS!$H$26,IF(C5&lt;=TabS!$G$27,TabS!$H$27,IF(C5&lt;=TabS!$G$28,TabS!$H$28))))))</f>
        <v>4.4999999999999998E-2</v>
      </c>
      <c r="D39" s="133">
        <f>IF(D5&lt;=TabS!$G$23,TabS!$H$23,IF(D5&lt;=TabS!$G$24,TabS!$H$24,IF(D5&lt;=TabS!$G$25,TabS!$H$25,IF(D5&lt;=TabS!$G$26,TabS!$H$26,IF(D5&lt;=TabS!$G$27,TabS!$H$27,IF(D5&lt;=TabS!$G$28,TabS!$H$28))))))</f>
        <v>4.4999999999999998E-2</v>
      </c>
      <c r="E39" s="133">
        <f>IF(E5&lt;=TabS!$G$23,TabS!$H$23,IF(E5&lt;=TabS!$G$24,TabS!$H$24,IF(E5&lt;=TabS!$G$25,TabS!$H$25,IF(E5&lt;=TabS!$G$26,TabS!$H$26,IF(E5&lt;=TabS!$G$27,TabS!$H$27,IF(E5&lt;=TabS!$G$28,TabS!$H$28))))))</f>
        <v>4.4999999999999998E-2</v>
      </c>
      <c r="F39" s="133">
        <f>IF(F5&lt;=TabS!$G$23,TabS!$H$23,IF(F5&lt;=TabS!$G$24,TabS!$H$24,IF(F5&lt;=TabS!$G$25,TabS!$H$25,IF(F5&lt;=TabS!$G$26,TabS!$H$26,IF(F5&lt;=TabS!$G$27,TabS!$H$27,IF(F5&lt;=TabS!$G$28,TabS!$H$28))))))</f>
        <v>4.4999999999999998E-2</v>
      </c>
      <c r="G39" s="133">
        <f>IF(G5&lt;=TabS!$G$23,TabS!$H$23,IF(G5&lt;=TabS!$G$24,TabS!$H$24,IF(G5&lt;=TabS!$G$25,TabS!$H$25,IF(G5&lt;=TabS!$G$26,TabS!$H$26,IF(G5&lt;=TabS!$G$27,TabS!$H$27,IF(G5&lt;=TabS!$G$28,TabS!$H$28))))))</f>
        <v>4.4999999999999998E-2</v>
      </c>
      <c r="H39" s="133">
        <f>IF(H5&lt;=TabS!$G$23,TabS!$H$23,IF(H5&lt;=TabS!$G$24,TabS!$H$24,IF(H5&lt;=TabS!$G$25,TabS!$H$25,IF(H5&lt;=TabS!$G$26,TabS!$H$26,IF(H5&lt;=TabS!$G$27,TabS!$H$27,IF(H5&lt;=TabS!$G$28,TabS!$H$28))))))</f>
        <v>4.4999999999999998E-2</v>
      </c>
      <c r="I39" s="133">
        <f>IF(I5&lt;=TabS!$G$23,TabS!$H$23,IF(I5&lt;=TabS!$G$24,TabS!$H$24,IF(I5&lt;=TabS!$G$25,TabS!$H$25,IF(I5&lt;=TabS!$G$26,TabS!$H$26,IF(I5&lt;=TabS!$G$27,TabS!$H$27,IF(I5&lt;=TabS!$G$28,TabS!$H$28))))))</f>
        <v>4.4999999999999998E-2</v>
      </c>
      <c r="J39" s="133">
        <f>IF(J5&lt;=TabS!$G$23,TabS!$H$23,IF(J5&lt;=TabS!$G$24,TabS!$H$24,IF(J5&lt;=TabS!$G$25,TabS!$H$25,IF(J5&lt;=TabS!$G$26,TabS!$H$26,IF(J5&lt;=TabS!$G$27,TabS!$H$27,IF(J5&lt;=TabS!$G$28,TabS!$H$28))))))</f>
        <v>4.4999999999999998E-2</v>
      </c>
      <c r="K39" s="133">
        <f>IF(K5&lt;=TabS!$G$23,TabS!$H$23,IF(K5&lt;=TabS!$G$24,TabS!$H$24,IF(K5&lt;=TabS!$G$25,TabS!$H$25,IF(K5&lt;=TabS!$G$26,TabS!$H$26,IF(K5&lt;=TabS!$G$27,TabS!$H$27,IF(K5&lt;=TabS!$G$28,TabS!$H$28))))))</f>
        <v>4.4999999999999998E-2</v>
      </c>
      <c r="L39" s="133">
        <f>IF(L5&lt;=TabS!$G$23,TabS!$H$23,IF(L5&lt;=TabS!$G$24,TabS!$H$24,IF(L5&lt;=TabS!$G$25,TabS!$H$25,IF(L5&lt;=TabS!$G$26,TabS!$H$26,IF(L5&lt;=TabS!$G$27,TabS!$H$27,IF(L5&lt;=TabS!$G$28,TabS!$H$28))))))</f>
        <v>4.4999999999999998E-2</v>
      </c>
      <c r="M39" s="133">
        <f>IF(M5&lt;=TabS!$G$23,TabS!$H$23,IF(M5&lt;=TabS!$G$24,TabS!$H$24,IF(M5&lt;=TabS!$G$25,TabS!$H$25,IF(M5&lt;=TabS!$G$26,TabS!$H$26,IF(M5&lt;=TabS!$G$27,TabS!$H$27,IF(M5&lt;=TabS!$G$28,TabS!$H$28))))))</f>
        <v>4.4999999999999998E-2</v>
      </c>
      <c r="N39" s="133">
        <f>IF(N5&lt;=TabS!$G$23,TabS!$H$23,IF(N5&lt;=TabS!$G$24,TabS!$H$24,IF(N5&lt;=TabS!$G$25,TabS!$H$25,IF(N5&lt;=TabS!$G$26,TabS!$H$26,IF(N5&lt;=TabS!$G$27,TabS!$H$27,IF(N5&lt;=TabS!$G$28,TabS!$H$28))))))</f>
        <v>4.4999999999999998E-2</v>
      </c>
      <c r="O39" s="134">
        <f t="shared" si="28"/>
        <v>0.53999999999999992</v>
      </c>
      <c r="Q39" s="144" t="s">
        <v>121</v>
      </c>
      <c r="R39" s="133">
        <f>IF(C5&gt;TabS!$G$27,TabS!$H$27,0)</f>
        <v>0</v>
      </c>
      <c r="S39" s="133">
        <f>IF(D5&gt;TabS!$G$27,TabS!$H$27,0)</f>
        <v>0</v>
      </c>
      <c r="T39" s="133">
        <f>IF(E5&gt;TabS!$G$27,TabS!$H$27,0)</f>
        <v>0</v>
      </c>
      <c r="U39" s="133">
        <f>IF(F5&gt;TabS!$G$27,TabS!$H$27,0)</f>
        <v>0</v>
      </c>
      <c r="V39" s="133">
        <f>IF(G5&gt;TabS!$G$27,TabS!$H$27,0)</f>
        <v>0</v>
      </c>
      <c r="W39" s="133">
        <f>IF(H5&gt;TabS!$G$27,TabS!$H$27,0)</f>
        <v>0</v>
      </c>
      <c r="X39" s="133">
        <f>IF(I5&gt;TabS!$G$27,TabS!$H$27,0)</f>
        <v>0</v>
      </c>
      <c r="Y39" s="133">
        <f>IF(J5&gt;TabS!$G$27,TabS!$H$27,0)</f>
        <v>0</v>
      </c>
      <c r="Z39" s="133">
        <f>IF(K5&gt;TabS!$G$27,TabS!$H$27,0)</f>
        <v>0</v>
      </c>
      <c r="AA39" s="133">
        <f>IF(L5&gt;TabS!$G$27,TabS!$H$27,0)</f>
        <v>0</v>
      </c>
      <c r="AB39" s="133">
        <f>IF(M5&gt;TabS!$G$27,TabS!$H$27,0)</f>
        <v>0</v>
      </c>
      <c r="AC39" s="133">
        <f>IF(N5&gt;TabS!$G$27,TabS!$H$27,0)</f>
        <v>0</v>
      </c>
      <c r="AD39" s="134">
        <f t="shared" si="30"/>
        <v>0</v>
      </c>
    </row>
    <row r="40" spans="2:30" ht="20.100000000000001" customHeight="1" x14ac:dyDescent="0.25">
      <c r="B40" s="19" t="s">
        <v>122</v>
      </c>
      <c r="C40" s="132">
        <f>IF(C5&lt;=TabS!$G$23,TabS!$I$23,IF(C5&lt;=TabS!$G$24,TabS!$I$24,IF(C5&lt;=TabS!$G$25,TabS!$I$25,IF(C5&lt;=TabS!$G$26,TabS!$I$26,IF(C5&lt;=TabS!$G$27,TabS!$I$27,IF(C5&lt;=TabS!$G$28,TabS!$I$28))))))</f>
        <v>0</v>
      </c>
      <c r="D40" s="132">
        <f>IF(D5&lt;=TabS!$G$23,TabS!$I$23,IF(D5&lt;=TabS!$G$24,TabS!$I$24,IF(D5&lt;=TabS!$G$25,TabS!$I$25,IF(D5&lt;=TabS!$G$26,TabS!$I$26,IF(D5&lt;=TabS!$G$27,TabS!$I$27,IF(D5&lt;=TabS!$G$28,TabS!$I$28))))))</f>
        <v>0</v>
      </c>
      <c r="E40" s="132">
        <f>IF(E5&lt;=TabS!$G$23,TabS!$I$23,IF(E5&lt;=TabS!$G$24,TabS!$I$24,IF(E5&lt;=TabS!$G$25,TabS!$I$25,IF(E5&lt;=TabS!$G$26,TabS!$I$26,IF(E5&lt;=TabS!$G$27,TabS!$I$27,IF(E5&lt;=TabS!$G$28,TabS!$I$28))))))</f>
        <v>0</v>
      </c>
      <c r="F40" s="132">
        <f>IF(F5&lt;=TabS!$G$23,TabS!$I$23,IF(F5&lt;=TabS!$G$24,TabS!$I$24,IF(F5&lt;=TabS!$G$25,TabS!$I$25,IF(F5&lt;=TabS!$G$26,TabS!$I$26,IF(F5&lt;=TabS!$G$27,TabS!$I$27,IF(F5&lt;=TabS!$G$28,TabS!$I$28))))))</f>
        <v>0</v>
      </c>
      <c r="G40" s="132">
        <f>IF(G5&lt;=TabS!$G$23,TabS!$I$23,IF(G5&lt;=TabS!$G$24,TabS!$I$24,IF(G5&lt;=TabS!$G$25,TabS!$I$25,IF(G5&lt;=TabS!$G$26,TabS!$I$26,IF(G5&lt;=TabS!$G$27,TabS!$I$27,IF(G5&lt;=TabS!$G$28,TabS!$I$28))))))</f>
        <v>0</v>
      </c>
      <c r="H40" s="132">
        <f>IF(H5&lt;=TabS!$G$23,TabS!$I$23,IF(H5&lt;=TabS!$G$24,TabS!$I$24,IF(H5&lt;=TabS!$G$25,TabS!$I$25,IF(H5&lt;=TabS!$G$26,TabS!$I$26,IF(H5&lt;=TabS!$G$27,TabS!$I$27,IF(H5&lt;=TabS!$G$28,TabS!$I$28))))))</f>
        <v>0</v>
      </c>
      <c r="I40" s="132">
        <f>IF(I5&lt;=TabS!$G$23,TabS!$I$23,IF(I5&lt;=TabS!$G$24,TabS!$I$24,IF(I5&lt;=TabS!$G$25,TabS!$I$25,IF(I5&lt;=TabS!$G$26,TabS!$I$26,IF(I5&lt;=TabS!$G$27,TabS!$I$27,IF(I5&lt;=TabS!$G$28,TabS!$I$28))))))</f>
        <v>0</v>
      </c>
      <c r="J40" s="132">
        <f>IF(J5&lt;=TabS!$G$23,TabS!$I$23,IF(J5&lt;=TabS!$G$24,TabS!$I$24,IF(J5&lt;=TabS!$G$25,TabS!$I$25,IF(J5&lt;=TabS!$G$26,TabS!$I$26,IF(J5&lt;=TabS!$G$27,TabS!$I$27,IF(J5&lt;=TabS!$G$28,TabS!$I$28))))))</f>
        <v>0</v>
      </c>
      <c r="K40" s="132">
        <f>IF(K5&lt;=TabS!$G$23,TabS!$I$23,IF(K5&lt;=TabS!$G$24,TabS!$I$24,IF(K5&lt;=TabS!$G$25,TabS!$I$25,IF(K5&lt;=TabS!$G$26,TabS!$I$26,IF(K5&lt;=TabS!$G$27,TabS!$I$27,IF(K5&lt;=TabS!$G$28,TabS!$I$28))))))</f>
        <v>0</v>
      </c>
      <c r="L40" s="132">
        <f>IF(L5&lt;=TabS!$G$23,TabS!$I$23,IF(L5&lt;=TabS!$G$24,TabS!$I$24,IF(L5&lt;=TabS!$G$25,TabS!$I$25,IF(L5&lt;=TabS!$G$26,TabS!$I$26,IF(L5&lt;=TabS!$G$27,TabS!$I$27,IF(L5&lt;=TabS!$G$28,TabS!$I$28))))))</f>
        <v>0</v>
      </c>
      <c r="M40" s="132">
        <f>IF(M5&lt;=TabS!$G$23,TabS!$I$23,IF(M5&lt;=TabS!$G$24,TabS!$I$24,IF(M5&lt;=TabS!$G$25,TabS!$I$25,IF(M5&lt;=TabS!$G$26,TabS!$I$26,IF(M5&lt;=TabS!$G$27,TabS!$I$27,IF(M5&lt;=TabS!$G$28,TabS!$I$28))))))</f>
        <v>0</v>
      </c>
      <c r="N40" s="132">
        <f>IF(N5&lt;=TabS!$G$23,TabS!$I$23,IF(N5&lt;=TabS!$G$24,TabS!$I$24,IF(N5&lt;=TabS!$G$25,TabS!$I$25,IF(N5&lt;=TabS!$G$26,TabS!$I$26,IF(N5&lt;=TabS!$G$27,TabS!$I$27,IF(N5&lt;=TabS!$G$28,TabS!$I$28))))))</f>
        <v>0</v>
      </c>
      <c r="O40" s="119">
        <f t="shared" si="28"/>
        <v>0</v>
      </c>
      <c r="Q40" s="144" t="s">
        <v>122</v>
      </c>
      <c r="R40" s="132">
        <f>IF(C5&gt;TabS!$G$27,TabS!$I$27,0)</f>
        <v>0</v>
      </c>
      <c r="S40" s="132">
        <f>IF(D5&gt;TabS!$G$27,TabS!$I$27,0)</f>
        <v>0</v>
      </c>
      <c r="T40" s="132">
        <f>IF(E5&gt;TabS!$G$27,TabS!$I$27,0)</f>
        <v>0</v>
      </c>
      <c r="U40" s="132">
        <f>IF(F5&gt;TabS!$G$27,TabS!$I$27,0)</f>
        <v>0</v>
      </c>
      <c r="V40" s="132">
        <f>IF(G5&gt;TabS!$G$27,TabS!$I$27,0)</f>
        <v>0</v>
      </c>
      <c r="W40" s="132">
        <f>IF(H5&gt;TabS!$G$27,TabS!$I$27,0)</f>
        <v>0</v>
      </c>
      <c r="X40" s="132">
        <f>IF(I5&gt;TabS!$G$27,TabS!$I$27,0)</f>
        <v>0</v>
      </c>
      <c r="Y40" s="132">
        <f>IF(J5&gt;TabS!$G$27,TabS!$I$27,0)</f>
        <v>0</v>
      </c>
      <c r="Z40" s="132">
        <f>IF(K5&gt;TabS!$G$27,TabS!$I$27,0)</f>
        <v>0</v>
      </c>
      <c r="AA40" s="132">
        <f>IF(L5&gt;TabS!$G$27,TabS!$I$27,0)</f>
        <v>0</v>
      </c>
      <c r="AB40" s="132">
        <f>IF(M5&gt;TabS!$G$27,TabS!$I$27,0)</f>
        <v>0</v>
      </c>
      <c r="AC40" s="132">
        <f>IF(N5&gt;TabS!$G$27,TabS!$I$27,0)</f>
        <v>0</v>
      </c>
      <c r="AD40" s="119">
        <f t="shared" si="30"/>
        <v>0</v>
      </c>
    </row>
    <row r="41" spans="2:30" ht="20.100000000000001" customHeight="1" x14ac:dyDescent="0.25">
      <c r="B41" s="49" t="s">
        <v>123</v>
      </c>
      <c r="C41" s="135">
        <f>IFERROR(C43/C5,0)</f>
        <v>0</v>
      </c>
      <c r="D41" s="135">
        <f t="shared" ref="D41:N41" si="31">IFERROR(D43/D5,0)</f>
        <v>0</v>
      </c>
      <c r="E41" s="135">
        <f t="shared" si="31"/>
        <v>0</v>
      </c>
      <c r="F41" s="135">
        <f t="shared" si="31"/>
        <v>0</v>
      </c>
      <c r="G41" s="135">
        <f t="shared" si="31"/>
        <v>0</v>
      </c>
      <c r="H41" s="135">
        <f t="shared" si="31"/>
        <v>0</v>
      </c>
      <c r="I41" s="135">
        <f t="shared" si="31"/>
        <v>0</v>
      </c>
      <c r="J41" s="135">
        <f t="shared" si="31"/>
        <v>0</v>
      </c>
      <c r="K41" s="135">
        <f t="shared" si="31"/>
        <v>0</v>
      </c>
      <c r="L41" s="135">
        <f t="shared" si="31"/>
        <v>0</v>
      </c>
      <c r="M41" s="135">
        <f t="shared" si="31"/>
        <v>0</v>
      </c>
      <c r="N41" s="135">
        <f t="shared" si="31"/>
        <v>0</v>
      </c>
      <c r="O41" s="136">
        <f t="shared" si="28"/>
        <v>0</v>
      </c>
      <c r="Q41" s="130" t="s">
        <v>123</v>
      </c>
      <c r="R41" s="135">
        <f>IFERROR(R43/C5,0)</f>
        <v>0</v>
      </c>
      <c r="S41" s="135">
        <f t="shared" ref="S41:AC41" si="32">IFERROR(S43/D5,0)</f>
        <v>0</v>
      </c>
      <c r="T41" s="135">
        <f t="shared" si="32"/>
        <v>0</v>
      </c>
      <c r="U41" s="135">
        <f t="shared" si="32"/>
        <v>0</v>
      </c>
      <c r="V41" s="135">
        <f t="shared" si="32"/>
        <v>0</v>
      </c>
      <c r="W41" s="135">
        <f t="shared" si="32"/>
        <v>0</v>
      </c>
      <c r="X41" s="135">
        <f t="shared" si="32"/>
        <v>0</v>
      </c>
      <c r="Y41" s="135">
        <f t="shared" si="32"/>
        <v>0</v>
      </c>
      <c r="Z41" s="135">
        <f t="shared" si="32"/>
        <v>0</v>
      </c>
      <c r="AA41" s="135">
        <f t="shared" si="32"/>
        <v>0</v>
      </c>
      <c r="AB41" s="135">
        <f t="shared" si="32"/>
        <v>0</v>
      </c>
      <c r="AC41" s="135">
        <f t="shared" si="32"/>
        <v>0</v>
      </c>
      <c r="AD41" s="136">
        <f t="shared" si="30"/>
        <v>0</v>
      </c>
    </row>
    <row r="42" spans="2:30" ht="20.100000000000001" customHeight="1" x14ac:dyDescent="0.25">
      <c r="B42" s="161" t="s">
        <v>125</v>
      </c>
      <c r="C42" s="137">
        <f>C38*C41</f>
        <v>0</v>
      </c>
      <c r="D42" s="137">
        <f t="shared" ref="D42:N42" si="33">D38*D41</f>
        <v>0</v>
      </c>
      <c r="E42" s="137">
        <f t="shared" si="33"/>
        <v>0</v>
      </c>
      <c r="F42" s="137">
        <f t="shared" si="33"/>
        <v>0</v>
      </c>
      <c r="G42" s="137">
        <f t="shared" si="33"/>
        <v>0</v>
      </c>
      <c r="H42" s="137">
        <f t="shared" si="33"/>
        <v>0</v>
      </c>
      <c r="I42" s="137">
        <f t="shared" si="33"/>
        <v>0</v>
      </c>
      <c r="J42" s="137">
        <f t="shared" si="33"/>
        <v>0</v>
      </c>
      <c r="K42" s="137">
        <f t="shared" si="33"/>
        <v>0</v>
      </c>
      <c r="L42" s="137">
        <f t="shared" si="33"/>
        <v>0</v>
      </c>
      <c r="M42" s="137">
        <f t="shared" si="33"/>
        <v>0</v>
      </c>
      <c r="N42" s="137">
        <f t="shared" si="33"/>
        <v>0</v>
      </c>
      <c r="O42" s="138">
        <f>SUM(C42:N42)</f>
        <v>0</v>
      </c>
      <c r="Q42" s="146" t="s">
        <v>125</v>
      </c>
      <c r="R42" s="137">
        <f>R38*R41</f>
        <v>0</v>
      </c>
      <c r="S42" s="137">
        <f t="shared" ref="S42:AC42" si="34">S38*S41</f>
        <v>0</v>
      </c>
      <c r="T42" s="137">
        <f t="shared" si="34"/>
        <v>0</v>
      </c>
      <c r="U42" s="137">
        <f t="shared" si="34"/>
        <v>0</v>
      </c>
      <c r="V42" s="137">
        <f t="shared" si="34"/>
        <v>0</v>
      </c>
      <c r="W42" s="137">
        <f t="shared" si="34"/>
        <v>0</v>
      </c>
      <c r="X42" s="137">
        <f t="shared" si="34"/>
        <v>0</v>
      </c>
      <c r="Y42" s="137">
        <f t="shared" si="34"/>
        <v>0</v>
      </c>
      <c r="Z42" s="137">
        <f t="shared" si="34"/>
        <v>0</v>
      </c>
      <c r="AA42" s="137">
        <f t="shared" si="34"/>
        <v>0</v>
      </c>
      <c r="AB42" s="137">
        <f t="shared" si="34"/>
        <v>0</v>
      </c>
      <c r="AC42" s="137">
        <f t="shared" si="34"/>
        <v>0</v>
      </c>
      <c r="AD42" s="138">
        <f t="shared" si="30"/>
        <v>0</v>
      </c>
    </row>
    <row r="43" spans="2:30" ht="20.100000000000001" customHeight="1" x14ac:dyDescent="0.25">
      <c r="B43" s="19" t="s">
        <v>124</v>
      </c>
      <c r="C43" s="132">
        <f>IFERROR((C5*C39)-C40,0)</f>
        <v>0</v>
      </c>
      <c r="D43" s="132">
        <f t="shared" ref="D43:N43" si="35">IFERROR((D5*D39)-D40,0)</f>
        <v>0</v>
      </c>
      <c r="E43" s="132">
        <f t="shared" si="35"/>
        <v>0</v>
      </c>
      <c r="F43" s="132">
        <f t="shared" si="35"/>
        <v>0</v>
      </c>
      <c r="G43" s="132">
        <f t="shared" si="35"/>
        <v>0</v>
      </c>
      <c r="H43" s="132">
        <f t="shared" si="35"/>
        <v>0</v>
      </c>
      <c r="I43" s="132">
        <f t="shared" si="35"/>
        <v>0</v>
      </c>
      <c r="J43" s="132">
        <f t="shared" si="35"/>
        <v>0</v>
      </c>
      <c r="K43" s="132">
        <f t="shared" si="35"/>
        <v>0</v>
      </c>
      <c r="L43" s="132">
        <f t="shared" si="35"/>
        <v>0</v>
      </c>
      <c r="M43" s="132">
        <f t="shared" si="35"/>
        <v>0</v>
      </c>
      <c r="N43" s="132">
        <f t="shared" si="35"/>
        <v>0</v>
      </c>
      <c r="O43" s="119">
        <f t="shared" si="28"/>
        <v>0</v>
      </c>
      <c r="Q43" s="144" t="s">
        <v>124</v>
      </c>
      <c r="R43" s="132">
        <f>IFERROR((C5*R39)-R40,0)</f>
        <v>0</v>
      </c>
      <c r="S43" s="132">
        <f t="shared" ref="S43:AC43" si="36">IFERROR((D5*S39)-S40,0)</f>
        <v>0</v>
      </c>
      <c r="T43" s="132">
        <f t="shared" si="36"/>
        <v>0</v>
      </c>
      <c r="U43" s="132">
        <f t="shared" si="36"/>
        <v>0</v>
      </c>
      <c r="V43" s="132">
        <f t="shared" si="36"/>
        <v>0</v>
      </c>
      <c r="W43" s="132">
        <f t="shared" si="36"/>
        <v>0</v>
      </c>
      <c r="X43" s="132">
        <f t="shared" si="36"/>
        <v>0</v>
      </c>
      <c r="Y43" s="132">
        <f t="shared" si="36"/>
        <v>0</v>
      </c>
      <c r="Z43" s="132">
        <f t="shared" si="36"/>
        <v>0</v>
      </c>
      <c r="AA43" s="132">
        <f t="shared" si="36"/>
        <v>0</v>
      </c>
      <c r="AB43" s="132">
        <f t="shared" si="36"/>
        <v>0</v>
      </c>
      <c r="AC43" s="132">
        <f t="shared" si="36"/>
        <v>0</v>
      </c>
      <c r="AD43" s="119">
        <f t="shared" si="30"/>
        <v>0</v>
      </c>
    </row>
    <row r="44" spans="2:30" ht="20.100000000000001" customHeight="1" x14ac:dyDescent="0.25">
      <c r="B44" s="112" t="s">
        <v>82</v>
      </c>
      <c r="C44" s="112" t="s">
        <v>83</v>
      </c>
      <c r="D44" s="112" t="s">
        <v>84</v>
      </c>
      <c r="E44" s="112" t="s">
        <v>85</v>
      </c>
      <c r="F44" s="112" t="s">
        <v>86</v>
      </c>
      <c r="G44" s="112" t="s">
        <v>87</v>
      </c>
      <c r="H44" s="112" t="s">
        <v>88</v>
      </c>
      <c r="I44" s="112" t="s">
        <v>89</v>
      </c>
      <c r="J44" s="112" t="s">
        <v>90</v>
      </c>
      <c r="K44" s="112" t="s">
        <v>91</v>
      </c>
      <c r="L44" s="112" t="s">
        <v>92</v>
      </c>
      <c r="M44" s="112" t="s">
        <v>93</v>
      </c>
      <c r="N44" s="112" t="s">
        <v>94</v>
      </c>
      <c r="O44" s="112" t="s">
        <v>95</v>
      </c>
    </row>
    <row r="45" spans="2:30" ht="20.100000000000001" customHeight="1" x14ac:dyDescent="0.25">
      <c r="B45" s="19" t="s">
        <v>77</v>
      </c>
      <c r="C45" s="132">
        <f>C13</f>
        <v>0</v>
      </c>
      <c r="D45" s="132">
        <f t="shared" ref="D45:N45" si="37">D13</f>
        <v>0</v>
      </c>
      <c r="E45" s="132">
        <f t="shared" si="37"/>
        <v>0</v>
      </c>
      <c r="F45" s="132">
        <f t="shared" si="37"/>
        <v>0</v>
      </c>
      <c r="G45" s="132">
        <f t="shared" si="37"/>
        <v>0</v>
      </c>
      <c r="H45" s="132">
        <f t="shared" si="37"/>
        <v>0</v>
      </c>
      <c r="I45" s="132">
        <f t="shared" si="37"/>
        <v>0</v>
      </c>
      <c r="J45" s="132">
        <f t="shared" si="37"/>
        <v>0</v>
      </c>
      <c r="K45" s="132">
        <f t="shared" si="37"/>
        <v>0</v>
      </c>
      <c r="L45" s="132">
        <f t="shared" si="37"/>
        <v>0</v>
      </c>
      <c r="M45" s="132">
        <f t="shared" si="37"/>
        <v>0</v>
      </c>
      <c r="N45" s="132">
        <f t="shared" si="37"/>
        <v>0</v>
      </c>
      <c r="O45" s="119">
        <f t="shared" ref="O45:O50" si="38">SUM(C45:N45)</f>
        <v>0</v>
      </c>
    </row>
    <row r="46" spans="2:30" ht="20.100000000000001" customHeight="1" x14ac:dyDescent="0.25">
      <c r="B46" s="19" t="s">
        <v>121</v>
      </c>
      <c r="C46" s="133">
        <f>IF(C5&lt;=TabS!$G$29,TabS!$H$29,IF(C5&lt;=TabS!$G$30,TabS!$H$30,IF(C5&lt;=TabS!$G$31,TabS!$H$31,IF(C5&lt;=TabS!$G$32,TabS!$H$32,IF(C5&lt;=TabS!$G$33,TabS!$H$33,IF(C5&lt;=TabS!$G$34,TabS!$H$34))))))</f>
        <v>0.155</v>
      </c>
      <c r="D46" s="133">
        <f>IF(D5&lt;=TabS!$G$29,TabS!$H$29,IF(D5&lt;=TabS!$G$30,TabS!$H$30,IF(D5&lt;=TabS!$G$31,TabS!$H$31,IF(D5&lt;=TabS!$G$32,TabS!$H$32,IF(D5&lt;=TabS!$G$33,TabS!$H$33,IF(D5&lt;=TabS!$G$34,TabS!$H$34))))))</f>
        <v>0.155</v>
      </c>
      <c r="E46" s="133">
        <f>IF(E5&lt;=TabS!$G$29,TabS!$H$29,IF(E5&lt;=TabS!$G$30,TabS!$H$30,IF(E5&lt;=TabS!$G$31,TabS!$H$31,IF(E5&lt;=TabS!$G$32,TabS!$H$32,IF(E5&lt;=TabS!$G$33,TabS!$H$33,IF(E5&lt;=TabS!$G$34,TabS!$H$34))))))</f>
        <v>0.155</v>
      </c>
      <c r="F46" s="133">
        <f>IF(F5&lt;=TabS!$G$29,TabS!$H$29,IF(F5&lt;=TabS!$G$30,TabS!$H$30,IF(F5&lt;=TabS!$G$31,TabS!$H$31,IF(F5&lt;=TabS!$G$32,TabS!$H$32,IF(F5&lt;=TabS!$G$33,TabS!$H$33,IF(F5&lt;=TabS!$G$34,TabS!$H$34))))))</f>
        <v>0.155</v>
      </c>
      <c r="G46" s="133">
        <f>IF(G5&lt;=TabS!$G$29,TabS!$H$29,IF(G5&lt;=TabS!$G$30,TabS!$H$30,IF(G5&lt;=TabS!$G$31,TabS!$H$31,IF(G5&lt;=TabS!$G$32,TabS!$H$32,IF(G5&lt;=TabS!$G$33,TabS!$H$33,IF(G5&lt;=TabS!$G$34,TabS!$H$34))))))</f>
        <v>0.155</v>
      </c>
      <c r="H46" s="133">
        <f>IF(H5&lt;=TabS!$G$29,TabS!$H$29,IF(H5&lt;=TabS!$G$30,TabS!$H$30,IF(H5&lt;=TabS!$G$31,TabS!$H$31,IF(H5&lt;=TabS!$G$32,TabS!$H$32,IF(H5&lt;=TabS!$G$33,TabS!$H$33,IF(H5&lt;=TabS!$G$34,TabS!$H$34))))))</f>
        <v>0.155</v>
      </c>
      <c r="I46" s="133">
        <f>IF(I5&lt;=TabS!$G$29,TabS!$H$29,IF(I5&lt;=TabS!$G$30,TabS!$H$30,IF(I5&lt;=TabS!$G$31,TabS!$H$31,IF(I5&lt;=TabS!$G$32,TabS!$H$32,IF(I5&lt;=TabS!$G$33,TabS!$H$33,IF(I5&lt;=TabS!$G$34,TabS!$H$34))))))</f>
        <v>0.155</v>
      </c>
      <c r="J46" s="133">
        <f>IF(J5&lt;=TabS!$G$29,TabS!$H$29,IF(J5&lt;=TabS!$G$30,TabS!$H$30,IF(J5&lt;=TabS!$G$31,TabS!$H$31,IF(J5&lt;=TabS!$G$32,TabS!$H$32,IF(J5&lt;=TabS!$G$33,TabS!$H$33,IF(J5&lt;=TabS!$G$34,TabS!$H$34))))))</f>
        <v>0.155</v>
      </c>
      <c r="K46" s="133">
        <f>IF(K5&lt;=TabS!$G$29,TabS!$H$29,IF(K5&lt;=TabS!$G$30,TabS!$H$30,IF(K5&lt;=TabS!$G$31,TabS!$H$31,IF(K5&lt;=TabS!$G$32,TabS!$H$32,IF(K5&lt;=TabS!$G$33,TabS!$H$33,IF(K5&lt;=TabS!$G$34,TabS!$H$34))))))</f>
        <v>0.155</v>
      </c>
      <c r="L46" s="133">
        <f>IF(L5&lt;=TabS!$G$29,TabS!$H$29,IF(L5&lt;=TabS!$G$30,TabS!$H$30,IF(L5&lt;=TabS!$G$31,TabS!$H$31,IF(L5&lt;=TabS!$G$32,TabS!$H$32,IF(L5&lt;=TabS!$G$33,TabS!$H$33,IF(L5&lt;=TabS!$G$34,TabS!$H$34))))))</f>
        <v>0.155</v>
      </c>
      <c r="M46" s="133">
        <f>IF(M5&lt;=TabS!$G$29,TabS!$H$29,IF(M5&lt;=TabS!$G$30,TabS!$H$30,IF(M5&lt;=TabS!$G$31,TabS!$H$31,IF(M5&lt;=TabS!$G$32,TabS!$H$32,IF(M5&lt;=TabS!$G$33,TabS!$H$33,IF(M5&lt;=TabS!$G$34,TabS!$H$34))))))</f>
        <v>0.155</v>
      </c>
      <c r="N46" s="133">
        <f>IF(N5&lt;=TabS!$G$29,TabS!$H$29,IF(N5&lt;=TabS!$G$30,TabS!$H$30,IF(N5&lt;=TabS!$G$31,TabS!$H$31,IF(N5&lt;=TabS!$G$32,TabS!$H$32,IF(N5&lt;=TabS!$G$33,TabS!$H$33,IF(N5&lt;=TabS!$G$34,TabS!$H$34))))))</f>
        <v>0.155</v>
      </c>
      <c r="O46" s="134">
        <f t="shared" si="38"/>
        <v>1.86</v>
      </c>
    </row>
    <row r="47" spans="2:30" ht="20.100000000000001" customHeight="1" x14ac:dyDescent="0.25">
      <c r="B47" s="19" t="s">
        <v>122</v>
      </c>
      <c r="C47" s="132">
        <f>IF(C5&lt;=TabS!$G$29,TabS!$I$29,IF(C5&lt;=TabS!$G$30,TabS!$I$30,IF(C5&lt;=TabS!$G$31,TabS!$I$31,IF(C5&lt;=TabS!$G$32,TabS!$I$32,IF(C5&lt;=TabS!$G$33,TabS!$I$33,IF(C5&lt;=TabS!$G$34,TabS!$I$34))))))</f>
        <v>0</v>
      </c>
      <c r="D47" s="132">
        <f>IF(D5&lt;=TabS!$G$29,TabS!$I$29,IF(D5&lt;=TabS!$G$30,TabS!$I$30,IF(D5&lt;=TabS!$G$31,TabS!$I$31,IF(D5&lt;=TabS!$G$32,TabS!$I$32,IF(D5&lt;=TabS!$G$33,TabS!$I$33,IF(D5&lt;=TabS!$G$34,TabS!$I$34))))))</f>
        <v>0</v>
      </c>
      <c r="E47" s="132">
        <f>IF(E5&lt;=TabS!$G$29,TabS!$I$29,IF(E5&lt;=TabS!$G$30,TabS!$I$30,IF(E5&lt;=TabS!$G$31,TabS!$I$31,IF(E5&lt;=TabS!$G$32,TabS!$I$32,IF(E5&lt;=TabS!$G$33,TabS!$I$33,IF(E5&lt;=TabS!$G$34,TabS!$I$34))))))</f>
        <v>0</v>
      </c>
      <c r="F47" s="132">
        <f>IF(F5&lt;=TabS!$G$29,TabS!$I$29,IF(F5&lt;=TabS!$G$30,TabS!$I$30,IF(F5&lt;=TabS!$G$31,TabS!$I$31,IF(F5&lt;=TabS!$G$32,TabS!$I$32,IF(F5&lt;=TabS!$G$33,TabS!$I$33,IF(F5&lt;=TabS!$G$34,TabS!$I$34))))))</f>
        <v>0</v>
      </c>
      <c r="G47" s="132">
        <f>IF(G5&lt;=TabS!$G$29,TabS!$I$29,IF(G5&lt;=TabS!$G$30,TabS!$I$30,IF(G5&lt;=TabS!$G$31,TabS!$I$31,IF(G5&lt;=TabS!$G$32,TabS!$I$32,IF(G5&lt;=TabS!$G$33,TabS!$I$33,IF(G5&lt;=TabS!$G$34,TabS!$I$34))))))</f>
        <v>0</v>
      </c>
      <c r="H47" s="132">
        <f>IF(H5&lt;=TabS!$G$29,TabS!$I$29,IF(H5&lt;=TabS!$G$30,TabS!$I$30,IF(H5&lt;=TabS!$G$31,TabS!$I$31,IF(H5&lt;=TabS!$G$32,TabS!$I$32,IF(H5&lt;=TabS!$G$33,TabS!$I$33,IF(H5&lt;=TabS!$G$34,TabS!$I$34))))))</f>
        <v>0</v>
      </c>
      <c r="I47" s="132">
        <f>IF(I5&lt;=TabS!$G$29,TabS!$I$29,IF(I5&lt;=TabS!$G$30,TabS!$I$30,IF(I5&lt;=TabS!$G$31,TabS!$I$31,IF(I5&lt;=TabS!$G$32,TabS!$I$32,IF(I5&lt;=TabS!$G$33,TabS!$I$33,IF(I5&lt;=TabS!$G$34,TabS!$I$34))))))</f>
        <v>0</v>
      </c>
      <c r="J47" s="132">
        <f>IF(J5&lt;=TabS!$G$29,TabS!$I$29,IF(J5&lt;=TabS!$G$30,TabS!$I$30,IF(J5&lt;=TabS!$G$31,TabS!$I$31,IF(J5&lt;=TabS!$G$32,TabS!$I$32,IF(J5&lt;=TabS!$G$33,TabS!$I$33,IF(J5&lt;=TabS!$G$34,TabS!$I$34))))))</f>
        <v>0</v>
      </c>
      <c r="K47" s="132">
        <f>IF(K5&lt;=TabS!$G$29,TabS!$I$29,IF(K5&lt;=TabS!$G$30,TabS!$I$30,IF(K5&lt;=TabS!$G$31,TabS!$I$31,IF(K5&lt;=TabS!$G$32,TabS!$I$32,IF(K5&lt;=TabS!$G$33,TabS!$I$33,IF(K5&lt;=TabS!$G$34,TabS!$I$34))))))</f>
        <v>0</v>
      </c>
      <c r="L47" s="132">
        <f>IF(L5&lt;=TabS!$G$29,TabS!$I$29,IF(L5&lt;=TabS!$G$30,TabS!$I$30,IF(L5&lt;=TabS!$G$31,TabS!$I$31,IF(L5&lt;=TabS!$G$32,TabS!$I$32,IF(L5&lt;=TabS!$G$33,TabS!$I$33,IF(L5&lt;=TabS!$G$34,TabS!$I$34))))))</f>
        <v>0</v>
      </c>
      <c r="M47" s="132">
        <f>IF(M5&lt;=TabS!$G$29,TabS!$I$29,IF(M5&lt;=TabS!$G$30,TabS!$I$30,IF(M5&lt;=TabS!$G$31,TabS!$I$31,IF(M5&lt;=TabS!$G$32,TabS!$I$32,IF(M5&lt;=TabS!$G$33,TabS!$I$33,IF(M5&lt;=TabS!$G$34,TabS!$I$34))))))</f>
        <v>0</v>
      </c>
      <c r="N47" s="132">
        <f>IF(N5&lt;=TabS!$G$29,TabS!$I$29,IF(N5&lt;=TabS!$G$30,TabS!$I$30,IF(N5&lt;=TabS!$G$31,TabS!$I$31,IF(N5&lt;=TabS!$G$32,TabS!$I$32,IF(N5&lt;=TabS!$G$33,TabS!$I$33,IF(N5&lt;=TabS!$G$34,TabS!$I$34))))))</f>
        <v>0</v>
      </c>
      <c r="O47" s="119">
        <f t="shared" si="38"/>
        <v>0</v>
      </c>
    </row>
    <row r="48" spans="2:30" ht="20.100000000000001" customHeight="1" x14ac:dyDescent="0.25">
      <c r="B48" s="49" t="s">
        <v>123</v>
      </c>
      <c r="C48" s="135">
        <f>IFERROR(C50/C5,0)</f>
        <v>0</v>
      </c>
      <c r="D48" s="135">
        <f t="shared" ref="D48:N48" si="39">IFERROR(D50/D5,0)</f>
        <v>0</v>
      </c>
      <c r="E48" s="135">
        <f t="shared" si="39"/>
        <v>0</v>
      </c>
      <c r="F48" s="135">
        <f t="shared" si="39"/>
        <v>0</v>
      </c>
      <c r="G48" s="135">
        <f t="shared" si="39"/>
        <v>0</v>
      </c>
      <c r="H48" s="135">
        <f t="shared" si="39"/>
        <v>0</v>
      </c>
      <c r="I48" s="135">
        <f t="shared" si="39"/>
        <v>0</v>
      </c>
      <c r="J48" s="135">
        <f t="shared" si="39"/>
        <v>0</v>
      </c>
      <c r="K48" s="135">
        <f t="shared" si="39"/>
        <v>0</v>
      </c>
      <c r="L48" s="135">
        <f t="shared" si="39"/>
        <v>0</v>
      </c>
      <c r="M48" s="135">
        <f t="shared" si="39"/>
        <v>0</v>
      </c>
      <c r="N48" s="135">
        <f t="shared" si="39"/>
        <v>0</v>
      </c>
      <c r="O48" s="136">
        <f t="shared" si="38"/>
        <v>0</v>
      </c>
    </row>
    <row r="49" spans="2:15" ht="20.100000000000001" customHeight="1" x14ac:dyDescent="0.25">
      <c r="B49" s="161" t="s">
        <v>125</v>
      </c>
      <c r="C49" s="137">
        <f>C45*C48</f>
        <v>0</v>
      </c>
      <c r="D49" s="137">
        <f t="shared" ref="D49:N49" si="40">D45*D48</f>
        <v>0</v>
      </c>
      <c r="E49" s="137">
        <f t="shared" si="40"/>
        <v>0</v>
      </c>
      <c r="F49" s="137">
        <f t="shared" si="40"/>
        <v>0</v>
      </c>
      <c r="G49" s="137">
        <f t="shared" si="40"/>
        <v>0</v>
      </c>
      <c r="H49" s="137">
        <f t="shared" si="40"/>
        <v>0</v>
      </c>
      <c r="I49" s="137">
        <f t="shared" si="40"/>
        <v>0</v>
      </c>
      <c r="J49" s="137">
        <f t="shared" si="40"/>
        <v>0</v>
      </c>
      <c r="K49" s="137">
        <f t="shared" si="40"/>
        <v>0</v>
      </c>
      <c r="L49" s="137">
        <f t="shared" si="40"/>
        <v>0</v>
      </c>
      <c r="M49" s="137">
        <f t="shared" si="40"/>
        <v>0</v>
      </c>
      <c r="N49" s="137">
        <f t="shared" si="40"/>
        <v>0</v>
      </c>
      <c r="O49" s="138">
        <f>SUM(C49:N49)</f>
        <v>0</v>
      </c>
    </row>
    <row r="50" spans="2:15" ht="20.100000000000001" customHeight="1" x14ac:dyDescent="0.25">
      <c r="B50" s="19" t="s">
        <v>124</v>
      </c>
      <c r="C50" s="132">
        <f>IFERROR((C5*C46)-C47,0)</f>
        <v>0</v>
      </c>
      <c r="D50" s="132">
        <f t="shared" ref="D50:N50" si="41">IFERROR((D5*D46)-D47,0)</f>
        <v>0</v>
      </c>
      <c r="E50" s="132">
        <f t="shared" si="41"/>
        <v>0</v>
      </c>
      <c r="F50" s="132">
        <f t="shared" si="41"/>
        <v>0</v>
      </c>
      <c r="G50" s="132">
        <f t="shared" si="41"/>
        <v>0</v>
      </c>
      <c r="H50" s="132">
        <f t="shared" si="41"/>
        <v>0</v>
      </c>
      <c r="I50" s="132">
        <f t="shared" si="41"/>
        <v>0</v>
      </c>
      <c r="J50" s="132">
        <f t="shared" si="41"/>
        <v>0</v>
      </c>
      <c r="K50" s="132">
        <f t="shared" si="41"/>
        <v>0</v>
      </c>
      <c r="L50" s="132">
        <f t="shared" si="41"/>
        <v>0</v>
      </c>
      <c r="M50" s="132">
        <f t="shared" si="41"/>
        <v>0</v>
      </c>
      <c r="N50" s="132">
        <f t="shared" si="41"/>
        <v>0</v>
      </c>
      <c r="O50" s="119">
        <f t="shared" si="38"/>
        <v>0</v>
      </c>
    </row>
    <row r="52" spans="2:15" ht="29.25" customHeight="1" x14ac:dyDescent="0.25">
      <c r="B52" s="162" t="s">
        <v>126</v>
      </c>
      <c r="C52" s="139"/>
      <c r="D52" s="139"/>
      <c r="E52" s="139"/>
      <c r="F52" s="139"/>
      <c r="G52" s="139"/>
      <c r="H52" s="139"/>
    </row>
    <row r="53" spans="2:15" ht="20.100000000000001" customHeight="1" x14ac:dyDescent="0.25">
      <c r="B53" s="163"/>
      <c r="C53" s="139"/>
      <c r="D53" s="139"/>
      <c r="E53" s="139"/>
      <c r="F53" s="139"/>
      <c r="G53" s="139"/>
      <c r="H53" s="139"/>
    </row>
    <row r="54" spans="2:15" ht="20.100000000000001" customHeight="1" x14ac:dyDescent="0.25">
      <c r="B54" s="164" t="s">
        <v>80</v>
      </c>
      <c r="C54" s="139"/>
      <c r="D54" s="139"/>
      <c r="E54" s="139"/>
      <c r="F54" s="139"/>
      <c r="G54" s="139"/>
      <c r="H54" s="139"/>
    </row>
    <row r="55" spans="2:15" ht="20.100000000000001" customHeight="1" x14ac:dyDescent="0.25">
      <c r="B55" s="163"/>
      <c r="C55" s="139"/>
      <c r="D55" s="139"/>
      <c r="E55" s="139"/>
      <c r="F55" s="139"/>
      <c r="G55" s="139"/>
      <c r="H55" s="139"/>
    </row>
    <row r="56" spans="2:15" ht="20.100000000000001" customHeight="1" x14ac:dyDescent="0.25">
      <c r="B56" s="165" t="s">
        <v>127</v>
      </c>
      <c r="C56" s="140" t="s">
        <v>97</v>
      </c>
      <c r="D56" s="140" t="s">
        <v>98</v>
      </c>
      <c r="E56" s="140" t="s">
        <v>128</v>
      </c>
      <c r="F56" s="140" t="s">
        <v>129</v>
      </c>
      <c r="G56" s="140" t="s">
        <v>42</v>
      </c>
      <c r="H56" s="140" t="s">
        <v>40</v>
      </c>
    </row>
    <row r="57" spans="2:15" ht="20.100000000000001" customHeight="1" x14ac:dyDescent="0.25">
      <c r="B57" s="163" t="s">
        <v>69</v>
      </c>
      <c r="C57" s="141">
        <v>0</v>
      </c>
      <c r="D57" s="141">
        <v>0</v>
      </c>
      <c r="E57" s="141">
        <v>0</v>
      </c>
      <c r="F57" s="141">
        <v>0.41499999999999998</v>
      </c>
      <c r="G57" s="141">
        <v>3.5000000000000003E-2</v>
      </c>
      <c r="H57" s="141">
        <v>5.5E-2</v>
      </c>
    </row>
    <row r="58" spans="2:15" ht="20.100000000000001" customHeight="1" x14ac:dyDescent="0.25">
      <c r="B58" s="163" t="s">
        <v>70</v>
      </c>
      <c r="C58" s="141">
        <v>0</v>
      </c>
      <c r="D58" s="141">
        <v>0</v>
      </c>
      <c r="E58" s="141">
        <v>0</v>
      </c>
      <c r="F58" s="141">
        <v>0.41499999999999998</v>
      </c>
      <c r="G58" s="141">
        <v>3.5000000000000003E-2</v>
      </c>
      <c r="H58" s="141">
        <v>5.5E-2</v>
      </c>
    </row>
    <row r="59" spans="2:15" ht="20.100000000000001" customHeight="1" x14ac:dyDescent="0.25">
      <c r="B59" s="163" t="s">
        <v>71</v>
      </c>
      <c r="C59" s="141">
        <v>0</v>
      </c>
      <c r="D59" s="141">
        <v>0</v>
      </c>
      <c r="E59" s="141">
        <v>0</v>
      </c>
      <c r="F59" s="141">
        <v>0.42</v>
      </c>
      <c r="G59" s="141">
        <v>3.5000000000000003E-2</v>
      </c>
      <c r="H59" s="141">
        <v>5.5E-2</v>
      </c>
    </row>
    <row r="60" spans="2:15" ht="20.100000000000001" customHeight="1" x14ac:dyDescent="0.25">
      <c r="B60" s="163" t="s">
        <v>72</v>
      </c>
      <c r="C60" s="141">
        <v>0</v>
      </c>
      <c r="D60" s="141">
        <v>0</v>
      </c>
      <c r="E60" s="141">
        <v>0</v>
      </c>
      <c r="F60" s="141">
        <v>0.42</v>
      </c>
      <c r="G60" s="141">
        <v>3.5000000000000003E-2</v>
      </c>
      <c r="H60" s="141">
        <v>5.5E-2</v>
      </c>
    </row>
    <row r="61" spans="2:15" ht="20.100000000000001" customHeight="1" x14ac:dyDescent="0.25">
      <c r="B61" s="163" t="s">
        <v>73</v>
      </c>
      <c r="C61" s="141">
        <v>0</v>
      </c>
      <c r="D61" s="141">
        <v>0</v>
      </c>
      <c r="E61" s="141">
        <v>0</v>
      </c>
      <c r="F61" s="141">
        <v>0.42</v>
      </c>
      <c r="G61" s="141">
        <v>3.5000000000000003E-2</v>
      </c>
      <c r="H61" s="141">
        <v>5.5E-2</v>
      </c>
    </row>
    <row r="62" spans="2:15" ht="20.100000000000001" customHeight="1" x14ac:dyDescent="0.25">
      <c r="B62" s="166" t="s">
        <v>74</v>
      </c>
      <c r="C62" s="142">
        <v>0</v>
      </c>
      <c r="D62" s="142">
        <v>0</v>
      </c>
      <c r="E62" s="142">
        <v>0</v>
      </c>
      <c r="F62" s="142">
        <v>0.42099999999999999</v>
      </c>
      <c r="G62" s="142">
        <v>0.1</v>
      </c>
      <c r="H62" s="142">
        <v>0.13500000000000001</v>
      </c>
    </row>
    <row r="63" spans="2:15" ht="20.100000000000001" customHeight="1" x14ac:dyDescent="0.25">
      <c r="B63" s="163"/>
      <c r="C63" s="139"/>
      <c r="D63" s="139"/>
      <c r="E63" s="139"/>
      <c r="F63" s="139"/>
      <c r="G63" s="139"/>
      <c r="H63" s="139"/>
    </row>
    <row r="64" spans="2:15" ht="20.100000000000001" customHeight="1" x14ac:dyDescent="0.25">
      <c r="B64" s="164" t="s">
        <v>81</v>
      </c>
      <c r="C64" s="139"/>
      <c r="D64" s="139"/>
      <c r="E64" s="139"/>
      <c r="F64" s="139"/>
      <c r="G64" s="139"/>
      <c r="H64" s="139"/>
    </row>
    <row r="65" spans="2:9" ht="20.100000000000001" customHeight="1" x14ac:dyDescent="0.25">
      <c r="B65" s="163"/>
      <c r="C65" s="139"/>
      <c r="D65" s="139"/>
      <c r="E65" s="139"/>
      <c r="F65" s="139"/>
      <c r="G65" s="139"/>
      <c r="H65" s="139"/>
    </row>
    <row r="66" spans="2:9" ht="20.100000000000001" customHeight="1" x14ac:dyDescent="0.25">
      <c r="B66" s="165" t="s">
        <v>127</v>
      </c>
      <c r="C66" s="140" t="s">
        <v>97</v>
      </c>
      <c r="D66" s="140" t="s">
        <v>98</v>
      </c>
      <c r="E66" s="140" t="s">
        <v>128</v>
      </c>
      <c r="F66" s="140" t="s">
        <v>129</v>
      </c>
      <c r="G66" s="140" t="s">
        <v>42</v>
      </c>
      <c r="H66" s="140" t="s">
        <v>40</v>
      </c>
      <c r="I66" s="140" t="s">
        <v>38</v>
      </c>
    </row>
    <row r="67" spans="2:9" ht="20.100000000000001" customHeight="1" x14ac:dyDescent="0.25">
      <c r="B67" s="163" t="s">
        <v>69</v>
      </c>
      <c r="C67" s="141">
        <v>0</v>
      </c>
      <c r="D67" s="141">
        <v>0</v>
      </c>
      <c r="E67" s="141">
        <v>0</v>
      </c>
      <c r="F67" s="141">
        <v>0.375</v>
      </c>
      <c r="G67" s="141">
        <v>3.5000000000000003E-2</v>
      </c>
      <c r="H67" s="141">
        <v>5.5E-2</v>
      </c>
      <c r="I67" s="141">
        <v>7.4999999999999997E-2</v>
      </c>
    </row>
    <row r="68" spans="2:9" ht="20.100000000000001" customHeight="1" x14ac:dyDescent="0.25">
      <c r="B68" s="163" t="s">
        <v>70</v>
      </c>
      <c r="C68" s="141">
        <v>0</v>
      </c>
      <c r="D68" s="141">
        <v>0</v>
      </c>
      <c r="E68" s="141">
        <v>0</v>
      </c>
      <c r="F68" s="141">
        <v>0.375</v>
      </c>
      <c r="G68" s="141">
        <v>3.5000000000000003E-2</v>
      </c>
      <c r="H68" s="141">
        <v>5.5E-2</v>
      </c>
      <c r="I68" s="141">
        <v>7.4999999999999997E-2</v>
      </c>
    </row>
    <row r="69" spans="2:9" ht="20.100000000000001" customHeight="1" x14ac:dyDescent="0.25">
      <c r="B69" s="163" t="s">
        <v>71</v>
      </c>
      <c r="C69" s="141">
        <v>0</v>
      </c>
      <c r="D69" s="141">
        <v>0</v>
      </c>
      <c r="E69" s="141">
        <v>0</v>
      </c>
      <c r="F69" s="141">
        <v>0.375</v>
      </c>
      <c r="G69" s="141">
        <v>3.5000000000000003E-2</v>
      </c>
      <c r="H69" s="141">
        <v>5.5E-2</v>
      </c>
      <c r="I69" s="141">
        <v>7.4999999999999997E-2</v>
      </c>
    </row>
    <row r="70" spans="2:9" ht="20.100000000000001" customHeight="1" x14ac:dyDescent="0.25">
      <c r="B70" s="163" t="s">
        <v>72</v>
      </c>
      <c r="C70" s="141">
        <v>0</v>
      </c>
      <c r="D70" s="141">
        <v>0</v>
      </c>
      <c r="E70" s="141">
        <v>0</v>
      </c>
      <c r="F70" s="141">
        <v>0.375</v>
      </c>
      <c r="G70" s="141">
        <v>3.5000000000000003E-2</v>
      </c>
      <c r="H70" s="141">
        <v>5.5E-2</v>
      </c>
      <c r="I70" s="141">
        <v>7.4999999999999997E-2</v>
      </c>
    </row>
    <row r="71" spans="2:9" ht="20.100000000000001" customHeight="1" x14ac:dyDescent="0.25">
      <c r="B71" s="163" t="s">
        <v>73</v>
      </c>
      <c r="C71" s="141">
        <v>0</v>
      </c>
      <c r="D71" s="141">
        <v>0</v>
      </c>
      <c r="E71" s="141">
        <v>0</v>
      </c>
      <c r="F71" s="141">
        <v>0.375</v>
      </c>
      <c r="G71" s="141">
        <v>3.5000000000000003E-2</v>
      </c>
      <c r="H71" s="141">
        <v>5.5E-2</v>
      </c>
      <c r="I71" s="141">
        <v>7.4999999999999997E-2</v>
      </c>
    </row>
    <row r="72" spans="2:9" ht="20.100000000000001" customHeight="1" x14ac:dyDescent="0.25">
      <c r="B72" s="166" t="s">
        <v>74</v>
      </c>
      <c r="C72" s="142">
        <v>0</v>
      </c>
      <c r="D72" s="142">
        <v>0</v>
      </c>
      <c r="E72" s="142">
        <v>0</v>
      </c>
      <c r="F72" s="142">
        <v>0.23499999999999999</v>
      </c>
      <c r="G72" s="142">
        <v>7.4999999999999997E-2</v>
      </c>
      <c r="H72" s="142">
        <v>8.5000000000000006E-2</v>
      </c>
      <c r="I72" s="142">
        <v>0.35</v>
      </c>
    </row>
    <row r="73" spans="2:9" ht="20.100000000000001" customHeight="1" x14ac:dyDescent="0.25">
      <c r="B73" s="163"/>
      <c r="C73" s="139"/>
      <c r="D73" s="139"/>
      <c r="E73" s="139"/>
      <c r="F73" s="139"/>
      <c r="G73" s="139"/>
      <c r="H73" s="139"/>
    </row>
    <row r="74" spans="2:9" ht="20.100000000000001" customHeight="1" x14ac:dyDescent="0.25">
      <c r="B74" s="164" t="s">
        <v>75</v>
      </c>
      <c r="C74" s="139"/>
      <c r="D74" s="139"/>
      <c r="E74" s="139"/>
      <c r="F74" s="139"/>
      <c r="G74" s="139"/>
      <c r="H74" s="139"/>
    </row>
    <row r="75" spans="2:9" ht="20.100000000000001" customHeight="1" x14ac:dyDescent="0.25">
      <c r="B75" s="163"/>
      <c r="C75" s="139"/>
      <c r="D75" s="139"/>
      <c r="E75" s="139"/>
      <c r="F75" s="139"/>
      <c r="G75" s="139"/>
      <c r="H75" s="139"/>
    </row>
    <row r="76" spans="2:9" ht="20.100000000000001" customHeight="1" x14ac:dyDescent="0.25">
      <c r="B76" s="165" t="s">
        <v>127</v>
      </c>
      <c r="C76" s="140" t="s">
        <v>97</v>
      </c>
      <c r="D76" s="140" t="s">
        <v>98</v>
      </c>
      <c r="E76" s="140" t="s">
        <v>39</v>
      </c>
      <c r="F76" s="140" t="s">
        <v>129</v>
      </c>
      <c r="G76" s="140" t="s">
        <v>42</v>
      </c>
      <c r="H76" s="140" t="s">
        <v>40</v>
      </c>
    </row>
    <row r="77" spans="2:9" ht="20.100000000000001" customHeight="1" x14ac:dyDescent="0.25">
      <c r="B77" s="163" t="s">
        <v>69</v>
      </c>
      <c r="C77" s="141">
        <v>0</v>
      </c>
      <c r="D77" s="141">
        <v>0</v>
      </c>
      <c r="E77" s="141">
        <v>0</v>
      </c>
      <c r="F77" s="141">
        <v>0.434</v>
      </c>
      <c r="G77" s="141">
        <v>3.5000000000000003E-2</v>
      </c>
      <c r="H77" s="141">
        <v>0.04</v>
      </c>
    </row>
    <row r="78" spans="2:9" ht="20.100000000000001" customHeight="1" x14ac:dyDescent="0.25">
      <c r="B78" s="163" t="s">
        <v>70</v>
      </c>
      <c r="C78" s="141">
        <v>0</v>
      </c>
      <c r="D78" s="141">
        <v>0</v>
      </c>
      <c r="E78" s="141">
        <v>0</v>
      </c>
      <c r="F78" s="141">
        <v>0.434</v>
      </c>
      <c r="G78" s="141">
        <v>3.5000000000000003E-2</v>
      </c>
      <c r="H78" s="141">
        <v>0.04</v>
      </c>
    </row>
    <row r="79" spans="2:9" ht="20.100000000000001" customHeight="1" x14ac:dyDescent="0.25">
      <c r="B79" s="163" t="s">
        <v>71</v>
      </c>
      <c r="C79" s="141">
        <v>0</v>
      </c>
      <c r="D79" s="141">
        <v>0</v>
      </c>
      <c r="E79" s="141">
        <v>0</v>
      </c>
      <c r="F79" s="141">
        <v>0.434</v>
      </c>
      <c r="G79" s="141">
        <v>3.5000000000000003E-2</v>
      </c>
      <c r="H79" s="141">
        <v>0.04</v>
      </c>
    </row>
    <row r="80" spans="2:9" ht="20.100000000000001" customHeight="1" x14ac:dyDescent="0.25">
      <c r="B80" s="163" t="s">
        <v>72</v>
      </c>
      <c r="C80" s="141">
        <v>0</v>
      </c>
      <c r="D80" s="141">
        <v>0</v>
      </c>
      <c r="E80" s="141">
        <v>0</v>
      </c>
      <c r="F80" s="141">
        <v>0.434</v>
      </c>
      <c r="G80" s="141">
        <v>3.5000000000000003E-2</v>
      </c>
      <c r="H80" s="141">
        <v>0.04</v>
      </c>
    </row>
    <row r="81" spans="2:8" ht="20.100000000000001" customHeight="1" x14ac:dyDescent="0.25">
      <c r="B81" s="163" t="s">
        <v>73</v>
      </c>
      <c r="C81" s="141">
        <v>0</v>
      </c>
      <c r="D81" s="141">
        <v>0</v>
      </c>
      <c r="E81" s="141">
        <v>0</v>
      </c>
      <c r="F81" s="141">
        <v>0.434</v>
      </c>
      <c r="G81" s="141">
        <v>3.5000000000000003E-2</v>
      </c>
      <c r="H81" s="141">
        <v>0.04</v>
      </c>
    </row>
    <row r="82" spans="2:8" ht="20.100000000000001" customHeight="1" x14ac:dyDescent="0.25">
      <c r="B82" s="166" t="s">
        <v>74</v>
      </c>
      <c r="C82" s="142">
        <v>0</v>
      </c>
      <c r="D82" s="142">
        <v>0</v>
      </c>
      <c r="E82" s="142">
        <v>0</v>
      </c>
      <c r="F82" s="142">
        <v>0.30499999999999999</v>
      </c>
      <c r="G82" s="142">
        <v>0.15</v>
      </c>
      <c r="H82" s="142">
        <v>0.35</v>
      </c>
    </row>
    <row r="83" spans="2:8" ht="20.100000000000001" customHeight="1" x14ac:dyDescent="0.25">
      <c r="B83" s="163"/>
      <c r="C83" s="139"/>
      <c r="D83" s="139"/>
      <c r="E83" s="139"/>
      <c r="F83" s="139"/>
      <c r="G83" s="139"/>
      <c r="H83" s="139"/>
    </row>
    <row r="84" spans="2:8" ht="20.100000000000001" customHeight="1" x14ac:dyDescent="0.25">
      <c r="B84" s="164" t="s">
        <v>76</v>
      </c>
      <c r="C84" s="139"/>
      <c r="D84" s="139"/>
      <c r="E84" s="139"/>
      <c r="F84" s="139"/>
      <c r="G84" s="139"/>
      <c r="H84" s="139"/>
    </row>
    <row r="85" spans="2:8" ht="20.100000000000001" customHeight="1" x14ac:dyDescent="0.25">
      <c r="B85" s="163"/>
      <c r="C85" s="139"/>
      <c r="D85" s="139"/>
      <c r="E85" s="139"/>
      <c r="F85" s="139"/>
      <c r="G85" s="139"/>
      <c r="H85" s="139"/>
    </row>
    <row r="86" spans="2:8" ht="20.100000000000001" customHeight="1" x14ac:dyDescent="0.25">
      <c r="B86" s="165" t="s">
        <v>127</v>
      </c>
      <c r="C86" s="140" t="s">
        <v>97</v>
      </c>
      <c r="D86" s="140" t="s">
        <v>98</v>
      </c>
      <c r="E86" s="140" t="s">
        <v>39</v>
      </c>
      <c r="F86" s="140" t="s">
        <v>129</v>
      </c>
      <c r="G86" s="140" t="s">
        <v>42</v>
      </c>
      <c r="H86" s="140" t="s">
        <v>40</v>
      </c>
    </row>
    <row r="87" spans="2:8" ht="20.100000000000001" customHeight="1" x14ac:dyDescent="0.25">
      <c r="B87" s="163" t="s">
        <v>69</v>
      </c>
      <c r="C87" s="141">
        <v>0</v>
      </c>
      <c r="D87" s="141">
        <v>0</v>
      </c>
      <c r="E87" s="141">
        <v>0</v>
      </c>
      <c r="F87" s="141">
        <v>0</v>
      </c>
      <c r="G87" s="141">
        <v>0.152</v>
      </c>
      <c r="H87" s="141">
        <v>0.188</v>
      </c>
    </row>
    <row r="88" spans="2:8" ht="20.100000000000001" customHeight="1" x14ac:dyDescent="0.25">
      <c r="B88" s="163" t="s">
        <v>70</v>
      </c>
      <c r="C88" s="141">
        <v>0</v>
      </c>
      <c r="D88" s="141">
        <v>0</v>
      </c>
      <c r="E88" s="141">
        <v>0</v>
      </c>
      <c r="F88" s="141">
        <v>0</v>
      </c>
      <c r="G88" s="141">
        <v>0.152</v>
      </c>
      <c r="H88" s="141">
        <v>0.19800000000000001</v>
      </c>
    </row>
    <row r="89" spans="2:8" ht="20.100000000000001" customHeight="1" x14ac:dyDescent="0.25">
      <c r="B89" s="163" t="s">
        <v>71</v>
      </c>
      <c r="C89" s="141">
        <v>0</v>
      </c>
      <c r="D89" s="141">
        <v>0</v>
      </c>
      <c r="E89" s="141">
        <v>0</v>
      </c>
      <c r="F89" s="141">
        <v>0</v>
      </c>
      <c r="G89" s="141">
        <v>0.152</v>
      </c>
      <c r="H89" s="141">
        <v>0.20799999999999999</v>
      </c>
    </row>
    <row r="90" spans="2:8" ht="20.100000000000001" customHeight="1" x14ac:dyDescent="0.25">
      <c r="B90" s="163" t="s">
        <v>72</v>
      </c>
      <c r="C90" s="141">
        <v>0</v>
      </c>
      <c r="D90" s="141">
        <v>0</v>
      </c>
      <c r="E90" s="141">
        <v>0</v>
      </c>
      <c r="F90" s="141">
        <v>0</v>
      </c>
      <c r="G90" s="141">
        <v>0.192</v>
      </c>
      <c r="H90" s="141">
        <v>0.17799999999999999</v>
      </c>
    </row>
    <row r="91" spans="2:8" ht="20.100000000000001" customHeight="1" x14ac:dyDescent="0.25">
      <c r="B91" s="163" t="s">
        <v>73</v>
      </c>
      <c r="C91" s="141">
        <v>0</v>
      </c>
      <c r="D91" s="141">
        <v>0</v>
      </c>
      <c r="E91" s="141">
        <v>0</v>
      </c>
      <c r="F91" s="141">
        <v>0</v>
      </c>
      <c r="G91" s="141">
        <v>0.192</v>
      </c>
      <c r="H91" s="141">
        <v>0.188</v>
      </c>
    </row>
    <row r="92" spans="2:8" ht="20.100000000000001" customHeight="1" x14ac:dyDescent="0.25">
      <c r="B92" s="166" t="s">
        <v>74</v>
      </c>
      <c r="C92" s="142">
        <v>0</v>
      </c>
      <c r="D92" s="142">
        <v>0</v>
      </c>
      <c r="E92" s="142">
        <v>0</v>
      </c>
      <c r="F92" s="142">
        <v>0</v>
      </c>
      <c r="G92" s="142">
        <v>0.215</v>
      </c>
      <c r="H92" s="142">
        <v>0.53500000000000003</v>
      </c>
    </row>
    <row r="93" spans="2:8" ht="20.100000000000001" customHeight="1" x14ac:dyDescent="0.25">
      <c r="B93" s="163"/>
      <c r="C93" s="139"/>
      <c r="D93" s="139"/>
      <c r="E93" s="139"/>
      <c r="F93" s="139"/>
      <c r="G93" s="139"/>
      <c r="H93" s="139"/>
    </row>
    <row r="94" spans="2:8" ht="20.100000000000001" customHeight="1" x14ac:dyDescent="0.25">
      <c r="B94" s="164" t="s">
        <v>77</v>
      </c>
      <c r="C94" s="139"/>
      <c r="D94" s="139"/>
      <c r="E94" s="139"/>
      <c r="F94" s="139"/>
      <c r="G94" s="139"/>
      <c r="H94" s="139"/>
    </row>
    <row r="95" spans="2:8" ht="20.100000000000001" customHeight="1" x14ac:dyDescent="0.25">
      <c r="B95" s="163"/>
      <c r="C95" s="139"/>
      <c r="D95" s="139"/>
      <c r="E95" s="139"/>
      <c r="F95" s="139"/>
      <c r="G95" s="139"/>
      <c r="H95" s="139"/>
    </row>
    <row r="96" spans="2:8" ht="20.100000000000001" customHeight="1" x14ac:dyDescent="0.25">
      <c r="B96" s="165" t="s">
        <v>127</v>
      </c>
      <c r="C96" s="140" t="s">
        <v>97</v>
      </c>
      <c r="D96" s="140" t="s">
        <v>98</v>
      </c>
      <c r="E96" s="140" t="s">
        <v>39</v>
      </c>
      <c r="F96" s="140" t="s">
        <v>129</v>
      </c>
      <c r="G96" s="140" t="s">
        <v>42</v>
      </c>
      <c r="H96" s="140" t="s">
        <v>40</v>
      </c>
    </row>
    <row r="97" spans="2:30" ht="20.100000000000001" customHeight="1" x14ac:dyDescent="0.25">
      <c r="B97" s="163" t="s">
        <v>69</v>
      </c>
      <c r="C97" s="141">
        <v>0</v>
      </c>
      <c r="D97" s="141">
        <v>0</v>
      </c>
      <c r="E97" s="141">
        <v>0</v>
      </c>
      <c r="F97" s="141">
        <v>0.28849999999999998</v>
      </c>
      <c r="G97" s="141">
        <v>0.15</v>
      </c>
      <c r="H97" s="141">
        <v>0.25</v>
      </c>
    </row>
    <row r="98" spans="2:30" ht="20.100000000000001" customHeight="1" x14ac:dyDescent="0.25">
      <c r="B98" s="163" t="s">
        <v>70</v>
      </c>
      <c r="C98" s="141">
        <v>0</v>
      </c>
      <c r="D98" s="141">
        <v>0</v>
      </c>
      <c r="E98" s="141">
        <v>0</v>
      </c>
      <c r="F98" s="141">
        <v>0.27850000000000003</v>
      </c>
      <c r="G98" s="141">
        <v>0.15</v>
      </c>
      <c r="H98" s="141">
        <v>0.23</v>
      </c>
    </row>
    <row r="99" spans="2:30" ht="20.100000000000001" customHeight="1" x14ac:dyDescent="0.25">
      <c r="B99" s="163" t="s">
        <v>71</v>
      </c>
      <c r="C99" s="141">
        <v>0</v>
      </c>
      <c r="D99" s="141">
        <v>0</v>
      </c>
      <c r="E99" s="141">
        <v>0</v>
      </c>
      <c r="F99" s="141">
        <v>0.23849999999999999</v>
      </c>
      <c r="G99" s="141">
        <v>0.15</v>
      </c>
      <c r="H99" s="141">
        <v>0.24</v>
      </c>
    </row>
    <row r="100" spans="2:30" ht="20.100000000000001" customHeight="1" x14ac:dyDescent="0.25">
      <c r="B100" s="163" t="s">
        <v>72</v>
      </c>
      <c r="C100" s="141">
        <v>0</v>
      </c>
      <c r="D100" s="141">
        <v>0</v>
      </c>
      <c r="E100" s="141">
        <v>0</v>
      </c>
      <c r="F100" s="141">
        <v>0.23849999999999999</v>
      </c>
      <c r="G100" s="141">
        <v>0.15</v>
      </c>
      <c r="H100" s="141">
        <v>0.21</v>
      </c>
    </row>
    <row r="101" spans="2:30" ht="20.100000000000001" customHeight="1" x14ac:dyDescent="0.25">
      <c r="B101" s="163" t="s">
        <v>73</v>
      </c>
      <c r="C101" s="141">
        <v>0</v>
      </c>
      <c r="D101" s="141">
        <v>0</v>
      </c>
      <c r="E101" s="141">
        <v>0</v>
      </c>
      <c r="F101" s="141">
        <v>0.23849999999999999</v>
      </c>
      <c r="G101" s="141">
        <v>0.125</v>
      </c>
      <c r="H101" s="141">
        <v>0.23</v>
      </c>
    </row>
    <row r="102" spans="2:30" ht="20.100000000000001" customHeight="1" x14ac:dyDescent="0.25">
      <c r="B102" s="166" t="s">
        <v>74</v>
      </c>
      <c r="C102" s="142">
        <v>0</v>
      </c>
      <c r="D102" s="142">
        <v>0</v>
      </c>
      <c r="E102" s="142">
        <v>0</v>
      </c>
      <c r="F102" s="142">
        <v>0.29499999999999998</v>
      </c>
      <c r="G102" s="142">
        <v>0.155</v>
      </c>
      <c r="H102" s="142">
        <v>0.35</v>
      </c>
    </row>
    <row r="104" spans="2:30" ht="20.100000000000001" customHeight="1" x14ac:dyDescent="0.25">
      <c r="B104" s="112" t="s">
        <v>82</v>
      </c>
      <c r="C104" s="112" t="s">
        <v>83</v>
      </c>
      <c r="D104" s="112" t="s">
        <v>84</v>
      </c>
      <c r="E104" s="112" t="s">
        <v>85</v>
      </c>
      <c r="F104" s="112" t="s">
        <v>86</v>
      </c>
      <c r="G104" s="112" t="s">
        <v>87</v>
      </c>
      <c r="H104" s="112" t="s">
        <v>88</v>
      </c>
      <c r="I104" s="112" t="s">
        <v>89</v>
      </c>
      <c r="J104" s="112" t="s">
        <v>90</v>
      </c>
      <c r="K104" s="112" t="s">
        <v>91</v>
      </c>
      <c r="L104" s="112" t="s">
        <v>92</v>
      </c>
      <c r="M104" s="112" t="s">
        <v>93</v>
      </c>
      <c r="N104" s="112" t="s">
        <v>94</v>
      </c>
      <c r="Q104" s="145" t="s">
        <v>82</v>
      </c>
      <c r="R104" s="112" t="s">
        <v>83</v>
      </c>
      <c r="S104" s="112" t="s">
        <v>84</v>
      </c>
      <c r="T104" s="112" t="s">
        <v>85</v>
      </c>
      <c r="U104" s="112" t="s">
        <v>86</v>
      </c>
      <c r="V104" s="112" t="s">
        <v>87</v>
      </c>
      <c r="W104" s="112" t="s">
        <v>88</v>
      </c>
      <c r="X104" s="112" t="s">
        <v>89</v>
      </c>
      <c r="Y104" s="112" t="s">
        <v>90</v>
      </c>
      <c r="Z104" s="112" t="s">
        <v>91</v>
      </c>
      <c r="AA104" s="112" t="s">
        <v>92</v>
      </c>
      <c r="AB104" s="112" t="s">
        <v>93</v>
      </c>
      <c r="AC104" s="112" t="s">
        <v>94</v>
      </c>
    </row>
    <row r="105" spans="2:30" ht="20.100000000000001" customHeight="1" x14ac:dyDescent="0.25">
      <c r="B105" s="19" t="s">
        <v>120</v>
      </c>
      <c r="C105" s="132">
        <f>C5</f>
        <v>0</v>
      </c>
      <c r="D105" s="132">
        <f t="shared" ref="D105:N105" si="42">D5</f>
        <v>0</v>
      </c>
      <c r="E105" s="132">
        <f t="shared" si="42"/>
        <v>0</v>
      </c>
      <c r="F105" s="132">
        <f t="shared" si="42"/>
        <v>0</v>
      </c>
      <c r="G105" s="132">
        <f t="shared" si="42"/>
        <v>0</v>
      </c>
      <c r="H105" s="132">
        <f t="shared" si="42"/>
        <v>0</v>
      </c>
      <c r="I105" s="132">
        <f t="shared" si="42"/>
        <v>0</v>
      </c>
      <c r="J105" s="132">
        <f t="shared" si="42"/>
        <v>0</v>
      </c>
      <c r="K105" s="132">
        <f t="shared" si="42"/>
        <v>0</v>
      </c>
      <c r="L105" s="132">
        <f t="shared" si="42"/>
        <v>0</v>
      </c>
      <c r="M105" s="132">
        <f t="shared" si="42"/>
        <v>0</v>
      </c>
      <c r="N105" s="132">
        <f t="shared" si="42"/>
        <v>0</v>
      </c>
      <c r="Q105" s="144" t="s">
        <v>120</v>
      </c>
      <c r="R105" s="132">
        <f>C105</f>
        <v>0</v>
      </c>
      <c r="S105" s="132">
        <f t="shared" ref="S105:AC105" si="43">D105</f>
        <v>0</v>
      </c>
      <c r="T105" s="132">
        <f t="shared" si="43"/>
        <v>0</v>
      </c>
      <c r="U105" s="132">
        <f t="shared" si="43"/>
        <v>0</v>
      </c>
      <c r="V105" s="132">
        <f t="shared" si="43"/>
        <v>0</v>
      </c>
      <c r="W105" s="132">
        <f t="shared" si="43"/>
        <v>0</v>
      </c>
      <c r="X105" s="132">
        <f t="shared" si="43"/>
        <v>0</v>
      </c>
      <c r="Y105" s="132">
        <f t="shared" si="43"/>
        <v>0</v>
      </c>
      <c r="Z105" s="132">
        <f t="shared" si="43"/>
        <v>0</v>
      </c>
      <c r="AA105" s="132">
        <f t="shared" si="43"/>
        <v>0</v>
      </c>
      <c r="AB105" s="132">
        <f t="shared" si="43"/>
        <v>0</v>
      </c>
      <c r="AC105" s="132">
        <f t="shared" si="43"/>
        <v>0</v>
      </c>
    </row>
    <row r="106" spans="2:30" ht="20.100000000000001" customHeight="1" x14ac:dyDescent="0.25">
      <c r="Q106" s="144" t="s">
        <v>138</v>
      </c>
      <c r="R106" s="132">
        <v>3600000</v>
      </c>
      <c r="S106" s="132">
        <v>3600000</v>
      </c>
      <c r="T106" s="132">
        <v>3600000</v>
      </c>
      <c r="U106" s="132">
        <v>3600000</v>
      </c>
      <c r="V106" s="132">
        <v>3600000</v>
      </c>
      <c r="W106" s="132">
        <v>3600000</v>
      </c>
      <c r="X106" s="132">
        <v>3600000</v>
      </c>
      <c r="Y106" s="132">
        <v>3600000</v>
      </c>
      <c r="Z106" s="132">
        <v>3600000</v>
      </c>
      <c r="AA106" s="132">
        <v>3600000</v>
      </c>
      <c r="AB106" s="132">
        <v>3600000</v>
      </c>
      <c r="AC106" s="132">
        <v>3600000</v>
      </c>
    </row>
    <row r="107" spans="2:30" ht="20.100000000000001" customHeight="1" x14ac:dyDescent="0.25">
      <c r="B107" s="164" t="s">
        <v>80</v>
      </c>
      <c r="Q107" s="144" t="s">
        <v>139</v>
      </c>
      <c r="R107" s="132">
        <v>4320000</v>
      </c>
      <c r="S107" s="132">
        <v>4320000</v>
      </c>
      <c r="T107" s="132">
        <v>4320000</v>
      </c>
      <c r="U107" s="132">
        <v>4320000</v>
      </c>
      <c r="V107" s="132">
        <v>4320000</v>
      </c>
      <c r="W107" s="132">
        <v>4320000</v>
      </c>
      <c r="X107" s="132">
        <v>4320000</v>
      </c>
      <c r="Y107" s="132">
        <v>4320000</v>
      </c>
      <c r="Z107" s="132">
        <v>4320000</v>
      </c>
      <c r="AA107" s="132">
        <v>4320000</v>
      </c>
      <c r="AB107" s="132">
        <v>4320000</v>
      </c>
      <c r="AC107" s="132">
        <v>4320000</v>
      </c>
    </row>
    <row r="108" spans="2:30" ht="20.100000000000001" customHeight="1" x14ac:dyDescent="0.25">
      <c r="B108" s="149" t="s">
        <v>82</v>
      </c>
      <c r="C108" s="149" t="s">
        <v>83</v>
      </c>
      <c r="D108" s="149" t="s">
        <v>84</v>
      </c>
      <c r="E108" s="149" t="s">
        <v>85</v>
      </c>
      <c r="F108" s="149" t="s">
        <v>86</v>
      </c>
      <c r="G108" s="149" t="s">
        <v>87</v>
      </c>
      <c r="H108" s="149" t="s">
        <v>88</v>
      </c>
      <c r="I108" s="149" t="s">
        <v>89</v>
      </c>
      <c r="J108" s="149" t="s">
        <v>90</v>
      </c>
      <c r="K108" s="149" t="s">
        <v>91</v>
      </c>
      <c r="L108" s="149" t="s">
        <v>92</v>
      </c>
      <c r="M108" s="149" t="s">
        <v>93</v>
      </c>
      <c r="N108" s="149" t="s">
        <v>94</v>
      </c>
      <c r="O108" s="149" t="s">
        <v>95</v>
      </c>
      <c r="Q108" s="171" t="s">
        <v>82</v>
      </c>
      <c r="R108" s="149" t="s">
        <v>83</v>
      </c>
      <c r="S108" s="149" t="s">
        <v>84</v>
      </c>
      <c r="T108" s="149" t="s">
        <v>85</v>
      </c>
      <c r="U108" s="149" t="s">
        <v>86</v>
      </c>
      <c r="V108" s="149" t="s">
        <v>87</v>
      </c>
      <c r="W108" s="149" t="s">
        <v>88</v>
      </c>
      <c r="X108" s="149" t="s">
        <v>89</v>
      </c>
      <c r="Y108" s="149" t="s">
        <v>90</v>
      </c>
      <c r="Z108" s="149" t="s">
        <v>91</v>
      </c>
      <c r="AA108" s="149" t="s">
        <v>92</v>
      </c>
      <c r="AB108" s="149" t="s">
        <v>93</v>
      </c>
      <c r="AC108" s="149" t="s">
        <v>94</v>
      </c>
      <c r="AD108" s="149" t="s">
        <v>95</v>
      </c>
    </row>
    <row r="109" spans="2:30" ht="20.100000000000001" customHeight="1" x14ac:dyDescent="0.25">
      <c r="B109" s="167" t="s">
        <v>97</v>
      </c>
      <c r="C109" s="151">
        <f>IF(C$105&lt;=TabS!$G$5,C21*$C$57,IF(C$105&lt;=TabS!$G$6,C21*$C$58,IF(C$105&lt;=TabS!$G$7,C21*$C$59,IF(C$105&lt;=TabS!$G$8,C21*$C$60,IF(C$105&lt;=TabS!$G$9,C21*$C$61,IF(C$105&lt;=TabS!$G$10,C21*$C$62))))))</f>
        <v>0</v>
      </c>
      <c r="D109" s="151">
        <f>IF(D$105&lt;=TabS!$G$5,D21*$C$57,IF(D$105&lt;=TabS!$G$6,D21*$C$58,IF(D$105&lt;=TabS!$G$7,D21*$C$59,IF(D$105&lt;=TabS!$G$8,D21*$C$60,IF(D$105&lt;=TabS!$G$9,D21*$C$61,IF(D$105&lt;=TabS!$G$10,D21*$C$62))))))</f>
        <v>0</v>
      </c>
      <c r="E109" s="151">
        <f>IF(E$105&lt;=TabS!$G$5,E21*$C$57,IF(E$105&lt;=TabS!$G$6,E21*$C$58,IF(E$105&lt;=TabS!$G$7,E21*$C$59,IF(E$105&lt;=TabS!$G$8,E21*$C$60,IF(E$105&lt;=TabS!$G$9,E21*$C$61,IF(E$105&lt;=TabS!$G$10,E21*$C$62))))))</f>
        <v>0</v>
      </c>
      <c r="F109" s="151">
        <f>IF(F$105&lt;=TabS!$G$5,F21*$C$57,IF(F$105&lt;=TabS!$G$6,F21*$C$58,IF(F$105&lt;=TabS!$G$7,F21*$C$59,IF(F$105&lt;=TabS!$G$8,F21*$C$60,IF(F$105&lt;=TabS!$G$9,F21*$C$61,IF(F$105&lt;=TabS!$G$10,F21*$C$62))))))</f>
        <v>0</v>
      </c>
      <c r="G109" s="151">
        <f>IF(G$105&lt;=TabS!$G$5,G21*$C$57,IF(G$105&lt;=TabS!$G$6,G21*$C$58,IF(G$105&lt;=TabS!$G$7,G21*$C$59,IF(G$105&lt;=TabS!$G$8,G21*$C$60,IF(G$105&lt;=TabS!$G$9,G21*$C$61,IF(G$105&lt;=TabS!$G$10,G21*$C$62))))))</f>
        <v>0</v>
      </c>
      <c r="H109" s="151">
        <f>IF(H$105&lt;=TabS!$G$5,H21*$C$57,IF(H$105&lt;=TabS!$G$6,H21*$C$58,IF(H$105&lt;=TabS!$G$7,H21*$C$59,IF(H$105&lt;=TabS!$G$8,H21*$C$60,IF(H$105&lt;=TabS!$G$9,H21*$C$61,IF(H$105&lt;=TabS!$G$10,H21*$C$62))))))</f>
        <v>0</v>
      </c>
      <c r="I109" s="151">
        <f>IF(I$105&lt;=TabS!$G$5,I21*$C$57,IF(I$105&lt;=TabS!$G$6,I21*$C$58,IF(I$105&lt;=TabS!$G$7,I21*$C$59,IF(I$105&lt;=TabS!$G$8,I21*$C$60,IF(I$105&lt;=TabS!$G$9,I21*$C$61,IF(I$105&lt;=TabS!$G$10,I21*$C$62))))))</f>
        <v>0</v>
      </c>
      <c r="J109" s="151">
        <f>IF(J$105&lt;=TabS!$G$5,J21*$C$57,IF(J$105&lt;=TabS!$G$6,J21*$C$58,IF(J$105&lt;=TabS!$G$7,J21*$C$59,IF(J$105&lt;=TabS!$G$8,J21*$C$60,IF(J$105&lt;=TabS!$G$9,J21*$C$61,IF(J$105&lt;=TabS!$G$10,J21*$C$62))))))</f>
        <v>0</v>
      </c>
      <c r="K109" s="151">
        <f>IF(K$105&lt;=TabS!$G$5,K21*$C$57,IF(K$105&lt;=TabS!$G$6,K21*$C$58,IF(K$105&lt;=TabS!$G$7,K21*$C$59,IF(K$105&lt;=TabS!$G$8,K21*$C$60,IF(K$105&lt;=TabS!$G$9,K21*$C$61,IF(K$105&lt;=TabS!$G$10,K21*$C$62))))))</f>
        <v>0</v>
      </c>
      <c r="L109" s="151">
        <f>IF(L$105&lt;=TabS!$G$5,L21*$C$57,IF(L$105&lt;=TabS!$G$6,L21*$C$58,IF(L$105&lt;=TabS!$G$7,L21*$C$59,IF(L$105&lt;=TabS!$G$8,L21*$C$60,IF(L$105&lt;=TabS!$G$9,L21*$C$61,IF(L$105&lt;=TabS!$G$10,L21*$C$62))))))</f>
        <v>0</v>
      </c>
      <c r="M109" s="151">
        <f>IF(M$105&lt;=TabS!$G$5,M21*$C$57,IF(M$105&lt;=TabS!$G$6,M21*$C$58,IF(M$105&lt;=TabS!$G$7,M21*$C$59,IF(M$105&lt;=TabS!$G$8,M21*$C$60,IF(M$105&lt;=TabS!$G$9,M21*$C$61,IF(M$105&lt;=TabS!$G$10,M21*$C$62))))))</f>
        <v>0</v>
      </c>
      <c r="N109" s="151">
        <f>IF(N$105&lt;=TabS!$G$5,N21*$C$57,IF(N$105&lt;=TabS!$G$6,N21*$C$58,IF(N$105&lt;=TabS!$G$7,N21*$C$59,IF(N$105&lt;=TabS!$G$8,N21*$C$60,IF(N$105&lt;=TabS!$G$9,N21*$C$61,IF(N$105&lt;=TabS!$G$10,N21*$C$62))))))</f>
        <v>0</v>
      </c>
      <c r="O109" s="152">
        <f t="shared" ref="O109:O115" si="44">SUM(C109:N109)</f>
        <v>0</v>
      </c>
      <c r="Q109" s="150" t="s">
        <v>97</v>
      </c>
      <c r="R109" s="151">
        <f>IF(R$105&lt;=TabS!$G$5,R21*$C$57,IF(R$105&lt;=TabS!$G$6,R21*$C$58,IF(R$105&lt;=TabS!$G$7,R21*$C$59,IF(R$105&lt;=TabS!$G$8,R21*$C$60,IF(R$105&lt;=TabS!$G$9,R21*$C$61,IF(R$105&lt;=TabS!$G$10,R21*$C$62))))))</f>
        <v>0</v>
      </c>
      <c r="S109" s="151">
        <f>IF(S$105&lt;=TabS!$G$5,S21*$C$57,IF(S$105&lt;=TabS!$G$6,S21*$C$58,IF(S$105&lt;=TabS!$G$7,S21*$C$59,IF(S$105&lt;=TabS!$G$8,S21*$C$60,IF(S$105&lt;=TabS!$G$9,S21*$C$61,IF(S$105&lt;=TabS!$G$10,S21*$C$62))))))</f>
        <v>0</v>
      </c>
      <c r="T109" s="151">
        <f>IF(T$105&lt;=TabS!$G$5,T21*$C$57,IF(T$105&lt;=TabS!$G$6,T21*$C$58,IF(T$105&lt;=TabS!$G$7,T21*$C$59,IF(T$105&lt;=TabS!$G$8,T21*$C$60,IF(T$105&lt;=TabS!$G$9,T21*$C$61,IF(T$105&lt;=TabS!$G$10,T21*$C$62))))))</f>
        <v>0</v>
      </c>
      <c r="U109" s="151">
        <f>IF(U$105&lt;=TabS!$G$5,U21*$C$57,IF(U$105&lt;=TabS!$G$6,U21*$C$58,IF(U$105&lt;=TabS!$G$7,U21*$C$59,IF(U$105&lt;=TabS!$G$8,U21*$C$60,IF(U$105&lt;=TabS!$G$9,U21*$C$61,IF(U$105&lt;=TabS!$G$10,U21*$C$62))))))</f>
        <v>0</v>
      </c>
      <c r="V109" s="151">
        <f>IF(V$105&lt;=TabS!$G$5,V21*$C$57,IF(V$105&lt;=TabS!$G$6,V21*$C$58,IF(V$105&lt;=TabS!$G$7,V21*$C$59,IF(V$105&lt;=TabS!$G$8,V21*$C$60,IF(V$105&lt;=TabS!$G$9,V21*$C$61,IF(V$105&lt;=TabS!$G$10,V21*$C$62))))))</f>
        <v>0</v>
      </c>
      <c r="W109" s="151">
        <f>IF(W$105&lt;=TabS!$G$5,W21*$C$57,IF(W$105&lt;=TabS!$G$6,W21*$C$58,IF(W$105&lt;=TabS!$G$7,W21*$C$59,IF(W$105&lt;=TabS!$G$8,W21*$C$60,IF(W$105&lt;=TabS!$G$9,W21*$C$61,IF(W$105&lt;=TabS!$G$10,W21*$C$62))))))</f>
        <v>0</v>
      </c>
      <c r="X109" s="151">
        <f>IF(X$105&lt;=TabS!$G$5,X21*$C$57,IF(X$105&lt;=TabS!$G$6,X21*$C$58,IF(X$105&lt;=TabS!$G$7,X21*$C$59,IF(X$105&lt;=TabS!$G$8,X21*$C$60,IF(X$105&lt;=TabS!$G$9,X21*$C$61,IF(X$105&lt;=TabS!$G$10,X21*$C$62))))))</f>
        <v>0</v>
      </c>
      <c r="Y109" s="151">
        <f>IF(Y$105&lt;=TabS!$G$5,Y21*$C$57,IF(Y$105&lt;=TabS!$G$6,Y21*$C$58,IF(Y$105&lt;=TabS!$G$7,Y21*$C$59,IF(Y$105&lt;=TabS!$G$8,Y21*$C$60,IF(Y$105&lt;=TabS!$G$9,Y21*$C$61,IF(Y$105&lt;=TabS!$G$10,Y21*$C$62))))))</f>
        <v>0</v>
      </c>
      <c r="Z109" s="151">
        <f>IF(Z$105&lt;=TabS!$G$5,Z21*$C$57,IF(Z$105&lt;=TabS!$G$6,Z21*$C$58,IF(Z$105&lt;=TabS!$G$7,Z21*$C$59,IF(Z$105&lt;=TabS!$G$8,Z21*$C$60,IF(Z$105&lt;=TabS!$G$9,Z21*$C$61,IF(Z$105&lt;=TabS!$G$10,Z21*$C$62))))))</f>
        <v>0</v>
      </c>
      <c r="AA109" s="151">
        <f>IF(AA$105&lt;=TabS!$G$5,AA21*$C$57,IF(AA$105&lt;=TabS!$G$6,AA21*$C$58,IF(AA$105&lt;=TabS!$G$7,AA21*$C$59,IF(AA$105&lt;=TabS!$G$8,AA21*$C$60,IF(AA$105&lt;=TabS!$G$9,AA21*$C$61,IF(AA$105&lt;=TabS!$G$10,AA21*$C$62))))))</f>
        <v>0</v>
      </c>
      <c r="AB109" s="151">
        <f>IF(AB$105&lt;=TabS!$G$5,AB21*$C$57,IF(AB$105&lt;=TabS!$G$6,AB21*$C$58,IF(AB$105&lt;=TabS!$G$7,AB21*$C$59,IF(AB$105&lt;=TabS!$G$8,AB21*$C$60,IF(AB$105&lt;=TabS!$G$9,AB21*$C$61,IF(AB$105&lt;=TabS!$G$10,AB21*$C$62))))))</f>
        <v>0</v>
      </c>
      <c r="AC109" s="151">
        <f>IF(AC$105&lt;=TabS!$G$5,AC21*$C$57,IF(AC$105&lt;=TabS!$G$6,AC21*$C$58,IF(AC$105&lt;=TabS!$G$7,AC21*$C$59,IF(AC$105&lt;=TabS!$G$8,AC21*$C$60,IF(AC$105&lt;=TabS!$G$9,AC21*$C$61,IF(AC$105&lt;=TabS!$G$10,AC21*$C$62))))))</f>
        <v>0</v>
      </c>
      <c r="AD109" s="152">
        <f t="shared" ref="AD109:AD115" si="45">SUM(R109:AC109)</f>
        <v>0</v>
      </c>
    </row>
    <row r="110" spans="2:30" ht="20.100000000000001" customHeight="1" x14ac:dyDescent="0.25">
      <c r="B110" s="167" t="s">
        <v>98</v>
      </c>
      <c r="C110" s="151">
        <f>IF(C$105&lt;=TabS!$G$5,C21*$D$57,IF(C$105&lt;=TabS!$G$6,C21*$D$58,IF(C$105&lt;=TabS!$G$7,C21*$D$59,IF(C$105&lt;=TabS!$G$8,C21*$D$60,IF(C$105&lt;=TabS!$G$9,C21*$D$61,IF(C$105&lt;=TabS!$G$10,C21*$D$62))))))</f>
        <v>0</v>
      </c>
      <c r="D110" s="151">
        <f>IF(D$105&lt;=TabS!$G$5,D21*$D$57,IF(D$105&lt;=TabS!$G$6,D21*$D$58,IF(D$105&lt;=TabS!$G$7,D21*$D$59,IF(D$105&lt;=TabS!$G$8,D21*$D$60,IF(D$105&lt;=TabS!$G$9,D21*$D$61,IF(D$105&lt;=TabS!$G$10,D21*$D$62))))))</f>
        <v>0</v>
      </c>
      <c r="E110" s="151">
        <f>IF(E$105&lt;=TabS!$G$5,E21*$D$57,IF(E$105&lt;=TabS!$G$6,E21*$D$58,IF(E$105&lt;=TabS!$G$7,E21*$D$59,IF(E$105&lt;=TabS!$G$8,E21*$D$60,IF(E$105&lt;=TabS!$G$9,E21*$D$61,IF(E$105&lt;=TabS!$G$10,E21*$D$62))))))</f>
        <v>0</v>
      </c>
      <c r="F110" s="151">
        <f>IF(F$105&lt;=TabS!$G$5,F21*$D$57,IF(F$105&lt;=TabS!$G$6,F21*$D$58,IF(F$105&lt;=TabS!$G$7,F21*$D$59,IF(F$105&lt;=TabS!$G$8,F21*$D$60,IF(F$105&lt;=TabS!$G$9,F21*$D$61,IF(F$105&lt;=TabS!$G$10,F21*$D$62))))))</f>
        <v>0</v>
      </c>
      <c r="G110" s="151">
        <f>IF(G$105&lt;=TabS!$G$5,G21*$D$57,IF(G$105&lt;=TabS!$G$6,G21*$D$58,IF(G$105&lt;=TabS!$G$7,G21*$D$59,IF(G$105&lt;=TabS!$G$8,G21*$D$60,IF(G$105&lt;=TabS!$G$9,G21*$D$61,IF(G$105&lt;=TabS!$G$10,G21*$D$62))))))</f>
        <v>0</v>
      </c>
      <c r="H110" s="151">
        <f>IF(H$105&lt;=TabS!$G$5,H21*$D$57,IF(H$105&lt;=TabS!$G$6,H21*$D$58,IF(H$105&lt;=TabS!$G$7,H21*$D$59,IF(H$105&lt;=TabS!$G$8,H21*$D$60,IF(H$105&lt;=TabS!$G$9,H21*$D$61,IF(H$105&lt;=TabS!$G$10,H21*$D$62))))))</f>
        <v>0</v>
      </c>
      <c r="I110" s="151">
        <f>IF(I$105&lt;=TabS!$G$5,I21*$D$57,IF(I$105&lt;=TabS!$G$6,I21*$D$58,IF(I$105&lt;=TabS!$G$7,I21*$D$59,IF(I$105&lt;=TabS!$G$8,I21*$D$60,IF(I$105&lt;=TabS!$G$9,I21*$D$61,IF(I$105&lt;=TabS!$G$10,I21*$D$62))))))</f>
        <v>0</v>
      </c>
      <c r="J110" s="151">
        <f>IF(J$105&lt;=TabS!$G$5,J21*$D$57,IF(J$105&lt;=TabS!$G$6,J21*$D$58,IF(J$105&lt;=TabS!$G$7,J21*$D$59,IF(J$105&lt;=TabS!$G$8,J21*$D$60,IF(J$105&lt;=TabS!$G$9,J21*$D$61,IF(J$105&lt;=TabS!$G$10,J21*$D$62))))))</f>
        <v>0</v>
      </c>
      <c r="K110" s="151">
        <f>IF(K$105&lt;=TabS!$G$5,K21*$D$57,IF(K$105&lt;=TabS!$G$6,K21*$D$58,IF(K$105&lt;=TabS!$G$7,K21*$D$59,IF(K$105&lt;=TabS!$G$8,K21*$D$60,IF(K$105&lt;=TabS!$G$9,K21*$D$61,IF(K$105&lt;=TabS!$G$10,K21*$D$62))))))</f>
        <v>0</v>
      </c>
      <c r="L110" s="151">
        <f>IF(L$105&lt;=TabS!$G$5,L21*$D$57,IF(L$105&lt;=TabS!$G$6,L21*$D$58,IF(L$105&lt;=TabS!$G$7,L21*$D$59,IF(L$105&lt;=TabS!$G$8,L21*$D$60,IF(L$105&lt;=TabS!$G$9,L21*$D$61,IF(L$105&lt;=TabS!$G$10,L21*$D$62))))))</f>
        <v>0</v>
      </c>
      <c r="M110" s="151">
        <f>IF(M$105&lt;=TabS!$G$5,M21*$D$57,IF(M$105&lt;=TabS!$G$6,M21*$D$58,IF(M$105&lt;=TabS!$G$7,M21*$D$59,IF(M$105&lt;=TabS!$G$8,M21*$D$60,IF(M$105&lt;=TabS!$G$9,M21*$D$61,IF(M$105&lt;=TabS!$G$10,M21*$D$62))))))</f>
        <v>0</v>
      </c>
      <c r="N110" s="151">
        <f>IF(N$105&lt;=TabS!$G$5,N21*$D$57,IF(N$105&lt;=TabS!$G$6,N21*$D$58,IF(N$105&lt;=TabS!$G$7,N21*$D$59,IF(N$105&lt;=TabS!$G$8,N21*$D$60,IF(N$105&lt;=TabS!$G$9,N21*$D$61,IF(N$105&lt;=TabS!$G$10,N21*$D$62))))))</f>
        <v>0</v>
      </c>
      <c r="O110" s="152">
        <f t="shared" si="44"/>
        <v>0</v>
      </c>
      <c r="Q110" s="150" t="s">
        <v>98</v>
      </c>
      <c r="R110" s="151">
        <f>IF(R$105&lt;=TabS!$G$5,R21*$D$57,IF(R$105&lt;=TabS!$G$6,R21*$D$58,IF(R$105&lt;=TabS!$G$7,R21*$D$59,IF(R$105&lt;=TabS!$G$8,R21*$D$60,IF(R$105&lt;=TabS!$G$9,R21*$D$61,IF(R$105&lt;=TabS!$G$10,R21*$D$62))))))</f>
        <v>0</v>
      </c>
      <c r="S110" s="151">
        <f>IF(S$105&lt;=TabS!$G$5,S21*$D$57,IF(S$105&lt;=TabS!$G$6,S21*$D$58,IF(S$105&lt;=TabS!$G$7,S21*$D$59,IF(S$105&lt;=TabS!$G$8,S21*$D$60,IF(S$105&lt;=TabS!$G$9,S21*$D$61,IF(S$105&lt;=TabS!$G$10,S21*$D$62))))))</f>
        <v>0</v>
      </c>
      <c r="T110" s="151">
        <f>IF(T$105&lt;=TabS!$G$5,T21*$D$57,IF(T$105&lt;=TabS!$G$6,T21*$D$58,IF(T$105&lt;=TabS!$G$7,T21*$D$59,IF(T$105&lt;=TabS!$G$8,T21*$D$60,IF(T$105&lt;=TabS!$G$9,T21*$D$61,IF(T$105&lt;=TabS!$G$10,T21*$D$62))))))</f>
        <v>0</v>
      </c>
      <c r="U110" s="151">
        <f>IF(U$105&lt;=TabS!$G$5,U21*$D$57,IF(U$105&lt;=TabS!$G$6,U21*$D$58,IF(U$105&lt;=TabS!$G$7,U21*$D$59,IF(U$105&lt;=TabS!$G$8,U21*$D$60,IF(U$105&lt;=TabS!$G$9,U21*$D$61,IF(U$105&lt;=TabS!$G$10,U21*$D$62))))))</f>
        <v>0</v>
      </c>
      <c r="V110" s="151">
        <f>IF(V$105&lt;=TabS!$G$5,V21*$D$57,IF(V$105&lt;=TabS!$G$6,V21*$D$58,IF(V$105&lt;=TabS!$G$7,V21*$D$59,IF(V$105&lt;=TabS!$G$8,V21*$D$60,IF(V$105&lt;=TabS!$G$9,V21*$D$61,IF(V$105&lt;=TabS!$G$10,V21*$D$62))))))</f>
        <v>0</v>
      </c>
      <c r="W110" s="151">
        <f>IF(W$105&lt;=TabS!$G$5,W21*$D$57,IF(W$105&lt;=TabS!$G$6,W21*$D$58,IF(W$105&lt;=TabS!$G$7,W21*$D$59,IF(W$105&lt;=TabS!$G$8,W21*$D$60,IF(W$105&lt;=TabS!$G$9,W21*$D$61,IF(W$105&lt;=TabS!$G$10,W21*$D$62))))))</f>
        <v>0</v>
      </c>
      <c r="X110" s="151">
        <f>IF(X$105&lt;=TabS!$G$5,X21*$D$57,IF(X$105&lt;=TabS!$G$6,X21*$D$58,IF(X$105&lt;=TabS!$G$7,X21*$D$59,IF(X$105&lt;=TabS!$G$8,X21*$D$60,IF(X$105&lt;=TabS!$G$9,X21*$D$61,IF(X$105&lt;=TabS!$G$10,X21*$D$62))))))</f>
        <v>0</v>
      </c>
      <c r="Y110" s="151">
        <f>IF(Y$105&lt;=TabS!$G$5,Y21*$D$57,IF(Y$105&lt;=TabS!$G$6,Y21*$D$58,IF(Y$105&lt;=TabS!$G$7,Y21*$D$59,IF(Y$105&lt;=TabS!$G$8,Y21*$D$60,IF(Y$105&lt;=TabS!$G$9,Y21*$D$61,IF(Y$105&lt;=TabS!$G$10,Y21*$D$62))))))</f>
        <v>0</v>
      </c>
      <c r="Z110" s="151">
        <f>IF(Z$105&lt;=TabS!$G$5,Z21*$D$57,IF(Z$105&lt;=TabS!$G$6,Z21*$D$58,IF(Z$105&lt;=TabS!$G$7,Z21*$D$59,IF(Z$105&lt;=TabS!$G$8,Z21*$D$60,IF(Z$105&lt;=TabS!$G$9,Z21*$D$61,IF(Z$105&lt;=TabS!$G$10,Z21*$D$62))))))</f>
        <v>0</v>
      </c>
      <c r="AA110" s="151">
        <f>IF(AA$105&lt;=TabS!$G$5,AA21*$D$57,IF(AA$105&lt;=TabS!$G$6,AA21*$D$58,IF(AA$105&lt;=TabS!$G$7,AA21*$D$59,IF(AA$105&lt;=TabS!$G$8,AA21*$D$60,IF(AA$105&lt;=TabS!$G$9,AA21*$D$61,IF(AA$105&lt;=TabS!$G$10,AA21*$D$62))))))</f>
        <v>0</v>
      </c>
      <c r="AB110" s="151">
        <f>IF(AB$105&lt;=TabS!$G$5,AB21*$D$57,IF(AB$105&lt;=TabS!$G$6,AB21*$D$58,IF(AB$105&lt;=TabS!$G$7,AB21*$D$59,IF(AB$105&lt;=TabS!$G$8,AB21*$D$60,IF(AB$105&lt;=TabS!$G$9,AB21*$D$61,IF(AB$105&lt;=TabS!$G$10,AB21*$D$62))))))</f>
        <v>0</v>
      </c>
      <c r="AC110" s="151">
        <f>IF(AC$105&lt;=TabS!$G$5,AC21*$D$57,IF(AC$105&lt;=TabS!$G$6,AC21*$D$58,IF(AC$105&lt;=TabS!$G$7,AC21*$D$59,IF(AC$105&lt;=TabS!$G$8,AC21*$D$60,IF(AC$105&lt;=TabS!$G$9,AC21*$D$61,IF(AC$105&lt;=TabS!$G$10,AC21*$D$62))))))</f>
        <v>0</v>
      </c>
      <c r="AD110" s="152">
        <f t="shared" si="45"/>
        <v>0</v>
      </c>
    </row>
    <row r="111" spans="2:30" ht="20.100000000000001" customHeight="1" x14ac:dyDescent="0.25">
      <c r="B111" s="167" t="s">
        <v>37</v>
      </c>
      <c r="C111" s="151">
        <f>R111</f>
        <v>0</v>
      </c>
      <c r="D111" s="151">
        <f t="shared" ref="D111:N111" si="46">S111</f>
        <v>0</v>
      </c>
      <c r="E111" s="151">
        <f t="shared" si="46"/>
        <v>0</v>
      </c>
      <c r="F111" s="151">
        <f t="shared" si="46"/>
        <v>0</v>
      </c>
      <c r="G111" s="151">
        <f t="shared" si="46"/>
        <v>0</v>
      </c>
      <c r="H111" s="151">
        <f t="shared" si="46"/>
        <v>0</v>
      </c>
      <c r="I111" s="151">
        <f t="shared" si="46"/>
        <v>0</v>
      </c>
      <c r="J111" s="151">
        <f t="shared" si="46"/>
        <v>0</v>
      </c>
      <c r="K111" s="151">
        <f t="shared" si="46"/>
        <v>0</v>
      </c>
      <c r="L111" s="151">
        <f t="shared" si="46"/>
        <v>0</v>
      </c>
      <c r="M111" s="151">
        <f t="shared" si="46"/>
        <v>0</v>
      </c>
      <c r="N111" s="151">
        <f t="shared" si="46"/>
        <v>0</v>
      </c>
      <c r="O111" s="152">
        <f t="shared" si="44"/>
        <v>0</v>
      </c>
      <c r="Q111" s="150" t="s">
        <v>37</v>
      </c>
      <c r="R111" s="151">
        <f>IF(R105&lt;R106,IF(R105&lt;=TabS!$G$5,R21*$E$57,IF(R105&lt;=TabS!$G$6,R21*$E$58,IF(R105&lt;=TabS!$G$7,R21*$E$59,IF(R105&lt;=TabS!$G$8,R21*$E$60,IF(R105&lt;=TabS!$G$9,R21*$E$61,IF(R105&lt;=TabS!$G$10,R21*$E$62)))))),C17*R116)</f>
        <v>0</v>
      </c>
      <c r="S111" s="151">
        <f>IF(S105&lt;S106,IF(S105&lt;=TabS!$G$5,S21*$E$57,IF(S105&lt;=TabS!$G$6,S21*$E$58,IF(S105&lt;=TabS!$G$7,S21*$E$59,IF(S105&lt;=TabS!$G$8,S21*$E$60,IF(S105&lt;=TabS!$G$9,S21*$E$61,IF(S105&lt;=TabS!$G$10,S21*$E$62)))))),D17*S116)</f>
        <v>0</v>
      </c>
      <c r="T111" s="151">
        <f>IF(T105&lt;T106,IF(T105&lt;=TabS!$G$5,T21*$E$57,IF(T105&lt;=TabS!$G$6,T21*$E$58,IF(T105&lt;=TabS!$G$7,T21*$E$59,IF(T105&lt;=TabS!$G$8,T21*$E$60,IF(T105&lt;=TabS!$G$9,T21*$E$61,IF(T105&lt;=TabS!$G$10,T21*$E$62)))))),E17*T116)</f>
        <v>0</v>
      </c>
      <c r="U111" s="151">
        <f>IF(U105&lt;U106,IF(U105&lt;=TabS!$G$5,U21*$E$57,IF(U105&lt;=TabS!$G$6,U21*$E$58,IF(U105&lt;=TabS!$G$7,U21*$E$59,IF(U105&lt;=TabS!$G$8,U21*$E$60,IF(U105&lt;=TabS!$G$9,U21*$E$61,IF(U105&lt;=TabS!$G$10,U21*$E$62)))))),F17*U116)</f>
        <v>0</v>
      </c>
      <c r="V111" s="151">
        <f>IF(V105&lt;V106,IF(V105&lt;=TabS!$G$5,V21*$E$57,IF(V105&lt;=TabS!$G$6,V21*$E$58,IF(V105&lt;=TabS!$G$7,V21*$E$59,IF(V105&lt;=TabS!$G$8,V21*$E$60,IF(V105&lt;=TabS!$G$9,V21*$E$61,IF(V105&lt;=TabS!$G$10,V21*$E$62)))))),G17*V116)</f>
        <v>0</v>
      </c>
      <c r="W111" s="151">
        <f>IF(W105&lt;W106,IF(W105&lt;=TabS!$G$5,W21*$E$57,IF(W105&lt;=TabS!$G$6,W21*$E$58,IF(W105&lt;=TabS!$G$7,W21*$E$59,IF(W105&lt;=TabS!$G$8,W21*$E$60,IF(W105&lt;=TabS!$G$9,W21*$E$61,IF(W105&lt;=TabS!$G$10,W21*$E$62)))))),H17*W116)</f>
        <v>0</v>
      </c>
      <c r="X111" s="151">
        <f>IF(X105&lt;X106,IF(X105&lt;=TabS!$G$5,X21*$E$57,IF(X105&lt;=TabS!$G$6,X21*$E$58,IF(X105&lt;=TabS!$G$7,X21*$E$59,IF(X105&lt;=TabS!$G$8,X21*$E$60,IF(X105&lt;=TabS!$G$9,X21*$E$61,IF(X105&lt;=TabS!$G$10,X21*$E$62)))))),I17*X116)</f>
        <v>0</v>
      </c>
      <c r="Y111" s="151">
        <f>IF(Y105&lt;Y106,IF(Y105&lt;=TabS!$G$5,Y21*$E$57,IF(Y105&lt;=TabS!$G$6,Y21*$E$58,IF(Y105&lt;=TabS!$G$7,Y21*$E$59,IF(Y105&lt;=TabS!$G$8,Y21*$E$60,IF(Y105&lt;=TabS!$G$9,Y21*$E$61,IF(Y105&lt;=TabS!$G$10,Y21*$E$62)))))),J17*Y116)</f>
        <v>0</v>
      </c>
      <c r="Z111" s="151">
        <f>IF(Z105&lt;Z106,IF(Z105&lt;=TabS!$G$5,Z21*$E$57,IF(Z105&lt;=TabS!$G$6,Z21*$E$58,IF(Z105&lt;=TabS!$G$7,Z21*$E$59,IF(Z105&lt;=TabS!$G$8,Z21*$E$60,IF(Z105&lt;=TabS!$G$9,Z21*$E$61,IF(Z105&lt;=TabS!$G$10,Z21*$E$62)))))),K17*Z116)</f>
        <v>0</v>
      </c>
      <c r="AA111" s="151">
        <f>IF(AA105&lt;AA106,IF(AA105&lt;=TabS!$G$5,AA21*$E$57,IF(AA105&lt;=TabS!$G$6,AA21*$E$58,IF(AA105&lt;=TabS!$G$7,AA21*$E$59,IF(AA105&lt;=TabS!$G$8,AA21*$E$60,IF(AA105&lt;=TabS!$G$9,AA21*$E$61,IF(AA105&lt;=TabS!$G$10,AA21*$E$62)))))),L17*AA116)</f>
        <v>0</v>
      </c>
      <c r="AB111" s="151">
        <f>IF(AB105&lt;AB106,IF(AB105&lt;=TabS!$G$5,AB21*$E$57,IF(AB105&lt;=TabS!$G$6,AB21*$E$58,IF(AB105&lt;=TabS!$G$7,AB21*$E$59,IF(AB105&lt;=TabS!$G$8,AB21*$E$60,IF(AB105&lt;=TabS!$G$9,AB21*$E$61,IF(AB105&lt;=TabS!$G$10,AB21*$E$62)))))),M17*AB116)</f>
        <v>0</v>
      </c>
      <c r="AC111" s="151">
        <f>IF(AC105&lt;AC106,IF(AC105&lt;=TabS!$G$5,AC21*$E$57,IF(AC105&lt;=TabS!$G$6,AC21*$E$58,IF(AC105&lt;=TabS!$G$7,AC21*$E$59,IF(AC105&lt;=TabS!$G$8,AC21*$E$60,IF(AC105&lt;=TabS!$G$9,AC21*$E$61,IF(AC105&lt;=TabS!$G$10,AC21*$E$62)))))),N17*AC116)</f>
        <v>0</v>
      </c>
      <c r="AD111" s="152">
        <f t="shared" si="45"/>
        <v>0</v>
      </c>
    </row>
    <row r="112" spans="2:30" ht="20.100000000000001" customHeight="1" x14ac:dyDescent="0.25">
      <c r="B112" s="167" t="s">
        <v>129</v>
      </c>
      <c r="C112" s="151">
        <f>IF(C$105&lt;=TabS!$G$5,C21*$F$57,IF(C$105&lt;=TabS!$G$6,C21*$F$58,IF(C$105&lt;=TabS!$G$7,C21*$F$59,IF(C$105&lt;=TabS!$G$8,C21*$F$60,IF(C$105&lt;=TabS!$G$9,C21*$F$61,IF(C$105&lt;=TabS!$G$10,C21*$F$62))))))</f>
        <v>0</v>
      </c>
      <c r="D112" s="151">
        <f>IF(D$105&lt;=TabS!$G$5,D21*$F$57,IF(D$105&lt;=TabS!$G$6,D21*$F$58,IF(D$105&lt;=TabS!$G$7,D21*$F$59,IF(D$105&lt;=TabS!$G$8,D21*$F$60,IF(D$105&lt;=TabS!$G$9,D21*$F$61,IF(D$105&lt;=TabS!$G$10,D21*$F$62))))))</f>
        <v>0</v>
      </c>
      <c r="E112" s="151">
        <f>IF(E$105&lt;=TabS!$G$5,E21*$F$57,IF(E$105&lt;=TabS!$G$6,E21*$F$58,IF(E$105&lt;=TabS!$G$7,E21*$F$59,IF(E$105&lt;=TabS!$G$8,E21*$F$60,IF(E$105&lt;=TabS!$G$9,E21*$F$61,IF(E$105&lt;=TabS!$G$10,E21*$F$62))))))</f>
        <v>0</v>
      </c>
      <c r="F112" s="151">
        <f>IF(F$105&lt;=TabS!$G$5,F21*$F$57,IF(F$105&lt;=TabS!$G$6,F21*$F$58,IF(F$105&lt;=TabS!$G$7,F21*$F$59,IF(F$105&lt;=TabS!$G$8,F21*$F$60,IF(F$105&lt;=TabS!$G$9,F21*$F$61,IF(F$105&lt;=TabS!$G$10,F21*$F$62))))))</f>
        <v>0</v>
      </c>
      <c r="G112" s="151">
        <f>IF(G$105&lt;=TabS!$G$5,G21*$F$57,IF(G$105&lt;=TabS!$G$6,G21*$F$58,IF(G$105&lt;=TabS!$G$7,G21*$F$59,IF(G$105&lt;=TabS!$G$8,G21*$F$60,IF(G$105&lt;=TabS!$G$9,G21*$F$61,IF(G$105&lt;=TabS!$G$10,G21*$F$62))))))</f>
        <v>0</v>
      </c>
      <c r="H112" s="151">
        <f>IF(H$105&lt;=TabS!$G$5,H21*$F$57,IF(H$105&lt;=TabS!$G$6,H21*$F$58,IF(H$105&lt;=TabS!$G$7,H21*$F$59,IF(H$105&lt;=TabS!$G$8,H21*$F$60,IF(H$105&lt;=TabS!$G$9,H21*$F$61,IF(H$105&lt;=TabS!$G$10,H21*$F$62))))))</f>
        <v>0</v>
      </c>
      <c r="I112" s="151">
        <f>IF(I$105&lt;=TabS!$G$5,I21*$F$57,IF(I$105&lt;=TabS!$G$6,I21*$F$58,IF(I$105&lt;=TabS!$G$7,I21*$F$59,IF(I$105&lt;=TabS!$G$8,I21*$F$60,IF(I$105&lt;=TabS!$G$9,I21*$F$61,IF(I$105&lt;=TabS!$G$10,I21*$F$62))))))</f>
        <v>0</v>
      </c>
      <c r="J112" s="151">
        <f>IF(J$105&lt;=TabS!$G$5,J21*$F$57,IF(J$105&lt;=TabS!$G$6,J21*$F$58,IF(J$105&lt;=TabS!$G$7,J21*$F$59,IF(J$105&lt;=TabS!$G$8,J21*$F$60,IF(J$105&lt;=TabS!$G$9,J21*$F$61,IF(J$105&lt;=TabS!$G$10,J21*$F$62))))))</f>
        <v>0</v>
      </c>
      <c r="K112" s="151">
        <f>IF(K$105&lt;=TabS!$G$5,K21*$F$57,IF(K$105&lt;=TabS!$G$6,K21*$F$58,IF(K$105&lt;=TabS!$G$7,K21*$F$59,IF(K$105&lt;=TabS!$G$8,K21*$F$60,IF(K$105&lt;=TabS!$G$9,K21*$F$61,IF(K$105&lt;=TabS!$G$10,K21*$F$62))))))</f>
        <v>0</v>
      </c>
      <c r="L112" s="151">
        <f>IF(L$105&lt;=TabS!$G$5,L21*$F$57,IF(L$105&lt;=TabS!$G$6,L21*$F$58,IF(L$105&lt;=TabS!$G$7,L21*$F$59,IF(L$105&lt;=TabS!$G$8,L21*$F$60,IF(L$105&lt;=TabS!$G$9,L21*$F$61,IF(L$105&lt;=TabS!$G$10,L21*$F$62))))))</f>
        <v>0</v>
      </c>
      <c r="M112" s="151">
        <f>IF(M$105&lt;=TabS!$G$5,M21*$F$57,IF(M$105&lt;=TabS!$G$6,M21*$F$58,IF(M$105&lt;=TabS!$G$7,M21*$F$59,IF(M$105&lt;=TabS!$G$8,M21*$F$60,IF(M$105&lt;=TabS!$G$9,M21*$F$61,IF(M$105&lt;=TabS!$G$10,M21*$F$62))))))</f>
        <v>0</v>
      </c>
      <c r="N112" s="151">
        <f>IF(N$105&lt;=TabS!$G$5,N21*$F$57,IF(N$105&lt;=TabS!$G$6,N21*$F$58,IF(N$105&lt;=TabS!$G$7,N21*$F$59,IF(N$105&lt;=TabS!$G$8,N21*$F$60,IF(N$105&lt;=TabS!$G$9,N21*$F$61,IF(N$105&lt;=TabS!$G$10,N21*$F$62))))))</f>
        <v>0</v>
      </c>
      <c r="O112" s="152">
        <f t="shared" si="44"/>
        <v>0</v>
      </c>
      <c r="Q112" s="150" t="s">
        <v>129</v>
      </c>
      <c r="R112" s="151">
        <f>IF(R$105&lt;=TabS!$G$5,R21*$F$57,IF(R$105&lt;=TabS!$G$6,R21*$F$58,IF(R$105&lt;=TabS!$G$7,R21*$F$59,IF(R$105&lt;=TabS!$G$8,R21*$F$60,IF(R$105&lt;=TabS!$G$9,R21*$F$61,IF(R$105&lt;=TabS!$G$10,R21*$F$62))))))</f>
        <v>0</v>
      </c>
      <c r="S112" s="151">
        <f>IF(S$105&lt;=TabS!$G$5,S21*$F$57,IF(S$105&lt;=TabS!$G$6,S21*$F$58,IF(S$105&lt;=TabS!$G$7,S21*$F$59,IF(S$105&lt;=TabS!$G$8,S21*$F$60,IF(S$105&lt;=TabS!$G$9,S21*$F$61,IF(S$105&lt;=TabS!$G$10,S21*$F$62))))))</f>
        <v>0</v>
      </c>
      <c r="T112" s="151">
        <f>IF(T$105&lt;=TabS!$G$5,T21*$F$57,IF(T$105&lt;=TabS!$G$6,T21*$F$58,IF(T$105&lt;=TabS!$G$7,T21*$F$59,IF(T$105&lt;=TabS!$G$8,T21*$F$60,IF(T$105&lt;=TabS!$G$9,T21*$F$61,IF(T$105&lt;=TabS!$G$10,T21*$F$62))))))</f>
        <v>0</v>
      </c>
      <c r="U112" s="151">
        <f>IF(U$105&lt;=TabS!$G$5,U21*$F$57,IF(U$105&lt;=TabS!$G$6,U21*$F$58,IF(U$105&lt;=TabS!$G$7,U21*$F$59,IF(U$105&lt;=TabS!$G$8,U21*$F$60,IF(U$105&lt;=TabS!$G$9,U21*$F$61,IF(U$105&lt;=TabS!$G$10,U21*$F$62))))))</f>
        <v>0</v>
      </c>
      <c r="V112" s="151">
        <f>IF(V$105&lt;=TabS!$G$5,V21*$F$57,IF(V$105&lt;=TabS!$G$6,V21*$F$58,IF(V$105&lt;=TabS!$G$7,V21*$F$59,IF(V$105&lt;=TabS!$G$8,V21*$F$60,IF(V$105&lt;=TabS!$G$9,V21*$F$61,IF(V$105&lt;=TabS!$G$10,V21*$F$62))))))</f>
        <v>0</v>
      </c>
      <c r="W112" s="151">
        <f>IF(W$105&lt;=TabS!$G$5,W21*$F$57,IF(W$105&lt;=TabS!$G$6,W21*$F$58,IF(W$105&lt;=TabS!$G$7,W21*$F$59,IF(W$105&lt;=TabS!$G$8,W21*$F$60,IF(W$105&lt;=TabS!$G$9,W21*$F$61,IF(W$105&lt;=TabS!$G$10,W21*$F$62))))))</f>
        <v>0</v>
      </c>
      <c r="X112" s="151">
        <f>IF(X$105&lt;=TabS!$G$5,X21*$F$57,IF(X$105&lt;=TabS!$G$6,X21*$F$58,IF(X$105&lt;=TabS!$G$7,X21*$F$59,IF(X$105&lt;=TabS!$G$8,X21*$F$60,IF(X$105&lt;=TabS!$G$9,X21*$F$61,IF(X$105&lt;=TabS!$G$10,X21*$F$62))))))</f>
        <v>0</v>
      </c>
      <c r="Y112" s="151">
        <f>IF(Y$105&lt;=TabS!$G$5,Y21*$F$57,IF(Y$105&lt;=TabS!$G$6,Y21*$F$58,IF(Y$105&lt;=TabS!$G$7,Y21*$F$59,IF(Y$105&lt;=TabS!$G$8,Y21*$F$60,IF(Y$105&lt;=TabS!$G$9,Y21*$F$61,IF(Y$105&lt;=TabS!$G$10,Y21*$F$62))))))</f>
        <v>0</v>
      </c>
      <c r="Z112" s="151">
        <f>IF(Z$105&lt;=TabS!$G$5,Z21*$F$57,IF(Z$105&lt;=TabS!$G$6,Z21*$F$58,IF(Z$105&lt;=TabS!$G$7,Z21*$F$59,IF(Z$105&lt;=TabS!$G$8,Z21*$F$60,IF(Z$105&lt;=TabS!$G$9,Z21*$F$61,IF(Z$105&lt;=TabS!$G$10,Z21*$F$62))))))</f>
        <v>0</v>
      </c>
      <c r="AA112" s="151">
        <f>IF(AA$105&lt;=TabS!$G$5,AA21*$F$57,IF(AA$105&lt;=TabS!$G$6,AA21*$F$58,IF(AA$105&lt;=TabS!$G$7,AA21*$F$59,IF(AA$105&lt;=TabS!$G$8,AA21*$F$60,IF(AA$105&lt;=TabS!$G$9,AA21*$F$61,IF(AA$105&lt;=TabS!$G$10,AA21*$F$62))))))</f>
        <v>0</v>
      </c>
      <c r="AB112" s="151">
        <f>IF(AB$105&lt;=TabS!$G$5,AB21*$F$57,IF(AB$105&lt;=TabS!$G$6,AB21*$F$58,IF(AB$105&lt;=TabS!$G$7,AB21*$F$59,IF(AB$105&lt;=TabS!$G$8,AB21*$F$60,IF(AB$105&lt;=TabS!$G$9,AB21*$F$61,IF(AB$105&lt;=TabS!$G$10,AB21*$F$62))))))</f>
        <v>0</v>
      </c>
      <c r="AC112" s="151">
        <f>IF(AC$105&lt;=TabS!$G$5,AC21*$F$57,IF(AC$105&lt;=TabS!$G$6,AC21*$F$58,IF(AC$105&lt;=TabS!$G$7,AC21*$F$59,IF(AC$105&lt;=TabS!$G$8,AC21*$F$60,IF(AC$105&lt;=TabS!$G$9,AC21*$F$61,IF(AC$105&lt;=TabS!$G$10,AC21*$F$62))))))</f>
        <v>0</v>
      </c>
      <c r="AD112" s="152">
        <f t="shared" si="45"/>
        <v>0</v>
      </c>
    </row>
    <row r="113" spans="2:30" ht="20.100000000000001" customHeight="1" x14ac:dyDescent="0.25">
      <c r="B113" s="167" t="s">
        <v>42</v>
      </c>
      <c r="C113" s="151">
        <f>IF(C$105&lt;=TabS!$G$5,C21*$G$57,IF(C$105&lt;=TabS!$G$6,C21*$G$58,IF(C$105&lt;=TabS!$G$7,C21*$G$59,IF(C$105&lt;=TabS!$G$8,C21*$G$60,IF(C$105&lt;=TabS!$G$9,C21*$G$61,IF(C$105&lt;=TabS!$G$10,C21*$G$62))))))</f>
        <v>0</v>
      </c>
      <c r="D113" s="151">
        <f>IF(D$105&lt;=TabS!$G$5,D21*$G$57,IF(D$105&lt;=TabS!$G$6,D21*$G$58,IF(D$105&lt;=TabS!$G$7,D21*$G$59,IF(D$105&lt;=TabS!$G$8,D21*$G$60,IF(D$105&lt;=TabS!$G$9,D21*$G$61,IF(D$105&lt;=TabS!$G$10,D21*$G$62))))))</f>
        <v>0</v>
      </c>
      <c r="E113" s="151">
        <f>IF(E$105&lt;=TabS!$G$5,E21*$G$57,IF(E$105&lt;=TabS!$G$6,E21*$G$58,IF(E$105&lt;=TabS!$G$7,E21*$G$59,IF(E$105&lt;=TabS!$G$8,E21*$G$60,IF(E$105&lt;=TabS!$G$9,E21*$G$61,IF(E$105&lt;=TabS!$G$10,E21*$G$62))))))</f>
        <v>0</v>
      </c>
      <c r="F113" s="151">
        <f>IF(F$105&lt;=TabS!$G$5,F21*$G$57,IF(F$105&lt;=TabS!$G$6,F21*$G$58,IF(F$105&lt;=TabS!$G$7,F21*$G$59,IF(F$105&lt;=TabS!$G$8,F21*$G$60,IF(F$105&lt;=TabS!$G$9,F21*$G$61,IF(F$105&lt;=TabS!$G$10,F21*$G$62))))))</f>
        <v>0</v>
      </c>
      <c r="G113" s="151">
        <f>IF(G$105&lt;=TabS!$G$5,G21*$G$57,IF(G$105&lt;=TabS!$G$6,G21*$G$58,IF(G$105&lt;=TabS!$G$7,G21*$G$59,IF(G$105&lt;=TabS!$G$8,G21*$G$60,IF(G$105&lt;=TabS!$G$9,G21*$G$61,IF(G$105&lt;=TabS!$G$10,G21*$G$62))))))</f>
        <v>0</v>
      </c>
      <c r="H113" s="151">
        <f>IF(H$105&lt;=TabS!$G$5,H21*$G$57,IF(H$105&lt;=TabS!$G$6,H21*$G$58,IF(H$105&lt;=TabS!$G$7,H21*$G$59,IF(H$105&lt;=TabS!$G$8,H21*$G$60,IF(H$105&lt;=TabS!$G$9,H21*$G$61,IF(H$105&lt;=TabS!$G$10,H21*$G$62))))))</f>
        <v>0</v>
      </c>
      <c r="I113" s="151">
        <f>IF(I$105&lt;=TabS!$G$5,I21*$G$57,IF(I$105&lt;=TabS!$G$6,I21*$G$58,IF(I$105&lt;=TabS!$G$7,I21*$G$59,IF(I$105&lt;=TabS!$G$8,I21*$G$60,IF(I$105&lt;=TabS!$G$9,I21*$G$61,IF(I$105&lt;=TabS!$G$10,I21*$G$62))))))</f>
        <v>0</v>
      </c>
      <c r="J113" s="151">
        <f>IF(J$105&lt;=TabS!$G$5,J21*$G$57,IF(J$105&lt;=TabS!$G$6,J21*$G$58,IF(J$105&lt;=TabS!$G$7,J21*$G$59,IF(J$105&lt;=TabS!$G$8,J21*$G$60,IF(J$105&lt;=TabS!$G$9,J21*$G$61,IF(J$105&lt;=TabS!$G$10,J21*$G$62))))))</f>
        <v>0</v>
      </c>
      <c r="K113" s="151">
        <f>IF(K$105&lt;=TabS!$G$5,K21*$G$57,IF(K$105&lt;=TabS!$G$6,K21*$G$58,IF(K$105&lt;=TabS!$G$7,K21*$G$59,IF(K$105&lt;=TabS!$G$8,K21*$G$60,IF(K$105&lt;=TabS!$G$9,K21*$G$61,IF(K$105&lt;=TabS!$G$10,K21*$G$62))))))</f>
        <v>0</v>
      </c>
      <c r="L113" s="151">
        <f>IF(L$105&lt;=TabS!$G$5,L21*$G$57,IF(L$105&lt;=TabS!$G$6,L21*$G$58,IF(L$105&lt;=TabS!$G$7,L21*$G$59,IF(L$105&lt;=TabS!$G$8,L21*$G$60,IF(L$105&lt;=TabS!$G$9,L21*$G$61,IF(L$105&lt;=TabS!$G$10,L21*$G$62))))))</f>
        <v>0</v>
      </c>
      <c r="M113" s="151">
        <f>IF(M$105&lt;=TabS!$G$5,M21*$G$57,IF(M$105&lt;=TabS!$G$6,M21*$G$58,IF(M$105&lt;=TabS!$G$7,M21*$G$59,IF(M$105&lt;=TabS!$G$8,M21*$G$60,IF(M$105&lt;=TabS!$G$9,M21*$G$61,IF(M$105&lt;=TabS!$G$10,M21*$G$62))))))</f>
        <v>0</v>
      </c>
      <c r="N113" s="151">
        <f>IF(N$105&lt;=TabS!$G$5,N21*$G$57,IF(N$105&lt;=TabS!$G$6,N21*$G$58,IF(N$105&lt;=TabS!$G$7,N21*$G$59,IF(N$105&lt;=TabS!$G$8,N21*$G$60,IF(N$105&lt;=TabS!$G$9,N21*$G$61,IF(N$105&lt;=TabS!$G$10,N21*$G$62))))))</f>
        <v>0</v>
      </c>
      <c r="O113" s="152">
        <f t="shared" si="44"/>
        <v>0</v>
      </c>
      <c r="Q113" s="150" t="s">
        <v>42</v>
      </c>
      <c r="R113" s="151">
        <f>IF(R$105&lt;=TabS!$G$5,R21*$G$57,IF(R$105&lt;=TabS!$G$6,R21*$G$58,IF(R$105&lt;=TabS!$G$7,R21*$G$59,IF(R$105&lt;=TabS!$G$8,R21*$G$60,IF(R$105&lt;=TabS!$G$9,R21*$G$61,IF(R$105&lt;=TabS!$G$10,R21*$G$62))))))</f>
        <v>0</v>
      </c>
      <c r="S113" s="151">
        <f>IF(S$105&lt;=TabS!$G$5,S21*$G$57,IF(S$105&lt;=TabS!$G$6,S21*$G$58,IF(S$105&lt;=TabS!$G$7,S21*$G$59,IF(S$105&lt;=TabS!$G$8,S21*$G$60,IF(S$105&lt;=TabS!$G$9,S21*$G$61,IF(S$105&lt;=TabS!$G$10,S21*$G$62))))))</f>
        <v>0</v>
      </c>
      <c r="T113" s="151">
        <f>IF(T$105&lt;=TabS!$G$5,T21*$G$57,IF(T$105&lt;=TabS!$G$6,T21*$G$58,IF(T$105&lt;=TabS!$G$7,T21*$G$59,IF(T$105&lt;=TabS!$G$8,T21*$G$60,IF(T$105&lt;=TabS!$G$9,T21*$G$61,IF(T$105&lt;=TabS!$G$10,T21*$G$62))))))</f>
        <v>0</v>
      </c>
      <c r="U113" s="151">
        <f>IF(U$105&lt;=TabS!$G$5,U21*$G$57,IF(U$105&lt;=TabS!$G$6,U21*$G$58,IF(U$105&lt;=TabS!$G$7,U21*$G$59,IF(U$105&lt;=TabS!$G$8,U21*$G$60,IF(U$105&lt;=TabS!$G$9,U21*$G$61,IF(U$105&lt;=TabS!$G$10,U21*$G$62))))))</f>
        <v>0</v>
      </c>
      <c r="V113" s="151">
        <f>IF(V$105&lt;=TabS!$G$5,V21*$G$57,IF(V$105&lt;=TabS!$G$6,V21*$G$58,IF(V$105&lt;=TabS!$G$7,V21*$G$59,IF(V$105&lt;=TabS!$G$8,V21*$G$60,IF(V$105&lt;=TabS!$G$9,V21*$G$61,IF(V$105&lt;=TabS!$G$10,V21*$G$62))))))</f>
        <v>0</v>
      </c>
      <c r="W113" s="151">
        <f>IF(W$105&lt;=TabS!$G$5,W21*$G$57,IF(W$105&lt;=TabS!$G$6,W21*$G$58,IF(W$105&lt;=TabS!$G$7,W21*$G$59,IF(W$105&lt;=TabS!$G$8,W21*$G$60,IF(W$105&lt;=TabS!$G$9,W21*$G$61,IF(W$105&lt;=TabS!$G$10,W21*$G$62))))))</f>
        <v>0</v>
      </c>
      <c r="X113" s="151">
        <f>IF(X$105&lt;=TabS!$G$5,X21*$G$57,IF(X$105&lt;=TabS!$G$6,X21*$G$58,IF(X$105&lt;=TabS!$G$7,X21*$G$59,IF(X$105&lt;=TabS!$G$8,X21*$G$60,IF(X$105&lt;=TabS!$G$9,X21*$G$61,IF(X$105&lt;=TabS!$G$10,X21*$G$62))))))</f>
        <v>0</v>
      </c>
      <c r="Y113" s="151">
        <f>IF(Y$105&lt;=TabS!$G$5,Y21*$G$57,IF(Y$105&lt;=TabS!$G$6,Y21*$G$58,IF(Y$105&lt;=TabS!$G$7,Y21*$G$59,IF(Y$105&lt;=TabS!$G$8,Y21*$G$60,IF(Y$105&lt;=TabS!$G$9,Y21*$G$61,IF(Y$105&lt;=TabS!$G$10,Y21*$G$62))))))</f>
        <v>0</v>
      </c>
      <c r="Z113" s="151">
        <f>IF(Z$105&lt;=TabS!$G$5,Z21*$G$57,IF(Z$105&lt;=TabS!$G$6,Z21*$G$58,IF(Z$105&lt;=TabS!$G$7,Z21*$G$59,IF(Z$105&lt;=TabS!$G$8,Z21*$G$60,IF(Z$105&lt;=TabS!$G$9,Z21*$G$61,IF(Z$105&lt;=TabS!$G$10,Z21*$G$62))))))</f>
        <v>0</v>
      </c>
      <c r="AA113" s="151">
        <f>IF(AA$105&lt;=TabS!$G$5,AA21*$G$57,IF(AA$105&lt;=TabS!$G$6,AA21*$G$58,IF(AA$105&lt;=TabS!$G$7,AA21*$G$59,IF(AA$105&lt;=TabS!$G$8,AA21*$G$60,IF(AA$105&lt;=TabS!$G$9,AA21*$G$61,IF(AA$105&lt;=TabS!$G$10,AA21*$G$62))))))</f>
        <v>0</v>
      </c>
      <c r="AB113" s="151">
        <f>IF(AB$105&lt;=TabS!$G$5,AB21*$G$57,IF(AB$105&lt;=TabS!$G$6,AB21*$G$58,IF(AB$105&lt;=TabS!$G$7,AB21*$G$59,IF(AB$105&lt;=TabS!$G$8,AB21*$G$60,IF(AB$105&lt;=TabS!$G$9,AB21*$G$61,IF(AB$105&lt;=TabS!$G$10,AB21*$G$62))))))</f>
        <v>0</v>
      </c>
      <c r="AC113" s="151">
        <f>IF(AC$105&lt;=TabS!$G$5,AC21*$G$57,IF(AC$105&lt;=TabS!$G$6,AC21*$G$58,IF(AC$105&lt;=TabS!$G$7,AC21*$G$59,IF(AC$105&lt;=TabS!$G$8,AC21*$G$60,IF(AC$105&lt;=TabS!$G$9,AC21*$G$61,IF(AC$105&lt;=TabS!$G$10,AC21*$G$62))))))</f>
        <v>0</v>
      </c>
      <c r="AD113" s="152">
        <f t="shared" si="45"/>
        <v>0</v>
      </c>
    </row>
    <row r="114" spans="2:30" ht="20.100000000000001" customHeight="1" x14ac:dyDescent="0.25">
      <c r="B114" s="167" t="s">
        <v>40</v>
      </c>
      <c r="C114" s="151">
        <f>IF(C$105&lt;=TabS!$G$5,C21*$H$57,IF(C$105&lt;=TabS!$G$6,C21*$H$58,IF(C$105&lt;=TabS!$G$7,C21*$H$59,IF(C$105&lt;=TabS!$G$8,C21*$H$60,IF(C$105&lt;=TabS!$G$9,C21*$H$61,IF(C$105&lt;=TabS!$G$10,C21*$H$62))))))</f>
        <v>0</v>
      </c>
      <c r="D114" s="151">
        <f>IF(D$105&lt;=TabS!$G$5,D21*$H$57,IF(D$105&lt;=TabS!$G$6,D21*$H$58,IF(D$105&lt;=TabS!$G$7,D21*$H$59,IF(D$105&lt;=TabS!$G$8,D21*$H$60,IF(D$105&lt;=TabS!$G$9,D21*$H$61,IF(D$105&lt;=TabS!$G$10,D21*$H$62))))))</f>
        <v>0</v>
      </c>
      <c r="E114" s="151">
        <f>IF(E$105&lt;=TabS!$G$5,E21*$H$57,IF(E$105&lt;=TabS!$G$6,E21*$H$58,IF(E$105&lt;=TabS!$G$7,E21*$H$59,IF(E$105&lt;=TabS!$G$8,E21*$H$60,IF(E$105&lt;=TabS!$G$9,E21*$H$61,IF(E$105&lt;=TabS!$G$10,E21*$H$62))))))</f>
        <v>0</v>
      </c>
      <c r="F114" s="151">
        <f>IF(F$105&lt;=TabS!$G$5,F21*$H$57,IF(F$105&lt;=TabS!$G$6,F21*$H$58,IF(F$105&lt;=TabS!$G$7,F21*$H$59,IF(F$105&lt;=TabS!$G$8,F21*$H$60,IF(F$105&lt;=TabS!$G$9,F21*$H$61,IF(F$105&lt;=TabS!$G$10,F21*$H$62))))))</f>
        <v>0</v>
      </c>
      <c r="G114" s="151">
        <f>IF(G$105&lt;=TabS!$G$5,G21*$H$57,IF(G$105&lt;=TabS!$G$6,G21*$H$58,IF(G$105&lt;=TabS!$G$7,G21*$H$59,IF(G$105&lt;=TabS!$G$8,G21*$H$60,IF(G$105&lt;=TabS!$G$9,G21*$H$61,IF(G$105&lt;=TabS!$G$10,G21*$H$62))))))</f>
        <v>0</v>
      </c>
      <c r="H114" s="151">
        <f>IF(H$105&lt;=TabS!$G$5,H21*$H$57,IF(H$105&lt;=TabS!$G$6,H21*$H$58,IF(H$105&lt;=TabS!$G$7,H21*$H$59,IF(H$105&lt;=TabS!$G$8,H21*$H$60,IF(H$105&lt;=TabS!$G$9,H21*$H$61,IF(H$105&lt;=TabS!$G$10,H21*$H$62))))))</f>
        <v>0</v>
      </c>
      <c r="I114" s="151">
        <f>IF(I$105&lt;=TabS!$G$5,I21*$H$57,IF(I$105&lt;=TabS!$G$6,I21*$H$58,IF(I$105&lt;=TabS!$G$7,I21*$H$59,IF(I$105&lt;=TabS!$G$8,I21*$H$60,IF(I$105&lt;=TabS!$G$9,I21*$H$61,IF(I$105&lt;=TabS!$G$10,I21*$H$62))))))</f>
        <v>0</v>
      </c>
      <c r="J114" s="151">
        <f>IF(J$105&lt;=TabS!$G$5,J21*$H$57,IF(J$105&lt;=TabS!$G$6,J21*$H$58,IF(J$105&lt;=TabS!$G$7,J21*$H$59,IF(J$105&lt;=TabS!$G$8,J21*$H$60,IF(J$105&lt;=TabS!$G$9,J21*$H$61,IF(J$105&lt;=TabS!$G$10,J21*$H$62))))))</f>
        <v>0</v>
      </c>
      <c r="K114" s="151">
        <f>IF(K$105&lt;=TabS!$G$5,K21*$H$57,IF(K$105&lt;=TabS!$G$6,K21*$H$58,IF(K$105&lt;=TabS!$G$7,K21*$H$59,IF(K$105&lt;=TabS!$G$8,K21*$H$60,IF(K$105&lt;=TabS!$G$9,K21*$H$61,IF(K$105&lt;=TabS!$G$10,K21*$H$62))))))</f>
        <v>0</v>
      </c>
      <c r="L114" s="151">
        <f>IF(L$105&lt;=TabS!$G$5,L21*$H$57,IF(L$105&lt;=TabS!$G$6,L21*$H$58,IF(L$105&lt;=TabS!$G$7,L21*$H$59,IF(L$105&lt;=TabS!$G$8,L21*$H$60,IF(L$105&lt;=TabS!$G$9,L21*$H$61,IF(L$105&lt;=TabS!$G$10,L21*$H$62))))))</f>
        <v>0</v>
      </c>
      <c r="M114" s="151">
        <f>IF(M$105&lt;=TabS!$G$5,M21*$H$57,IF(M$105&lt;=TabS!$G$6,M21*$H$58,IF(M$105&lt;=TabS!$G$7,M21*$H$59,IF(M$105&lt;=TabS!$G$8,M21*$H$60,IF(M$105&lt;=TabS!$G$9,M21*$H$61,IF(M$105&lt;=TabS!$G$10,M21*$H$62))))))</f>
        <v>0</v>
      </c>
      <c r="N114" s="151">
        <f>IF(N$105&lt;=TabS!$G$5,N21*$H$57,IF(N$105&lt;=TabS!$G$6,N21*$H$58,IF(N$105&lt;=TabS!$G$7,N21*$H$59,IF(N$105&lt;=TabS!$G$8,N21*$H$60,IF(N$105&lt;=TabS!$G$9,N21*$H$61,IF(N$105&lt;=TabS!$G$10,N21*$H$62))))))</f>
        <v>0</v>
      </c>
      <c r="O114" s="152">
        <f t="shared" si="44"/>
        <v>0</v>
      </c>
      <c r="Q114" s="150" t="s">
        <v>40</v>
      </c>
      <c r="R114" s="151">
        <f>IF(R$105&lt;=TabS!$G$5,R21*$H$57,IF(R$105&lt;=TabS!$G$6,R21*$H$58,IF(R$105&lt;=TabS!$G$7,R21*$H$59,IF(R$105&lt;=TabS!$G$8,R21*$H$60,IF(R$105&lt;=TabS!$G$9,R21*$H$61,IF(R$105&lt;=TabS!$G$10,R21*$H$62))))))</f>
        <v>0</v>
      </c>
      <c r="S114" s="151">
        <f>IF(S$105&lt;=TabS!$G$5,S21*$H$57,IF(S$105&lt;=TabS!$G$6,S21*$H$58,IF(S$105&lt;=TabS!$G$7,S21*$H$59,IF(S$105&lt;=TabS!$G$8,S21*$H$60,IF(S$105&lt;=TabS!$G$9,S21*$H$61,IF(S$105&lt;=TabS!$G$10,S21*$H$62))))))</f>
        <v>0</v>
      </c>
      <c r="T114" s="151">
        <f>IF(T$105&lt;=TabS!$G$5,T21*$H$57,IF(T$105&lt;=TabS!$G$6,T21*$H$58,IF(T$105&lt;=TabS!$G$7,T21*$H$59,IF(T$105&lt;=TabS!$G$8,T21*$H$60,IF(T$105&lt;=TabS!$G$9,T21*$H$61,IF(T$105&lt;=TabS!$G$10,T21*$H$62))))))</f>
        <v>0</v>
      </c>
      <c r="U114" s="151">
        <f>IF(U$105&lt;=TabS!$G$5,U21*$H$57,IF(U$105&lt;=TabS!$G$6,U21*$H$58,IF(U$105&lt;=TabS!$G$7,U21*$H$59,IF(U$105&lt;=TabS!$G$8,U21*$H$60,IF(U$105&lt;=TabS!$G$9,U21*$H$61,IF(U$105&lt;=TabS!$G$10,U21*$H$62))))))</f>
        <v>0</v>
      </c>
      <c r="V114" s="151">
        <f>IF(V$105&lt;=TabS!$G$5,V21*$H$57,IF(V$105&lt;=TabS!$G$6,V21*$H$58,IF(V$105&lt;=TabS!$G$7,V21*$H$59,IF(V$105&lt;=TabS!$G$8,V21*$H$60,IF(V$105&lt;=TabS!$G$9,V21*$H$61,IF(V$105&lt;=TabS!$G$10,V21*$H$62))))))</f>
        <v>0</v>
      </c>
      <c r="W114" s="151">
        <f>IF(W$105&lt;=TabS!$G$5,W21*$H$57,IF(W$105&lt;=TabS!$G$6,W21*$H$58,IF(W$105&lt;=TabS!$G$7,W21*$H$59,IF(W$105&lt;=TabS!$G$8,W21*$H$60,IF(W$105&lt;=TabS!$G$9,W21*$H$61,IF(W$105&lt;=TabS!$G$10,W21*$H$62))))))</f>
        <v>0</v>
      </c>
      <c r="X114" s="151">
        <f>IF(X$105&lt;=TabS!$G$5,X21*$H$57,IF(X$105&lt;=TabS!$G$6,X21*$H$58,IF(X$105&lt;=TabS!$G$7,X21*$H$59,IF(X$105&lt;=TabS!$G$8,X21*$H$60,IF(X$105&lt;=TabS!$G$9,X21*$H$61,IF(X$105&lt;=TabS!$G$10,X21*$H$62))))))</f>
        <v>0</v>
      </c>
      <c r="Y114" s="151">
        <f>IF(Y$105&lt;=TabS!$G$5,Y21*$H$57,IF(Y$105&lt;=TabS!$G$6,Y21*$H$58,IF(Y$105&lt;=TabS!$G$7,Y21*$H$59,IF(Y$105&lt;=TabS!$G$8,Y21*$H$60,IF(Y$105&lt;=TabS!$G$9,Y21*$H$61,IF(Y$105&lt;=TabS!$G$10,Y21*$H$62))))))</f>
        <v>0</v>
      </c>
      <c r="Z114" s="151">
        <f>IF(Z$105&lt;=TabS!$G$5,Z21*$H$57,IF(Z$105&lt;=TabS!$G$6,Z21*$H$58,IF(Z$105&lt;=TabS!$G$7,Z21*$H$59,IF(Z$105&lt;=TabS!$G$8,Z21*$H$60,IF(Z$105&lt;=TabS!$G$9,Z21*$H$61,IF(Z$105&lt;=TabS!$G$10,Z21*$H$62))))))</f>
        <v>0</v>
      </c>
      <c r="AA114" s="151">
        <f>IF(AA$105&lt;=TabS!$G$5,AA21*$H$57,IF(AA$105&lt;=TabS!$G$6,AA21*$H$58,IF(AA$105&lt;=TabS!$G$7,AA21*$H$59,IF(AA$105&lt;=TabS!$G$8,AA21*$H$60,IF(AA$105&lt;=TabS!$G$9,AA21*$H$61,IF(AA$105&lt;=TabS!$G$10,AA21*$H$62))))))</f>
        <v>0</v>
      </c>
      <c r="AB114" s="151">
        <f>IF(AB$105&lt;=TabS!$G$5,AB21*$H$57,IF(AB$105&lt;=TabS!$G$6,AB21*$H$58,IF(AB$105&lt;=TabS!$G$7,AB21*$H$59,IF(AB$105&lt;=TabS!$G$8,AB21*$H$60,IF(AB$105&lt;=TabS!$G$9,AB21*$H$61,IF(AB$105&lt;=TabS!$G$10,AB21*$H$62))))))</f>
        <v>0</v>
      </c>
      <c r="AC114" s="151">
        <f>IF(AC$105&lt;=TabS!$G$5,AC21*$H$57,IF(AC$105&lt;=TabS!$G$6,AC21*$H$58,IF(AC$105&lt;=TabS!$G$7,AC21*$H$59,IF(AC$105&lt;=TabS!$G$8,AC21*$H$60,IF(AC$105&lt;=TabS!$G$9,AC21*$H$61,IF(AC$105&lt;=TabS!$G$10,AC21*$H$62))))))</f>
        <v>0</v>
      </c>
      <c r="AD114" s="152">
        <f t="shared" si="45"/>
        <v>0</v>
      </c>
    </row>
    <row r="115" spans="2:30" ht="20.100000000000001" customHeight="1" x14ac:dyDescent="0.25">
      <c r="B115" s="168" t="s">
        <v>99</v>
      </c>
      <c r="C115" s="152">
        <f>SUM(C109:C114)</f>
        <v>0</v>
      </c>
      <c r="D115" s="152">
        <f t="shared" ref="D115:N115" si="47">SUM(D109:D114)</f>
        <v>0</v>
      </c>
      <c r="E115" s="152">
        <f t="shared" si="47"/>
        <v>0</v>
      </c>
      <c r="F115" s="152">
        <f t="shared" si="47"/>
        <v>0</v>
      </c>
      <c r="G115" s="152">
        <f t="shared" si="47"/>
        <v>0</v>
      </c>
      <c r="H115" s="152">
        <f t="shared" si="47"/>
        <v>0</v>
      </c>
      <c r="I115" s="152">
        <f t="shared" si="47"/>
        <v>0</v>
      </c>
      <c r="J115" s="152">
        <f t="shared" si="47"/>
        <v>0</v>
      </c>
      <c r="K115" s="152">
        <f t="shared" si="47"/>
        <v>0</v>
      </c>
      <c r="L115" s="152">
        <f t="shared" si="47"/>
        <v>0</v>
      </c>
      <c r="M115" s="152">
        <f t="shared" si="47"/>
        <v>0</v>
      </c>
      <c r="N115" s="152">
        <f t="shared" si="47"/>
        <v>0</v>
      </c>
      <c r="O115" s="152">
        <f t="shared" si="44"/>
        <v>0</v>
      </c>
      <c r="Q115" s="153" t="s">
        <v>99</v>
      </c>
      <c r="R115" s="152">
        <f>SUM(R109:R114)</f>
        <v>0</v>
      </c>
      <c r="S115" s="152">
        <f t="shared" ref="S115:AC115" si="48">SUM(S109:S114)</f>
        <v>0</v>
      </c>
      <c r="T115" s="152">
        <f t="shared" si="48"/>
        <v>0</v>
      </c>
      <c r="U115" s="152">
        <f t="shared" si="48"/>
        <v>0</v>
      </c>
      <c r="V115" s="152">
        <f t="shared" si="48"/>
        <v>0</v>
      </c>
      <c r="W115" s="152">
        <f t="shared" si="48"/>
        <v>0</v>
      </c>
      <c r="X115" s="152">
        <f t="shared" si="48"/>
        <v>0</v>
      </c>
      <c r="Y115" s="152">
        <f t="shared" si="48"/>
        <v>0</v>
      </c>
      <c r="Z115" s="152">
        <f t="shared" si="48"/>
        <v>0</v>
      </c>
      <c r="AA115" s="152">
        <f t="shared" si="48"/>
        <v>0</v>
      </c>
      <c r="AB115" s="152">
        <f t="shared" si="48"/>
        <v>0</v>
      </c>
      <c r="AC115" s="152">
        <f t="shared" si="48"/>
        <v>0</v>
      </c>
      <c r="AD115" s="152">
        <f t="shared" si="45"/>
        <v>0</v>
      </c>
    </row>
    <row r="116" spans="2:30" ht="20.100000000000001" customHeight="1" x14ac:dyDescent="0.25">
      <c r="B116" s="164" t="s">
        <v>81</v>
      </c>
      <c r="Q116" s="144" t="s">
        <v>140</v>
      </c>
      <c r="R116" s="158">
        <f>IFERROR((R105*TabS!$H$9-TabS!$I$9)/R105*$E$61,0)</f>
        <v>0</v>
      </c>
      <c r="S116" s="158">
        <f>IFERROR((S105*TabS!$H$9-TabS!$I$9)/S105*$E$61,0)</f>
        <v>0</v>
      </c>
      <c r="T116" s="158">
        <f>IFERROR((T105*TabS!$H$9-TabS!$I$9)/T105*$E$61,0)</f>
        <v>0</v>
      </c>
      <c r="U116" s="158">
        <f>IFERROR((U105*TabS!$H$9-TabS!$I$9)/U105*$E$61,0)</f>
        <v>0</v>
      </c>
      <c r="V116" s="158">
        <f>IFERROR((V105*TabS!$H$9-TabS!$I$9)/V105*$E$61,0)</f>
        <v>0</v>
      </c>
      <c r="W116" s="158">
        <f>IFERROR((W105*TabS!$H$9-TabS!$I$9)/W105*$E$61,0)</f>
        <v>0</v>
      </c>
      <c r="X116" s="158">
        <f>IFERROR((X105*TabS!$H$9-TabS!$I$9)/X105*$E$61,0)</f>
        <v>0</v>
      </c>
      <c r="Y116" s="158">
        <f>IFERROR((Y105*TabS!$H$9-TabS!$I$9)/Y105*$E$61,0)</f>
        <v>0</v>
      </c>
      <c r="Z116" s="158">
        <f>IFERROR((Z105*TabS!$H$9-TabS!$I$9)/Z105*$E$61,0)</f>
        <v>0</v>
      </c>
      <c r="AA116" s="158">
        <f>IFERROR((AA105*TabS!$H$9-TabS!$I$9)/AA105*$E$61,0)</f>
        <v>0</v>
      </c>
      <c r="AB116" s="158">
        <f>IFERROR((AB105*TabS!$H$9-TabS!$I$9)/AB105*$E$61,0)</f>
        <v>0</v>
      </c>
      <c r="AC116" s="158">
        <f>IFERROR((AC105*TabS!$H$9-TabS!$I$9)/AC105*$E$61,0)</f>
        <v>0</v>
      </c>
    </row>
    <row r="117" spans="2:30" ht="20.100000000000001" customHeight="1" x14ac:dyDescent="0.25">
      <c r="B117" s="149" t="s">
        <v>82</v>
      </c>
      <c r="C117" s="149" t="s">
        <v>83</v>
      </c>
      <c r="D117" s="149" t="s">
        <v>84</v>
      </c>
      <c r="E117" s="149" t="s">
        <v>85</v>
      </c>
      <c r="F117" s="149" t="s">
        <v>86</v>
      </c>
      <c r="G117" s="149" t="s">
        <v>87</v>
      </c>
      <c r="H117" s="149" t="s">
        <v>88</v>
      </c>
      <c r="I117" s="149" t="s">
        <v>89</v>
      </c>
      <c r="J117" s="149" t="s">
        <v>90</v>
      </c>
      <c r="K117" s="149" t="s">
        <v>91</v>
      </c>
      <c r="L117" s="149" t="s">
        <v>92</v>
      </c>
      <c r="M117" s="149" t="s">
        <v>93</v>
      </c>
      <c r="N117" s="149" t="s">
        <v>94</v>
      </c>
      <c r="O117" s="149" t="s">
        <v>95</v>
      </c>
      <c r="Q117" s="144" t="s">
        <v>141</v>
      </c>
      <c r="R117" s="158">
        <f>IFERROR((R105*TabS!$H$15-TabS!$I$15)/R105*$E$71,0)</f>
        <v>0</v>
      </c>
      <c r="S117" s="158">
        <f>IFERROR((S105*TabS!$H$15-TabS!$I$15)/S105*$E$71,0)</f>
        <v>0</v>
      </c>
      <c r="T117" s="158">
        <f>IFERROR((T105*TabS!$H$15-TabS!$I$15)/T105*$E$71,0)</f>
        <v>0</v>
      </c>
      <c r="U117" s="158">
        <f>IFERROR((U105*TabS!$H$15-TabS!$I$15)/U105*$E$71,0)</f>
        <v>0</v>
      </c>
      <c r="V117" s="158">
        <f>IFERROR((V105*TabS!$H$15-TabS!$I$15)/V105*$E$71,0)</f>
        <v>0</v>
      </c>
      <c r="W117" s="158">
        <f>IFERROR((W105*TabS!$H$15-TabS!$I$15)/W105*$E$71,0)</f>
        <v>0</v>
      </c>
      <c r="X117" s="158">
        <f>IFERROR((X105*TabS!$H$15-TabS!$I$15)/X105*$E$71,0)</f>
        <v>0</v>
      </c>
      <c r="Y117" s="158">
        <f>IFERROR((Y105*TabS!$H$15-TabS!$I$15)/Y105*$E$71,0)</f>
        <v>0</v>
      </c>
      <c r="Z117" s="158">
        <f>IFERROR((Z105*TabS!$H$15-TabS!$I$15)/Z105*$E$71,0)</f>
        <v>0</v>
      </c>
      <c r="AA117" s="158">
        <f>IFERROR((AA105*TabS!$H$15-TabS!$I$15)/AA105*$E$71,0)</f>
        <v>0</v>
      </c>
      <c r="AB117" s="158">
        <f>IFERROR((AB105*TabS!$H$15-TabS!$I$15)/AB105*$E$71,0)</f>
        <v>0</v>
      </c>
      <c r="AC117" s="158">
        <f>IFERROR((AC105*TabS!$H$15-TabS!$I$15)/AC105*$E$71,0)</f>
        <v>0</v>
      </c>
    </row>
    <row r="118" spans="2:30" ht="20.100000000000001" customHeight="1" x14ac:dyDescent="0.25">
      <c r="B118" s="167" t="s">
        <v>97</v>
      </c>
      <c r="C118" s="151">
        <f>IF(C$105&lt;=TabS!$G$5,C28*$C$67,IF(C$105&lt;=TabS!$G$6,C28*$C$68,IF(C$105&lt;=TabS!$G$7,C28*$C$69,IF(C$105&lt;=TabS!$G$8,C28*$C$70,IF(C$105&lt;=TabS!$G$9,C28*$C$71,IF(C$105&lt;=TabS!$G$10,C28*$C$72))))))</f>
        <v>0</v>
      </c>
      <c r="D118" s="151">
        <f>IF(D$105&lt;=TabS!$G$5,D28*$C$67,IF(D$105&lt;=TabS!$G$6,D28*$C$68,IF(D$105&lt;=TabS!$G$7,D28*$C$69,IF(D$105&lt;=TabS!$G$8,D28*$C$70,IF(D$105&lt;=TabS!$G$9,D28*$C$71,IF(D$105&lt;=TabS!$G$10,D28*$C$72))))))</f>
        <v>0</v>
      </c>
      <c r="E118" s="151">
        <f>IF(E$105&lt;=TabS!$G$5,E28*$C$67,IF(E$105&lt;=TabS!$G$6,E28*$C$68,IF(E$105&lt;=TabS!$G$7,E28*$C$69,IF(E$105&lt;=TabS!$G$8,E28*$C$70,IF(E$105&lt;=TabS!$G$9,E28*$C$71,IF(E$105&lt;=TabS!$G$10,E28*$C$72))))))</f>
        <v>0</v>
      </c>
      <c r="F118" s="151">
        <f>IF(F$105&lt;=TabS!$G$5,F28*$C$67,IF(F$105&lt;=TabS!$G$6,F28*$C$68,IF(F$105&lt;=TabS!$G$7,F28*$C$69,IF(F$105&lt;=TabS!$G$8,F28*$C$70,IF(F$105&lt;=TabS!$G$9,F28*$C$71,IF(F$105&lt;=TabS!$G$10,F28*$C$72))))))</f>
        <v>0</v>
      </c>
      <c r="G118" s="151">
        <f>IF(G$105&lt;=TabS!$G$5,G28*$C$67,IF(G$105&lt;=TabS!$G$6,G28*$C$68,IF(G$105&lt;=TabS!$G$7,G28*$C$69,IF(G$105&lt;=TabS!$G$8,G28*$C$70,IF(G$105&lt;=TabS!$G$9,G28*$C$71,IF(G$105&lt;=TabS!$G$10,G28*$C$72))))))</f>
        <v>0</v>
      </c>
      <c r="H118" s="151">
        <f>IF(H$105&lt;=TabS!$G$5,H28*$C$67,IF(H$105&lt;=TabS!$G$6,H28*$C$68,IF(H$105&lt;=TabS!$G$7,H28*$C$69,IF(H$105&lt;=TabS!$G$8,H28*$C$70,IF(H$105&lt;=TabS!$G$9,H28*$C$71,IF(H$105&lt;=TabS!$G$10,H28*$C$72))))))</f>
        <v>0</v>
      </c>
      <c r="I118" s="151">
        <f>IF(I$105&lt;=TabS!$G$5,I28*$C$67,IF(I$105&lt;=TabS!$G$6,I28*$C$68,IF(I$105&lt;=TabS!$G$7,I28*$C$69,IF(I$105&lt;=TabS!$G$8,I28*$C$70,IF(I$105&lt;=TabS!$G$9,I28*$C$71,IF(I$105&lt;=TabS!$G$10,I28*$C$72))))))</f>
        <v>0</v>
      </c>
      <c r="J118" s="151">
        <f>IF(J$105&lt;=TabS!$G$5,J28*$C$67,IF(J$105&lt;=TabS!$G$6,J28*$C$68,IF(J$105&lt;=TabS!$G$7,J28*$C$69,IF(J$105&lt;=TabS!$G$8,J28*$C$70,IF(J$105&lt;=TabS!$G$9,J28*$C$71,IF(J$105&lt;=TabS!$G$10,J28*$C$72))))))</f>
        <v>0</v>
      </c>
      <c r="K118" s="151">
        <f>IF(K$105&lt;=TabS!$G$5,K28*$C$67,IF(K$105&lt;=TabS!$G$6,K28*$C$68,IF(K$105&lt;=TabS!$G$7,K28*$C$69,IF(K$105&lt;=TabS!$G$8,K28*$C$70,IF(K$105&lt;=TabS!$G$9,K28*$C$71,IF(K$105&lt;=TabS!$G$10,K28*$C$72))))))</f>
        <v>0</v>
      </c>
      <c r="L118" s="151">
        <f>IF(L$105&lt;=TabS!$G$5,L28*$C$67,IF(L$105&lt;=TabS!$G$6,L28*$C$68,IF(L$105&lt;=TabS!$G$7,L28*$C$69,IF(L$105&lt;=TabS!$G$8,L28*$C$70,IF(L$105&lt;=TabS!$G$9,L28*$C$71,IF(L$105&lt;=TabS!$G$10,L28*$C$72))))))</f>
        <v>0</v>
      </c>
      <c r="M118" s="151">
        <f>IF(M$105&lt;=TabS!$G$5,M28*$C$67,IF(M$105&lt;=TabS!$G$6,M28*$C$68,IF(M$105&lt;=TabS!$G$7,M28*$C$69,IF(M$105&lt;=TabS!$G$8,M28*$C$70,IF(M$105&lt;=TabS!$G$9,M28*$C$71,IF(M$105&lt;=TabS!$G$10,M28*$C$72))))))</f>
        <v>0</v>
      </c>
      <c r="N118" s="151">
        <f>IF(N$105&lt;=TabS!$G$5,N28*$C$67,IF(N$105&lt;=TabS!$G$6,N28*$C$68,IF(N$105&lt;=TabS!$G$7,N28*$C$69,IF(N$105&lt;=TabS!$G$8,N28*$C$70,IF(N$105&lt;=TabS!$G$9,N28*$C$71,IF(N$105&lt;=TabS!$G$10,N28*$C$72))))))</f>
        <v>0</v>
      </c>
      <c r="O118" s="152">
        <f t="shared" ref="O118:O125" si="49">SUM(C118:N118)</f>
        <v>0</v>
      </c>
      <c r="Q118" s="150" t="s">
        <v>141</v>
      </c>
      <c r="R118" s="151">
        <f>IF(C105&lt;R106,IF(C$105&lt;=TabS!$G$5,C28*$E$67,IF(C$105&lt;=TabS!$G$6,C28*$E$68,IF(C$105&lt;=TabS!$G$7,C28*$E$69,IF(C$105&lt;=TabS!$G$8,C28*$E$70,IF(C$105&lt;=TabS!$G$9,C28*$E$71,IF(C$105&lt;=TabS!$G$10,C28*$E$72)))))),C24*R117)</f>
        <v>0</v>
      </c>
      <c r="S118" s="151">
        <f>IF(D105&lt;S106,IF(D$105&lt;=TabS!$G$5,D28*$E$67,IF(D$105&lt;=TabS!$G$6,D28*$E$68,IF(D$105&lt;=TabS!$G$7,D28*$E$69,IF(D$105&lt;=TabS!$G$8,D28*$E$70,IF(D$105&lt;=TabS!$G$9,D28*$E$71,IF(D$105&lt;=TabS!$G$10,D28*$E$72)))))),D24*S117)</f>
        <v>0</v>
      </c>
      <c r="T118" s="151">
        <f>IF(E105&lt;T106,IF(E$105&lt;=TabS!$G$5,E28*$E$67,IF(E$105&lt;=TabS!$G$6,E28*$E$68,IF(E$105&lt;=TabS!$G$7,E28*$E$69,IF(E$105&lt;=TabS!$G$8,E28*$E$70,IF(E$105&lt;=TabS!$G$9,E28*$E$71,IF(E$105&lt;=TabS!$G$10,E28*$E$72)))))),E24*T117)</f>
        <v>0</v>
      </c>
      <c r="U118" s="151">
        <f>IF(F105&lt;U106,IF(F$105&lt;=TabS!$G$5,F28*$E$67,IF(F$105&lt;=TabS!$G$6,F28*$E$68,IF(F$105&lt;=TabS!$G$7,F28*$E$69,IF(F$105&lt;=TabS!$G$8,F28*$E$70,IF(F$105&lt;=TabS!$G$9,F28*$E$71,IF(F$105&lt;=TabS!$G$10,F28*$E$72)))))),F24*U117)</f>
        <v>0</v>
      </c>
      <c r="V118" s="151">
        <f>IF(G105&lt;V106,IF(G$105&lt;=TabS!$G$5,G28*$E$67,IF(G$105&lt;=TabS!$G$6,G28*$E$68,IF(G$105&lt;=TabS!$G$7,G28*$E$69,IF(G$105&lt;=TabS!$G$8,G28*$E$70,IF(G$105&lt;=TabS!$G$9,G28*$E$71,IF(G$105&lt;=TabS!$G$10,G28*$E$72)))))),G24*V117)</f>
        <v>0</v>
      </c>
      <c r="W118" s="151">
        <f>IF(H105&lt;W106,IF(H$105&lt;=TabS!$G$5,H28*$E$67,IF(H$105&lt;=TabS!$G$6,H28*$E$68,IF(H$105&lt;=TabS!$G$7,H28*$E$69,IF(H$105&lt;=TabS!$G$8,H28*$E$70,IF(H$105&lt;=TabS!$G$9,H28*$E$71,IF(H$105&lt;=TabS!$G$10,H28*$E$72)))))),H24*W117)</f>
        <v>0</v>
      </c>
      <c r="X118" s="151">
        <f>IF(I105&lt;X106,IF(I$105&lt;=TabS!$G$5,I28*$E$67,IF(I$105&lt;=TabS!$G$6,I28*$E$68,IF(I$105&lt;=TabS!$G$7,I28*$E$69,IF(I$105&lt;=TabS!$G$8,I28*$E$70,IF(I$105&lt;=TabS!$G$9,I28*$E$71,IF(I$105&lt;=TabS!$G$10,I28*$E$72)))))),I24*X117)</f>
        <v>0</v>
      </c>
      <c r="Y118" s="151">
        <f>IF(J105&lt;Y106,IF(J$105&lt;=TabS!$G$5,J28*$E$67,IF(J$105&lt;=TabS!$G$6,J28*$E$68,IF(J$105&lt;=TabS!$G$7,J28*$E$69,IF(J$105&lt;=TabS!$G$8,J28*$E$70,IF(J$105&lt;=TabS!$G$9,J28*$E$71,IF(J$105&lt;=TabS!$G$10,J28*$E$72)))))),J24*Y117)</f>
        <v>0</v>
      </c>
      <c r="Z118" s="151">
        <f>IF(K105&lt;Z106,IF(K$105&lt;=TabS!$G$5,K28*$E$67,IF(K$105&lt;=TabS!$G$6,K28*$E$68,IF(K$105&lt;=TabS!$G$7,K28*$E$69,IF(K$105&lt;=TabS!$G$8,K28*$E$70,IF(K$105&lt;=TabS!$G$9,K28*$E$71,IF(K$105&lt;=TabS!$G$10,K28*$E$72)))))),K24*Z117)</f>
        <v>0</v>
      </c>
      <c r="AA118" s="151">
        <f>IF(L105&lt;AA106,IF(L$105&lt;=TabS!$G$5,L28*$E$67,IF(L$105&lt;=TabS!$G$6,L28*$E$68,IF(L$105&lt;=TabS!$G$7,L28*$E$69,IF(L$105&lt;=TabS!$G$8,L28*$E$70,IF(L$105&lt;=TabS!$G$9,L28*$E$71,IF(L$105&lt;=TabS!$G$10,L28*$E$72)))))),L24*AA117)</f>
        <v>0</v>
      </c>
      <c r="AB118" s="151">
        <f>IF(M105&lt;AB106,IF(M$105&lt;=TabS!$G$5,M28*$E$67,IF(M$105&lt;=TabS!$G$6,M28*$E$68,IF(M$105&lt;=TabS!$G$7,M28*$E$69,IF(M$105&lt;=TabS!$G$8,M28*$E$70,IF(M$105&lt;=TabS!$G$9,M28*$E$71,IF(M$105&lt;=TabS!$G$10,M28*$E$72)))))),M24*AB117)</f>
        <v>0</v>
      </c>
      <c r="AC118" s="151">
        <f>IF(N105&lt;AC106,IF(N$105&lt;=TabS!$G$5,N28*$E$67,IF(N$105&lt;=TabS!$G$6,N28*$E$68,IF(N$105&lt;=TabS!$G$7,N28*$E$69,IF(N$105&lt;=TabS!$G$8,N28*$E$70,IF(N$105&lt;=TabS!$G$9,N28*$E$71,IF(N$105&lt;=TabS!$G$10,N28*$E$72)))))),N24*AC117)</f>
        <v>0</v>
      </c>
      <c r="AD118" s="152">
        <f>SUM(R118:AC118)</f>
        <v>0</v>
      </c>
    </row>
    <row r="119" spans="2:30" ht="20.100000000000001" customHeight="1" x14ac:dyDescent="0.25">
      <c r="B119" s="167" t="s">
        <v>98</v>
      </c>
      <c r="C119" s="151">
        <f>IF(C$105&lt;=TabS!$G$5,C28*$D$67,IF(C$105&lt;=TabS!$G$6,C28*$D$68,IF(C$105&lt;=TabS!$G$7,C28*$D$69,IF(C$105&lt;=TabS!$G$8,C28*$D$70,IF(C$105&lt;=TabS!$G$9,C28*$D$71,IF(C$105&lt;=TabS!$G$10,C28*$D$72))))))</f>
        <v>0</v>
      </c>
      <c r="D119" s="151">
        <f>IF(D$105&lt;=TabS!$G$5,D28*$D$67,IF(D$105&lt;=TabS!$G$6,D28*$D$68,IF(D$105&lt;=TabS!$G$7,D28*$D$69,IF(D$105&lt;=TabS!$G$8,D28*$D$70,IF(D$105&lt;=TabS!$G$9,D28*$D$71,IF(D$105&lt;=TabS!$G$10,D28*$D$72))))))</f>
        <v>0</v>
      </c>
      <c r="E119" s="151">
        <f>IF(E$105&lt;=TabS!$G$5,E28*$D$67,IF(E$105&lt;=TabS!$G$6,E28*$D$68,IF(E$105&lt;=TabS!$G$7,E28*$D$69,IF(E$105&lt;=TabS!$G$8,E28*$D$70,IF(E$105&lt;=TabS!$G$9,E28*$D$71,IF(E$105&lt;=TabS!$G$10,E28*$D$72))))))</f>
        <v>0</v>
      </c>
      <c r="F119" s="151">
        <f>IF(F$105&lt;=TabS!$G$5,F28*$D$67,IF(F$105&lt;=TabS!$G$6,F28*$D$68,IF(F$105&lt;=TabS!$G$7,F28*$D$69,IF(F$105&lt;=TabS!$G$8,F28*$D$70,IF(F$105&lt;=TabS!$G$9,F28*$D$71,IF(F$105&lt;=TabS!$G$10,F28*$D$72))))))</f>
        <v>0</v>
      </c>
      <c r="G119" s="151">
        <f>IF(G$105&lt;=TabS!$G$5,G28*$D$67,IF(G$105&lt;=TabS!$G$6,G28*$D$68,IF(G$105&lt;=TabS!$G$7,G28*$D$69,IF(G$105&lt;=TabS!$G$8,G28*$D$70,IF(G$105&lt;=TabS!$G$9,G28*$D$71,IF(G$105&lt;=TabS!$G$10,G28*$D$72))))))</f>
        <v>0</v>
      </c>
      <c r="H119" s="151">
        <f>IF(H$105&lt;=TabS!$G$5,H28*$D$67,IF(H$105&lt;=TabS!$G$6,H28*$D$68,IF(H$105&lt;=TabS!$G$7,H28*$D$69,IF(H$105&lt;=TabS!$G$8,H28*$D$70,IF(H$105&lt;=TabS!$G$9,H28*$D$71,IF(H$105&lt;=TabS!$G$10,H28*$D$72))))))</f>
        <v>0</v>
      </c>
      <c r="I119" s="151">
        <f>IF(I$105&lt;=TabS!$G$5,I28*$D$67,IF(I$105&lt;=TabS!$G$6,I28*$D$68,IF(I$105&lt;=TabS!$G$7,I28*$D$69,IF(I$105&lt;=TabS!$G$8,I28*$D$70,IF(I$105&lt;=TabS!$G$9,I28*$D$71,IF(I$105&lt;=TabS!$G$10,I28*$D$72))))))</f>
        <v>0</v>
      </c>
      <c r="J119" s="151">
        <f>IF(J$105&lt;=TabS!$G$5,J28*$D$67,IF(J$105&lt;=TabS!$G$6,J28*$D$68,IF(J$105&lt;=TabS!$G$7,J28*$D$69,IF(J$105&lt;=TabS!$G$8,J28*$D$70,IF(J$105&lt;=TabS!$G$9,J28*$D$71,IF(J$105&lt;=TabS!$G$10,J28*$D$72))))))</f>
        <v>0</v>
      </c>
      <c r="K119" s="151">
        <f>IF(K$105&lt;=TabS!$G$5,K28*$D$67,IF(K$105&lt;=TabS!$G$6,K28*$D$68,IF(K$105&lt;=TabS!$G$7,K28*$D$69,IF(K$105&lt;=TabS!$G$8,K28*$D$70,IF(K$105&lt;=TabS!$G$9,K28*$D$71,IF(K$105&lt;=TabS!$G$10,K28*$D$72))))))</f>
        <v>0</v>
      </c>
      <c r="L119" s="151">
        <f>IF(L$105&lt;=TabS!$G$5,L28*$D$67,IF(L$105&lt;=TabS!$G$6,L28*$D$68,IF(L$105&lt;=TabS!$G$7,L28*$D$69,IF(L$105&lt;=TabS!$G$8,L28*$D$70,IF(L$105&lt;=TabS!$G$9,L28*$D$71,IF(L$105&lt;=TabS!$G$10,L28*$D$72))))))</f>
        <v>0</v>
      </c>
      <c r="M119" s="151">
        <f>IF(M$105&lt;=TabS!$G$5,M28*$D$67,IF(M$105&lt;=TabS!$G$6,M28*$D$68,IF(M$105&lt;=TabS!$G$7,M28*$D$69,IF(M$105&lt;=TabS!$G$8,M28*$D$70,IF(M$105&lt;=TabS!$G$9,M28*$D$71,IF(M$105&lt;=TabS!$G$10,M28*$D$72))))))</f>
        <v>0</v>
      </c>
      <c r="N119" s="151">
        <f>IF(N$105&lt;=TabS!$G$5,N28*$D$67,IF(N$105&lt;=TabS!$G$6,N28*$D$68,IF(N$105&lt;=TabS!$G$7,N28*$D$69,IF(N$105&lt;=TabS!$G$8,N28*$D$70,IF(N$105&lt;=TabS!$G$9,N28*$D$71,IF(N$105&lt;=TabS!$G$10,N28*$D$72))))))</f>
        <v>0</v>
      </c>
      <c r="O119" s="152">
        <f t="shared" si="49"/>
        <v>0</v>
      </c>
    </row>
    <row r="120" spans="2:30" ht="20.100000000000001" customHeight="1" x14ac:dyDescent="0.25">
      <c r="B120" s="167" t="s">
        <v>37</v>
      </c>
      <c r="C120" s="151">
        <f>R118</f>
        <v>0</v>
      </c>
      <c r="D120" s="151">
        <f t="shared" ref="D120:N120" si="50">S118</f>
        <v>0</v>
      </c>
      <c r="E120" s="151">
        <f t="shared" si="50"/>
        <v>0</v>
      </c>
      <c r="F120" s="151">
        <f t="shared" si="50"/>
        <v>0</v>
      </c>
      <c r="G120" s="151">
        <f t="shared" si="50"/>
        <v>0</v>
      </c>
      <c r="H120" s="151">
        <f t="shared" si="50"/>
        <v>0</v>
      </c>
      <c r="I120" s="151">
        <f t="shared" si="50"/>
        <v>0</v>
      </c>
      <c r="J120" s="151">
        <f t="shared" si="50"/>
        <v>0</v>
      </c>
      <c r="K120" s="151">
        <f t="shared" si="50"/>
        <v>0</v>
      </c>
      <c r="L120" s="151">
        <f t="shared" si="50"/>
        <v>0</v>
      </c>
      <c r="M120" s="151">
        <f t="shared" si="50"/>
        <v>0</v>
      </c>
      <c r="N120" s="151">
        <f t="shared" si="50"/>
        <v>0</v>
      </c>
      <c r="O120" s="152">
        <f t="shared" si="49"/>
        <v>0</v>
      </c>
    </row>
    <row r="121" spans="2:30" ht="20.100000000000001" customHeight="1" x14ac:dyDescent="0.25">
      <c r="B121" s="167" t="s">
        <v>129</v>
      </c>
      <c r="C121" s="151">
        <f>IF(C$105&lt;=TabS!$G$5,C28*$F$67,IF(C$105&lt;=TabS!$G$6,C28*$F$68,IF(C$105&lt;=TabS!$G$7,C28*$F$69,IF(C$105&lt;=TabS!$G$8,C28*$F$70,IF(C$105&lt;=TabS!$G$9,C28*$F$71,IF(C$105&lt;=TabS!$G$10,C28*$F$72))))))</f>
        <v>0</v>
      </c>
      <c r="D121" s="151">
        <f>IF(D$105&lt;=TabS!$G$5,D28*$F$67,IF(D$105&lt;=TabS!$G$6,D28*$F$68,IF(D$105&lt;=TabS!$G$7,D28*$F$69,IF(D$105&lt;=TabS!$G$8,D28*$F$70,IF(D$105&lt;=TabS!$G$9,D28*$F$71,IF(D$105&lt;=TabS!$G$10,D28*$F$72))))))</f>
        <v>0</v>
      </c>
      <c r="E121" s="151">
        <f>IF(E$105&lt;=TabS!$G$5,E28*$F$67,IF(E$105&lt;=TabS!$G$6,E28*$F$68,IF(E$105&lt;=TabS!$G$7,E28*$F$69,IF(E$105&lt;=TabS!$G$8,E28*$F$70,IF(E$105&lt;=TabS!$G$9,E28*$F$71,IF(E$105&lt;=TabS!$G$10,E28*$F$72))))))</f>
        <v>0</v>
      </c>
      <c r="F121" s="151">
        <f>IF(F$105&lt;=TabS!$G$5,F28*$F$67,IF(F$105&lt;=TabS!$G$6,F28*$F$68,IF(F$105&lt;=TabS!$G$7,F28*$F$69,IF(F$105&lt;=TabS!$G$8,F28*$F$70,IF(F$105&lt;=TabS!$G$9,F28*$F$71,IF(F$105&lt;=TabS!$G$10,F28*$F$72))))))</f>
        <v>0</v>
      </c>
      <c r="G121" s="151">
        <f>IF(G$105&lt;=TabS!$G$5,G28*$F$67,IF(G$105&lt;=TabS!$G$6,G28*$F$68,IF(G$105&lt;=TabS!$G$7,G28*$F$69,IF(G$105&lt;=TabS!$G$8,G28*$F$70,IF(G$105&lt;=TabS!$G$9,G28*$F$71,IF(G$105&lt;=TabS!$G$10,G28*$F$72))))))</f>
        <v>0</v>
      </c>
      <c r="H121" s="151">
        <f>IF(H$105&lt;=TabS!$G$5,H28*$F$67,IF(H$105&lt;=TabS!$G$6,H28*$F$68,IF(H$105&lt;=TabS!$G$7,H28*$F$69,IF(H$105&lt;=TabS!$G$8,H28*$F$70,IF(H$105&lt;=TabS!$G$9,H28*$F$71,IF(H$105&lt;=TabS!$G$10,H28*$F$72))))))</f>
        <v>0</v>
      </c>
      <c r="I121" s="151">
        <f>IF(I$105&lt;=TabS!$G$5,I28*$F$67,IF(I$105&lt;=TabS!$G$6,I28*$F$68,IF(I$105&lt;=TabS!$G$7,I28*$F$69,IF(I$105&lt;=TabS!$G$8,I28*$F$70,IF(I$105&lt;=TabS!$G$9,I28*$F$71,IF(I$105&lt;=TabS!$G$10,I28*$F$72))))))</f>
        <v>0</v>
      </c>
      <c r="J121" s="151">
        <f>IF(J$105&lt;=TabS!$G$5,J28*$F$67,IF(J$105&lt;=TabS!$G$6,J28*$F$68,IF(J$105&lt;=TabS!$G$7,J28*$F$69,IF(J$105&lt;=TabS!$G$8,J28*$F$70,IF(J$105&lt;=TabS!$G$9,J28*$F$71,IF(J$105&lt;=TabS!$G$10,J28*$F$72))))))</f>
        <v>0</v>
      </c>
      <c r="K121" s="151">
        <f>IF(K$105&lt;=TabS!$G$5,K28*$F$67,IF(K$105&lt;=TabS!$G$6,K28*$F$68,IF(K$105&lt;=TabS!$G$7,K28*$F$69,IF(K$105&lt;=TabS!$G$8,K28*$F$70,IF(K$105&lt;=TabS!$G$9,K28*$F$71,IF(K$105&lt;=TabS!$G$10,K28*$F$72))))))</f>
        <v>0</v>
      </c>
      <c r="L121" s="151">
        <f>IF(L$105&lt;=TabS!$G$5,L28*$F$67,IF(L$105&lt;=TabS!$G$6,L28*$F$68,IF(L$105&lt;=TabS!$G$7,L28*$F$69,IF(L$105&lt;=TabS!$G$8,L28*$F$70,IF(L$105&lt;=TabS!$G$9,L28*$F$71,IF(L$105&lt;=TabS!$G$10,L28*$F$72))))))</f>
        <v>0</v>
      </c>
      <c r="M121" s="151">
        <f>IF(M$105&lt;=TabS!$G$5,M28*$F$67,IF(M$105&lt;=TabS!$G$6,M28*$F$68,IF(M$105&lt;=TabS!$G$7,M28*$F$69,IF(M$105&lt;=TabS!$G$8,M28*$F$70,IF(M$105&lt;=TabS!$G$9,M28*$F$71,IF(M$105&lt;=TabS!$G$10,M28*$F$72))))))</f>
        <v>0</v>
      </c>
      <c r="N121" s="151">
        <f>IF(N$105&lt;=TabS!$G$5,N28*$F$67,IF(N$105&lt;=TabS!$G$6,N28*$F$68,IF(N$105&lt;=TabS!$G$7,N28*$F$69,IF(N$105&lt;=TabS!$G$8,N28*$F$70,IF(N$105&lt;=TabS!$G$9,N28*$F$71,IF(N$105&lt;=TabS!$G$10,N28*$F$72))))))</f>
        <v>0</v>
      </c>
      <c r="O121" s="152">
        <f t="shared" si="49"/>
        <v>0</v>
      </c>
    </row>
    <row r="122" spans="2:30" ht="20.100000000000001" customHeight="1" x14ac:dyDescent="0.25">
      <c r="B122" s="167" t="s">
        <v>42</v>
      </c>
      <c r="C122" s="151">
        <f>IF(C$105&lt;=TabS!$G$5,C28*$G$67,IF(C$105&lt;=TabS!$G$6,C28*$G$68,IF(C$105&lt;=TabS!$G$7,C28*$G$69,IF(C$105&lt;=TabS!$G$8,C28*$G$70,IF(C$105&lt;=TabS!$G$9,C28*$G$71,IF(C$105&lt;=TabS!$G$10,C28*$G$72))))))</f>
        <v>0</v>
      </c>
      <c r="D122" s="151">
        <f>IF(D$105&lt;=TabS!$G$5,D28*$G$67,IF(D$105&lt;=TabS!$G$6,D28*$G$68,IF(D$105&lt;=TabS!$G$7,D28*$G$69,IF(D$105&lt;=TabS!$G$8,D28*$G$70,IF(D$105&lt;=TabS!$G$9,D28*$G$71,IF(D$105&lt;=TabS!$G$10,D28*$G$72))))))</f>
        <v>0</v>
      </c>
      <c r="E122" s="151">
        <f>IF(E$105&lt;=TabS!$G$5,E28*$G$67,IF(E$105&lt;=TabS!$G$6,E28*$G$68,IF(E$105&lt;=TabS!$G$7,E28*$G$69,IF(E$105&lt;=TabS!$G$8,E28*$G$70,IF(E$105&lt;=TabS!$G$9,E28*$G$71,IF(E$105&lt;=TabS!$G$10,E28*$G$72))))))</f>
        <v>0</v>
      </c>
      <c r="F122" s="151">
        <f>IF(F$105&lt;=TabS!$G$5,F28*$G$67,IF(F$105&lt;=TabS!$G$6,F28*$G$68,IF(F$105&lt;=TabS!$G$7,F28*$G$69,IF(F$105&lt;=TabS!$G$8,F28*$G$70,IF(F$105&lt;=TabS!$G$9,F28*$G$71,IF(F$105&lt;=TabS!$G$10,F28*$G$72))))))</f>
        <v>0</v>
      </c>
      <c r="G122" s="151">
        <f>IF(G$105&lt;=TabS!$G$5,G28*$G$67,IF(G$105&lt;=TabS!$G$6,G28*$G$68,IF(G$105&lt;=TabS!$G$7,G28*$G$69,IF(G$105&lt;=TabS!$G$8,G28*$G$70,IF(G$105&lt;=TabS!$G$9,G28*$G$71,IF(G$105&lt;=TabS!$G$10,G28*$G$72))))))</f>
        <v>0</v>
      </c>
      <c r="H122" s="151">
        <f>IF(H$105&lt;=TabS!$G$5,H28*$G$67,IF(H$105&lt;=TabS!$G$6,H28*$G$68,IF(H$105&lt;=TabS!$G$7,H28*$G$69,IF(H$105&lt;=TabS!$G$8,H28*$G$70,IF(H$105&lt;=TabS!$G$9,H28*$G$71,IF(H$105&lt;=TabS!$G$10,H28*$G$72))))))</f>
        <v>0</v>
      </c>
      <c r="I122" s="151">
        <f>IF(I$105&lt;=TabS!$G$5,I28*$G$67,IF(I$105&lt;=TabS!$G$6,I28*$G$68,IF(I$105&lt;=TabS!$G$7,I28*$G$69,IF(I$105&lt;=TabS!$G$8,I28*$G$70,IF(I$105&lt;=TabS!$G$9,I28*$G$71,IF(I$105&lt;=TabS!$G$10,I28*$G$72))))))</f>
        <v>0</v>
      </c>
      <c r="J122" s="151">
        <f>IF(J$105&lt;=TabS!$G$5,J28*$G$67,IF(J$105&lt;=TabS!$G$6,J28*$G$68,IF(J$105&lt;=TabS!$G$7,J28*$G$69,IF(J$105&lt;=TabS!$G$8,J28*$G$70,IF(J$105&lt;=TabS!$G$9,J28*$G$71,IF(J$105&lt;=TabS!$G$10,J28*$G$72))))))</f>
        <v>0</v>
      </c>
      <c r="K122" s="151">
        <f>IF(K$105&lt;=TabS!$G$5,K28*$G$67,IF(K$105&lt;=TabS!$G$6,K28*$G$68,IF(K$105&lt;=TabS!$G$7,K28*$G$69,IF(K$105&lt;=TabS!$G$8,K28*$G$70,IF(K$105&lt;=TabS!$G$9,K28*$G$71,IF(K$105&lt;=TabS!$G$10,K28*$G$72))))))</f>
        <v>0</v>
      </c>
      <c r="L122" s="151">
        <f>IF(L$105&lt;=TabS!$G$5,L28*$G$67,IF(L$105&lt;=TabS!$G$6,L28*$G$68,IF(L$105&lt;=TabS!$G$7,L28*$G$69,IF(L$105&lt;=TabS!$G$8,L28*$G$70,IF(L$105&lt;=TabS!$G$9,L28*$G$71,IF(L$105&lt;=TabS!$G$10,L28*$G$72))))))</f>
        <v>0</v>
      </c>
      <c r="M122" s="151">
        <f>IF(M$105&lt;=TabS!$G$5,M28*$G$67,IF(M$105&lt;=TabS!$G$6,M28*$G$68,IF(M$105&lt;=TabS!$G$7,M28*$G$69,IF(M$105&lt;=TabS!$G$8,M28*$G$70,IF(M$105&lt;=TabS!$G$9,M28*$G$71,IF(M$105&lt;=TabS!$G$10,M28*$G$72))))))</f>
        <v>0</v>
      </c>
      <c r="N122" s="151">
        <f>IF(N$105&lt;=TabS!$G$5,N28*$G$67,IF(N$105&lt;=TabS!$G$6,N28*$G$68,IF(N$105&lt;=TabS!$G$7,N28*$G$69,IF(N$105&lt;=TabS!$G$8,N28*$G$70,IF(N$105&lt;=TabS!$G$9,N28*$G$71,IF(N$105&lt;=TabS!$G$10,N28*$G$72))))))</f>
        <v>0</v>
      </c>
      <c r="O122" s="152">
        <f t="shared" si="49"/>
        <v>0</v>
      </c>
    </row>
    <row r="123" spans="2:30" ht="20.100000000000001" customHeight="1" x14ac:dyDescent="0.25">
      <c r="B123" s="167" t="s">
        <v>40</v>
      </c>
      <c r="C123" s="151">
        <f>IF(C$105&lt;=TabS!$G$5,C28*$H$67,IF(C$105&lt;=TabS!$G$6,C28*$H$68,IF(C$105&lt;=TabS!$G$7,C28*$H$69,IF(C$105&lt;=TabS!$G$8,C28*$H$70,IF(C$105&lt;=TabS!$G$9,C28*$H$71,IF(C$105&lt;=TabS!$G$10,C28*$H$72))))))</f>
        <v>0</v>
      </c>
      <c r="D123" s="151">
        <f>IF(D$105&lt;=TabS!$G$5,D28*$H$67,IF(D$105&lt;=TabS!$G$6,D28*$H$68,IF(D$105&lt;=TabS!$G$7,D28*$H$69,IF(D$105&lt;=TabS!$G$8,D28*$H$70,IF(D$105&lt;=TabS!$G$9,D28*$H$71,IF(D$105&lt;=TabS!$G$10,D28*$H$72))))))</f>
        <v>0</v>
      </c>
      <c r="E123" s="151">
        <f>IF(E$105&lt;=TabS!$G$5,E28*$H$67,IF(E$105&lt;=TabS!$G$6,E28*$H$68,IF(E$105&lt;=TabS!$G$7,E28*$H$69,IF(E$105&lt;=TabS!$G$8,E28*$H$70,IF(E$105&lt;=TabS!$G$9,E28*$H$71,IF(E$105&lt;=TabS!$G$10,E28*$H$72))))))</f>
        <v>0</v>
      </c>
      <c r="F123" s="151">
        <f>IF(F$105&lt;=TabS!$G$5,F28*$H$67,IF(F$105&lt;=TabS!$G$6,F28*$H$68,IF(F$105&lt;=TabS!$G$7,F28*$H$69,IF(F$105&lt;=TabS!$G$8,F28*$H$70,IF(F$105&lt;=TabS!$G$9,F28*$H$71,IF(F$105&lt;=TabS!$G$10,F28*$H$72))))))</f>
        <v>0</v>
      </c>
      <c r="G123" s="151">
        <f>IF(G$105&lt;=TabS!$G$5,G28*$H$67,IF(G$105&lt;=TabS!$G$6,G28*$H$68,IF(G$105&lt;=TabS!$G$7,G28*$H$69,IF(G$105&lt;=TabS!$G$8,G28*$H$70,IF(G$105&lt;=TabS!$G$9,G28*$H$71,IF(G$105&lt;=TabS!$G$10,G28*$H$72))))))</f>
        <v>0</v>
      </c>
      <c r="H123" s="151">
        <f>IF(H$105&lt;=TabS!$G$5,H28*$H$67,IF(H$105&lt;=TabS!$G$6,H28*$H$68,IF(H$105&lt;=TabS!$G$7,H28*$H$69,IF(H$105&lt;=TabS!$G$8,H28*$H$70,IF(H$105&lt;=TabS!$G$9,H28*$H$71,IF(H$105&lt;=TabS!$G$10,H28*$H$72))))))</f>
        <v>0</v>
      </c>
      <c r="I123" s="151">
        <f>IF(I$105&lt;=TabS!$G$5,I28*$H$67,IF(I$105&lt;=TabS!$G$6,I28*$H$68,IF(I$105&lt;=TabS!$G$7,I28*$H$69,IF(I$105&lt;=TabS!$G$8,I28*$H$70,IF(I$105&lt;=TabS!$G$9,I28*$H$71,IF(I$105&lt;=TabS!$G$10,I28*$H$72))))))</f>
        <v>0</v>
      </c>
      <c r="J123" s="151">
        <f>IF(J$105&lt;=TabS!$G$5,J28*$H$67,IF(J$105&lt;=TabS!$G$6,J28*$H$68,IF(J$105&lt;=TabS!$G$7,J28*$H$69,IF(J$105&lt;=TabS!$G$8,J28*$H$70,IF(J$105&lt;=TabS!$G$9,J28*$H$71,IF(J$105&lt;=TabS!$G$10,J28*$H$72))))))</f>
        <v>0</v>
      </c>
      <c r="K123" s="151">
        <f>IF(K$105&lt;=TabS!$G$5,K28*$H$67,IF(K$105&lt;=TabS!$G$6,K28*$H$68,IF(K$105&lt;=TabS!$G$7,K28*$H$69,IF(K$105&lt;=TabS!$G$8,K28*$H$70,IF(K$105&lt;=TabS!$G$9,K28*$H$71,IF(K$105&lt;=TabS!$G$10,K28*$H$72))))))</f>
        <v>0</v>
      </c>
      <c r="L123" s="151">
        <f>IF(L$105&lt;=TabS!$G$5,L28*$H$67,IF(L$105&lt;=TabS!$G$6,L28*$H$68,IF(L$105&lt;=TabS!$G$7,L28*$H$69,IF(L$105&lt;=TabS!$G$8,L28*$H$70,IF(L$105&lt;=TabS!$G$9,L28*$H$71,IF(L$105&lt;=TabS!$G$10,L28*$H$72))))))</f>
        <v>0</v>
      </c>
      <c r="M123" s="151">
        <f>IF(M$105&lt;=TabS!$G$5,M28*$H$67,IF(M$105&lt;=TabS!$G$6,M28*$H$68,IF(M$105&lt;=TabS!$G$7,M28*$H$69,IF(M$105&lt;=TabS!$G$8,M28*$H$70,IF(M$105&lt;=TabS!$G$9,M28*$H$71,IF(M$105&lt;=TabS!$G$10,M28*$H$72))))))</f>
        <v>0</v>
      </c>
      <c r="N123" s="151">
        <f>IF(N$105&lt;=TabS!$G$5,N28*$H$67,IF(N$105&lt;=TabS!$G$6,N28*$H$68,IF(N$105&lt;=TabS!$G$7,N28*$H$69,IF(N$105&lt;=TabS!$G$8,N28*$H$70,IF(N$105&lt;=TabS!$G$9,N28*$H$71,IF(N$105&lt;=TabS!$G$10,N28*$H$72))))))</f>
        <v>0</v>
      </c>
      <c r="O123" s="152">
        <f t="shared" si="49"/>
        <v>0</v>
      </c>
    </row>
    <row r="124" spans="2:30" ht="20.100000000000001" customHeight="1" x14ac:dyDescent="0.25">
      <c r="B124" s="167" t="s">
        <v>38</v>
      </c>
      <c r="C124" s="151">
        <f>IF(C$105&lt;=TabS!$G$5,C28*$I$67,IF(C$105&lt;=TabS!$G$6,C28*$I$68,IF(C$105&lt;=TabS!$G$7,C28*$I$69,IF(C$105&lt;=TabS!$G$8,C28*$I$70,IF(C$105&lt;=TabS!$G$9,C28*$I$71,IF(C$105&lt;=TabS!$G$10,C28*$I$72))))))</f>
        <v>0</v>
      </c>
      <c r="D124" s="151">
        <f>IF(D$105&lt;=TabS!$G$5,D28*$I$67,IF(D$105&lt;=TabS!$G$6,D28*$I$68,IF(D$105&lt;=TabS!$G$7,D28*$I$69,IF(D$105&lt;=TabS!$G$8,D28*$I$70,IF(D$105&lt;=TabS!$G$9,D28*$I$71,IF(D$105&lt;=TabS!$G$10,D28*$I$72))))))</f>
        <v>0</v>
      </c>
      <c r="E124" s="151">
        <f>IF(E$105&lt;=TabS!$G$5,E28*$I$67,IF(E$105&lt;=TabS!$G$6,E28*$I$68,IF(E$105&lt;=TabS!$G$7,E28*$I$69,IF(E$105&lt;=TabS!$G$8,E28*$I$70,IF(E$105&lt;=TabS!$G$9,E28*$I$71,IF(E$105&lt;=TabS!$G$10,E28*$I$72))))))</f>
        <v>0</v>
      </c>
      <c r="F124" s="151">
        <f>IF(F$105&lt;=TabS!$G$5,F28*$I$67,IF(F$105&lt;=TabS!$G$6,F28*$I$68,IF(F$105&lt;=TabS!$G$7,F28*$I$69,IF(F$105&lt;=TabS!$G$8,F28*$I$70,IF(F$105&lt;=TabS!$G$9,F28*$I$71,IF(F$105&lt;=TabS!$G$10,F28*$I$72))))))</f>
        <v>0</v>
      </c>
      <c r="G124" s="151">
        <f>IF(G$105&lt;=TabS!$G$5,G28*$I$67,IF(G$105&lt;=TabS!$G$6,G28*$I$68,IF(G$105&lt;=TabS!$G$7,G28*$I$69,IF(G$105&lt;=TabS!$G$8,G28*$I$70,IF(G$105&lt;=TabS!$G$9,G28*$I$71,IF(G$105&lt;=TabS!$G$10,G28*$I$72))))))</f>
        <v>0</v>
      </c>
      <c r="H124" s="151">
        <f>IF(H$105&lt;=TabS!$G$5,H28*$I$67,IF(H$105&lt;=TabS!$G$6,H28*$I$68,IF(H$105&lt;=TabS!$G$7,H28*$I$69,IF(H$105&lt;=TabS!$G$8,H28*$I$70,IF(H$105&lt;=TabS!$G$9,H28*$I$71,IF(H$105&lt;=TabS!$G$10,H28*$I$72))))))</f>
        <v>0</v>
      </c>
      <c r="I124" s="151">
        <f>IF(I$105&lt;=TabS!$G$5,I28*$I$67,IF(I$105&lt;=TabS!$G$6,I28*$I$68,IF(I$105&lt;=TabS!$G$7,I28*$I$69,IF(I$105&lt;=TabS!$G$8,I28*$I$70,IF(I$105&lt;=TabS!$G$9,I28*$I$71,IF(I$105&lt;=TabS!$G$10,I28*$I$72))))))</f>
        <v>0</v>
      </c>
      <c r="J124" s="151">
        <f>IF(J$105&lt;=TabS!$G$5,J28*$I$67,IF(J$105&lt;=TabS!$G$6,J28*$I$68,IF(J$105&lt;=TabS!$G$7,J28*$I$69,IF(J$105&lt;=TabS!$G$8,J28*$I$70,IF(J$105&lt;=TabS!$G$9,J28*$I$71,IF(J$105&lt;=TabS!$G$10,J28*$I$72))))))</f>
        <v>0</v>
      </c>
      <c r="K124" s="151">
        <f>IF(K$105&lt;=TabS!$G$5,K28*$I$67,IF(K$105&lt;=TabS!$G$6,K28*$I$68,IF(K$105&lt;=TabS!$G$7,K28*$I$69,IF(K$105&lt;=TabS!$G$8,K28*$I$70,IF(K$105&lt;=TabS!$G$9,K28*$I$71,IF(K$105&lt;=TabS!$G$10,K28*$I$72))))))</f>
        <v>0</v>
      </c>
      <c r="L124" s="151">
        <f>IF(L$105&lt;=TabS!$G$5,L28*$I$67,IF(L$105&lt;=TabS!$G$6,L28*$I$68,IF(L$105&lt;=TabS!$G$7,L28*$I$69,IF(L$105&lt;=TabS!$G$8,L28*$I$70,IF(L$105&lt;=TabS!$G$9,L28*$I$71,IF(L$105&lt;=TabS!$G$10,L28*$I$72))))))</f>
        <v>0</v>
      </c>
      <c r="M124" s="151">
        <f>IF(M$105&lt;=TabS!$G$5,M28*$I$67,IF(M$105&lt;=TabS!$G$6,M28*$I$68,IF(M$105&lt;=TabS!$G$7,M28*$I$69,IF(M$105&lt;=TabS!$G$8,M28*$I$70,IF(M$105&lt;=TabS!$G$9,M28*$I$71,IF(M$105&lt;=TabS!$G$10,M28*$I$72))))))</f>
        <v>0</v>
      </c>
      <c r="N124" s="151">
        <f>IF(N$105&lt;=TabS!$G$5,N28*$I$67,IF(N$105&lt;=TabS!$G$6,N28*$I$68,IF(N$105&lt;=TabS!$G$7,N28*$I$69,IF(N$105&lt;=TabS!$G$8,N28*$I$70,IF(N$105&lt;=TabS!$G$9,N28*$I$71,IF(N$105&lt;=TabS!$G$10,N28*$I$72))))))</f>
        <v>0</v>
      </c>
      <c r="O124" s="152">
        <f t="shared" si="49"/>
        <v>0</v>
      </c>
    </row>
    <row r="125" spans="2:30" ht="20.100000000000001" customHeight="1" x14ac:dyDescent="0.25">
      <c r="B125" s="168" t="s">
        <v>99</v>
      </c>
      <c r="C125" s="152">
        <f>SUM(C118:C124)</f>
        <v>0</v>
      </c>
      <c r="D125" s="152">
        <f t="shared" ref="D125:N125" si="51">SUM(D118:D124)</f>
        <v>0</v>
      </c>
      <c r="E125" s="152">
        <f t="shared" si="51"/>
        <v>0</v>
      </c>
      <c r="F125" s="152">
        <f t="shared" si="51"/>
        <v>0</v>
      </c>
      <c r="G125" s="152">
        <f t="shared" si="51"/>
        <v>0</v>
      </c>
      <c r="H125" s="152">
        <f t="shared" si="51"/>
        <v>0</v>
      </c>
      <c r="I125" s="152">
        <f t="shared" si="51"/>
        <v>0</v>
      </c>
      <c r="J125" s="152">
        <f t="shared" si="51"/>
        <v>0</v>
      </c>
      <c r="K125" s="152">
        <f t="shared" si="51"/>
        <v>0</v>
      </c>
      <c r="L125" s="152">
        <f t="shared" si="51"/>
        <v>0</v>
      </c>
      <c r="M125" s="152">
        <f t="shared" si="51"/>
        <v>0</v>
      </c>
      <c r="N125" s="152">
        <f t="shared" si="51"/>
        <v>0</v>
      </c>
      <c r="O125" s="152">
        <f t="shared" si="49"/>
        <v>0</v>
      </c>
    </row>
    <row r="126" spans="2:30" ht="20.100000000000001" customHeight="1" x14ac:dyDescent="0.25">
      <c r="B126" s="164" t="s">
        <v>75</v>
      </c>
    </row>
    <row r="127" spans="2:30" ht="20.100000000000001" customHeight="1" x14ac:dyDescent="0.25">
      <c r="B127" s="149" t="s">
        <v>82</v>
      </c>
      <c r="C127" s="149" t="s">
        <v>83</v>
      </c>
      <c r="D127" s="149" t="s">
        <v>84</v>
      </c>
      <c r="E127" s="149" t="s">
        <v>85</v>
      </c>
      <c r="F127" s="149" t="s">
        <v>86</v>
      </c>
      <c r="G127" s="149" t="s">
        <v>87</v>
      </c>
      <c r="H127" s="149" t="s">
        <v>88</v>
      </c>
      <c r="I127" s="149" t="s">
        <v>89</v>
      </c>
      <c r="J127" s="149" t="s">
        <v>90</v>
      </c>
      <c r="K127" s="149" t="s">
        <v>91</v>
      </c>
      <c r="L127" s="149" t="s">
        <v>92</v>
      </c>
      <c r="M127" s="149" t="s">
        <v>93</v>
      </c>
      <c r="N127" s="149" t="s">
        <v>94</v>
      </c>
      <c r="O127" s="149" t="s">
        <v>95</v>
      </c>
    </row>
    <row r="128" spans="2:30" ht="20.100000000000001" customHeight="1" x14ac:dyDescent="0.25">
      <c r="B128" s="167" t="s">
        <v>97</v>
      </c>
      <c r="C128" s="151">
        <f>IF(C$167&gt;$C$168,C180,IF(C$105&lt;=TabS!$G$5,C35*$C$77,IF(C$105&lt;=TabS!$G$6,C35*$C$78,IF(C$105&lt;=TabS!$G$7,C35*$C$79,IF(C$105&lt;=TabS!$G$8,C35*$C$80,IF(C$105&lt;=TabS!$G$9,C35*$C$81,IF(C$105&lt;=TabS!$G$10,C35*$C$82)))))))</f>
        <v>0</v>
      </c>
      <c r="D128" s="151">
        <f>IF(D$167&gt;$C$168,D180,IF(D$105&lt;=TabS!$G$5,D35*$C$77,IF(D$105&lt;=TabS!$G$6,D35*$C$78,IF(D$105&lt;=TabS!$G$7,D35*$C$79,IF(D$105&lt;=TabS!$G$8,D35*$C$80,IF(D$105&lt;=TabS!$G$9,D35*$C$81,IF(D$105&lt;=TabS!$G$10,D35*$C$82)))))))</f>
        <v>0</v>
      </c>
      <c r="E128" s="151">
        <f>IF(E$167&gt;$C$168,E180,IF(E$105&lt;=TabS!$G$5,E35*$C$77,IF(E$105&lt;=TabS!$G$6,E35*$C$78,IF(E$105&lt;=TabS!$G$7,E35*$C$79,IF(E$105&lt;=TabS!$G$8,E35*$C$80,IF(E$105&lt;=TabS!$G$9,E35*$C$81,IF(E$105&lt;=TabS!$G$10,E35*$C$82)))))))</f>
        <v>0</v>
      </c>
      <c r="F128" s="151">
        <f>IF(F$167&gt;$C$168,F180,IF(F$105&lt;=TabS!$G$5,F35*$C$77,IF(F$105&lt;=TabS!$G$6,F35*$C$78,IF(F$105&lt;=TabS!$G$7,F35*$C$79,IF(F$105&lt;=TabS!$G$8,F35*$C$80,IF(F$105&lt;=TabS!$G$9,F35*$C$81,IF(F$105&lt;=TabS!$G$10,F35*$C$82)))))))</f>
        <v>0</v>
      </c>
      <c r="G128" s="151">
        <f>IF(G$167&gt;$C$168,G180,IF(G$105&lt;=TabS!$G$5,G35*$C$77,IF(G$105&lt;=TabS!$G$6,G35*$C$78,IF(G$105&lt;=TabS!$G$7,G35*$C$79,IF(G$105&lt;=TabS!$G$8,G35*$C$80,IF(G$105&lt;=TabS!$G$9,G35*$C$81,IF(G$105&lt;=TabS!$G$10,G35*$C$82)))))))</f>
        <v>0</v>
      </c>
      <c r="H128" s="151">
        <f>IF(H$167&gt;$C$168,H180,IF(H$105&lt;=TabS!$G$5,H35*$C$77,IF(H$105&lt;=TabS!$G$6,H35*$C$78,IF(H$105&lt;=TabS!$G$7,H35*$C$79,IF(H$105&lt;=TabS!$G$8,H35*$C$80,IF(H$105&lt;=TabS!$G$9,H35*$C$81,IF(H$105&lt;=TabS!$G$10,H35*$C$82)))))))</f>
        <v>0</v>
      </c>
      <c r="I128" s="151">
        <f>IF(I$167&gt;$C$168,I180,IF(I$105&lt;=TabS!$G$5,I35*$C$77,IF(I$105&lt;=TabS!$G$6,I35*$C$78,IF(I$105&lt;=TabS!$G$7,I35*$C$79,IF(I$105&lt;=TabS!$G$8,I35*$C$80,IF(I$105&lt;=TabS!$G$9,I35*$C$81,IF(I$105&lt;=TabS!$G$10,I35*$C$82)))))))</f>
        <v>0</v>
      </c>
      <c r="J128" s="151">
        <f>IF(J$167&gt;$C$168,J180,IF(J$105&lt;=TabS!$G$5,J35*$C$77,IF(J$105&lt;=TabS!$G$6,J35*$C$78,IF(J$105&lt;=TabS!$G$7,J35*$C$79,IF(J$105&lt;=TabS!$G$8,J35*$C$80,IF(J$105&lt;=TabS!$G$9,J35*$C$81,IF(J$105&lt;=TabS!$G$10,J35*$C$82)))))))</f>
        <v>0</v>
      </c>
      <c r="K128" s="151">
        <f>IF(K$167&gt;$C$168,K180,IF(K$105&lt;=TabS!$G$5,K35*$C$77,IF(K$105&lt;=TabS!$G$6,K35*$C$78,IF(K$105&lt;=TabS!$G$7,K35*$C$79,IF(K$105&lt;=TabS!$G$8,K35*$C$80,IF(K$105&lt;=TabS!$G$9,K35*$C$81,IF(K$105&lt;=TabS!$G$10,K35*$C$82)))))))</f>
        <v>0</v>
      </c>
      <c r="L128" s="151">
        <f>IF(L$167&gt;$C$168,L180,IF(L$105&lt;=TabS!$G$5,L35*$C$77,IF(L$105&lt;=TabS!$G$6,L35*$C$78,IF(L$105&lt;=TabS!$G$7,L35*$C$79,IF(L$105&lt;=TabS!$G$8,L35*$C$80,IF(L$105&lt;=TabS!$G$9,L35*$C$81,IF(L$105&lt;=TabS!$G$10,L35*$C$82)))))))</f>
        <v>0</v>
      </c>
      <c r="M128" s="151">
        <f>IF(M$167&gt;$C$168,M180,IF(M$105&lt;=TabS!$G$5,M35*$C$77,IF(M$105&lt;=TabS!$G$6,M35*$C$78,IF(M$105&lt;=TabS!$G$7,M35*$C$79,IF(M$105&lt;=TabS!$G$8,M35*$C$80,IF(M$105&lt;=TabS!$G$9,M35*$C$81,IF(M$105&lt;=TabS!$G$10,M35*$C$82)))))))</f>
        <v>0</v>
      </c>
      <c r="N128" s="151">
        <f>IF(N$167&gt;$C$168,N180,IF(N$105&lt;=TabS!$G$5,N35*$C$77,IF(N$105&lt;=TabS!$G$6,N35*$C$78,IF(N$105&lt;=TabS!$G$7,N35*$C$79,IF(N$105&lt;=TabS!$G$8,N35*$C$80,IF(N$105&lt;=TabS!$G$9,N35*$C$81,IF(N$105&lt;=TabS!$G$10,N35*$C$82)))))))</f>
        <v>0</v>
      </c>
      <c r="O128" s="152">
        <f t="shared" ref="O128:O134" si="52">SUM(C128:N128)</f>
        <v>0</v>
      </c>
    </row>
    <row r="129" spans="2:15" ht="20.100000000000001" customHeight="1" x14ac:dyDescent="0.25">
      <c r="B129" s="167" t="s">
        <v>98</v>
      </c>
      <c r="C129" s="151">
        <f>IF(C$167&gt;$C$168,C181,IF(C$105&lt;=TabS!$G$5,C35*$D$77,IF(C$105&lt;=TabS!$G$6,C35*$D$78,IF(C$105&lt;=TabS!$G$7,C35*$D$79,IF(C$105&lt;=TabS!$G$8,C35*$D$80,IF(C$105&lt;=TabS!$G$9,C35*$D$81,IF(C$105&lt;=TabS!$G$10,C35*$D$82)))))))</f>
        <v>0</v>
      </c>
      <c r="D129" s="151">
        <f>IF(D$167&gt;$C$168,D181,IF(D$105&lt;=TabS!$G$5,D35*$D$77,IF(D$105&lt;=TabS!$G$6,D35*$D$78,IF(D$105&lt;=TabS!$G$7,D35*$D$79,IF(D$105&lt;=TabS!$G$8,D35*$D$80,IF(D$105&lt;=TabS!$G$9,D35*$D$81,IF(D$105&lt;=TabS!$G$10,D35*$D$82)))))))</f>
        <v>0</v>
      </c>
      <c r="E129" s="151">
        <f>IF(E$167&gt;$C$168,E181,IF(E$105&lt;=TabS!$G$5,E35*$D$77,IF(E$105&lt;=TabS!$G$6,E35*$D$78,IF(E$105&lt;=TabS!$G$7,E35*$D$79,IF(E$105&lt;=TabS!$G$8,E35*$D$80,IF(E$105&lt;=TabS!$G$9,E35*$D$81,IF(E$105&lt;=TabS!$G$10,E35*$D$82)))))))</f>
        <v>0</v>
      </c>
      <c r="F129" s="151">
        <f>IF(F$167&gt;$C$168,F181,IF(F$105&lt;=TabS!$G$5,F35*$D$77,IF(F$105&lt;=TabS!$G$6,F35*$D$78,IF(F$105&lt;=TabS!$G$7,F35*$D$79,IF(F$105&lt;=TabS!$G$8,F35*$D$80,IF(F$105&lt;=TabS!$G$9,F35*$D$81,IF(F$105&lt;=TabS!$G$10,F35*$D$82)))))))</f>
        <v>0</v>
      </c>
      <c r="G129" s="151">
        <f>IF(G$167&gt;$C$168,G181,IF(G$105&lt;=TabS!$G$5,G35*$D$77,IF(G$105&lt;=TabS!$G$6,G35*$D$78,IF(G$105&lt;=TabS!$G$7,G35*$D$79,IF(G$105&lt;=TabS!$G$8,G35*$D$80,IF(G$105&lt;=TabS!$G$9,G35*$D$81,IF(G$105&lt;=TabS!$G$10,G35*$D$82)))))))</f>
        <v>0</v>
      </c>
      <c r="H129" s="151">
        <f>IF(H$167&gt;$C$168,H181,IF(H$105&lt;=TabS!$G$5,H35*$D$77,IF(H$105&lt;=TabS!$G$6,H35*$D$78,IF(H$105&lt;=TabS!$G$7,H35*$D$79,IF(H$105&lt;=TabS!$G$8,H35*$D$80,IF(H$105&lt;=TabS!$G$9,H35*$D$81,IF(H$105&lt;=TabS!$G$10,H35*$D$82)))))))</f>
        <v>0</v>
      </c>
      <c r="I129" s="151">
        <f>IF(I$167&gt;$C$168,I181,IF(I$105&lt;=TabS!$G$5,I35*$D$77,IF(I$105&lt;=TabS!$G$6,I35*$D$78,IF(I$105&lt;=TabS!$G$7,I35*$D$79,IF(I$105&lt;=TabS!$G$8,I35*$D$80,IF(I$105&lt;=TabS!$G$9,I35*$D$81,IF(I$105&lt;=TabS!$G$10,I35*$D$82)))))))</f>
        <v>0</v>
      </c>
      <c r="J129" s="151">
        <f>IF(J$167&gt;$C$168,J181,IF(J$105&lt;=TabS!$G$5,J35*$D$77,IF(J$105&lt;=TabS!$G$6,J35*$D$78,IF(J$105&lt;=TabS!$G$7,J35*$D$79,IF(J$105&lt;=TabS!$G$8,J35*$D$80,IF(J$105&lt;=TabS!$G$9,J35*$D$81,IF(J$105&lt;=TabS!$G$10,J35*$D$82)))))))</f>
        <v>0</v>
      </c>
      <c r="K129" s="151">
        <f>IF(K$167&gt;$C$168,K181,IF(K$105&lt;=TabS!$G$5,K35*$D$77,IF(K$105&lt;=TabS!$G$6,K35*$D$78,IF(K$105&lt;=TabS!$G$7,K35*$D$79,IF(K$105&lt;=TabS!$G$8,K35*$D$80,IF(K$105&lt;=TabS!$G$9,K35*$D$81,IF(K$105&lt;=TabS!$G$10,K35*$D$82)))))))</f>
        <v>0</v>
      </c>
      <c r="L129" s="151">
        <f>IF(L$167&gt;$C$168,L181,IF(L$105&lt;=TabS!$G$5,L35*$D$77,IF(L$105&lt;=TabS!$G$6,L35*$D$78,IF(L$105&lt;=TabS!$G$7,L35*$D$79,IF(L$105&lt;=TabS!$G$8,L35*$D$80,IF(L$105&lt;=TabS!$G$9,L35*$D$81,IF(L$105&lt;=TabS!$G$10,L35*$D$82)))))))</f>
        <v>0</v>
      </c>
      <c r="M129" s="151">
        <f>IF(M$167&gt;$C$168,M181,IF(M$105&lt;=TabS!$G$5,M35*$D$77,IF(M$105&lt;=TabS!$G$6,M35*$D$78,IF(M$105&lt;=TabS!$G$7,M35*$D$79,IF(M$105&lt;=TabS!$G$8,M35*$D$80,IF(M$105&lt;=TabS!$G$9,M35*$D$81,IF(M$105&lt;=TabS!$G$10,M35*$D$82)))))))</f>
        <v>0</v>
      </c>
      <c r="N129" s="151">
        <f>IF(N$167&gt;$C$168,N181,IF(N$105&lt;=TabS!$G$5,N35*$D$77,IF(N$105&lt;=TabS!$G$6,N35*$D$78,IF(N$105&lt;=TabS!$G$7,N35*$D$79,IF(N$105&lt;=TabS!$G$8,N35*$D$80,IF(N$105&lt;=TabS!$G$9,N35*$D$81,IF(N$105&lt;=TabS!$G$10,N35*$D$82)))))))</f>
        <v>0</v>
      </c>
      <c r="O129" s="152">
        <f t="shared" si="52"/>
        <v>0</v>
      </c>
    </row>
    <row r="130" spans="2:15" ht="20.100000000000001" customHeight="1" x14ac:dyDescent="0.25">
      <c r="B130" s="167" t="s">
        <v>39</v>
      </c>
      <c r="C130" s="151">
        <f>IF(C$167&gt;$C$168,C182,IF(C$105&lt;=TabS!$G$5,C35*$E$77,IF(C$105&lt;=TabS!$G$6,C35*$E$78,IF(C$105&lt;=TabS!$G$7,C35*$E$79,IF(C$105&lt;=TabS!$G$8,C35*$E$80,IF(C$105&lt;=TabS!$G$9,C35*$E$81,IF(C$105&lt;=TabS!$G$10,C35*$E$82)))))))</f>
        <v>0</v>
      </c>
      <c r="D130" s="151">
        <f>IF(D$167&gt;$C$168,D182,IF(D$105&lt;=TabS!$G$5,D35*$E$77,IF(D$105&lt;=TabS!$G$6,D35*$E$78,IF(D$105&lt;=TabS!$G$7,D35*$E$79,IF(D$105&lt;=TabS!$G$8,D35*$E$80,IF(D$105&lt;=TabS!$G$9,D35*$E$81,IF(D$105&lt;=TabS!$G$10,D35*$E$82)))))))</f>
        <v>0</v>
      </c>
      <c r="E130" s="151">
        <f>IF(E$167&gt;$C$168,E182,IF(E$105&lt;=TabS!$G$5,E35*$E$77,IF(E$105&lt;=TabS!$G$6,E35*$E$78,IF(E$105&lt;=TabS!$G$7,E35*$E$79,IF(E$105&lt;=TabS!$G$8,E35*$E$80,IF(E$105&lt;=TabS!$G$9,E35*$E$81,IF(E$105&lt;=TabS!$G$10,E35*$E$82)))))))</f>
        <v>0</v>
      </c>
      <c r="F130" s="151">
        <f>IF(F$167&gt;$C$168,F182,IF(F$105&lt;=TabS!$G$5,F35*$E$77,IF(F$105&lt;=TabS!$G$6,F35*$E$78,IF(F$105&lt;=TabS!$G$7,F35*$E$79,IF(F$105&lt;=TabS!$G$8,F35*$E$80,IF(F$105&lt;=TabS!$G$9,F35*$E$81,IF(F$105&lt;=TabS!$G$10,F35*$E$82)))))))</f>
        <v>0</v>
      </c>
      <c r="G130" s="151">
        <f>IF(G$167&gt;$C$168,G182,IF(G$105&lt;=TabS!$G$5,G35*$E$77,IF(G$105&lt;=TabS!$G$6,G35*$E$78,IF(G$105&lt;=TabS!$G$7,G35*$E$79,IF(G$105&lt;=TabS!$G$8,G35*$E$80,IF(G$105&lt;=TabS!$G$9,G35*$E$81,IF(G$105&lt;=TabS!$G$10,G35*$E$82)))))))</f>
        <v>0</v>
      </c>
      <c r="H130" s="151">
        <f>IF(H$167&gt;$C$168,H182,IF(H$105&lt;=TabS!$G$5,H35*$E$77,IF(H$105&lt;=TabS!$G$6,H35*$E$78,IF(H$105&lt;=TabS!$G$7,H35*$E$79,IF(H$105&lt;=TabS!$G$8,H35*$E$80,IF(H$105&lt;=TabS!$G$9,H35*$E$81,IF(H$105&lt;=TabS!$G$10,H35*$E$82)))))))</f>
        <v>0</v>
      </c>
      <c r="I130" s="151">
        <f>IF(I$167&gt;$C$168,I182,IF(I$105&lt;=TabS!$G$5,I35*$E$77,IF(I$105&lt;=TabS!$G$6,I35*$E$78,IF(I$105&lt;=TabS!$G$7,I35*$E$79,IF(I$105&lt;=TabS!$G$8,I35*$E$80,IF(I$105&lt;=TabS!$G$9,I35*$E$81,IF(I$105&lt;=TabS!$G$10,I35*$E$82)))))))</f>
        <v>0</v>
      </c>
      <c r="J130" s="151">
        <f>IF(J$167&gt;$C$168,J182,IF(J$105&lt;=TabS!$G$5,J35*$E$77,IF(J$105&lt;=TabS!$G$6,J35*$E$78,IF(J$105&lt;=TabS!$G$7,J35*$E$79,IF(J$105&lt;=TabS!$G$8,J35*$E$80,IF(J$105&lt;=TabS!$G$9,J35*$E$81,IF(J$105&lt;=TabS!$G$10,J35*$E$82)))))))</f>
        <v>0</v>
      </c>
      <c r="K130" s="151">
        <f>IF(K$167&gt;$C$168,K182,IF(K$105&lt;=TabS!$G$5,K35*$E$77,IF(K$105&lt;=TabS!$G$6,K35*$E$78,IF(K$105&lt;=TabS!$G$7,K35*$E$79,IF(K$105&lt;=TabS!$G$8,K35*$E$80,IF(K$105&lt;=TabS!$G$9,K35*$E$81,IF(K$105&lt;=TabS!$G$10,K35*$E$82)))))))</f>
        <v>0</v>
      </c>
      <c r="L130" s="151">
        <f>IF(L$167&gt;$C$168,L182,IF(L$105&lt;=TabS!$G$5,L35*$E$77,IF(L$105&lt;=TabS!$G$6,L35*$E$78,IF(L$105&lt;=TabS!$G$7,L35*$E$79,IF(L$105&lt;=TabS!$G$8,L35*$E$80,IF(L$105&lt;=TabS!$G$9,L35*$E$81,IF(L$105&lt;=TabS!$G$10,L35*$E$82)))))))</f>
        <v>0</v>
      </c>
      <c r="M130" s="151">
        <f>IF(M$167&gt;$C$168,M182,IF(M$105&lt;=TabS!$G$5,M35*$E$77,IF(M$105&lt;=TabS!$G$6,M35*$E$78,IF(M$105&lt;=TabS!$G$7,M35*$E$79,IF(M$105&lt;=TabS!$G$8,M35*$E$80,IF(M$105&lt;=TabS!$G$9,M35*$E$81,IF(M$105&lt;=TabS!$G$10,M35*$E$82)))))))</f>
        <v>0</v>
      </c>
      <c r="N130" s="151">
        <f>IF(N$167&gt;$C$168,N182,IF(N$105&lt;=TabS!$G$5,N35*$E$77,IF(N$105&lt;=TabS!$G$6,N35*$E$78,IF(N$105&lt;=TabS!$G$7,N35*$E$79,IF(N$105&lt;=TabS!$G$8,N35*$E$80,IF(N$105&lt;=TabS!$G$9,N35*$E$81,IF(N$105&lt;=TabS!$G$10,N35*$E$82)))))))</f>
        <v>0</v>
      </c>
      <c r="O130" s="152">
        <f>SUM(C130:N130)</f>
        <v>0</v>
      </c>
    </row>
    <row r="131" spans="2:15" ht="20.100000000000001" customHeight="1" x14ac:dyDescent="0.25">
      <c r="B131" s="167" t="s">
        <v>129</v>
      </c>
      <c r="C131" s="151">
        <f>IF(C$167&gt;$C$168,C183,IF(C$105&lt;=TabS!$G$5,C35*$F$77,IF(C$105&lt;=TabS!$G$6,C35*$F$78,IF(C$105&lt;=TabS!$G$7,C35*$F$79,IF(C$105&lt;=TabS!$G$8,C35*$F$80,IF(C$105&lt;=TabS!$G$9,C35*$F$81,IF(C$105&lt;=TabS!$G$10,C35*$F$82)))))))</f>
        <v>0</v>
      </c>
      <c r="D131" s="151">
        <f>IF(D$167&gt;$C$168,D183,IF(D$105&lt;=TabS!$G$5,D35*$F$77,IF(D$105&lt;=TabS!$G$6,D35*$F$78,IF(D$105&lt;=TabS!$G$7,D35*$F$79,IF(D$105&lt;=TabS!$G$8,D35*$F$80,IF(D$105&lt;=TabS!$G$9,D35*$F$81,IF(D$105&lt;=TabS!$G$10,D35*$F$82)))))))</f>
        <v>0</v>
      </c>
      <c r="E131" s="151">
        <f>IF(E$167&gt;$C$168,E183,IF(E$105&lt;=TabS!$G$5,E35*$F$77,IF(E$105&lt;=TabS!$G$6,E35*$F$78,IF(E$105&lt;=TabS!$G$7,E35*$F$79,IF(E$105&lt;=TabS!$G$8,E35*$F$80,IF(E$105&lt;=TabS!$G$9,E35*$F$81,IF(E$105&lt;=TabS!$G$10,E35*$F$82)))))))</f>
        <v>0</v>
      </c>
      <c r="F131" s="151">
        <f>IF(F$167&gt;$C$168,F183,IF(F$105&lt;=TabS!$G$5,F35*$F$77,IF(F$105&lt;=TabS!$G$6,F35*$F$78,IF(F$105&lt;=TabS!$G$7,F35*$F$79,IF(F$105&lt;=TabS!$G$8,F35*$F$80,IF(F$105&lt;=TabS!$G$9,F35*$F$81,IF(F$105&lt;=TabS!$G$10,F35*$F$82)))))))</f>
        <v>0</v>
      </c>
      <c r="G131" s="151">
        <f>IF(G$167&gt;$C$168,G183,IF(G$105&lt;=TabS!$G$5,G35*$F$77,IF(G$105&lt;=TabS!$G$6,G35*$F$78,IF(G$105&lt;=TabS!$G$7,G35*$F$79,IF(G$105&lt;=TabS!$G$8,G35*$F$80,IF(G$105&lt;=TabS!$G$9,G35*$F$81,IF(G$105&lt;=TabS!$G$10,G35*$F$82)))))))</f>
        <v>0</v>
      </c>
      <c r="H131" s="151">
        <f>IF(H$167&gt;$C$168,H183,IF(H$105&lt;=TabS!$G$5,H35*$F$77,IF(H$105&lt;=TabS!$G$6,H35*$F$78,IF(H$105&lt;=TabS!$G$7,H35*$F$79,IF(H$105&lt;=TabS!$G$8,H35*$F$80,IF(H$105&lt;=TabS!$G$9,H35*$F$81,IF(H$105&lt;=TabS!$G$10,H35*$F$82)))))))</f>
        <v>0</v>
      </c>
      <c r="I131" s="151">
        <f>IF(I$167&gt;$C$168,I183,IF(I$105&lt;=TabS!$G$5,I35*$F$77,IF(I$105&lt;=TabS!$G$6,I35*$F$78,IF(I$105&lt;=TabS!$G$7,I35*$F$79,IF(I$105&lt;=TabS!$G$8,I35*$F$80,IF(I$105&lt;=TabS!$G$9,I35*$F$81,IF(I$105&lt;=TabS!$G$10,I35*$F$82)))))))</f>
        <v>0</v>
      </c>
      <c r="J131" s="151">
        <f>IF(J$167&gt;$C$168,J183,IF(J$105&lt;=TabS!$G$5,J35*$F$77,IF(J$105&lt;=TabS!$G$6,J35*$F$78,IF(J$105&lt;=TabS!$G$7,J35*$F$79,IF(J$105&lt;=TabS!$G$8,J35*$F$80,IF(J$105&lt;=TabS!$G$9,J35*$F$81,IF(J$105&lt;=TabS!$G$10,J35*$F$82)))))))</f>
        <v>0</v>
      </c>
      <c r="K131" s="151">
        <f>IF(K$167&gt;$C$168,K183,IF(K$105&lt;=TabS!$G$5,K35*$F$77,IF(K$105&lt;=TabS!$G$6,K35*$F$78,IF(K$105&lt;=TabS!$G$7,K35*$F$79,IF(K$105&lt;=TabS!$G$8,K35*$F$80,IF(K$105&lt;=TabS!$G$9,K35*$F$81,IF(K$105&lt;=TabS!$G$10,K35*$F$82)))))))</f>
        <v>0</v>
      </c>
      <c r="L131" s="151">
        <f>IF(L$167&gt;$C$168,L183,IF(L$105&lt;=TabS!$G$5,L35*$F$77,IF(L$105&lt;=TabS!$G$6,L35*$F$78,IF(L$105&lt;=TabS!$G$7,L35*$F$79,IF(L$105&lt;=TabS!$G$8,L35*$F$80,IF(L$105&lt;=TabS!$G$9,L35*$F$81,IF(L$105&lt;=TabS!$G$10,L35*$F$82)))))))</f>
        <v>0</v>
      </c>
      <c r="M131" s="151">
        <f>IF(M$167&gt;$C$168,M183,IF(M$105&lt;=TabS!$G$5,M35*$F$77,IF(M$105&lt;=TabS!$G$6,M35*$F$78,IF(M$105&lt;=TabS!$G$7,M35*$F$79,IF(M$105&lt;=TabS!$G$8,M35*$F$80,IF(M$105&lt;=TabS!$G$9,M35*$F$81,IF(M$105&lt;=TabS!$G$10,M35*$F$82)))))))</f>
        <v>0</v>
      </c>
      <c r="N131" s="151">
        <f>IF(N$167&gt;$C$168,N183,IF(N$105&lt;=TabS!$G$5,N35*$F$77,IF(N$105&lt;=TabS!$G$6,N35*$F$78,IF(N$105&lt;=TabS!$G$7,N35*$F$79,IF(N$105&lt;=TabS!$G$8,N35*$F$80,IF(N$105&lt;=TabS!$G$9,N35*$F$81,IF(N$105&lt;=TabS!$G$10,N35*$F$82)))))))</f>
        <v>0</v>
      </c>
      <c r="O131" s="152">
        <f t="shared" si="52"/>
        <v>0</v>
      </c>
    </row>
    <row r="132" spans="2:15" ht="20.100000000000001" customHeight="1" x14ac:dyDescent="0.25">
      <c r="B132" s="167" t="s">
        <v>42</v>
      </c>
      <c r="C132" s="151">
        <f>IF(C$167&gt;$C$168,C184,IF(C$105&lt;=TabS!$G$5,C35*$G$77,IF(C$105&lt;=TabS!$G$6,C35*$G$78,IF(C$105&lt;=TabS!$G$7,C35*$G$79,IF(C$105&lt;=TabS!$G$8,C35*$G$80,IF(C$105&lt;=TabS!$G$9,C35*$G$81,IF(C$105&lt;=TabS!$G$10,C35*$G$82)))))))</f>
        <v>0</v>
      </c>
      <c r="D132" s="151">
        <f>IF(D$167&gt;$C$168,D184,IF(D$105&lt;=TabS!$G$5,D35*$G$77,IF(D$105&lt;=TabS!$G$6,D35*$G$78,IF(D$105&lt;=TabS!$G$7,D35*$G$79,IF(D$105&lt;=TabS!$G$8,D35*$G$80,IF(D$105&lt;=TabS!$G$9,D35*$G$81,IF(D$105&lt;=TabS!$G$10,D35*$G$82)))))))</f>
        <v>0</v>
      </c>
      <c r="E132" s="151">
        <f>IF(E$167&gt;$C$168,E184,IF(E$105&lt;=TabS!$G$5,E35*$G$77,IF(E$105&lt;=TabS!$G$6,E35*$G$78,IF(E$105&lt;=TabS!$G$7,E35*$G$79,IF(E$105&lt;=TabS!$G$8,E35*$G$80,IF(E$105&lt;=TabS!$G$9,E35*$G$81,IF(E$105&lt;=TabS!$G$10,E35*$G$82)))))))</f>
        <v>0</v>
      </c>
      <c r="F132" s="151">
        <f>IF(F$167&gt;$C$168,F184,IF(F$105&lt;=TabS!$G$5,F35*$G$77,IF(F$105&lt;=TabS!$G$6,F35*$G$78,IF(F$105&lt;=TabS!$G$7,F35*$G$79,IF(F$105&lt;=TabS!$G$8,F35*$G$80,IF(F$105&lt;=TabS!$G$9,F35*$G$81,IF(F$105&lt;=TabS!$G$10,F35*$G$82)))))))</f>
        <v>0</v>
      </c>
      <c r="G132" s="151">
        <f>IF(G$167&gt;$C$168,G184,IF(G$105&lt;=TabS!$G$5,G35*$G$77,IF(G$105&lt;=TabS!$G$6,G35*$G$78,IF(G$105&lt;=TabS!$G$7,G35*$G$79,IF(G$105&lt;=TabS!$G$8,G35*$G$80,IF(G$105&lt;=TabS!$G$9,G35*$G$81,IF(G$105&lt;=TabS!$G$10,G35*$G$82)))))))</f>
        <v>0</v>
      </c>
      <c r="H132" s="151">
        <f>IF(H$167&gt;$C$168,H184,IF(H$105&lt;=TabS!$G$5,H35*$G$77,IF(H$105&lt;=TabS!$G$6,H35*$G$78,IF(H$105&lt;=TabS!$G$7,H35*$G$79,IF(H$105&lt;=TabS!$G$8,H35*$G$80,IF(H$105&lt;=TabS!$G$9,H35*$G$81,IF(H$105&lt;=TabS!$G$10,H35*$G$82)))))))</f>
        <v>0</v>
      </c>
      <c r="I132" s="151">
        <f>IF(I$167&gt;$C$168,I184,IF(I$105&lt;=TabS!$G$5,I35*$G$77,IF(I$105&lt;=TabS!$G$6,I35*$G$78,IF(I$105&lt;=TabS!$G$7,I35*$G$79,IF(I$105&lt;=TabS!$G$8,I35*$G$80,IF(I$105&lt;=TabS!$G$9,I35*$G$81,IF(I$105&lt;=TabS!$G$10,I35*$G$82)))))))</f>
        <v>0</v>
      </c>
      <c r="J132" s="151">
        <f>IF(J$167&gt;$C$168,J184,IF(J$105&lt;=TabS!$G$5,J35*$G$77,IF(J$105&lt;=TabS!$G$6,J35*$G$78,IF(J$105&lt;=TabS!$G$7,J35*$G$79,IF(J$105&lt;=TabS!$G$8,J35*$G$80,IF(J$105&lt;=TabS!$G$9,J35*$G$81,IF(J$105&lt;=TabS!$G$10,J35*$G$82)))))))</f>
        <v>0</v>
      </c>
      <c r="K132" s="151">
        <f>IF(K$167&gt;$C$168,K184,IF(K$105&lt;=TabS!$G$5,K35*$G$77,IF(K$105&lt;=TabS!$G$6,K35*$G$78,IF(K$105&lt;=TabS!$G$7,K35*$G$79,IF(K$105&lt;=TabS!$G$8,K35*$G$80,IF(K$105&lt;=TabS!$G$9,K35*$G$81,IF(K$105&lt;=TabS!$G$10,K35*$G$82)))))))</f>
        <v>0</v>
      </c>
      <c r="L132" s="151">
        <f>IF(L$167&gt;$C$168,L184,IF(L$105&lt;=TabS!$G$5,L35*$G$77,IF(L$105&lt;=TabS!$G$6,L35*$G$78,IF(L$105&lt;=TabS!$G$7,L35*$G$79,IF(L$105&lt;=TabS!$G$8,L35*$G$80,IF(L$105&lt;=TabS!$G$9,L35*$G$81,IF(L$105&lt;=TabS!$G$10,L35*$G$82)))))))</f>
        <v>0</v>
      </c>
      <c r="M132" s="151">
        <f>IF(M$167&gt;$C$168,M184,IF(M$105&lt;=TabS!$G$5,M35*$G$77,IF(M$105&lt;=TabS!$G$6,M35*$G$78,IF(M$105&lt;=TabS!$G$7,M35*$G$79,IF(M$105&lt;=TabS!$G$8,M35*$G$80,IF(M$105&lt;=TabS!$G$9,M35*$G$81,IF(M$105&lt;=TabS!$G$10,M35*$G$82)))))))</f>
        <v>0</v>
      </c>
      <c r="N132" s="151">
        <f>IF(N$167&gt;$C$168,N184,IF(N$105&lt;=TabS!$G$5,N35*$G$77,IF(N$105&lt;=TabS!$G$6,N35*$G$78,IF(N$105&lt;=TabS!$G$7,N35*$G$79,IF(N$105&lt;=TabS!$G$8,N35*$G$80,IF(N$105&lt;=TabS!$G$9,N35*$G$81,IF(N$105&lt;=TabS!$G$10,N35*$G$82)))))))</f>
        <v>0</v>
      </c>
      <c r="O132" s="152">
        <f t="shared" si="52"/>
        <v>0</v>
      </c>
    </row>
    <row r="133" spans="2:15" ht="20.100000000000001" customHeight="1" x14ac:dyDescent="0.25">
      <c r="B133" s="167" t="s">
        <v>40</v>
      </c>
      <c r="C133" s="151">
        <f>IF(C$167&gt;$C$168,C185,IF(C$105&lt;=TabS!$G$5,C35*$H$77,IF(C$105&lt;=TabS!$G$6,C35*$H$78,IF(C$105&lt;=TabS!$G$7,C35*$H$79,IF(C$105&lt;=TabS!$G$8,C35*$H$80,IF(C$105&lt;=TabS!$G$9,C35*$H$81,IF(C$105&lt;=TabS!$G$10,C35*$H$82)))))))</f>
        <v>0</v>
      </c>
      <c r="D133" s="151">
        <f>IF(D$167&gt;$C$168,D185,IF(D$105&lt;=TabS!$G$5,D35*$H$77,IF(D$105&lt;=TabS!$G$6,D35*$H$78,IF(D$105&lt;=TabS!$G$7,D35*$H$79,IF(D$105&lt;=TabS!$G$8,D35*$H$80,IF(D$105&lt;=TabS!$G$9,D35*$H$81,IF(D$105&lt;=TabS!$G$10,D35*$H$82)))))))</f>
        <v>0</v>
      </c>
      <c r="E133" s="151">
        <f>IF(E$167&gt;$C$168,E185,IF(E$105&lt;=TabS!$G$5,E35*$H$77,IF(E$105&lt;=TabS!$G$6,E35*$H$78,IF(E$105&lt;=TabS!$G$7,E35*$H$79,IF(E$105&lt;=TabS!$G$8,E35*$H$80,IF(E$105&lt;=TabS!$G$9,E35*$H$81,IF(E$105&lt;=TabS!$G$10,E35*$H$82)))))))</f>
        <v>0</v>
      </c>
      <c r="F133" s="151">
        <f>IF(F$167&gt;$C$168,F185,IF(F$105&lt;=TabS!$G$5,F35*$H$77,IF(F$105&lt;=TabS!$G$6,F35*$H$78,IF(F$105&lt;=TabS!$G$7,F35*$H$79,IF(F$105&lt;=TabS!$G$8,F35*$H$80,IF(F$105&lt;=TabS!$G$9,F35*$H$81,IF(F$105&lt;=TabS!$G$10,F35*$H$82)))))))</f>
        <v>0</v>
      </c>
      <c r="G133" s="151">
        <f>IF(G$167&gt;$C$168,G185,IF(G$105&lt;=TabS!$G$5,G35*$H$77,IF(G$105&lt;=TabS!$G$6,G35*$H$78,IF(G$105&lt;=TabS!$G$7,G35*$H$79,IF(G$105&lt;=TabS!$G$8,G35*$H$80,IF(G$105&lt;=TabS!$G$9,G35*$H$81,IF(G$105&lt;=TabS!$G$10,G35*$H$82)))))))</f>
        <v>0</v>
      </c>
      <c r="H133" s="151">
        <f>IF(H$167&gt;$C$168,H185,IF(H$105&lt;=TabS!$G$5,H35*$H$77,IF(H$105&lt;=TabS!$G$6,H35*$H$78,IF(H$105&lt;=TabS!$G$7,H35*$H$79,IF(H$105&lt;=TabS!$G$8,H35*$H$80,IF(H$105&lt;=TabS!$G$9,H35*$H$81,IF(H$105&lt;=TabS!$G$10,H35*$H$82)))))))</f>
        <v>0</v>
      </c>
      <c r="I133" s="151">
        <f>IF(I$167&gt;$C$168,I185,IF(I$105&lt;=TabS!$G$5,I35*$H$77,IF(I$105&lt;=TabS!$G$6,I35*$H$78,IF(I$105&lt;=TabS!$G$7,I35*$H$79,IF(I$105&lt;=TabS!$G$8,I35*$H$80,IF(I$105&lt;=TabS!$G$9,I35*$H$81,IF(I$105&lt;=TabS!$G$10,I35*$H$82)))))))</f>
        <v>0</v>
      </c>
      <c r="J133" s="151">
        <f>IF(J$167&gt;$C$168,J185,IF(J$105&lt;=TabS!$G$5,J35*$H$77,IF(J$105&lt;=TabS!$G$6,J35*$H$78,IF(J$105&lt;=TabS!$G$7,J35*$H$79,IF(J$105&lt;=TabS!$G$8,J35*$H$80,IF(J$105&lt;=TabS!$G$9,J35*$H$81,IF(J$105&lt;=TabS!$G$10,J35*$H$82)))))))</f>
        <v>0</v>
      </c>
      <c r="K133" s="151">
        <f>IF(K$167&gt;$C$168,K185,IF(K$105&lt;=TabS!$G$5,K35*$H$77,IF(K$105&lt;=TabS!$G$6,K35*$H$78,IF(K$105&lt;=TabS!$G$7,K35*$H$79,IF(K$105&lt;=TabS!$G$8,K35*$H$80,IF(K$105&lt;=TabS!$G$9,K35*$H$81,IF(K$105&lt;=TabS!$G$10,K35*$H$82)))))))</f>
        <v>0</v>
      </c>
      <c r="L133" s="151">
        <f>IF(L$167&gt;$C$168,L185,IF(L$105&lt;=TabS!$G$5,L35*$H$77,IF(L$105&lt;=TabS!$G$6,L35*$H$78,IF(L$105&lt;=TabS!$G$7,L35*$H$79,IF(L$105&lt;=TabS!$G$8,L35*$H$80,IF(L$105&lt;=TabS!$G$9,L35*$H$81,IF(L$105&lt;=TabS!$G$10,L35*$H$82)))))))</f>
        <v>0</v>
      </c>
      <c r="M133" s="151">
        <f>IF(M$167&gt;$C$168,M185,IF(M$105&lt;=TabS!$G$5,M35*$H$77,IF(M$105&lt;=TabS!$G$6,M35*$H$78,IF(M$105&lt;=TabS!$G$7,M35*$H$79,IF(M$105&lt;=TabS!$G$8,M35*$H$80,IF(M$105&lt;=TabS!$G$9,M35*$H$81,IF(M$105&lt;=TabS!$G$10,M35*$H$82)))))))</f>
        <v>0</v>
      </c>
      <c r="N133" s="151">
        <f>IF(N$167&gt;$C$168,N185,IF(N$105&lt;=TabS!$G$5,N35*$H$77,IF(N$105&lt;=TabS!$G$6,N35*$H$78,IF(N$105&lt;=TabS!$G$7,N35*$H$79,IF(N$105&lt;=TabS!$G$8,N35*$H$80,IF(N$105&lt;=TabS!$G$9,N35*$H$81,IF(N$105&lt;=TabS!$G$10,N35*$H$82)))))))</f>
        <v>0</v>
      </c>
      <c r="O133" s="152">
        <f t="shared" si="52"/>
        <v>0</v>
      </c>
    </row>
    <row r="134" spans="2:15" ht="20.100000000000001" customHeight="1" x14ac:dyDescent="0.25">
      <c r="B134" s="168" t="s">
        <v>99</v>
      </c>
      <c r="C134" s="152">
        <f>SUM(C128:C133)</f>
        <v>0</v>
      </c>
      <c r="D134" s="152">
        <f t="shared" ref="D134:N134" si="53">SUM(D128:D133)</f>
        <v>0</v>
      </c>
      <c r="E134" s="152">
        <f t="shared" si="53"/>
        <v>0</v>
      </c>
      <c r="F134" s="152">
        <f t="shared" si="53"/>
        <v>0</v>
      </c>
      <c r="G134" s="152">
        <f t="shared" si="53"/>
        <v>0</v>
      </c>
      <c r="H134" s="152">
        <f t="shared" si="53"/>
        <v>0</v>
      </c>
      <c r="I134" s="152">
        <f t="shared" si="53"/>
        <v>0</v>
      </c>
      <c r="J134" s="152">
        <f t="shared" si="53"/>
        <v>0</v>
      </c>
      <c r="K134" s="152">
        <f t="shared" si="53"/>
        <v>0</v>
      </c>
      <c r="L134" s="152">
        <f t="shared" si="53"/>
        <v>0</v>
      </c>
      <c r="M134" s="152">
        <f t="shared" si="53"/>
        <v>0</v>
      </c>
      <c r="N134" s="152">
        <f t="shared" si="53"/>
        <v>0</v>
      </c>
      <c r="O134" s="152">
        <f t="shared" si="52"/>
        <v>0</v>
      </c>
    </row>
    <row r="135" spans="2:15" ht="20.100000000000001" customHeight="1" x14ac:dyDescent="0.25">
      <c r="B135" s="164" t="s">
        <v>76</v>
      </c>
    </row>
    <row r="136" spans="2:15" ht="20.100000000000001" customHeight="1" x14ac:dyDescent="0.25">
      <c r="B136" s="149" t="s">
        <v>82</v>
      </c>
      <c r="C136" s="149" t="s">
        <v>83</v>
      </c>
      <c r="D136" s="149" t="s">
        <v>84</v>
      </c>
      <c r="E136" s="149" t="s">
        <v>85</v>
      </c>
      <c r="F136" s="149" t="s">
        <v>86</v>
      </c>
      <c r="G136" s="149" t="s">
        <v>87</v>
      </c>
      <c r="H136" s="149" t="s">
        <v>88</v>
      </c>
      <c r="I136" s="149" t="s">
        <v>89</v>
      </c>
      <c r="J136" s="149" t="s">
        <v>90</v>
      </c>
      <c r="K136" s="149" t="s">
        <v>91</v>
      </c>
      <c r="L136" s="149" t="s">
        <v>92</v>
      </c>
      <c r="M136" s="149" t="s">
        <v>93</v>
      </c>
      <c r="N136" s="149" t="s">
        <v>94</v>
      </c>
      <c r="O136" s="149" t="s">
        <v>95</v>
      </c>
    </row>
    <row r="137" spans="2:15" ht="20.100000000000001" customHeight="1" x14ac:dyDescent="0.25">
      <c r="B137" s="167" t="s">
        <v>97</v>
      </c>
      <c r="C137" s="151">
        <f>IF(C$190&gt;$C$191,C203,IF(C$105&lt;=TabS!$G$5,C42*$C$87,IF(C$105&lt;=TabS!$G$6,C42*$C$88,IF(C$105&lt;=TabS!$G$7,C42*$C$89,IF(C$105&lt;=TabS!$G$8,C42*$C$90,IF(C$105&lt;=TabS!$G$9,C42*$C$91,IF(C$105&lt;=TabS!$G$10,C42*$C$92)))))))</f>
        <v>0</v>
      </c>
      <c r="D137" s="151">
        <f>IF(D$190&gt;$C$191,D203,IF(D$105&lt;=TabS!$G$5,D42*$C$87,IF(D$105&lt;=TabS!$G$6,D42*$C$88,IF(D$105&lt;=TabS!$G$7,D42*$C$89,IF(D$105&lt;=TabS!$G$8,D42*$C$90,IF(D$105&lt;=TabS!$G$9,D42*$C$91,IF(D$105&lt;=TabS!$G$10,D42*$C$92)))))))</f>
        <v>0</v>
      </c>
      <c r="E137" s="151">
        <f>IF(E$190&gt;$C$191,E203,IF(E$105&lt;=TabS!$G$5,E42*$C$87,IF(E$105&lt;=TabS!$G$6,E42*$C$88,IF(E$105&lt;=TabS!$G$7,E42*$C$89,IF(E$105&lt;=TabS!$G$8,E42*$C$90,IF(E$105&lt;=TabS!$G$9,E42*$C$91,IF(E$105&lt;=TabS!$G$10,E42*$C$92)))))))</f>
        <v>0</v>
      </c>
      <c r="F137" s="151">
        <f>IF(F$190&gt;$C$191,F203,IF(F$105&lt;=TabS!$G$5,F42*$C$87,IF(F$105&lt;=TabS!$G$6,F42*$C$88,IF(F$105&lt;=TabS!$G$7,F42*$C$89,IF(F$105&lt;=TabS!$G$8,F42*$C$90,IF(F$105&lt;=TabS!$G$9,F42*$C$91,IF(F$105&lt;=TabS!$G$10,F42*$C$92)))))))</f>
        <v>0</v>
      </c>
      <c r="G137" s="151">
        <f>IF(G$190&gt;$C$191,G203,IF(G$105&lt;=TabS!$G$5,G42*$C$87,IF(G$105&lt;=TabS!$G$6,G42*$C$88,IF(G$105&lt;=TabS!$G$7,G42*$C$89,IF(G$105&lt;=TabS!$G$8,G42*$C$90,IF(G$105&lt;=TabS!$G$9,G42*$C$91,IF(G$105&lt;=TabS!$G$10,G42*$C$92)))))))</f>
        <v>0</v>
      </c>
      <c r="H137" s="151">
        <f>IF(H$190&gt;$C$191,H203,IF(H$105&lt;=TabS!$G$5,H42*$C$87,IF(H$105&lt;=TabS!$G$6,H42*$C$88,IF(H$105&lt;=TabS!$G$7,H42*$C$89,IF(H$105&lt;=TabS!$G$8,H42*$C$90,IF(H$105&lt;=TabS!$G$9,H42*$C$91,IF(H$105&lt;=TabS!$G$10,H42*$C$92)))))))</f>
        <v>0</v>
      </c>
      <c r="I137" s="151">
        <f>IF(I$190&gt;$C$191,I203,IF(I$105&lt;=TabS!$G$5,I42*$C$87,IF(I$105&lt;=TabS!$G$6,I42*$C$88,IF(I$105&lt;=TabS!$G$7,I42*$C$89,IF(I$105&lt;=TabS!$G$8,I42*$C$90,IF(I$105&lt;=TabS!$G$9,I42*$C$91,IF(I$105&lt;=TabS!$G$10,I42*$C$92)))))))</f>
        <v>0</v>
      </c>
      <c r="J137" s="151">
        <f>IF(J$190&gt;$C$191,J203,IF(J$105&lt;=TabS!$G$5,J42*$C$87,IF(J$105&lt;=TabS!$G$6,J42*$C$88,IF(J$105&lt;=TabS!$G$7,J42*$C$89,IF(J$105&lt;=TabS!$G$8,J42*$C$90,IF(J$105&lt;=TabS!$G$9,J42*$C$91,IF(J$105&lt;=TabS!$G$10,J42*$C$92)))))))</f>
        <v>0</v>
      </c>
      <c r="K137" s="151">
        <f>IF(K$190&gt;$C$191,K203,IF(K$105&lt;=TabS!$G$5,K42*$C$87,IF(K$105&lt;=TabS!$G$6,K42*$C$88,IF(K$105&lt;=TabS!$G$7,K42*$C$89,IF(K$105&lt;=TabS!$G$8,K42*$C$90,IF(K$105&lt;=TabS!$G$9,K42*$C$91,IF(K$105&lt;=TabS!$G$10,K42*$C$92)))))))</f>
        <v>0</v>
      </c>
      <c r="L137" s="151">
        <f>IF(L$190&gt;$C$191,L203,IF(L$105&lt;=TabS!$G$5,L42*$C$87,IF(L$105&lt;=TabS!$G$6,L42*$C$88,IF(L$105&lt;=TabS!$G$7,L42*$C$89,IF(L$105&lt;=TabS!$G$8,L42*$C$90,IF(L$105&lt;=TabS!$G$9,L42*$C$91,IF(L$105&lt;=TabS!$G$10,L42*$C$92)))))))</f>
        <v>0</v>
      </c>
      <c r="M137" s="151">
        <f>IF(M$190&gt;$C$191,M203,IF(M$105&lt;=TabS!$G$5,M42*$C$87,IF(M$105&lt;=TabS!$G$6,M42*$C$88,IF(M$105&lt;=TabS!$G$7,M42*$C$89,IF(M$105&lt;=TabS!$G$8,M42*$C$90,IF(M$105&lt;=TabS!$G$9,M42*$C$91,IF(M$105&lt;=TabS!$G$10,M42*$C$92)))))))</f>
        <v>0</v>
      </c>
      <c r="N137" s="151">
        <f>IF(N$190&gt;$C$191,N203,IF(N$105&lt;=TabS!$G$5,N42*$C$87,IF(N$105&lt;=TabS!$G$6,N42*$C$88,IF(N$105&lt;=TabS!$G$7,N42*$C$89,IF(N$105&lt;=TabS!$G$8,N42*$C$90,IF(N$105&lt;=TabS!$G$9,N42*$C$91,IF(N$105&lt;=TabS!$G$10,N42*$C$92)))))))</f>
        <v>0</v>
      </c>
      <c r="O137" s="152">
        <f t="shared" ref="O137:O143" si="54">SUM(C137:N137)</f>
        <v>0</v>
      </c>
    </row>
    <row r="138" spans="2:15" ht="20.100000000000001" customHeight="1" x14ac:dyDescent="0.25">
      <c r="B138" s="167" t="s">
        <v>98</v>
      </c>
      <c r="C138" s="151">
        <f>IF(C$190&gt;$C$191,C204,IF(C$105&lt;=TabS!$G$5,C42*$D$87,IF(C$105&lt;=TabS!$G$6,C42*$D$88,IF(C$105&lt;=TabS!$G$7,C42*$D$89,IF(C$105&lt;=TabS!$G$8,C42*$D$90,IF(C$105&lt;=TabS!$G$9,C42*$D$91,IF(C$105&lt;=TabS!$G$10,C42*$D$92)))))))</f>
        <v>0</v>
      </c>
      <c r="D138" s="151">
        <f>IF(D$190&gt;$C$191,D204,IF(D$105&lt;=TabS!$G$5,D42*$D$87,IF(D$105&lt;=TabS!$G$6,D42*$D$88,IF(D$105&lt;=TabS!$G$7,D42*$D$89,IF(D$105&lt;=TabS!$G$8,D42*$D$90,IF(D$105&lt;=TabS!$G$9,D42*$D$91,IF(D$105&lt;=TabS!$G$10,D42*$D$92)))))))</f>
        <v>0</v>
      </c>
      <c r="E138" s="151">
        <f>IF(E$190&gt;$C$191,E204,IF(E$105&lt;=TabS!$G$5,E42*$D$87,IF(E$105&lt;=TabS!$G$6,E42*$D$88,IF(E$105&lt;=TabS!$G$7,E42*$D$89,IF(E$105&lt;=TabS!$G$8,E42*$D$90,IF(E$105&lt;=TabS!$G$9,E42*$D$91,IF(E$105&lt;=TabS!$G$10,E42*$D$92)))))))</f>
        <v>0</v>
      </c>
      <c r="F138" s="151">
        <f>IF(F$190&gt;$C$191,F204,IF(F$105&lt;=TabS!$G$5,F42*$D$87,IF(F$105&lt;=TabS!$G$6,F42*$D$88,IF(F$105&lt;=TabS!$G$7,F42*$D$89,IF(F$105&lt;=TabS!$G$8,F42*$D$90,IF(F$105&lt;=TabS!$G$9,F42*$D$91,IF(F$105&lt;=TabS!$G$10,F42*$D$92)))))))</f>
        <v>0</v>
      </c>
      <c r="G138" s="151">
        <f>IF(G$190&gt;$C$191,G204,IF(G$105&lt;=TabS!$G$5,G42*$D$87,IF(G$105&lt;=TabS!$G$6,G42*$D$88,IF(G$105&lt;=TabS!$G$7,G42*$D$89,IF(G$105&lt;=TabS!$G$8,G42*$D$90,IF(G$105&lt;=TabS!$G$9,G42*$D$91,IF(G$105&lt;=TabS!$G$10,G42*$D$92)))))))</f>
        <v>0</v>
      </c>
      <c r="H138" s="151">
        <f>IF(H$190&gt;$C$191,H204,IF(H$105&lt;=TabS!$G$5,H42*$D$87,IF(H$105&lt;=TabS!$G$6,H42*$D$88,IF(H$105&lt;=TabS!$G$7,H42*$D$89,IF(H$105&lt;=TabS!$G$8,H42*$D$90,IF(H$105&lt;=TabS!$G$9,H42*$D$91,IF(H$105&lt;=TabS!$G$10,H42*$D$92)))))))</f>
        <v>0</v>
      </c>
      <c r="I138" s="151">
        <f>IF(I$190&gt;$C$191,I204,IF(I$105&lt;=TabS!$G$5,I42*$D$87,IF(I$105&lt;=TabS!$G$6,I42*$D$88,IF(I$105&lt;=TabS!$G$7,I42*$D$89,IF(I$105&lt;=TabS!$G$8,I42*$D$90,IF(I$105&lt;=TabS!$G$9,I42*$D$91,IF(I$105&lt;=TabS!$G$10,I42*$D$92)))))))</f>
        <v>0</v>
      </c>
      <c r="J138" s="151">
        <f>IF(J$190&gt;$C$191,J204,IF(J$105&lt;=TabS!$G$5,J42*$D$87,IF(J$105&lt;=TabS!$G$6,J42*$D$88,IF(J$105&lt;=TabS!$G$7,J42*$D$89,IF(J$105&lt;=TabS!$G$8,J42*$D$90,IF(J$105&lt;=TabS!$G$9,J42*$D$91,IF(J$105&lt;=TabS!$G$10,J42*$D$92)))))))</f>
        <v>0</v>
      </c>
      <c r="K138" s="151">
        <f>IF(K$190&gt;$C$191,K204,IF(K$105&lt;=TabS!$G$5,K42*$D$87,IF(K$105&lt;=TabS!$G$6,K42*$D$88,IF(K$105&lt;=TabS!$G$7,K42*$D$89,IF(K$105&lt;=TabS!$G$8,K42*$D$90,IF(K$105&lt;=TabS!$G$9,K42*$D$91,IF(K$105&lt;=TabS!$G$10,K42*$D$92)))))))</f>
        <v>0</v>
      </c>
      <c r="L138" s="151">
        <f>IF(L$190&gt;$C$191,L204,IF(L$105&lt;=TabS!$G$5,L42*$D$87,IF(L$105&lt;=TabS!$G$6,L42*$D$88,IF(L$105&lt;=TabS!$G$7,L42*$D$89,IF(L$105&lt;=TabS!$G$8,L42*$D$90,IF(L$105&lt;=TabS!$G$9,L42*$D$91,IF(L$105&lt;=TabS!$G$10,L42*$D$92)))))))</f>
        <v>0</v>
      </c>
      <c r="M138" s="151">
        <f>IF(M$190&gt;$C$191,M204,IF(M$105&lt;=TabS!$G$5,M42*$D$87,IF(M$105&lt;=TabS!$G$6,M42*$D$88,IF(M$105&lt;=TabS!$G$7,M42*$D$89,IF(M$105&lt;=TabS!$G$8,M42*$D$90,IF(M$105&lt;=TabS!$G$9,M42*$D$91,IF(M$105&lt;=TabS!$G$10,M42*$D$92)))))))</f>
        <v>0</v>
      </c>
      <c r="N138" s="151">
        <f>IF(N$190&gt;$C$191,N204,IF(N$105&lt;=TabS!$G$5,N42*$D$87,IF(N$105&lt;=TabS!$G$6,N42*$D$88,IF(N$105&lt;=TabS!$G$7,N42*$D$89,IF(N$105&lt;=TabS!$G$8,N42*$D$90,IF(N$105&lt;=TabS!$G$9,N42*$D$91,IF(N$105&lt;=TabS!$G$10,N42*$D$92)))))))</f>
        <v>0</v>
      </c>
      <c r="O138" s="152">
        <f t="shared" si="54"/>
        <v>0</v>
      </c>
    </row>
    <row r="139" spans="2:15" ht="20.100000000000001" customHeight="1" x14ac:dyDescent="0.25">
      <c r="B139" s="167" t="s">
        <v>39</v>
      </c>
      <c r="C139" s="151">
        <f>IF(C$190&gt;$C$191,C205,IF(C$105&lt;=TabS!$G$5,C42*$E$87,IF(C$105&lt;=TabS!$G$6,C42*$E$88,IF(C$105&lt;=TabS!$G$7,C42*$E$89,IF(C$105&lt;=TabS!$G$8,C42*$E$90,IF(C$105&lt;=TabS!$G$9,C42*$E$91,IF(C$105&lt;=TabS!$G$10,C42*$E$92)))))))</f>
        <v>0</v>
      </c>
      <c r="D139" s="151">
        <f>IF(D$190&gt;$C$191,D205,IF(D$105&lt;=TabS!$G$5,D42*$E$87,IF(D$105&lt;=TabS!$G$6,D42*$E$88,IF(D$105&lt;=TabS!$G$7,D42*$E$89,IF(D$105&lt;=TabS!$G$8,D42*$E$90,IF(D$105&lt;=TabS!$G$9,D42*$E$91,IF(D$105&lt;=TabS!$G$10,D42*$E$92)))))))</f>
        <v>0</v>
      </c>
      <c r="E139" s="151">
        <f>IF(E$190&gt;$C$191,E205,IF(E$105&lt;=TabS!$G$5,E42*$E$87,IF(E$105&lt;=TabS!$G$6,E42*$E$88,IF(E$105&lt;=TabS!$G$7,E42*$E$89,IF(E$105&lt;=TabS!$G$8,E42*$E$90,IF(E$105&lt;=TabS!$G$9,E42*$E$91,IF(E$105&lt;=TabS!$G$10,E42*$E$92)))))))</f>
        <v>0</v>
      </c>
      <c r="F139" s="151">
        <f>IF(F$190&gt;$C$191,F205,IF(F$105&lt;=TabS!$G$5,F42*$E$87,IF(F$105&lt;=TabS!$G$6,F42*$E$88,IF(F$105&lt;=TabS!$G$7,F42*$E$89,IF(F$105&lt;=TabS!$G$8,F42*$E$90,IF(F$105&lt;=TabS!$G$9,F42*$E$91,IF(F$105&lt;=TabS!$G$10,F42*$E$92)))))))</f>
        <v>0</v>
      </c>
      <c r="G139" s="151">
        <f>IF(G$190&gt;$C$191,G205,IF(G$105&lt;=TabS!$G$5,G42*$E$87,IF(G$105&lt;=TabS!$G$6,G42*$E$88,IF(G$105&lt;=TabS!$G$7,G42*$E$89,IF(G$105&lt;=TabS!$G$8,G42*$E$90,IF(G$105&lt;=TabS!$G$9,G42*$E$91,IF(G$105&lt;=TabS!$G$10,G42*$E$92)))))))</f>
        <v>0</v>
      </c>
      <c r="H139" s="151">
        <f>IF(H$190&gt;$C$191,H205,IF(H$105&lt;=TabS!$G$5,H42*$E$87,IF(H$105&lt;=TabS!$G$6,H42*$E$88,IF(H$105&lt;=TabS!$G$7,H42*$E$89,IF(H$105&lt;=TabS!$G$8,H42*$E$90,IF(H$105&lt;=TabS!$G$9,H42*$E$91,IF(H$105&lt;=TabS!$G$10,H42*$E$92)))))))</f>
        <v>0</v>
      </c>
      <c r="I139" s="151">
        <f>IF(I$190&gt;$C$191,I205,IF(I$105&lt;=TabS!$G$5,I42*$E$87,IF(I$105&lt;=TabS!$G$6,I42*$E$88,IF(I$105&lt;=TabS!$G$7,I42*$E$89,IF(I$105&lt;=TabS!$G$8,I42*$E$90,IF(I$105&lt;=TabS!$G$9,I42*$E$91,IF(I$105&lt;=TabS!$G$10,I42*$E$92)))))))</f>
        <v>0</v>
      </c>
      <c r="J139" s="151">
        <f>IF(J$190&gt;$C$191,J205,IF(J$105&lt;=TabS!$G$5,J42*$E$87,IF(J$105&lt;=TabS!$G$6,J42*$E$88,IF(J$105&lt;=TabS!$G$7,J42*$E$89,IF(J$105&lt;=TabS!$G$8,J42*$E$90,IF(J$105&lt;=TabS!$G$9,J42*$E$91,IF(J$105&lt;=TabS!$G$10,J42*$E$92)))))))</f>
        <v>0</v>
      </c>
      <c r="K139" s="151">
        <f>IF(K$190&gt;$C$191,K205,IF(K$105&lt;=TabS!$G$5,K42*$E$87,IF(K$105&lt;=TabS!$G$6,K42*$E$88,IF(K$105&lt;=TabS!$G$7,K42*$E$89,IF(K$105&lt;=TabS!$G$8,K42*$E$90,IF(K$105&lt;=TabS!$G$9,K42*$E$91,IF(K$105&lt;=TabS!$G$10,K42*$E$92)))))))</f>
        <v>0</v>
      </c>
      <c r="L139" s="151">
        <f>IF(L$190&gt;$C$191,L205,IF(L$105&lt;=TabS!$G$5,L42*$E$87,IF(L$105&lt;=TabS!$G$6,L42*$E$88,IF(L$105&lt;=TabS!$G$7,L42*$E$89,IF(L$105&lt;=TabS!$G$8,L42*$E$90,IF(L$105&lt;=TabS!$G$9,L42*$E$91,IF(L$105&lt;=TabS!$G$10,L42*$E$92)))))))</f>
        <v>0</v>
      </c>
      <c r="M139" s="151">
        <f>IF(M$190&gt;$C$191,M205,IF(M$105&lt;=TabS!$G$5,M42*$E$87,IF(M$105&lt;=TabS!$G$6,M42*$E$88,IF(M$105&lt;=TabS!$G$7,M42*$E$89,IF(M$105&lt;=TabS!$G$8,M42*$E$90,IF(M$105&lt;=TabS!$G$9,M42*$E$91,IF(M$105&lt;=TabS!$G$10,M42*$E$92)))))))</f>
        <v>0</v>
      </c>
      <c r="N139" s="151">
        <f>IF(N$190&gt;$C$191,N205,IF(N$105&lt;=TabS!$G$5,N42*$E$87,IF(N$105&lt;=TabS!$G$6,N42*$E$88,IF(N$105&lt;=TabS!$G$7,N42*$E$89,IF(N$105&lt;=TabS!$G$8,N42*$E$90,IF(N$105&lt;=TabS!$G$9,N42*$E$91,IF(N$105&lt;=TabS!$G$10,N42*$E$92)))))))</f>
        <v>0</v>
      </c>
      <c r="O139" s="152">
        <f>SUM(C139:N139)</f>
        <v>0</v>
      </c>
    </row>
    <row r="140" spans="2:15" ht="20.100000000000001" customHeight="1" x14ac:dyDescent="0.25">
      <c r="B140" s="167" t="s">
        <v>129</v>
      </c>
      <c r="C140" s="151">
        <f>IF(C$190&gt;$C$191,C206,IF(C$105&lt;=TabS!$G$5,C42*$F$87,IF(C$105&lt;=TabS!$G$6,C42*$F$88,IF(C$105&lt;=TabS!$G$7,C42*$F$89,IF(C$105&lt;=TabS!$G$8,C42*$F$90,IF(C$105&lt;=TabS!$G$9,C42*$F$91,IF(C$105&lt;=TabS!$G$10,C42*$F$92)))))))</f>
        <v>0</v>
      </c>
      <c r="D140" s="151">
        <f>IF(D$190&gt;$C$191,D206,IF(D$105&lt;=TabS!$G$5,D42*$F$87,IF(D$105&lt;=TabS!$G$6,D42*$F$88,IF(D$105&lt;=TabS!$G$7,D42*$F$89,IF(D$105&lt;=TabS!$G$8,D42*$F$90,IF(D$105&lt;=TabS!$G$9,D42*$F$91,IF(D$105&lt;=TabS!$G$10,D42*$F$92)))))))</f>
        <v>0</v>
      </c>
      <c r="E140" s="151">
        <f>IF(E$190&gt;$C$191,E206,IF(E$105&lt;=TabS!$G$5,E42*$F$87,IF(E$105&lt;=TabS!$G$6,E42*$F$88,IF(E$105&lt;=TabS!$G$7,E42*$F$89,IF(E$105&lt;=TabS!$G$8,E42*$F$90,IF(E$105&lt;=TabS!$G$9,E42*$F$91,IF(E$105&lt;=TabS!$G$10,E42*$F$92)))))))</f>
        <v>0</v>
      </c>
      <c r="F140" s="151">
        <f>IF(F$190&gt;$C$191,F206,IF(F$105&lt;=TabS!$G$5,F42*$F$87,IF(F$105&lt;=TabS!$G$6,F42*$F$88,IF(F$105&lt;=TabS!$G$7,F42*$F$89,IF(F$105&lt;=TabS!$G$8,F42*$F$90,IF(F$105&lt;=TabS!$G$9,F42*$F$91,IF(F$105&lt;=TabS!$G$10,F42*$F$92)))))))</f>
        <v>0</v>
      </c>
      <c r="G140" s="151">
        <f>IF(G$190&gt;$C$191,G206,IF(G$105&lt;=TabS!$G$5,G42*$F$87,IF(G$105&lt;=TabS!$G$6,G42*$F$88,IF(G$105&lt;=TabS!$G$7,G42*$F$89,IF(G$105&lt;=TabS!$G$8,G42*$F$90,IF(G$105&lt;=TabS!$G$9,G42*$F$91,IF(G$105&lt;=TabS!$G$10,G42*$F$92)))))))</f>
        <v>0</v>
      </c>
      <c r="H140" s="151">
        <f>IF(H$190&gt;$C$191,H206,IF(H$105&lt;=TabS!$G$5,H42*$F$87,IF(H$105&lt;=TabS!$G$6,H42*$F$88,IF(H$105&lt;=TabS!$G$7,H42*$F$89,IF(H$105&lt;=TabS!$G$8,H42*$F$90,IF(H$105&lt;=TabS!$G$9,H42*$F$91,IF(H$105&lt;=TabS!$G$10,H42*$F$92)))))))</f>
        <v>0</v>
      </c>
      <c r="I140" s="151">
        <f>IF(I$190&gt;$C$191,I206,IF(I$105&lt;=TabS!$G$5,I42*$F$87,IF(I$105&lt;=TabS!$G$6,I42*$F$88,IF(I$105&lt;=TabS!$G$7,I42*$F$89,IF(I$105&lt;=TabS!$G$8,I42*$F$90,IF(I$105&lt;=TabS!$G$9,I42*$F$91,IF(I$105&lt;=TabS!$G$10,I42*$F$92)))))))</f>
        <v>0</v>
      </c>
      <c r="J140" s="151">
        <f>IF(J$190&gt;$C$191,J206,IF(J$105&lt;=TabS!$G$5,J42*$F$87,IF(J$105&lt;=TabS!$G$6,J42*$F$88,IF(J$105&lt;=TabS!$G$7,J42*$F$89,IF(J$105&lt;=TabS!$G$8,J42*$F$90,IF(J$105&lt;=TabS!$G$9,J42*$F$91,IF(J$105&lt;=TabS!$G$10,J42*$F$92)))))))</f>
        <v>0</v>
      </c>
      <c r="K140" s="151">
        <f>IF(K$190&gt;$C$191,K206,IF(K$105&lt;=TabS!$G$5,K42*$F$87,IF(K$105&lt;=TabS!$G$6,K42*$F$88,IF(K$105&lt;=TabS!$G$7,K42*$F$89,IF(K$105&lt;=TabS!$G$8,K42*$F$90,IF(K$105&lt;=TabS!$G$9,K42*$F$91,IF(K$105&lt;=TabS!$G$10,K42*$F$92)))))))</f>
        <v>0</v>
      </c>
      <c r="L140" s="151">
        <f>IF(L$190&gt;$C$191,L206,IF(L$105&lt;=TabS!$G$5,L42*$F$87,IF(L$105&lt;=TabS!$G$6,L42*$F$88,IF(L$105&lt;=TabS!$G$7,L42*$F$89,IF(L$105&lt;=TabS!$G$8,L42*$F$90,IF(L$105&lt;=TabS!$G$9,L42*$F$91,IF(L$105&lt;=TabS!$G$10,L42*$F$92)))))))</f>
        <v>0</v>
      </c>
      <c r="M140" s="151">
        <f>IF(M$190&gt;$C$191,M206,IF(M$105&lt;=TabS!$G$5,M42*$F$87,IF(M$105&lt;=TabS!$G$6,M42*$F$88,IF(M$105&lt;=TabS!$G$7,M42*$F$89,IF(M$105&lt;=TabS!$G$8,M42*$F$90,IF(M$105&lt;=TabS!$G$9,M42*$F$91,IF(M$105&lt;=TabS!$G$10,M42*$F$92)))))))</f>
        <v>0</v>
      </c>
      <c r="N140" s="151">
        <f>IF(N$190&gt;$C$191,N206,IF(N$105&lt;=TabS!$G$5,N42*$F$87,IF(N$105&lt;=TabS!$G$6,N42*$F$88,IF(N$105&lt;=TabS!$G$7,N42*$F$89,IF(N$105&lt;=TabS!$G$8,N42*$F$90,IF(N$105&lt;=TabS!$G$9,N42*$F$91,IF(N$105&lt;=TabS!$G$10,N42*$F$92)))))))</f>
        <v>0</v>
      </c>
      <c r="O140" s="152">
        <f t="shared" si="54"/>
        <v>0</v>
      </c>
    </row>
    <row r="141" spans="2:15" ht="20.100000000000001" customHeight="1" x14ac:dyDescent="0.25">
      <c r="B141" s="167" t="s">
        <v>42</v>
      </c>
      <c r="C141" s="151">
        <f>IF(C$190&gt;$C$191,C207,IF(C$105&lt;=TabS!$G$5,C42*$G$87,IF(C$105&lt;=TabS!$G$6,C42*$G$88,IF(C$105&lt;=TabS!$G$7,C42*$G$89,IF(C$105&lt;=TabS!$G$8,C42*$G$90,IF(C$105&lt;=TabS!$G$9,C42*$G$91,IF(C$105&lt;=TabS!$G$10,C42*$G$92)))))))</f>
        <v>0</v>
      </c>
      <c r="D141" s="151">
        <f>IF(D$190&gt;$C$191,D207,IF(D$105&lt;=TabS!$G$5,D42*$G$87,IF(D$105&lt;=TabS!$G$6,D42*$G$88,IF(D$105&lt;=TabS!$G$7,D42*$G$89,IF(D$105&lt;=TabS!$G$8,D42*$G$90,IF(D$105&lt;=TabS!$G$9,D42*$G$91,IF(D$105&lt;=TabS!$G$10,D42*$G$92)))))))</f>
        <v>0</v>
      </c>
      <c r="E141" s="151">
        <f>IF(E$190&gt;$C$191,E207,IF(E$105&lt;=TabS!$G$5,E42*$G$87,IF(E$105&lt;=TabS!$G$6,E42*$G$88,IF(E$105&lt;=TabS!$G$7,E42*$G$89,IF(E$105&lt;=TabS!$G$8,E42*$G$90,IF(E$105&lt;=TabS!$G$9,E42*$G$91,IF(E$105&lt;=TabS!$G$10,E42*$G$92)))))))</f>
        <v>0</v>
      </c>
      <c r="F141" s="151">
        <f>IF(F$190&gt;$C$191,F207,IF(F$105&lt;=TabS!$G$5,F42*$G$87,IF(F$105&lt;=TabS!$G$6,F42*$G$88,IF(F$105&lt;=TabS!$G$7,F42*$G$89,IF(F$105&lt;=TabS!$G$8,F42*$G$90,IF(F$105&lt;=TabS!$G$9,F42*$G$91,IF(F$105&lt;=TabS!$G$10,F42*$G$92)))))))</f>
        <v>0</v>
      </c>
      <c r="G141" s="151">
        <f>IF(G$190&gt;$C$191,G207,IF(G$105&lt;=TabS!$G$5,G42*$G$87,IF(G$105&lt;=TabS!$G$6,G42*$G$88,IF(G$105&lt;=TabS!$G$7,G42*$G$89,IF(G$105&lt;=TabS!$G$8,G42*$G$90,IF(G$105&lt;=TabS!$G$9,G42*$G$91,IF(G$105&lt;=TabS!$G$10,G42*$G$92)))))))</f>
        <v>0</v>
      </c>
      <c r="H141" s="151">
        <f>IF(H$190&gt;$C$191,H207,IF(H$105&lt;=TabS!$G$5,H42*$G$87,IF(H$105&lt;=TabS!$G$6,H42*$G$88,IF(H$105&lt;=TabS!$G$7,H42*$G$89,IF(H$105&lt;=TabS!$G$8,H42*$G$90,IF(H$105&lt;=TabS!$G$9,H42*$G$91,IF(H$105&lt;=TabS!$G$10,H42*$G$92)))))))</f>
        <v>0</v>
      </c>
      <c r="I141" s="151">
        <f>IF(I$190&gt;$C$191,I207,IF(I$105&lt;=TabS!$G$5,I42*$G$87,IF(I$105&lt;=TabS!$G$6,I42*$G$88,IF(I$105&lt;=TabS!$G$7,I42*$G$89,IF(I$105&lt;=TabS!$G$8,I42*$G$90,IF(I$105&lt;=TabS!$G$9,I42*$G$91,IF(I$105&lt;=TabS!$G$10,I42*$G$92)))))))</f>
        <v>0</v>
      </c>
      <c r="J141" s="151">
        <f>IF(J$190&gt;$C$191,J207,IF(J$105&lt;=TabS!$G$5,J42*$G$87,IF(J$105&lt;=TabS!$G$6,J42*$G$88,IF(J$105&lt;=TabS!$G$7,J42*$G$89,IF(J$105&lt;=TabS!$G$8,J42*$G$90,IF(J$105&lt;=TabS!$G$9,J42*$G$91,IF(J$105&lt;=TabS!$G$10,J42*$G$92)))))))</f>
        <v>0</v>
      </c>
      <c r="K141" s="151">
        <f>IF(K$190&gt;$C$191,K207,IF(K$105&lt;=TabS!$G$5,K42*$G$87,IF(K$105&lt;=TabS!$G$6,K42*$G$88,IF(K$105&lt;=TabS!$G$7,K42*$G$89,IF(K$105&lt;=TabS!$G$8,K42*$G$90,IF(K$105&lt;=TabS!$G$9,K42*$G$91,IF(K$105&lt;=TabS!$G$10,K42*$G$92)))))))</f>
        <v>0</v>
      </c>
      <c r="L141" s="151">
        <f>IF(L$190&gt;$C$191,L207,IF(L$105&lt;=TabS!$G$5,L42*$G$87,IF(L$105&lt;=TabS!$G$6,L42*$G$88,IF(L$105&lt;=TabS!$G$7,L42*$G$89,IF(L$105&lt;=TabS!$G$8,L42*$G$90,IF(L$105&lt;=TabS!$G$9,L42*$G$91,IF(L$105&lt;=TabS!$G$10,L42*$G$92)))))))</f>
        <v>0</v>
      </c>
      <c r="M141" s="151">
        <f>IF(M$190&gt;$C$191,M207,IF(M$105&lt;=TabS!$G$5,M42*$G$87,IF(M$105&lt;=TabS!$G$6,M42*$G$88,IF(M$105&lt;=TabS!$G$7,M42*$G$89,IF(M$105&lt;=TabS!$G$8,M42*$G$90,IF(M$105&lt;=TabS!$G$9,M42*$G$91,IF(M$105&lt;=TabS!$G$10,M42*$G$92)))))))</f>
        <v>0</v>
      </c>
      <c r="N141" s="151">
        <f>IF(N$190&gt;$C$191,N207,IF(N$105&lt;=TabS!$G$5,N42*$G$87,IF(N$105&lt;=TabS!$G$6,N42*$G$88,IF(N$105&lt;=TabS!$G$7,N42*$G$89,IF(N$105&lt;=TabS!$G$8,N42*$G$90,IF(N$105&lt;=TabS!$G$9,N42*$G$91,IF(N$105&lt;=TabS!$G$10,N42*$G$92)))))))</f>
        <v>0</v>
      </c>
      <c r="O141" s="152">
        <f t="shared" si="54"/>
        <v>0</v>
      </c>
    </row>
    <row r="142" spans="2:15" ht="20.100000000000001" customHeight="1" x14ac:dyDescent="0.25">
      <c r="B142" s="167" t="s">
        <v>40</v>
      </c>
      <c r="C142" s="151">
        <f>IF(C$190&gt;$C$191,C208,IF(C$105&lt;=TabS!$G$5,C42*$H$87,IF(C$105&lt;=TabS!$G$6,C42*$H$88,IF(C$105&lt;=TabS!$G$7,C42*$H$89,IF(C$105&lt;=TabS!$G$8,C42*$H$90,IF(C$105&lt;=TabS!$G$9,C42*$H$91,IF(C$105&lt;=TabS!$G$10,C42*$H$92)))))))</f>
        <v>0</v>
      </c>
      <c r="D142" s="151">
        <f>IF(D$190&gt;$C$191,D208,IF(D$105&lt;=TabS!$G$5,D42*$H$87,IF(D$105&lt;=TabS!$G$6,D42*$H$88,IF(D$105&lt;=TabS!$G$7,D42*$H$89,IF(D$105&lt;=TabS!$G$8,D42*$H$90,IF(D$105&lt;=TabS!$G$9,D42*$H$91,IF(D$105&lt;=TabS!$G$10,D42*$H$92)))))))</f>
        <v>0</v>
      </c>
      <c r="E142" s="151">
        <f>IF(E$190&gt;$C$191,E208,IF(E$105&lt;=TabS!$G$5,E42*$H$87,IF(E$105&lt;=TabS!$G$6,E42*$H$88,IF(E$105&lt;=TabS!$G$7,E42*$H$89,IF(E$105&lt;=TabS!$G$8,E42*$H$90,IF(E$105&lt;=TabS!$G$9,E42*$H$91,IF(E$105&lt;=TabS!$G$10,E42*$H$92)))))))</f>
        <v>0</v>
      </c>
      <c r="F142" s="151">
        <f>IF(F$190&gt;$C$191,F208,IF(F$105&lt;=TabS!$G$5,F42*$H$87,IF(F$105&lt;=TabS!$G$6,F42*$H$88,IF(F$105&lt;=TabS!$G$7,F42*$H$89,IF(F$105&lt;=TabS!$G$8,F42*$H$90,IF(F$105&lt;=TabS!$G$9,F42*$H$91,IF(F$105&lt;=TabS!$G$10,F42*$H$92)))))))</f>
        <v>0</v>
      </c>
      <c r="G142" s="151">
        <f>IF(G$190&gt;$C$191,G208,IF(G$105&lt;=TabS!$G$5,G42*$H$87,IF(G$105&lt;=TabS!$G$6,G42*$H$88,IF(G$105&lt;=TabS!$G$7,G42*$H$89,IF(G$105&lt;=TabS!$G$8,G42*$H$90,IF(G$105&lt;=TabS!$G$9,G42*$H$91,IF(G$105&lt;=TabS!$G$10,G42*$H$92)))))))</f>
        <v>0</v>
      </c>
      <c r="H142" s="151">
        <f>IF(H$190&gt;$C$191,H208,IF(H$105&lt;=TabS!$G$5,H42*$H$87,IF(H$105&lt;=TabS!$G$6,H42*$H$88,IF(H$105&lt;=TabS!$G$7,H42*$H$89,IF(H$105&lt;=TabS!$G$8,H42*$H$90,IF(H$105&lt;=TabS!$G$9,H42*$H$91,IF(H$105&lt;=TabS!$G$10,H42*$H$92)))))))</f>
        <v>0</v>
      </c>
      <c r="I142" s="151">
        <f>IF(I$190&gt;$C$191,I208,IF(I$105&lt;=TabS!$G$5,I42*$H$87,IF(I$105&lt;=TabS!$G$6,I42*$H$88,IF(I$105&lt;=TabS!$G$7,I42*$H$89,IF(I$105&lt;=TabS!$G$8,I42*$H$90,IF(I$105&lt;=TabS!$G$9,I42*$H$91,IF(I$105&lt;=TabS!$G$10,I42*$H$92)))))))</f>
        <v>0</v>
      </c>
      <c r="J142" s="151">
        <f>IF(J$190&gt;$C$191,J208,IF(J$105&lt;=TabS!$G$5,J42*$H$87,IF(J$105&lt;=TabS!$G$6,J42*$H$88,IF(J$105&lt;=TabS!$G$7,J42*$H$89,IF(J$105&lt;=TabS!$G$8,J42*$H$90,IF(J$105&lt;=TabS!$G$9,J42*$H$91,IF(J$105&lt;=TabS!$G$10,J42*$H$92)))))))</f>
        <v>0</v>
      </c>
      <c r="K142" s="151">
        <f>IF(K$190&gt;$C$191,K208,IF(K$105&lt;=TabS!$G$5,K42*$H$87,IF(K$105&lt;=TabS!$G$6,K42*$H$88,IF(K$105&lt;=TabS!$G$7,K42*$H$89,IF(K$105&lt;=TabS!$G$8,K42*$H$90,IF(K$105&lt;=TabS!$G$9,K42*$H$91,IF(K$105&lt;=TabS!$G$10,K42*$H$92)))))))</f>
        <v>0</v>
      </c>
      <c r="L142" s="151">
        <f>IF(L$190&gt;$C$191,L208,IF(L$105&lt;=TabS!$G$5,L42*$H$87,IF(L$105&lt;=TabS!$G$6,L42*$H$88,IF(L$105&lt;=TabS!$G$7,L42*$H$89,IF(L$105&lt;=TabS!$G$8,L42*$H$90,IF(L$105&lt;=TabS!$G$9,L42*$H$91,IF(L$105&lt;=TabS!$G$10,L42*$H$92)))))))</f>
        <v>0</v>
      </c>
      <c r="M142" s="151">
        <f>IF(M$190&gt;$C$191,M208,IF(M$105&lt;=TabS!$G$5,M42*$H$87,IF(M$105&lt;=TabS!$G$6,M42*$H$88,IF(M$105&lt;=TabS!$G$7,M42*$H$89,IF(M$105&lt;=TabS!$G$8,M42*$H$90,IF(M$105&lt;=TabS!$G$9,M42*$H$91,IF(M$105&lt;=TabS!$G$10,M42*$H$92)))))))</f>
        <v>0</v>
      </c>
      <c r="N142" s="151">
        <f>IF(N$190&gt;$C$191,N208,IF(N$105&lt;=TabS!$G$5,N42*$H$87,IF(N$105&lt;=TabS!$G$6,N42*$H$88,IF(N$105&lt;=TabS!$G$7,N42*$H$89,IF(N$105&lt;=TabS!$G$8,N42*$H$90,IF(N$105&lt;=TabS!$G$9,N42*$H$91,IF(N$105&lt;=TabS!$G$10,N42*$H$92)))))))</f>
        <v>0</v>
      </c>
      <c r="O142" s="152">
        <f t="shared" si="54"/>
        <v>0</v>
      </c>
    </row>
    <row r="143" spans="2:15" ht="20.100000000000001" customHeight="1" x14ac:dyDescent="0.25">
      <c r="B143" s="168" t="s">
        <v>99</v>
      </c>
      <c r="C143" s="152">
        <f>SUM(C137:C142)</f>
        <v>0</v>
      </c>
      <c r="D143" s="152">
        <f t="shared" ref="D143:N143" si="55">SUM(D137:D142)</f>
        <v>0</v>
      </c>
      <c r="E143" s="152">
        <f t="shared" si="55"/>
        <v>0</v>
      </c>
      <c r="F143" s="152">
        <f t="shared" si="55"/>
        <v>0</v>
      </c>
      <c r="G143" s="152">
        <f t="shared" si="55"/>
        <v>0</v>
      </c>
      <c r="H143" s="152">
        <f t="shared" si="55"/>
        <v>0</v>
      </c>
      <c r="I143" s="152">
        <f t="shared" si="55"/>
        <v>0</v>
      </c>
      <c r="J143" s="152">
        <f t="shared" si="55"/>
        <v>0</v>
      </c>
      <c r="K143" s="152">
        <f t="shared" si="55"/>
        <v>0</v>
      </c>
      <c r="L143" s="152">
        <f t="shared" si="55"/>
        <v>0</v>
      </c>
      <c r="M143" s="152">
        <f t="shared" si="55"/>
        <v>0</v>
      </c>
      <c r="N143" s="152">
        <f t="shared" si="55"/>
        <v>0</v>
      </c>
      <c r="O143" s="152">
        <f t="shared" si="54"/>
        <v>0</v>
      </c>
    </row>
    <row r="144" spans="2:15" ht="20.100000000000001" customHeight="1" x14ac:dyDescent="0.25">
      <c r="B144" s="164" t="s">
        <v>77</v>
      </c>
    </row>
    <row r="145" spans="2:15" ht="20.100000000000001" customHeight="1" x14ac:dyDescent="0.25">
      <c r="B145" s="149" t="s">
        <v>82</v>
      </c>
      <c r="C145" s="149" t="s">
        <v>83</v>
      </c>
      <c r="D145" s="149" t="s">
        <v>84</v>
      </c>
      <c r="E145" s="149" t="s">
        <v>85</v>
      </c>
      <c r="F145" s="149" t="s">
        <v>86</v>
      </c>
      <c r="G145" s="149" t="s">
        <v>87</v>
      </c>
      <c r="H145" s="149" t="s">
        <v>88</v>
      </c>
      <c r="I145" s="149" t="s">
        <v>89</v>
      </c>
      <c r="J145" s="149" t="s">
        <v>90</v>
      </c>
      <c r="K145" s="149" t="s">
        <v>91</v>
      </c>
      <c r="L145" s="149" t="s">
        <v>92</v>
      </c>
      <c r="M145" s="149" t="s">
        <v>93</v>
      </c>
      <c r="N145" s="149" t="s">
        <v>94</v>
      </c>
      <c r="O145" s="149" t="s">
        <v>95</v>
      </c>
    </row>
    <row r="146" spans="2:15" ht="20.100000000000001" customHeight="1" x14ac:dyDescent="0.25">
      <c r="B146" s="167" t="s">
        <v>97</v>
      </c>
      <c r="C146" s="151">
        <f>IF(C$105&lt;=TabS!$G$5,C49*$C$97,IF(C$105&lt;=TabS!$G$6,C49*$C$98,IF(C$105&lt;=TabS!$G$7,C49*$C$99,IF(C$105&lt;=TabS!$G$8,C49*$C$100,IF(C$105&lt;=TabS!$G$9,C49*$C$101,IF(C$105&lt;=TabS!$G$10,C49*$C$102))))))</f>
        <v>0</v>
      </c>
      <c r="D146" s="151">
        <f>IF(D$105&lt;=TabS!$G$5,D49*$C$97,IF(D$105&lt;=TabS!$G$6,D49*$C$98,IF(D$105&lt;=TabS!$G$7,D49*$C$99,IF(D$105&lt;=TabS!$G$8,D49*$C$100,IF(D$105&lt;=TabS!$G$9,D49*$C$101,IF(D$105&lt;=TabS!$G$10,D49*$C$102))))))</f>
        <v>0</v>
      </c>
      <c r="E146" s="151">
        <f>IF(E$105&lt;=TabS!$G$5,E49*$C$97,IF(E$105&lt;=TabS!$G$6,E49*$C$98,IF(E$105&lt;=TabS!$G$7,E49*$C$99,IF(E$105&lt;=TabS!$G$8,E49*$C$100,IF(E$105&lt;=TabS!$G$9,E49*$C$101,IF(E$105&lt;=TabS!$G$10,E49*$C$102))))))</f>
        <v>0</v>
      </c>
      <c r="F146" s="151">
        <f>IF(F$105&lt;=TabS!$G$5,F49*$C$97,IF(F$105&lt;=TabS!$G$6,F49*$C$98,IF(F$105&lt;=TabS!$G$7,F49*$C$99,IF(F$105&lt;=TabS!$G$8,F49*$C$100,IF(F$105&lt;=TabS!$G$9,F49*$C$101,IF(F$105&lt;=TabS!$G$10,F49*$C$102))))))</f>
        <v>0</v>
      </c>
      <c r="G146" s="151">
        <f>IF(G$105&lt;=TabS!$G$5,G49*$C$97,IF(G$105&lt;=TabS!$G$6,G49*$C$98,IF(G$105&lt;=TabS!$G$7,G49*$C$99,IF(G$105&lt;=TabS!$G$8,G49*$C$100,IF(G$105&lt;=TabS!$G$9,G49*$C$101,IF(G$105&lt;=TabS!$G$10,G49*$C$102))))))</f>
        <v>0</v>
      </c>
      <c r="H146" s="151">
        <f>IF(H$105&lt;=TabS!$G$5,H49*$C$97,IF(H$105&lt;=TabS!$G$6,H49*$C$98,IF(H$105&lt;=TabS!$G$7,H49*$C$99,IF(H$105&lt;=TabS!$G$8,H49*$C$100,IF(H$105&lt;=TabS!$G$9,H49*$C$101,IF(H$105&lt;=TabS!$G$10,H49*$C$102))))))</f>
        <v>0</v>
      </c>
      <c r="I146" s="151">
        <f>IF(I$105&lt;=TabS!$G$5,I49*$C$97,IF(I$105&lt;=TabS!$G$6,I49*$C$98,IF(I$105&lt;=TabS!$G$7,I49*$C$99,IF(I$105&lt;=TabS!$G$8,I49*$C$100,IF(I$105&lt;=TabS!$G$9,I49*$C$101,IF(I$105&lt;=TabS!$G$10,I49*$C$102))))))</f>
        <v>0</v>
      </c>
      <c r="J146" s="151">
        <f>IF(J$105&lt;=TabS!$G$5,J49*$C$97,IF(J$105&lt;=TabS!$G$6,J49*$C$98,IF(J$105&lt;=TabS!$G$7,J49*$C$99,IF(J$105&lt;=TabS!$G$8,J49*$C$100,IF(J$105&lt;=TabS!$G$9,J49*$C$101,IF(J$105&lt;=TabS!$G$10,J49*$C$102))))))</f>
        <v>0</v>
      </c>
      <c r="K146" s="151">
        <f>IF(K$105&lt;=TabS!$G$5,K49*$C$97,IF(K$105&lt;=TabS!$G$6,K49*$C$98,IF(K$105&lt;=TabS!$G$7,K49*$C$99,IF(K$105&lt;=TabS!$G$8,K49*$C$100,IF(K$105&lt;=TabS!$G$9,K49*$C$101,IF(K$105&lt;=TabS!$G$10,K49*$C$102))))))</f>
        <v>0</v>
      </c>
      <c r="L146" s="151">
        <f>IF(L$105&lt;=TabS!$G$5,L49*$C$97,IF(L$105&lt;=TabS!$G$6,L49*$C$98,IF(L$105&lt;=TabS!$G$7,L49*$C$99,IF(L$105&lt;=TabS!$G$8,L49*$C$100,IF(L$105&lt;=TabS!$G$9,L49*$C$101,IF(L$105&lt;=TabS!$G$10,L49*$C$102))))))</f>
        <v>0</v>
      </c>
      <c r="M146" s="151">
        <f>IF(M$105&lt;=TabS!$G$5,M49*$C$97,IF(M$105&lt;=TabS!$G$6,M49*$C$98,IF(M$105&lt;=TabS!$G$7,M49*$C$99,IF(M$105&lt;=TabS!$G$8,M49*$C$100,IF(M$105&lt;=TabS!$G$9,M49*$C$101,IF(M$105&lt;=TabS!$G$10,M49*$C$102))))))</f>
        <v>0</v>
      </c>
      <c r="N146" s="151">
        <f>IF(N$105&lt;=TabS!$G$5,N49*$C$97,IF(N$105&lt;=TabS!$G$6,N49*$C$98,IF(N$105&lt;=TabS!$G$7,N49*$C$99,IF(N$105&lt;=TabS!$G$8,N49*$C$100,IF(N$105&lt;=TabS!$G$9,N49*$C$101,IF(N$105&lt;=TabS!$G$10,N49*$C$102))))))</f>
        <v>0</v>
      </c>
      <c r="O146" s="152">
        <f t="shared" ref="O146:O151" si="56">SUM(C146:N146)</f>
        <v>0</v>
      </c>
    </row>
    <row r="147" spans="2:15" ht="20.100000000000001" customHeight="1" x14ac:dyDescent="0.25">
      <c r="B147" s="167" t="s">
        <v>98</v>
      </c>
      <c r="C147" s="151">
        <f>IF(C$105&lt;=TabS!$G$5,C49*$D$97,IF(C$105&lt;=TabS!$G$6,C49*$D$98,IF(C$105&lt;=TabS!$G$7,C49*$D$99,IF(C$105&lt;=TabS!$G$8,C49*$D$100,IF(C$105&lt;=TabS!$G$9,C49*$D$101,IF(C$105&lt;=TabS!$G$10,C49*$D$102))))))</f>
        <v>0</v>
      </c>
      <c r="D147" s="151">
        <f>IF(D$105&lt;=TabS!$G$5,D49*$D$97,IF(D$105&lt;=TabS!$G$6,D49*$D$98,IF(D$105&lt;=TabS!$G$7,D49*$D$99,IF(D$105&lt;=TabS!$G$8,D49*$D$100,IF(D$105&lt;=TabS!$G$9,D49*$D$101,IF(D$105&lt;=TabS!$G$10,D49*$D$102))))))</f>
        <v>0</v>
      </c>
      <c r="E147" s="151">
        <f>IF(E$105&lt;=TabS!$G$5,E49*$D$97,IF(E$105&lt;=TabS!$G$6,E49*$D$98,IF(E$105&lt;=TabS!$G$7,E49*$D$99,IF(E$105&lt;=TabS!$G$8,E49*$D$100,IF(E$105&lt;=TabS!$G$9,E49*$D$101,IF(E$105&lt;=TabS!$G$10,E49*$D$102))))))</f>
        <v>0</v>
      </c>
      <c r="F147" s="151">
        <f>IF(F$105&lt;=TabS!$G$5,F49*$D$97,IF(F$105&lt;=TabS!$G$6,F49*$D$98,IF(F$105&lt;=TabS!$G$7,F49*$D$99,IF(F$105&lt;=TabS!$G$8,F49*$D$100,IF(F$105&lt;=TabS!$G$9,F49*$D$101,IF(F$105&lt;=TabS!$G$10,F49*$D$102))))))</f>
        <v>0</v>
      </c>
      <c r="G147" s="151">
        <f>IF(G$105&lt;=TabS!$G$5,G49*$D$97,IF(G$105&lt;=TabS!$G$6,G49*$D$98,IF(G$105&lt;=TabS!$G$7,G49*$D$99,IF(G$105&lt;=TabS!$G$8,G49*$D$100,IF(G$105&lt;=TabS!$G$9,G49*$D$101,IF(G$105&lt;=TabS!$G$10,G49*$D$102))))))</f>
        <v>0</v>
      </c>
      <c r="H147" s="151">
        <f>IF(H$105&lt;=TabS!$G$5,H49*$D$97,IF(H$105&lt;=TabS!$G$6,H49*$D$98,IF(H$105&lt;=TabS!$G$7,H49*$D$99,IF(H$105&lt;=TabS!$G$8,H49*$D$100,IF(H$105&lt;=TabS!$G$9,H49*$D$101,IF(H$105&lt;=TabS!$G$10,H49*$D$102))))))</f>
        <v>0</v>
      </c>
      <c r="I147" s="151">
        <f>IF(I$105&lt;=TabS!$G$5,I49*$D$97,IF(I$105&lt;=TabS!$G$6,I49*$D$98,IF(I$105&lt;=TabS!$G$7,I49*$D$99,IF(I$105&lt;=TabS!$G$8,I49*$D$100,IF(I$105&lt;=TabS!$G$9,I49*$D$101,IF(I$105&lt;=TabS!$G$10,I49*$D$102))))))</f>
        <v>0</v>
      </c>
      <c r="J147" s="151">
        <f>IF(J$105&lt;=TabS!$G$5,J49*$D$97,IF(J$105&lt;=TabS!$G$6,J49*$D$98,IF(J$105&lt;=TabS!$G$7,J49*$D$99,IF(J$105&lt;=TabS!$G$8,J49*$D$100,IF(J$105&lt;=TabS!$G$9,J49*$D$101,IF(J$105&lt;=TabS!$G$10,J49*$D$102))))))</f>
        <v>0</v>
      </c>
      <c r="K147" s="151">
        <f>IF(K$105&lt;=TabS!$G$5,K49*$D$97,IF(K$105&lt;=TabS!$G$6,K49*$D$98,IF(K$105&lt;=TabS!$G$7,K49*$D$99,IF(K$105&lt;=TabS!$G$8,K49*$D$100,IF(K$105&lt;=TabS!$G$9,K49*$D$101,IF(K$105&lt;=TabS!$G$10,K49*$D$102))))))</f>
        <v>0</v>
      </c>
      <c r="L147" s="151">
        <f>IF(L$105&lt;=TabS!$G$5,L49*$D$97,IF(L$105&lt;=TabS!$G$6,L49*$D$98,IF(L$105&lt;=TabS!$G$7,L49*$D$99,IF(L$105&lt;=TabS!$G$8,L49*$D$100,IF(L$105&lt;=TabS!$G$9,L49*$D$101,IF(L$105&lt;=TabS!$G$10,L49*$D$102))))))</f>
        <v>0</v>
      </c>
      <c r="M147" s="151">
        <f>IF(M$105&lt;=TabS!$G$5,M49*$D$97,IF(M$105&lt;=TabS!$G$6,M49*$D$98,IF(M$105&lt;=TabS!$G$7,M49*$D$99,IF(M$105&lt;=TabS!$G$8,M49*$D$100,IF(M$105&lt;=TabS!$G$9,M49*$D$101,IF(M$105&lt;=TabS!$G$10,M49*$D$102))))))</f>
        <v>0</v>
      </c>
      <c r="N147" s="151">
        <f>IF(N$105&lt;=TabS!$G$5,N49*$D$97,IF(N$105&lt;=TabS!$G$6,N49*$D$98,IF(N$105&lt;=TabS!$G$7,N49*$D$99,IF(N$105&lt;=TabS!$G$8,N49*$D$100,IF(N$105&lt;=TabS!$G$9,N49*$D$101,IF(N$105&lt;=TabS!$G$10,N49*$D$102))))))</f>
        <v>0</v>
      </c>
      <c r="O147" s="152">
        <f t="shared" si="56"/>
        <v>0</v>
      </c>
    </row>
    <row r="148" spans="2:15" ht="20.100000000000001" customHeight="1" x14ac:dyDescent="0.25">
      <c r="B148" s="167" t="s">
        <v>39</v>
      </c>
      <c r="C148" s="151">
        <f>IF(C$105&lt;=TabS!$G$5,C49*$E$97,IF(C$105&lt;=TabS!$G$6,C49*$E$98,IF(C$105&lt;=TabS!$G$7,C49*$E$99,IF(C$105&lt;=TabS!$G$8,C49*$E$100,IF(C$105&lt;=TabS!$G$9,C49*$E$101,IF(C$105&lt;=TabS!$G$10,C49*$E$102))))))</f>
        <v>0</v>
      </c>
      <c r="D148" s="151">
        <f>IF(D$105&lt;=TabS!$G$5,D49*$E$97,IF(D$105&lt;=TabS!$G$6,D49*$E$98,IF(D$105&lt;=TabS!$G$7,D49*$E$99,IF(D$105&lt;=TabS!$G$8,D49*$E$100,IF(D$105&lt;=TabS!$G$9,D49*$E$101,IF(D$105&lt;=TabS!$G$10,D49*$E$102))))))</f>
        <v>0</v>
      </c>
      <c r="E148" s="151">
        <f>IF(E$105&lt;=TabS!$G$5,E49*$E$97,IF(E$105&lt;=TabS!$G$6,E49*$E$98,IF(E$105&lt;=TabS!$G$7,E49*$E$99,IF(E$105&lt;=TabS!$G$8,E49*$E$100,IF(E$105&lt;=TabS!$G$9,E49*$E$101,IF(E$105&lt;=TabS!$G$10,E49*$E$102))))))</f>
        <v>0</v>
      </c>
      <c r="F148" s="151">
        <f>IF(F$105&lt;=TabS!$G$5,F49*$E$97,IF(F$105&lt;=TabS!$G$6,F49*$E$98,IF(F$105&lt;=TabS!$G$7,F49*$E$99,IF(F$105&lt;=TabS!$G$8,F49*$E$100,IF(F$105&lt;=TabS!$G$9,F49*$E$101,IF(F$105&lt;=TabS!$G$10,F49*$E$102))))))</f>
        <v>0</v>
      </c>
      <c r="G148" s="151">
        <f>IF(G$105&lt;=TabS!$G$5,G49*$E$97,IF(G$105&lt;=TabS!$G$6,G49*$E$98,IF(G$105&lt;=TabS!$G$7,G49*$E$99,IF(G$105&lt;=TabS!$G$8,G49*$E$100,IF(G$105&lt;=TabS!$G$9,G49*$E$101,IF(G$105&lt;=TabS!$G$10,G49*$E$102))))))</f>
        <v>0</v>
      </c>
      <c r="H148" s="151">
        <f>IF(H$105&lt;=TabS!$G$5,H49*$E$97,IF(H$105&lt;=TabS!$G$6,H49*$E$98,IF(H$105&lt;=TabS!$G$7,H49*$E$99,IF(H$105&lt;=TabS!$G$8,H49*$E$100,IF(H$105&lt;=TabS!$G$9,H49*$E$101,IF(H$105&lt;=TabS!$G$10,H49*$E$102))))))</f>
        <v>0</v>
      </c>
      <c r="I148" s="151">
        <f>IF(I$105&lt;=TabS!$G$5,I49*$E$97,IF(I$105&lt;=TabS!$G$6,I49*$E$98,IF(I$105&lt;=TabS!$G$7,I49*$E$99,IF(I$105&lt;=TabS!$G$8,I49*$E$100,IF(I$105&lt;=TabS!$G$9,I49*$E$101,IF(I$105&lt;=TabS!$G$10,I49*$E$102))))))</f>
        <v>0</v>
      </c>
      <c r="J148" s="151">
        <f>IF(J$105&lt;=TabS!$G$5,J49*$E$97,IF(J$105&lt;=TabS!$G$6,J49*$E$98,IF(J$105&lt;=TabS!$G$7,J49*$E$99,IF(J$105&lt;=TabS!$G$8,J49*$E$100,IF(J$105&lt;=TabS!$G$9,J49*$E$101,IF(J$105&lt;=TabS!$G$10,J49*$E$102))))))</f>
        <v>0</v>
      </c>
      <c r="K148" s="151">
        <f>IF(K$105&lt;=TabS!$G$5,K49*$E$97,IF(K$105&lt;=TabS!$G$6,K49*$E$98,IF(K$105&lt;=TabS!$G$7,K49*$E$99,IF(K$105&lt;=TabS!$G$8,K49*$E$100,IF(K$105&lt;=TabS!$G$9,K49*$E$101,IF(K$105&lt;=TabS!$G$10,K49*$E$102))))))</f>
        <v>0</v>
      </c>
      <c r="L148" s="151">
        <f>IF(L$105&lt;=TabS!$G$5,L49*$E$97,IF(L$105&lt;=TabS!$G$6,L49*$E$98,IF(L$105&lt;=TabS!$G$7,L49*$E$99,IF(L$105&lt;=TabS!$G$8,L49*$E$100,IF(L$105&lt;=TabS!$G$9,L49*$E$101,IF(L$105&lt;=TabS!$G$10,L49*$E$102))))))</f>
        <v>0</v>
      </c>
      <c r="M148" s="151">
        <f>IF(M$105&lt;=TabS!$G$5,M49*$E$97,IF(M$105&lt;=TabS!$G$6,M49*$E$98,IF(M$105&lt;=TabS!$G$7,M49*$E$99,IF(M$105&lt;=TabS!$G$8,M49*$E$100,IF(M$105&lt;=TabS!$G$9,M49*$E$101,IF(M$105&lt;=TabS!$G$10,M49*$E$102))))))</f>
        <v>0</v>
      </c>
      <c r="N148" s="151">
        <f>IF(N$105&lt;=TabS!$G$5,N49*$E$97,IF(N$105&lt;=TabS!$G$6,N49*$E$98,IF(N$105&lt;=TabS!$G$7,N49*$E$99,IF(N$105&lt;=TabS!$G$8,N49*$E$100,IF(N$105&lt;=TabS!$G$9,N49*$E$101,IF(N$105&lt;=TabS!$G$10,N49*$E$102))))))</f>
        <v>0</v>
      </c>
      <c r="O148" s="152">
        <f t="shared" si="56"/>
        <v>0</v>
      </c>
    </row>
    <row r="149" spans="2:15" ht="20.100000000000001" customHeight="1" x14ac:dyDescent="0.25">
      <c r="B149" s="167" t="s">
        <v>129</v>
      </c>
      <c r="C149" s="151">
        <f>IF(C$105&lt;=TabS!$G$5,C49*$F$97,IF(C$105&lt;=TabS!$G$6,C49*$F$98,IF(C$105&lt;=TabS!$G$7,C49*$F$99,IF(C$105&lt;=TabS!$G$8,C49*$F$100,IF(C$105&lt;=TabS!$G$9,C49*$F$101,IF(C$105&lt;=TabS!$G$10,C49*$F$102))))))</f>
        <v>0</v>
      </c>
      <c r="D149" s="151">
        <f>IF(D$105&lt;=TabS!$G$5,D49*$F$97,IF(D$105&lt;=TabS!$G$6,D49*$F$98,IF(D$105&lt;=TabS!$G$7,D49*$F$99,IF(D$105&lt;=TabS!$G$8,D49*$F$100,IF(D$105&lt;=TabS!$G$9,D49*$F$101,IF(D$105&lt;=TabS!$G$10,D49*$F$102))))))</f>
        <v>0</v>
      </c>
      <c r="E149" s="151">
        <f>IF(E$105&lt;=TabS!$G$5,E49*$F$97,IF(E$105&lt;=TabS!$G$6,E49*$F$98,IF(E$105&lt;=TabS!$G$7,E49*$F$99,IF(E$105&lt;=TabS!$G$8,E49*$F$100,IF(E$105&lt;=TabS!$G$9,E49*$F$101,IF(E$105&lt;=TabS!$G$10,E49*$F$102))))))</f>
        <v>0</v>
      </c>
      <c r="F149" s="151">
        <f>IF(F$105&lt;=TabS!$G$5,F49*$F$97,IF(F$105&lt;=TabS!$G$6,F49*$F$98,IF(F$105&lt;=TabS!$G$7,F49*$F$99,IF(F$105&lt;=TabS!$G$8,F49*$F$100,IF(F$105&lt;=TabS!$G$9,F49*$F$101,IF(F$105&lt;=TabS!$G$10,F49*$F$102))))))</f>
        <v>0</v>
      </c>
      <c r="G149" s="151">
        <f>IF(G$105&lt;=TabS!$G$5,G49*$F$97,IF(G$105&lt;=TabS!$G$6,G49*$F$98,IF(G$105&lt;=TabS!$G$7,G49*$F$99,IF(G$105&lt;=TabS!$G$8,G49*$F$100,IF(G$105&lt;=TabS!$G$9,G49*$F$101,IF(G$105&lt;=TabS!$G$10,G49*$F$102))))))</f>
        <v>0</v>
      </c>
      <c r="H149" s="151">
        <f>IF(H$105&lt;=TabS!$G$5,H49*$F$97,IF(H$105&lt;=TabS!$G$6,H49*$F$98,IF(H$105&lt;=TabS!$G$7,H49*$F$99,IF(H$105&lt;=TabS!$G$8,H49*$F$100,IF(H$105&lt;=TabS!$G$9,H49*$F$101,IF(H$105&lt;=TabS!$G$10,H49*$F$102))))))</f>
        <v>0</v>
      </c>
      <c r="I149" s="151">
        <f>IF(I$105&lt;=TabS!$G$5,I49*$F$97,IF(I$105&lt;=TabS!$G$6,I49*$F$98,IF(I$105&lt;=TabS!$G$7,I49*$F$99,IF(I$105&lt;=TabS!$G$8,I49*$F$100,IF(I$105&lt;=TabS!$G$9,I49*$F$101,IF(I$105&lt;=TabS!$G$10,I49*$F$102))))))</f>
        <v>0</v>
      </c>
      <c r="J149" s="151">
        <f>IF(J$105&lt;=TabS!$G$5,J49*$F$97,IF(J$105&lt;=TabS!$G$6,J49*$F$98,IF(J$105&lt;=TabS!$G$7,J49*$F$99,IF(J$105&lt;=TabS!$G$8,J49*$F$100,IF(J$105&lt;=TabS!$G$9,J49*$F$101,IF(J$105&lt;=TabS!$G$10,J49*$F$102))))))</f>
        <v>0</v>
      </c>
      <c r="K149" s="151">
        <f>IF(K$105&lt;=TabS!$G$5,K49*$F$97,IF(K$105&lt;=TabS!$G$6,K49*$F$98,IF(K$105&lt;=TabS!$G$7,K49*$F$99,IF(K$105&lt;=TabS!$G$8,K49*$F$100,IF(K$105&lt;=TabS!$G$9,K49*$F$101,IF(K$105&lt;=TabS!$G$10,K49*$F$102))))))</f>
        <v>0</v>
      </c>
      <c r="L149" s="151">
        <f>IF(L$105&lt;=TabS!$G$5,L49*$F$97,IF(L$105&lt;=TabS!$G$6,L49*$F$98,IF(L$105&lt;=TabS!$G$7,L49*$F$99,IF(L$105&lt;=TabS!$G$8,L49*$F$100,IF(L$105&lt;=TabS!$G$9,L49*$F$101,IF(L$105&lt;=TabS!$G$10,L49*$F$102))))))</f>
        <v>0</v>
      </c>
      <c r="M149" s="151">
        <f>IF(M$105&lt;=TabS!$G$5,M49*$F$97,IF(M$105&lt;=TabS!$G$6,M49*$F$98,IF(M$105&lt;=TabS!$G$7,M49*$F$99,IF(M$105&lt;=TabS!$G$8,M49*$F$100,IF(M$105&lt;=TabS!$G$9,M49*$F$101,IF(M$105&lt;=TabS!$G$10,M49*$F$102))))))</f>
        <v>0</v>
      </c>
      <c r="N149" s="151">
        <f>IF(N$105&lt;=TabS!$G$5,N49*$F$97,IF(N$105&lt;=TabS!$G$6,N49*$F$98,IF(N$105&lt;=TabS!$G$7,N49*$F$99,IF(N$105&lt;=TabS!$G$8,N49*$F$100,IF(N$105&lt;=TabS!$G$9,N49*$F$101,IF(N$105&lt;=TabS!$G$10,N49*$F$102))))))</f>
        <v>0</v>
      </c>
      <c r="O149" s="152">
        <f t="shared" si="56"/>
        <v>0</v>
      </c>
    </row>
    <row r="150" spans="2:15" ht="20.100000000000001" customHeight="1" x14ac:dyDescent="0.25">
      <c r="B150" s="167" t="s">
        <v>42</v>
      </c>
      <c r="C150" s="151">
        <f>IF(C$105&lt;=TabS!$G$5,C49*$G$97,IF(C$105&lt;=TabS!$G$6,C49*$G$98,IF(C$105&lt;=TabS!$G$7,C49*$G$99,IF(C$105&lt;=TabS!$G$8,C49*$G$100,IF(C$105&lt;=TabS!$G$9,C49*$G$101,IF(C$105&lt;=TabS!$G$10,C49*$G$102))))))</f>
        <v>0</v>
      </c>
      <c r="D150" s="151">
        <f>IF(D$105&lt;=TabS!$G$5,D49*$G$97,IF(D$105&lt;=TabS!$G$6,D49*$G$98,IF(D$105&lt;=TabS!$G$7,D49*$G$99,IF(D$105&lt;=TabS!$G$8,D49*$G$100,IF(D$105&lt;=TabS!$G$9,D49*$G$101,IF(D$105&lt;=TabS!$G$10,D49*$G$102))))))</f>
        <v>0</v>
      </c>
      <c r="E150" s="151">
        <f>IF(E$105&lt;=TabS!$G$5,E49*$G$97,IF(E$105&lt;=TabS!$G$6,E49*$G$98,IF(E$105&lt;=TabS!$G$7,E49*$G$99,IF(E$105&lt;=TabS!$G$8,E49*$G$100,IF(E$105&lt;=TabS!$G$9,E49*$G$101,IF(E$105&lt;=TabS!$G$10,E49*$G$102))))))</f>
        <v>0</v>
      </c>
      <c r="F150" s="151">
        <f>IF(F$105&lt;=TabS!$G$5,F49*$G$97,IF(F$105&lt;=TabS!$G$6,F49*$G$98,IF(F$105&lt;=TabS!$G$7,F49*$G$99,IF(F$105&lt;=TabS!$G$8,F49*$G$100,IF(F$105&lt;=TabS!$G$9,F49*$G$101,IF(F$105&lt;=TabS!$G$10,F49*$G$102))))))</f>
        <v>0</v>
      </c>
      <c r="G150" s="151">
        <f>IF(G$105&lt;=TabS!$G$5,G49*$G$97,IF(G$105&lt;=TabS!$G$6,G49*$G$98,IF(G$105&lt;=TabS!$G$7,G49*$G$99,IF(G$105&lt;=TabS!$G$8,G49*$G$100,IF(G$105&lt;=TabS!$G$9,G49*$G$101,IF(G$105&lt;=TabS!$G$10,G49*$G$102))))))</f>
        <v>0</v>
      </c>
      <c r="H150" s="151">
        <f>IF(H$105&lt;=TabS!$G$5,H49*$G$97,IF(H$105&lt;=TabS!$G$6,H49*$G$98,IF(H$105&lt;=TabS!$G$7,H49*$G$99,IF(H$105&lt;=TabS!$G$8,H49*$G$100,IF(H$105&lt;=TabS!$G$9,H49*$G$101,IF(H$105&lt;=TabS!$G$10,H49*$G$102))))))</f>
        <v>0</v>
      </c>
      <c r="I150" s="151">
        <f>IF(I$105&lt;=TabS!$G$5,I49*$G$97,IF(I$105&lt;=TabS!$G$6,I49*$G$98,IF(I$105&lt;=TabS!$G$7,I49*$G$99,IF(I$105&lt;=TabS!$G$8,I49*$G$100,IF(I$105&lt;=TabS!$G$9,I49*$G$101,IF(I$105&lt;=TabS!$G$10,I49*$G$102))))))</f>
        <v>0</v>
      </c>
      <c r="J150" s="151">
        <f>IF(J$105&lt;=TabS!$G$5,J49*$G$97,IF(J$105&lt;=TabS!$G$6,J49*$G$98,IF(J$105&lt;=TabS!$G$7,J49*$G$99,IF(J$105&lt;=TabS!$G$8,J49*$G$100,IF(J$105&lt;=TabS!$G$9,J49*$G$101,IF(J$105&lt;=TabS!$G$10,J49*$G$102))))))</f>
        <v>0</v>
      </c>
      <c r="K150" s="151">
        <f>IF(K$105&lt;=TabS!$G$5,K49*$G$97,IF(K$105&lt;=TabS!$G$6,K49*$G$98,IF(K$105&lt;=TabS!$G$7,K49*$G$99,IF(K$105&lt;=TabS!$G$8,K49*$G$100,IF(K$105&lt;=TabS!$G$9,K49*$G$101,IF(K$105&lt;=TabS!$G$10,K49*$G$102))))))</f>
        <v>0</v>
      </c>
      <c r="L150" s="151">
        <f>IF(L$105&lt;=TabS!$G$5,L49*$G$97,IF(L$105&lt;=TabS!$G$6,L49*$G$98,IF(L$105&lt;=TabS!$G$7,L49*$G$99,IF(L$105&lt;=TabS!$G$8,L49*$G$100,IF(L$105&lt;=TabS!$G$9,L49*$G$101,IF(L$105&lt;=TabS!$G$10,L49*$G$102))))))</f>
        <v>0</v>
      </c>
      <c r="M150" s="151">
        <f>IF(M$105&lt;=TabS!$G$5,M49*$G$97,IF(M$105&lt;=TabS!$G$6,M49*$G$98,IF(M$105&lt;=TabS!$G$7,M49*$G$99,IF(M$105&lt;=TabS!$G$8,M49*$G$100,IF(M$105&lt;=TabS!$G$9,M49*$G$101,IF(M$105&lt;=TabS!$G$10,M49*$G$102))))))</f>
        <v>0</v>
      </c>
      <c r="N150" s="151">
        <f>IF(N$105&lt;=TabS!$G$5,N49*$G$97,IF(N$105&lt;=TabS!$G$6,N49*$G$98,IF(N$105&lt;=TabS!$G$7,N49*$G$99,IF(N$105&lt;=TabS!$G$8,N49*$G$100,IF(N$105&lt;=TabS!$G$9,N49*$G$101,IF(N$105&lt;=TabS!$G$10,N49*$G$102))))))</f>
        <v>0</v>
      </c>
      <c r="O150" s="152">
        <f t="shared" si="56"/>
        <v>0</v>
      </c>
    </row>
    <row r="151" spans="2:15" ht="20.100000000000001" customHeight="1" x14ac:dyDescent="0.25">
      <c r="B151" s="167" t="s">
        <v>40</v>
      </c>
      <c r="C151" s="151">
        <f>IF(C$105&lt;=TabS!$G$5,C49*$H$97,IF(C$105&lt;=TabS!$G$6,C49*$H$98,IF(C$105&lt;=TabS!$G$7,C49*$H$99,IF(C$105&lt;=TabS!$G$8,C49*$H$100,IF(C$105&lt;=TabS!$G$9,C49*$H$101,IF(C$105&lt;=TabS!$G$10,C49*$H$102))))))</f>
        <v>0</v>
      </c>
      <c r="D151" s="151">
        <f>IF(D$105&lt;=TabS!$G$5,D49*$H$97,IF(D$105&lt;=TabS!$G$6,D49*$H$98,IF(D$105&lt;=TabS!$G$7,D49*$H$99,IF(D$105&lt;=TabS!$G$8,D49*$H$100,IF(D$105&lt;=TabS!$G$9,D49*$H$101,IF(D$105&lt;=TabS!$G$10,D49*$H$102))))))</f>
        <v>0</v>
      </c>
      <c r="E151" s="151">
        <f>IF(E$105&lt;=TabS!$G$5,E49*$H$97,IF(E$105&lt;=TabS!$G$6,E49*$H$98,IF(E$105&lt;=TabS!$G$7,E49*$H$99,IF(E$105&lt;=TabS!$G$8,E49*$H$100,IF(E$105&lt;=TabS!$G$9,E49*$H$101,IF(E$105&lt;=TabS!$G$10,E49*$H$102))))))</f>
        <v>0</v>
      </c>
      <c r="F151" s="151">
        <f>IF(F$105&lt;=TabS!$G$5,F49*$H$97,IF(F$105&lt;=TabS!$G$6,F49*$H$98,IF(F$105&lt;=TabS!$G$7,F49*$H$99,IF(F$105&lt;=TabS!$G$8,F49*$H$100,IF(F$105&lt;=TabS!$G$9,F49*$H$101,IF(F$105&lt;=TabS!$G$10,F49*$H$102))))))</f>
        <v>0</v>
      </c>
      <c r="G151" s="151">
        <f>IF(G$105&lt;=TabS!$G$5,G49*$H$97,IF(G$105&lt;=TabS!$G$6,G49*$H$98,IF(G$105&lt;=TabS!$G$7,G49*$H$99,IF(G$105&lt;=TabS!$G$8,G49*$H$100,IF(G$105&lt;=TabS!$G$9,G49*$H$101,IF(G$105&lt;=TabS!$G$10,G49*$H$102))))))</f>
        <v>0</v>
      </c>
      <c r="H151" s="151">
        <f>IF(H$105&lt;=TabS!$G$5,H49*$H$97,IF(H$105&lt;=TabS!$G$6,H49*$H$98,IF(H$105&lt;=TabS!$G$7,H49*$H$99,IF(H$105&lt;=TabS!$G$8,H49*$H$100,IF(H$105&lt;=TabS!$G$9,H49*$H$101,IF(H$105&lt;=TabS!$G$10,H49*$H$102))))))</f>
        <v>0</v>
      </c>
      <c r="I151" s="151">
        <f>IF(I$105&lt;=TabS!$G$5,I49*$H$97,IF(I$105&lt;=TabS!$G$6,I49*$H$98,IF(I$105&lt;=TabS!$G$7,I49*$H$99,IF(I$105&lt;=TabS!$G$8,I49*$H$100,IF(I$105&lt;=TabS!$G$9,I49*$H$101,IF(I$105&lt;=TabS!$G$10,I49*$H$102))))))</f>
        <v>0</v>
      </c>
      <c r="J151" s="151">
        <f>IF(J$105&lt;=TabS!$G$5,J49*$H$97,IF(J$105&lt;=TabS!$G$6,J49*$H$98,IF(J$105&lt;=TabS!$G$7,J49*$H$99,IF(J$105&lt;=TabS!$G$8,J49*$H$100,IF(J$105&lt;=TabS!$G$9,J49*$H$101,IF(J$105&lt;=TabS!$G$10,J49*$H$102))))))</f>
        <v>0</v>
      </c>
      <c r="K151" s="151">
        <f>IF(K$105&lt;=TabS!$G$5,K49*$H$97,IF(K$105&lt;=TabS!$G$6,K49*$H$98,IF(K$105&lt;=TabS!$G$7,K49*$H$99,IF(K$105&lt;=TabS!$G$8,K49*$H$100,IF(K$105&lt;=TabS!$G$9,K49*$H$101,IF(K$105&lt;=TabS!$G$10,K49*$H$102))))))</f>
        <v>0</v>
      </c>
      <c r="L151" s="151">
        <f>IF(L$105&lt;=TabS!$G$5,L49*$H$97,IF(L$105&lt;=TabS!$G$6,L49*$H$98,IF(L$105&lt;=TabS!$G$7,L49*$H$99,IF(L$105&lt;=TabS!$G$8,L49*$H$100,IF(L$105&lt;=TabS!$G$9,L49*$H$101,IF(L$105&lt;=TabS!$G$10,L49*$H$102))))))</f>
        <v>0</v>
      </c>
      <c r="M151" s="151">
        <f>IF(M$105&lt;=TabS!$G$5,M49*$H$97,IF(M$105&lt;=TabS!$G$6,M49*$H$98,IF(M$105&lt;=TabS!$G$7,M49*$H$99,IF(M$105&lt;=TabS!$G$8,M49*$H$100,IF(M$105&lt;=TabS!$G$9,M49*$H$101,IF(M$105&lt;=TabS!$G$10,M49*$H$102))))))</f>
        <v>0</v>
      </c>
      <c r="N151" s="151">
        <f>IF(N$105&lt;=TabS!$G$5,N49*$H$97,IF(N$105&lt;=TabS!$G$6,N49*$H$98,IF(N$105&lt;=TabS!$G$7,N49*$H$99,IF(N$105&lt;=TabS!$G$8,N49*$H$100,IF(N$105&lt;=TabS!$G$9,N49*$H$101,IF(N$105&lt;=TabS!$G$10,N49*$H$102))))))</f>
        <v>0</v>
      </c>
      <c r="O151" s="152">
        <f t="shared" si="56"/>
        <v>0</v>
      </c>
    </row>
    <row r="152" spans="2:15" ht="20.100000000000001" customHeight="1" x14ac:dyDescent="0.25">
      <c r="B152" s="168" t="s">
        <v>99</v>
      </c>
      <c r="C152" s="152">
        <f>SUM(C146:C151)</f>
        <v>0</v>
      </c>
      <c r="D152" s="152">
        <f t="shared" ref="D152:N152" si="57">SUM(D146:D151)</f>
        <v>0</v>
      </c>
      <c r="E152" s="152">
        <f t="shared" si="57"/>
        <v>0</v>
      </c>
      <c r="F152" s="152">
        <f t="shared" si="57"/>
        <v>0</v>
      </c>
      <c r="G152" s="152">
        <f t="shared" si="57"/>
        <v>0</v>
      </c>
      <c r="H152" s="152">
        <f t="shared" si="57"/>
        <v>0</v>
      </c>
      <c r="I152" s="152">
        <f t="shared" si="57"/>
        <v>0</v>
      </c>
      <c r="J152" s="152">
        <f t="shared" si="57"/>
        <v>0</v>
      </c>
      <c r="K152" s="152">
        <f t="shared" si="57"/>
        <v>0</v>
      </c>
      <c r="L152" s="152">
        <f t="shared" si="57"/>
        <v>0</v>
      </c>
      <c r="M152" s="152">
        <f t="shared" si="57"/>
        <v>0</v>
      </c>
      <c r="N152" s="152">
        <f t="shared" si="57"/>
        <v>0</v>
      </c>
      <c r="O152" s="152">
        <f>SUM(C152:N152)</f>
        <v>0</v>
      </c>
    </row>
    <row r="153" spans="2:15" ht="20.100000000000001" customHeight="1" x14ac:dyDescent="0.25">
      <c r="B153" s="278" t="s">
        <v>130</v>
      </c>
      <c r="C153" s="278"/>
      <c r="D153" s="278"/>
      <c r="E153" s="278"/>
      <c r="F153" s="278"/>
      <c r="G153" s="278"/>
      <c r="H153" s="278"/>
      <c r="I153" s="278"/>
      <c r="J153" s="278"/>
      <c r="K153" s="278"/>
      <c r="L153" s="278"/>
      <c r="M153" s="278"/>
      <c r="N153" s="278"/>
      <c r="O153" s="278"/>
    </row>
    <row r="154" spans="2:15" ht="20.100000000000001" customHeight="1" x14ac:dyDescent="0.25">
      <c r="B154" s="149" t="s">
        <v>82</v>
      </c>
      <c r="C154" s="149" t="s">
        <v>83</v>
      </c>
      <c r="D154" s="149" t="s">
        <v>84</v>
      </c>
      <c r="E154" s="149" t="s">
        <v>85</v>
      </c>
      <c r="F154" s="149" t="s">
        <v>86</v>
      </c>
      <c r="G154" s="149" t="s">
        <v>87</v>
      </c>
      <c r="H154" s="149" t="s">
        <v>88</v>
      </c>
      <c r="I154" s="149" t="s">
        <v>89</v>
      </c>
      <c r="J154" s="149" t="s">
        <v>90</v>
      </c>
      <c r="K154" s="149" t="s">
        <v>91</v>
      </c>
      <c r="L154" s="149" t="s">
        <v>92</v>
      </c>
      <c r="M154" s="149" t="s">
        <v>93</v>
      </c>
      <c r="N154" s="149" t="s">
        <v>94</v>
      </c>
      <c r="O154" s="149" t="s">
        <v>95</v>
      </c>
    </row>
    <row r="155" spans="2:15" ht="20.100000000000001" customHeight="1" x14ac:dyDescent="0.25">
      <c r="B155" s="167" t="s">
        <v>97</v>
      </c>
      <c r="C155" s="151">
        <f>C109+C118+C128+C137+C146</f>
        <v>0</v>
      </c>
      <c r="D155" s="151">
        <f t="shared" ref="D155:N156" si="58">D109+D118+D128+D137+D146</f>
        <v>0</v>
      </c>
      <c r="E155" s="151">
        <f t="shared" si="58"/>
        <v>0</v>
      </c>
      <c r="F155" s="151">
        <f t="shared" si="58"/>
        <v>0</v>
      </c>
      <c r="G155" s="151">
        <f t="shared" si="58"/>
        <v>0</v>
      </c>
      <c r="H155" s="151">
        <f t="shared" si="58"/>
        <v>0</v>
      </c>
      <c r="I155" s="151">
        <f t="shared" si="58"/>
        <v>0</v>
      </c>
      <c r="J155" s="151">
        <f t="shared" si="58"/>
        <v>0</v>
      </c>
      <c r="K155" s="151">
        <f t="shared" si="58"/>
        <v>0</v>
      </c>
      <c r="L155" s="151">
        <f t="shared" si="58"/>
        <v>0</v>
      </c>
      <c r="M155" s="151">
        <f t="shared" si="58"/>
        <v>0</v>
      </c>
      <c r="N155" s="151">
        <f t="shared" si="58"/>
        <v>0</v>
      </c>
      <c r="O155" s="152">
        <f>SUM(C155:N155)</f>
        <v>0</v>
      </c>
    </row>
    <row r="156" spans="2:15" ht="20.100000000000001" customHeight="1" x14ac:dyDescent="0.25">
      <c r="B156" s="167" t="s">
        <v>98</v>
      </c>
      <c r="C156" s="151">
        <f>C110+C119+C129+C138+C147</f>
        <v>0</v>
      </c>
      <c r="D156" s="151">
        <f t="shared" si="58"/>
        <v>0</v>
      </c>
      <c r="E156" s="151">
        <f t="shared" si="58"/>
        <v>0</v>
      </c>
      <c r="F156" s="151">
        <f t="shared" si="58"/>
        <v>0</v>
      </c>
      <c r="G156" s="151">
        <f t="shared" si="58"/>
        <v>0</v>
      </c>
      <c r="H156" s="151">
        <f t="shared" si="58"/>
        <v>0</v>
      </c>
      <c r="I156" s="151">
        <f t="shared" si="58"/>
        <v>0</v>
      </c>
      <c r="J156" s="151">
        <f t="shared" si="58"/>
        <v>0</v>
      </c>
      <c r="K156" s="151">
        <f t="shared" si="58"/>
        <v>0</v>
      </c>
      <c r="L156" s="151">
        <f t="shared" si="58"/>
        <v>0</v>
      </c>
      <c r="M156" s="151">
        <f t="shared" si="58"/>
        <v>0</v>
      </c>
      <c r="N156" s="151">
        <f t="shared" si="58"/>
        <v>0</v>
      </c>
      <c r="O156" s="152">
        <f>SUM(C156:N156)</f>
        <v>0</v>
      </c>
    </row>
    <row r="157" spans="2:15" ht="20.100000000000001" customHeight="1" x14ac:dyDescent="0.25">
      <c r="B157" s="167" t="s">
        <v>37</v>
      </c>
      <c r="C157" s="151">
        <f>C111+C120</f>
        <v>0</v>
      </c>
      <c r="D157" s="151">
        <f t="shared" ref="D157:N157" si="59">D111+D120</f>
        <v>0</v>
      </c>
      <c r="E157" s="151">
        <f t="shared" si="59"/>
        <v>0</v>
      </c>
      <c r="F157" s="151">
        <f t="shared" si="59"/>
        <v>0</v>
      </c>
      <c r="G157" s="151">
        <f t="shared" si="59"/>
        <v>0</v>
      </c>
      <c r="H157" s="151">
        <f t="shared" si="59"/>
        <v>0</v>
      </c>
      <c r="I157" s="151">
        <f t="shared" si="59"/>
        <v>0</v>
      </c>
      <c r="J157" s="151">
        <f t="shared" si="59"/>
        <v>0</v>
      </c>
      <c r="K157" s="151">
        <f t="shared" si="59"/>
        <v>0</v>
      </c>
      <c r="L157" s="151">
        <f t="shared" si="59"/>
        <v>0</v>
      </c>
      <c r="M157" s="151">
        <f t="shared" si="59"/>
        <v>0</v>
      </c>
      <c r="N157" s="151">
        <f t="shared" si="59"/>
        <v>0</v>
      </c>
      <c r="O157" s="152">
        <f t="shared" ref="O157:O162" si="60">SUM(C157:N157)</f>
        <v>0</v>
      </c>
    </row>
    <row r="158" spans="2:15" ht="20.100000000000001" customHeight="1" x14ac:dyDescent="0.25">
      <c r="B158" s="167" t="s">
        <v>38</v>
      </c>
      <c r="C158" s="151">
        <f>C124</f>
        <v>0</v>
      </c>
      <c r="D158" s="151">
        <f t="shared" ref="D158:N158" si="61">D124</f>
        <v>0</v>
      </c>
      <c r="E158" s="151">
        <f t="shared" si="61"/>
        <v>0</v>
      </c>
      <c r="F158" s="151">
        <f t="shared" si="61"/>
        <v>0</v>
      </c>
      <c r="G158" s="151">
        <f t="shared" si="61"/>
        <v>0</v>
      </c>
      <c r="H158" s="151">
        <f t="shared" si="61"/>
        <v>0</v>
      </c>
      <c r="I158" s="151">
        <f t="shared" si="61"/>
        <v>0</v>
      </c>
      <c r="J158" s="151">
        <f t="shared" si="61"/>
        <v>0</v>
      </c>
      <c r="K158" s="151">
        <f t="shared" si="61"/>
        <v>0</v>
      </c>
      <c r="L158" s="151">
        <f t="shared" si="61"/>
        <v>0</v>
      </c>
      <c r="M158" s="151">
        <f t="shared" si="61"/>
        <v>0</v>
      </c>
      <c r="N158" s="151">
        <f t="shared" si="61"/>
        <v>0</v>
      </c>
      <c r="O158" s="152">
        <f t="shared" si="60"/>
        <v>0</v>
      </c>
    </row>
    <row r="159" spans="2:15" ht="20.100000000000001" customHeight="1" x14ac:dyDescent="0.25">
      <c r="B159" s="167" t="s">
        <v>39</v>
      </c>
      <c r="C159" s="151">
        <f>C130+C139+C148</f>
        <v>0</v>
      </c>
      <c r="D159" s="151">
        <f t="shared" ref="D159:N159" si="62">D130+D139+D148</f>
        <v>0</v>
      </c>
      <c r="E159" s="151">
        <f t="shared" si="62"/>
        <v>0</v>
      </c>
      <c r="F159" s="151">
        <f t="shared" si="62"/>
        <v>0</v>
      </c>
      <c r="G159" s="151">
        <f t="shared" si="62"/>
        <v>0</v>
      </c>
      <c r="H159" s="151">
        <f t="shared" si="62"/>
        <v>0</v>
      </c>
      <c r="I159" s="151">
        <f t="shared" si="62"/>
        <v>0</v>
      </c>
      <c r="J159" s="151">
        <f t="shared" si="62"/>
        <v>0</v>
      </c>
      <c r="K159" s="151">
        <f t="shared" si="62"/>
        <v>0</v>
      </c>
      <c r="L159" s="151">
        <f t="shared" si="62"/>
        <v>0</v>
      </c>
      <c r="M159" s="151">
        <f t="shared" si="62"/>
        <v>0</v>
      </c>
      <c r="N159" s="151">
        <f t="shared" si="62"/>
        <v>0</v>
      </c>
      <c r="O159" s="152">
        <f t="shared" si="60"/>
        <v>0</v>
      </c>
    </row>
    <row r="160" spans="2:15" ht="20.100000000000001" customHeight="1" x14ac:dyDescent="0.25">
      <c r="B160" s="167" t="s">
        <v>129</v>
      </c>
      <c r="C160" s="151">
        <f>C121+C131+C140+C149+C112</f>
        <v>0</v>
      </c>
      <c r="D160" s="151">
        <f t="shared" ref="D160:N160" si="63">D121+D131+D140+D149+D112</f>
        <v>0</v>
      </c>
      <c r="E160" s="151">
        <f t="shared" si="63"/>
        <v>0</v>
      </c>
      <c r="F160" s="151">
        <f t="shared" si="63"/>
        <v>0</v>
      </c>
      <c r="G160" s="151">
        <f t="shared" si="63"/>
        <v>0</v>
      </c>
      <c r="H160" s="151">
        <f t="shared" si="63"/>
        <v>0</v>
      </c>
      <c r="I160" s="151">
        <f t="shared" si="63"/>
        <v>0</v>
      </c>
      <c r="J160" s="151">
        <f t="shared" si="63"/>
        <v>0</v>
      </c>
      <c r="K160" s="151">
        <f t="shared" si="63"/>
        <v>0</v>
      </c>
      <c r="L160" s="151">
        <f t="shared" si="63"/>
        <v>0</v>
      </c>
      <c r="M160" s="151">
        <f t="shared" si="63"/>
        <v>0</v>
      </c>
      <c r="N160" s="151">
        <f t="shared" si="63"/>
        <v>0</v>
      </c>
      <c r="O160" s="152">
        <f t="shared" si="60"/>
        <v>0</v>
      </c>
    </row>
    <row r="161" spans="1:15" ht="20.100000000000001" customHeight="1" x14ac:dyDescent="0.25">
      <c r="B161" s="167" t="s">
        <v>42</v>
      </c>
      <c r="C161" s="151">
        <f t="shared" ref="C161:N162" si="64">C122+C132+C141+C150+C113</f>
        <v>0</v>
      </c>
      <c r="D161" s="151">
        <f t="shared" si="64"/>
        <v>0</v>
      </c>
      <c r="E161" s="151">
        <f t="shared" si="64"/>
        <v>0</v>
      </c>
      <c r="F161" s="151">
        <f t="shared" si="64"/>
        <v>0</v>
      </c>
      <c r="G161" s="151">
        <f t="shared" si="64"/>
        <v>0</v>
      </c>
      <c r="H161" s="151">
        <f t="shared" si="64"/>
        <v>0</v>
      </c>
      <c r="I161" s="151">
        <f t="shared" si="64"/>
        <v>0</v>
      </c>
      <c r="J161" s="151">
        <f t="shared" si="64"/>
        <v>0</v>
      </c>
      <c r="K161" s="151">
        <f t="shared" si="64"/>
        <v>0</v>
      </c>
      <c r="L161" s="151">
        <f t="shared" si="64"/>
        <v>0</v>
      </c>
      <c r="M161" s="151">
        <f t="shared" si="64"/>
        <v>0</v>
      </c>
      <c r="N161" s="151">
        <f t="shared" si="64"/>
        <v>0</v>
      </c>
      <c r="O161" s="152">
        <f t="shared" si="60"/>
        <v>0</v>
      </c>
    </row>
    <row r="162" spans="1:15" ht="20.100000000000001" customHeight="1" x14ac:dyDescent="0.25">
      <c r="B162" s="167" t="s">
        <v>40</v>
      </c>
      <c r="C162" s="151">
        <f t="shared" si="64"/>
        <v>0</v>
      </c>
      <c r="D162" s="151">
        <f t="shared" si="64"/>
        <v>0</v>
      </c>
      <c r="E162" s="151">
        <f t="shared" si="64"/>
        <v>0</v>
      </c>
      <c r="F162" s="151">
        <f t="shared" si="64"/>
        <v>0</v>
      </c>
      <c r="G162" s="151">
        <f t="shared" si="64"/>
        <v>0</v>
      </c>
      <c r="H162" s="151">
        <f t="shared" si="64"/>
        <v>0</v>
      </c>
      <c r="I162" s="151">
        <f t="shared" si="64"/>
        <v>0</v>
      </c>
      <c r="J162" s="151">
        <f t="shared" si="64"/>
        <v>0</v>
      </c>
      <c r="K162" s="151">
        <f t="shared" si="64"/>
        <v>0</v>
      </c>
      <c r="L162" s="151">
        <f t="shared" si="64"/>
        <v>0</v>
      </c>
      <c r="M162" s="151">
        <f t="shared" si="64"/>
        <v>0</v>
      </c>
      <c r="N162" s="151">
        <f t="shared" si="64"/>
        <v>0</v>
      </c>
      <c r="O162" s="152">
        <f t="shared" si="60"/>
        <v>0</v>
      </c>
    </row>
    <row r="163" spans="1:15" ht="20.100000000000001" customHeight="1" x14ac:dyDescent="0.25">
      <c r="B163" s="168" t="s">
        <v>99</v>
      </c>
      <c r="C163" s="152">
        <f>SUM(C155:C162)</f>
        <v>0</v>
      </c>
      <c r="D163" s="152">
        <f t="shared" ref="D163:N163" si="65">SUM(D155:D162)</f>
        <v>0</v>
      </c>
      <c r="E163" s="152">
        <f t="shared" si="65"/>
        <v>0</v>
      </c>
      <c r="F163" s="152">
        <f t="shared" si="65"/>
        <v>0</v>
      </c>
      <c r="G163" s="152">
        <f t="shared" si="65"/>
        <v>0</v>
      </c>
      <c r="H163" s="152">
        <f t="shared" si="65"/>
        <v>0</v>
      </c>
      <c r="I163" s="152">
        <f t="shared" si="65"/>
        <v>0</v>
      </c>
      <c r="J163" s="152">
        <f t="shared" si="65"/>
        <v>0</v>
      </c>
      <c r="K163" s="152">
        <f t="shared" si="65"/>
        <v>0</v>
      </c>
      <c r="L163" s="152">
        <f t="shared" si="65"/>
        <v>0</v>
      </c>
      <c r="M163" s="152">
        <f t="shared" si="65"/>
        <v>0</v>
      </c>
      <c r="N163" s="152">
        <f t="shared" si="65"/>
        <v>0</v>
      </c>
      <c r="O163" s="152">
        <f>SUM(C163:N163)</f>
        <v>0</v>
      </c>
    </row>
    <row r="165" spans="1:15" ht="20.100000000000001" customHeight="1" x14ac:dyDescent="0.25">
      <c r="B165" s="162" t="s">
        <v>136</v>
      </c>
    </row>
    <row r="167" spans="1:15" ht="20.100000000000001" customHeight="1" x14ac:dyDescent="0.25">
      <c r="B167" s="169" t="s">
        <v>131</v>
      </c>
      <c r="C167" s="155">
        <f>IF(C5&gt;TabS!$G$9,C34+R34,C34)</f>
        <v>0</v>
      </c>
      <c r="D167" s="155">
        <f>IF(D5&gt;TabS!$G$9,D34+S34,D34)</f>
        <v>0</v>
      </c>
      <c r="E167" s="155">
        <f>IF(E5&gt;TabS!$G$9,E34+T34,E34)</f>
        <v>0</v>
      </c>
      <c r="F167" s="155">
        <f>IF(F5&gt;TabS!$G$9,F34+U34,F34)</f>
        <v>0</v>
      </c>
      <c r="G167" s="155">
        <f>IF(G5&gt;TabS!$G$9,G34+V34,G34)</f>
        <v>0</v>
      </c>
      <c r="H167" s="155">
        <f>IF(H5&gt;TabS!$G$9,H34+W34,H34)</f>
        <v>0</v>
      </c>
      <c r="I167" s="155">
        <f>IF(I5&gt;TabS!$G$9,I34+X34,I34)</f>
        <v>0</v>
      </c>
      <c r="J167" s="155">
        <f>IF(J5&gt;TabS!$G$9,J34+Y34,J34)</f>
        <v>0</v>
      </c>
      <c r="K167" s="155">
        <f>IF(K5&gt;TabS!$G$9,K34+Z34,K34)</f>
        <v>0</v>
      </c>
      <c r="L167" s="155">
        <f>IF(L5&gt;TabS!$G$9,L34+AA34,L34)</f>
        <v>0</v>
      </c>
      <c r="M167" s="155">
        <f>IF(M5&gt;TabS!$G$9,M34+AB34,M34)</f>
        <v>0</v>
      </c>
      <c r="N167" s="155">
        <f>IF(N5&gt;TabS!$G$9,N34+AC34,N34)</f>
        <v>0</v>
      </c>
      <c r="O167" s="133"/>
    </row>
    <row r="168" spans="1:15" ht="20.100000000000001" customHeight="1" x14ac:dyDescent="0.25">
      <c r="B168" s="19" t="s">
        <v>132</v>
      </c>
      <c r="C168" s="154">
        <v>0.14925369999999999</v>
      </c>
    </row>
    <row r="169" spans="1:15" ht="20.100000000000001" customHeight="1" x14ac:dyDescent="0.25">
      <c r="B169" s="169" t="s">
        <v>133</v>
      </c>
      <c r="C169" s="156">
        <f>C167-5%</f>
        <v>-0.05</v>
      </c>
      <c r="D169" s="156">
        <f t="shared" ref="D169:N169" si="66">D167-5%</f>
        <v>-0.05</v>
      </c>
      <c r="E169" s="156">
        <f t="shared" si="66"/>
        <v>-0.05</v>
      </c>
      <c r="F169" s="156">
        <f t="shared" si="66"/>
        <v>-0.05</v>
      </c>
      <c r="G169" s="156">
        <f t="shared" si="66"/>
        <v>-0.05</v>
      </c>
      <c r="H169" s="156">
        <f t="shared" si="66"/>
        <v>-0.05</v>
      </c>
      <c r="I169" s="156">
        <f t="shared" si="66"/>
        <v>-0.05</v>
      </c>
      <c r="J169" s="156">
        <f t="shared" si="66"/>
        <v>-0.05</v>
      </c>
      <c r="K169" s="156">
        <f t="shared" si="66"/>
        <v>-0.05</v>
      </c>
      <c r="L169" s="156">
        <f t="shared" si="66"/>
        <v>-0.05</v>
      </c>
      <c r="M169" s="156">
        <f t="shared" si="66"/>
        <v>-0.05</v>
      </c>
      <c r="N169" s="156">
        <f t="shared" si="66"/>
        <v>-0.05</v>
      </c>
    </row>
    <row r="171" spans="1:15" ht="20.100000000000001" customHeight="1" x14ac:dyDescent="0.25">
      <c r="B171" s="149" t="s">
        <v>82</v>
      </c>
      <c r="C171" s="149" t="s">
        <v>83</v>
      </c>
      <c r="D171" s="149" t="s">
        <v>84</v>
      </c>
      <c r="E171" s="149" t="s">
        <v>85</v>
      </c>
      <c r="F171" s="149" t="s">
        <v>86</v>
      </c>
      <c r="G171" s="149" t="s">
        <v>87</v>
      </c>
      <c r="H171" s="149" t="s">
        <v>88</v>
      </c>
      <c r="I171" s="149" t="s">
        <v>89</v>
      </c>
      <c r="J171" s="149" t="s">
        <v>90</v>
      </c>
      <c r="K171" s="149" t="s">
        <v>91</v>
      </c>
      <c r="L171" s="149" t="s">
        <v>92</v>
      </c>
      <c r="M171" s="149" t="s">
        <v>93</v>
      </c>
      <c r="N171" s="149" t="s">
        <v>94</v>
      </c>
      <c r="O171" s="149" t="s">
        <v>95</v>
      </c>
    </row>
    <row r="172" spans="1:15" ht="20.100000000000001" customHeight="1" x14ac:dyDescent="0.25">
      <c r="A172" s="157">
        <v>0</v>
      </c>
      <c r="B172" s="9" t="s">
        <v>35</v>
      </c>
      <c r="C172" s="158" t="b">
        <f>IF(C$167&gt;$C$168,C$169*$A172)</f>
        <v>0</v>
      </c>
      <c r="D172" s="158" t="b">
        <f t="shared" ref="D172:N172" si="67">IF(D$167&gt;$C$168,D$169*$A172)</f>
        <v>0</v>
      </c>
      <c r="E172" s="158" t="b">
        <f t="shared" si="67"/>
        <v>0</v>
      </c>
      <c r="F172" s="158" t="b">
        <f t="shared" si="67"/>
        <v>0</v>
      </c>
      <c r="G172" s="158" t="b">
        <f t="shared" si="67"/>
        <v>0</v>
      </c>
      <c r="H172" s="158" t="b">
        <f t="shared" si="67"/>
        <v>0</v>
      </c>
      <c r="I172" s="158" t="b">
        <f t="shared" si="67"/>
        <v>0</v>
      </c>
      <c r="J172" s="158" t="b">
        <f t="shared" si="67"/>
        <v>0</v>
      </c>
      <c r="K172" s="158" t="b">
        <f t="shared" si="67"/>
        <v>0</v>
      </c>
      <c r="L172" s="158" t="b">
        <f t="shared" si="67"/>
        <v>0</v>
      </c>
      <c r="M172" s="158" t="b">
        <f t="shared" si="67"/>
        <v>0</v>
      </c>
      <c r="N172" s="158" t="b">
        <f t="shared" si="67"/>
        <v>0</v>
      </c>
    </row>
    <row r="173" spans="1:15" ht="20.100000000000001" customHeight="1" x14ac:dyDescent="0.25">
      <c r="A173" s="157">
        <v>0</v>
      </c>
      <c r="B173" s="9" t="s">
        <v>36</v>
      </c>
      <c r="C173" s="158" t="b">
        <f t="shared" ref="C173:N177" si="68">IF(C$167&gt;$C$168,C$169*$A173)</f>
        <v>0</v>
      </c>
      <c r="D173" s="158" t="b">
        <f t="shared" si="68"/>
        <v>0</v>
      </c>
      <c r="E173" s="158" t="b">
        <f t="shared" si="68"/>
        <v>0</v>
      </c>
      <c r="F173" s="158" t="b">
        <f t="shared" si="68"/>
        <v>0</v>
      </c>
      <c r="G173" s="158" t="b">
        <f t="shared" si="68"/>
        <v>0</v>
      </c>
      <c r="H173" s="158" t="b">
        <f t="shared" si="68"/>
        <v>0</v>
      </c>
      <c r="I173" s="158" t="b">
        <f t="shared" si="68"/>
        <v>0</v>
      </c>
      <c r="J173" s="158" t="b">
        <f t="shared" si="68"/>
        <v>0</v>
      </c>
      <c r="K173" s="158" t="b">
        <f t="shared" si="68"/>
        <v>0</v>
      </c>
      <c r="L173" s="158" t="b">
        <f t="shared" si="68"/>
        <v>0</v>
      </c>
      <c r="M173" s="158" t="b">
        <f t="shared" si="68"/>
        <v>0</v>
      </c>
      <c r="N173" s="158" t="b">
        <f t="shared" si="68"/>
        <v>0</v>
      </c>
    </row>
    <row r="174" spans="1:15" ht="20.100000000000001" customHeight="1" x14ac:dyDescent="0.25">
      <c r="A174" s="157">
        <v>0</v>
      </c>
      <c r="B174" s="9" t="s">
        <v>39</v>
      </c>
      <c r="C174" s="158">
        <f>$A$174</f>
        <v>0</v>
      </c>
      <c r="D174" s="158">
        <f t="shared" ref="D174:N174" si="69">$A$174</f>
        <v>0</v>
      </c>
      <c r="E174" s="158">
        <f t="shared" si="69"/>
        <v>0</v>
      </c>
      <c r="F174" s="158">
        <f t="shared" si="69"/>
        <v>0</v>
      </c>
      <c r="G174" s="158">
        <f t="shared" si="69"/>
        <v>0</v>
      </c>
      <c r="H174" s="158">
        <f t="shared" si="69"/>
        <v>0</v>
      </c>
      <c r="I174" s="158">
        <f t="shared" si="69"/>
        <v>0</v>
      </c>
      <c r="J174" s="158">
        <f t="shared" si="69"/>
        <v>0</v>
      </c>
      <c r="K174" s="158">
        <f t="shared" si="69"/>
        <v>0</v>
      </c>
      <c r="L174" s="158">
        <f t="shared" si="69"/>
        <v>0</v>
      </c>
      <c r="M174" s="158">
        <f t="shared" si="69"/>
        <v>0</v>
      </c>
      <c r="N174" s="158">
        <f t="shared" si="69"/>
        <v>0</v>
      </c>
    </row>
    <row r="175" spans="1:15" ht="20.100000000000001" customHeight="1" x14ac:dyDescent="0.25">
      <c r="A175" s="157">
        <v>0.65259999999999996</v>
      </c>
      <c r="B175" s="9" t="s">
        <v>129</v>
      </c>
      <c r="C175" s="158" t="b">
        <f t="shared" si="68"/>
        <v>0</v>
      </c>
      <c r="D175" s="158" t="b">
        <f t="shared" si="68"/>
        <v>0</v>
      </c>
      <c r="E175" s="158" t="b">
        <f t="shared" si="68"/>
        <v>0</v>
      </c>
      <c r="F175" s="158" t="b">
        <f t="shared" si="68"/>
        <v>0</v>
      </c>
      <c r="G175" s="158" t="b">
        <f t="shared" si="68"/>
        <v>0</v>
      </c>
      <c r="H175" s="158" t="b">
        <f t="shared" si="68"/>
        <v>0</v>
      </c>
      <c r="I175" s="158" t="b">
        <f t="shared" si="68"/>
        <v>0</v>
      </c>
      <c r="J175" s="158" t="b">
        <f t="shared" si="68"/>
        <v>0</v>
      </c>
      <c r="K175" s="158" t="b">
        <f t="shared" si="68"/>
        <v>0</v>
      </c>
      <c r="L175" s="158" t="b">
        <f t="shared" si="68"/>
        <v>0</v>
      </c>
      <c r="M175" s="158" t="b">
        <f t="shared" si="68"/>
        <v>0</v>
      </c>
      <c r="N175" s="158" t="b">
        <f t="shared" si="68"/>
        <v>0</v>
      </c>
    </row>
    <row r="176" spans="1:15" ht="20.100000000000001" customHeight="1" x14ac:dyDescent="0.25">
      <c r="A176" s="157">
        <v>5.2600000000000001E-2</v>
      </c>
      <c r="B176" s="9" t="s">
        <v>42</v>
      </c>
      <c r="C176" s="158" t="b">
        <f t="shared" si="68"/>
        <v>0</v>
      </c>
      <c r="D176" s="158" t="b">
        <f t="shared" si="68"/>
        <v>0</v>
      </c>
      <c r="E176" s="158" t="b">
        <f t="shared" si="68"/>
        <v>0</v>
      </c>
      <c r="F176" s="158" t="b">
        <f t="shared" si="68"/>
        <v>0</v>
      </c>
      <c r="G176" s="158" t="b">
        <f t="shared" si="68"/>
        <v>0</v>
      </c>
      <c r="H176" s="158" t="b">
        <f t="shared" si="68"/>
        <v>0</v>
      </c>
      <c r="I176" s="158" t="b">
        <f t="shared" si="68"/>
        <v>0</v>
      </c>
      <c r="J176" s="158" t="b">
        <f t="shared" si="68"/>
        <v>0</v>
      </c>
      <c r="K176" s="158" t="b">
        <f t="shared" si="68"/>
        <v>0</v>
      </c>
      <c r="L176" s="158" t="b">
        <f t="shared" si="68"/>
        <v>0</v>
      </c>
      <c r="M176" s="158" t="b">
        <f t="shared" si="68"/>
        <v>0</v>
      </c>
      <c r="N176" s="158" t="b">
        <f t="shared" si="68"/>
        <v>0</v>
      </c>
    </row>
    <row r="177" spans="1:15" ht="20.100000000000001" customHeight="1" x14ac:dyDescent="0.25">
      <c r="A177" s="157">
        <v>6.0199999999999997E-2</v>
      </c>
      <c r="B177" s="9" t="s">
        <v>134</v>
      </c>
      <c r="C177" s="158" t="b">
        <f t="shared" si="68"/>
        <v>0</v>
      </c>
      <c r="D177" s="158" t="b">
        <f t="shared" si="68"/>
        <v>0</v>
      </c>
      <c r="E177" s="158" t="b">
        <f t="shared" si="68"/>
        <v>0</v>
      </c>
      <c r="F177" s="158" t="b">
        <f t="shared" si="68"/>
        <v>0</v>
      </c>
      <c r="G177" s="158" t="b">
        <f t="shared" si="68"/>
        <v>0</v>
      </c>
      <c r="H177" s="158" t="b">
        <f t="shared" si="68"/>
        <v>0</v>
      </c>
      <c r="I177" s="158" t="b">
        <f t="shared" si="68"/>
        <v>0</v>
      </c>
      <c r="J177" s="158" t="b">
        <f t="shared" si="68"/>
        <v>0</v>
      </c>
      <c r="K177" s="158" t="b">
        <f t="shared" si="68"/>
        <v>0</v>
      </c>
      <c r="L177" s="158" t="b">
        <f t="shared" si="68"/>
        <v>0</v>
      </c>
      <c r="M177" s="158" t="b">
        <f t="shared" si="68"/>
        <v>0</v>
      </c>
      <c r="N177" s="158" t="b">
        <f t="shared" si="68"/>
        <v>0</v>
      </c>
    </row>
    <row r="179" spans="1:15" ht="20.100000000000001" customHeight="1" x14ac:dyDescent="0.25">
      <c r="B179" s="169" t="s">
        <v>135</v>
      </c>
      <c r="C179" s="159">
        <f>C31</f>
        <v>0</v>
      </c>
      <c r="D179" s="159">
        <f t="shared" ref="D179:N179" si="70">D31</f>
        <v>0</v>
      </c>
      <c r="E179" s="159">
        <f t="shared" si="70"/>
        <v>0</v>
      </c>
      <c r="F179" s="159">
        <f t="shared" si="70"/>
        <v>0</v>
      </c>
      <c r="G179" s="159">
        <f t="shared" si="70"/>
        <v>0</v>
      </c>
      <c r="H179" s="159">
        <f t="shared" si="70"/>
        <v>0</v>
      </c>
      <c r="I179" s="159">
        <f t="shared" si="70"/>
        <v>0</v>
      </c>
      <c r="J179" s="159">
        <f t="shared" si="70"/>
        <v>0</v>
      </c>
      <c r="K179" s="159">
        <f t="shared" si="70"/>
        <v>0</v>
      </c>
      <c r="L179" s="159">
        <f t="shared" si="70"/>
        <v>0</v>
      </c>
      <c r="M179" s="159">
        <f t="shared" si="70"/>
        <v>0</v>
      </c>
      <c r="N179" s="159">
        <f t="shared" si="70"/>
        <v>0</v>
      </c>
      <c r="O179" s="152">
        <f>SUM(C179:N179)</f>
        <v>0</v>
      </c>
    </row>
    <row r="180" spans="1:15" ht="20.100000000000001" customHeight="1" x14ac:dyDescent="0.25">
      <c r="B180" s="9" t="s">
        <v>35</v>
      </c>
      <c r="C180" s="151">
        <f>IFERROR(C$179*C172,0)</f>
        <v>0</v>
      </c>
      <c r="D180" s="151">
        <f t="shared" ref="D180:N180" si="71">IFERROR(D$179*D172,0)</f>
        <v>0</v>
      </c>
      <c r="E180" s="151">
        <f t="shared" si="71"/>
        <v>0</v>
      </c>
      <c r="F180" s="151">
        <f t="shared" si="71"/>
        <v>0</v>
      </c>
      <c r="G180" s="151">
        <f t="shared" si="71"/>
        <v>0</v>
      </c>
      <c r="H180" s="151">
        <f t="shared" si="71"/>
        <v>0</v>
      </c>
      <c r="I180" s="151">
        <f t="shared" si="71"/>
        <v>0</v>
      </c>
      <c r="J180" s="151">
        <f t="shared" si="71"/>
        <v>0</v>
      </c>
      <c r="K180" s="151">
        <f t="shared" si="71"/>
        <v>0</v>
      </c>
      <c r="L180" s="151">
        <f t="shared" si="71"/>
        <v>0</v>
      </c>
      <c r="M180" s="151">
        <f t="shared" si="71"/>
        <v>0</v>
      </c>
      <c r="N180" s="151">
        <f t="shared" si="71"/>
        <v>0</v>
      </c>
      <c r="O180" s="152">
        <f t="shared" ref="O180:O185" si="72">SUM(C180:N180)</f>
        <v>0</v>
      </c>
    </row>
    <row r="181" spans="1:15" ht="20.100000000000001" customHeight="1" x14ac:dyDescent="0.25">
      <c r="B181" s="9" t="s">
        <v>36</v>
      </c>
      <c r="C181" s="151">
        <f t="shared" ref="C181:N185" si="73">IFERROR(C$179*C173,0)</f>
        <v>0</v>
      </c>
      <c r="D181" s="151">
        <f t="shared" si="73"/>
        <v>0</v>
      </c>
      <c r="E181" s="151">
        <f t="shared" si="73"/>
        <v>0</v>
      </c>
      <c r="F181" s="151">
        <f t="shared" si="73"/>
        <v>0</v>
      </c>
      <c r="G181" s="151">
        <f t="shared" si="73"/>
        <v>0</v>
      </c>
      <c r="H181" s="151">
        <f t="shared" si="73"/>
        <v>0</v>
      </c>
      <c r="I181" s="151">
        <f t="shared" si="73"/>
        <v>0</v>
      </c>
      <c r="J181" s="151">
        <f t="shared" si="73"/>
        <v>0</v>
      </c>
      <c r="K181" s="151">
        <f t="shared" si="73"/>
        <v>0</v>
      </c>
      <c r="L181" s="151">
        <f t="shared" si="73"/>
        <v>0</v>
      </c>
      <c r="M181" s="151">
        <f t="shared" si="73"/>
        <v>0</v>
      </c>
      <c r="N181" s="151">
        <f t="shared" si="73"/>
        <v>0</v>
      </c>
      <c r="O181" s="152">
        <f t="shared" si="72"/>
        <v>0</v>
      </c>
    </row>
    <row r="182" spans="1:15" ht="20.100000000000001" customHeight="1" x14ac:dyDescent="0.25">
      <c r="B182" s="9" t="s">
        <v>39</v>
      </c>
      <c r="C182" s="151">
        <f t="shared" si="73"/>
        <v>0</v>
      </c>
      <c r="D182" s="151">
        <f t="shared" si="73"/>
        <v>0</v>
      </c>
      <c r="E182" s="151">
        <f t="shared" si="73"/>
        <v>0</v>
      </c>
      <c r="F182" s="151">
        <f t="shared" si="73"/>
        <v>0</v>
      </c>
      <c r="G182" s="151">
        <f t="shared" si="73"/>
        <v>0</v>
      </c>
      <c r="H182" s="151">
        <f t="shared" si="73"/>
        <v>0</v>
      </c>
      <c r="I182" s="151">
        <f t="shared" si="73"/>
        <v>0</v>
      </c>
      <c r="J182" s="151">
        <f t="shared" si="73"/>
        <v>0</v>
      </c>
      <c r="K182" s="151">
        <f t="shared" si="73"/>
        <v>0</v>
      </c>
      <c r="L182" s="151">
        <f t="shared" si="73"/>
        <v>0</v>
      </c>
      <c r="M182" s="151">
        <f t="shared" si="73"/>
        <v>0</v>
      </c>
      <c r="N182" s="151">
        <f t="shared" si="73"/>
        <v>0</v>
      </c>
      <c r="O182" s="152">
        <f t="shared" si="72"/>
        <v>0</v>
      </c>
    </row>
    <row r="183" spans="1:15" ht="20.100000000000001" customHeight="1" x14ac:dyDescent="0.25">
      <c r="B183" s="9" t="s">
        <v>129</v>
      </c>
      <c r="C183" s="151">
        <f t="shared" si="73"/>
        <v>0</v>
      </c>
      <c r="D183" s="151">
        <f t="shared" si="73"/>
        <v>0</v>
      </c>
      <c r="E183" s="151">
        <f t="shared" si="73"/>
        <v>0</v>
      </c>
      <c r="F183" s="151">
        <f t="shared" si="73"/>
        <v>0</v>
      </c>
      <c r="G183" s="151">
        <f t="shared" si="73"/>
        <v>0</v>
      </c>
      <c r="H183" s="151">
        <f t="shared" si="73"/>
        <v>0</v>
      </c>
      <c r="I183" s="151">
        <f t="shared" si="73"/>
        <v>0</v>
      </c>
      <c r="J183" s="151">
        <f t="shared" si="73"/>
        <v>0</v>
      </c>
      <c r="K183" s="151">
        <f t="shared" si="73"/>
        <v>0</v>
      </c>
      <c r="L183" s="151">
        <f t="shared" si="73"/>
        <v>0</v>
      </c>
      <c r="M183" s="151">
        <f t="shared" si="73"/>
        <v>0</v>
      </c>
      <c r="N183" s="151">
        <f t="shared" si="73"/>
        <v>0</v>
      </c>
      <c r="O183" s="152">
        <f t="shared" si="72"/>
        <v>0</v>
      </c>
    </row>
    <row r="184" spans="1:15" ht="20.100000000000001" customHeight="1" x14ac:dyDescent="0.25">
      <c r="B184" s="9" t="s">
        <v>42</v>
      </c>
      <c r="C184" s="151">
        <f t="shared" si="73"/>
        <v>0</v>
      </c>
      <c r="D184" s="151">
        <f t="shared" si="73"/>
        <v>0</v>
      </c>
      <c r="E184" s="151">
        <f t="shared" si="73"/>
        <v>0</v>
      </c>
      <c r="F184" s="151">
        <f t="shared" si="73"/>
        <v>0</v>
      </c>
      <c r="G184" s="151">
        <f t="shared" si="73"/>
        <v>0</v>
      </c>
      <c r="H184" s="151">
        <f t="shared" si="73"/>
        <v>0</v>
      </c>
      <c r="I184" s="151">
        <f t="shared" si="73"/>
        <v>0</v>
      </c>
      <c r="J184" s="151">
        <f t="shared" si="73"/>
        <v>0</v>
      </c>
      <c r="K184" s="151">
        <f t="shared" si="73"/>
        <v>0</v>
      </c>
      <c r="L184" s="151">
        <f t="shared" si="73"/>
        <v>0</v>
      </c>
      <c r="M184" s="151">
        <f t="shared" si="73"/>
        <v>0</v>
      </c>
      <c r="N184" s="151">
        <f t="shared" si="73"/>
        <v>0</v>
      </c>
      <c r="O184" s="152">
        <f t="shared" si="72"/>
        <v>0</v>
      </c>
    </row>
    <row r="185" spans="1:15" ht="20.100000000000001" customHeight="1" x14ac:dyDescent="0.25">
      <c r="B185" s="9" t="s">
        <v>134</v>
      </c>
      <c r="C185" s="151">
        <f t="shared" si="73"/>
        <v>0</v>
      </c>
      <c r="D185" s="151">
        <f t="shared" si="73"/>
        <v>0</v>
      </c>
      <c r="E185" s="151">
        <f t="shared" si="73"/>
        <v>0</v>
      </c>
      <c r="F185" s="151">
        <f t="shared" si="73"/>
        <v>0</v>
      </c>
      <c r="G185" s="151">
        <f t="shared" si="73"/>
        <v>0</v>
      </c>
      <c r="H185" s="151">
        <f t="shared" si="73"/>
        <v>0</v>
      </c>
      <c r="I185" s="151">
        <f t="shared" si="73"/>
        <v>0</v>
      </c>
      <c r="J185" s="151">
        <f t="shared" si="73"/>
        <v>0</v>
      </c>
      <c r="K185" s="151">
        <f t="shared" si="73"/>
        <v>0</v>
      </c>
      <c r="L185" s="151">
        <f t="shared" si="73"/>
        <v>0</v>
      </c>
      <c r="M185" s="151">
        <f t="shared" si="73"/>
        <v>0</v>
      </c>
      <c r="N185" s="151">
        <f t="shared" si="73"/>
        <v>0</v>
      </c>
      <c r="O185" s="152">
        <f t="shared" si="72"/>
        <v>0</v>
      </c>
    </row>
    <row r="186" spans="1:15" ht="20.100000000000001" customHeight="1" x14ac:dyDescent="0.25">
      <c r="B186" s="168" t="s">
        <v>99</v>
      </c>
      <c r="C186" s="152">
        <f>SUM(C180:C185)</f>
        <v>0</v>
      </c>
      <c r="D186" s="152">
        <f t="shared" ref="D186:N186" si="74">SUM(D180:D185)</f>
        <v>0</v>
      </c>
      <c r="E186" s="152">
        <f t="shared" si="74"/>
        <v>0</v>
      </c>
      <c r="F186" s="152">
        <f t="shared" si="74"/>
        <v>0</v>
      </c>
      <c r="G186" s="152">
        <f t="shared" si="74"/>
        <v>0</v>
      </c>
      <c r="H186" s="152">
        <f t="shared" si="74"/>
        <v>0</v>
      </c>
      <c r="I186" s="152">
        <f t="shared" si="74"/>
        <v>0</v>
      </c>
      <c r="J186" s="152">
        <f t="shared" si="74"/>
        <v>0</v>
      </c>
      <c r="K186" s="152">
        <f t="shared" si="74"/>
        <v>0</v>
      </c>
      <c r="L186" s="152">
        <f t="shared" si="74"/>
        <v>0</v>
      </c>
      <c r="M186" s="152">
        <f t="shared" si="74"/>
        <v>0</v>
      </c>
      <c r="N186" s="152">
        <f t="shared" si="74"/>
        <v>0</v>
      </c>
      <c r="O186" s="152">
        <f>SUM(C186:N186)</f>
        <v>0</v>
      </c>
    </row>
    <row r="188" spans="1:15" ht="20.100000000000001" customHeight="1" x14ac:dyDescent="0.25">
      <c r="B188" s="162" t="s">
        <v>137</v>
      </c>
    </row>
    <row r="190" spans="1:15" ht="20.100000000000001" customHeight="1" x14ac:dyDescent="0.25">
      <c r="B190" s="169" t="s">
        <v>131</v>
      </c>
      <c r="C190" s="155">
        <f>C41</f>
        <v>0</v>
      </c>
      <c r="D190" s="155">
        <f t="shared" ref="D190:N190" si="75">D41</f>
        <v>0</v>
      </c>
      <c r="E190" s="155">
        <f t="shared" si="75"/>
        <v>0</v>
      </c>
      <c r="F190" s="155">
        <f t="shared" si="75"/>
        <v>0</v>
      </c>
      <c r="G190" s="155">
        <f t="shared" si="75"/>
        <v>0</v>
      </c>
      <c r="H190" s="155">
        <f t="shared" si="75"/>
        <v>0</v>
      </c>
      <c r="I190" s="155">
        <f t="shared" si="75"/>
        <v>0</v>
      </c>
      <c r="J190" s="155">
        <f t="shared" si="75"/>
        <v>0</v>
      </c>
      <c r="K190" s="155">
        <f t="shared" si="75"/>
        <v>0</v>
      </c>
      <c r="L190" s="155">
        <f t="shared" si="75"/>
        <v>0</v>
      </c>
      <c r="M190" s="155">
        <f t="shared" si="75"/>
        <v>0</v>
      </c>
      <c r="N190" s="155">
        <f t="shared" si="75"/>
        <v>0</v>
      </c>
    </row>
    <row r="191" spans="1:15" ht="20.100000000000001" customHeight="1" x14ac:dyDescent="0.25">
      <c r="B191" s="19" t="s">
        <v>132</v>
      </c>
      <c r="C191" s="154">
        <v>0.125</v>
      </c>
    </row>
    <row r="192" spans="1:15" ht="20.100000000000001" customHeight="1" x14ac:dyDescent="0.25">
      <c r="B192" s="169" t="s">
        <v>133</v>
      </c>
      <c r="C192" s="156">
        <f>C190-5%</f>
        <v>-0.05</v>
      </c>
      <c r="D192" s="156">
        <f t="shared" ref="D192:N192" si="76">D190-5%</f>
        <v>-0.05</v>
      </c>
      <c r="E192" s="156">
        <f t="shared" si="76"/>
        <v>-0.05</v>
      </c>
      <c r="F192" s="156">
        <f t="shared" si="76"/>
        <v>-0.05</v>
      </c>
      <c r="G192" s="156">
        <f t="shared" si="76"/>
        <v>-0.05</v>
      </c>
      <c r="H192" s="156">
        <f t="shared" si="76"/>
        <v>-0.05</v>
      </c>
      <c r="I192" s="156">
        <f t="shared" si="76"/>
        <v>-0.05</v>
      </c>
      <c r="J192" s="156">
        <f t="shared" si="76"/>
        <v>-0.05</v>
      </c>
      <c r="K192" s="156">
        <f t="shared" si="76"/>
        <v>-0.05</v>
      </c>
      <c r="L192" s="156">
        <f t="shared" si="76"/>
        <v>-0.05</v>
      </c>
      <c r="M192" s="156">
        <f t="shared" si="76"/>
        <v>-0.05</v>
      </c>
      <c r="N192" s="156">
        <f t="shared" si="76"/>
        <v>-0.05</v>
      </c>
    </row>
    <row r="194" spans="1:15" ht="20.100000000000001" customHeight="1" x14ac:dyDescent="0.25">
      <c r="B194" s="149" t="s">
        <v>82</v>
      </c>
      <c r="C194" s="149" t="s">
        <v>83</v>
      </c>
      <c r="D194" s="149" t="s">
        <v>84</v>
      </c>
      <c r="E194" s="149" t="s">
        <v>85</v>
      </c>
      <c r="F194" s="149" t="s">
        <v>86</v>
      </c>
      <c r="G194" s="149" t="s">
        <v>87</v>
      </c>
      <c r="H194" s="149" t="s">
        <v>88</v>
      </c>
      <c r="I194" s="149" t="s">
        <v>89</v>
      </c>
      <c r="J194" s="149" t="s">
        <v>90</v>
      </c>
      <c r="K194" s="149" t="s">
        <v>91</v>
      </c>
      <c r="L194" s="149" t="s">
        <v>92</v>
      </c>
      <c r="M194" s="149" t="s">
        <v>93</v>
      </c>
      <c r="N194" s="149" t="s">
        <v>94</v>
      </c>
    </row>
    <row r="195" spans="1:15" ht="20.100000000000001" customHeight="1" x14ac:dyDescent="0.25">
      <c r="A195" s="157">
        <v>0</v>
      </c>
      <c r="B195" s="9" t="s">
        <v>35</v>
      </c>
      <c r="C195" s="158" t="b">
        <f>IF(C$190&gt;$C$191,C$192*$A195)</f>
        <v>0</v>
      </c>
      <c r="D195" s="158" t="b">
        <f t="shared" ref="D195:N195" si="77">IF(D$190&gt;$C$191,D$192*$A195)</f>
        <v>0</v>
      </c>
      <c r="E195" s="158" t="b">
        <f t="shared" si="77"/>
        <v>0</v>
      </c>
      <c r="F195" s="158" t="b">
        <f t="shared" si="77"/>
        <v>0</v>
      </c>
      <c r="G195" s="158" t="b">
        <f t="shared" si="77"/>
        <v>0</v>
      </c>
      <c r="H195" s="158" t="b">
        <f t="shared" si="77"/>
        <v>0</v>
      </c>
      <c r="I195" s="158" t="b">
        <f t="shared" si="77"/>
        <v>0</v>
      </c>
      <c r="J195" s="158" t="b">
        <f t="shared" si="77"/>
        <v>0</v>
      </c>
      <c r="K195" s="158" t="b">
        <f t="shared" si="77"/>
        <v>0</v>
      </c>
      <c r="L195" s="158" t="b">
        <f t="shared" si="77"/>
        <v>0</v>
      </c>
      <c r="M195" s="158" t="b">
        <f t="shared" si="77"/>
        <v>0</v>
      </c>
      <c r="N195" s="158" t="b">
        <f t="shared" si="77"/>
        <v>0</v>
      </c>
    </row>
    <row r="196" spans="1:15" ht="20.100000000000001" customHeight="1" x14ac:dyDescent="0.25">
      <c r="A196" s="157">
        <v>0</v>
      </c>
      <c r="B196" s="9" t="s">
        <v>36</v>
      </c>
      <c r="C196" s="158" t="b">
        <f t="shared" ref="C196:N200" si="78">IF(C$190&gt;$C$191,C$192*$A196)</f>
        <v>0</v>
      </c>
      <c r="D196" s="158" t="b">
        <f t="shared" si="78"/>
        <v>0</v>
      </c>
      <c r="E196" s="158" t="b">
        <f t="shared" si="78"/>
        <v>0</v>
      </c>
      <c r="F196" s="158" t="b">
        <f t="shared" si="78"/>
        <v>0</v>
      </c>
      <c r="G196" s="158" t="b">
        <f t="shared" si="78"/>
        <v>0</v>
      </c>
      <c r="H196" s="158" t="b">
        <f t="shared" si="78"/>
        <v>0</v>
      </c>
      <c r="I196" s="158" t="b">
        <f t="shared" si="78"/>
        <v>0</v>
      </c>
      <c r="J196" s="158" t="b">
        <f t="shared" si="78"/>
        <v>0</v>
      </c>
      <c r="K196" s="158" t="b">
        <f t="shared" si="78"/>
        <v>0</v>
      </c>
      <c r="L196" s="158" t="b">
        <f t="shared" si="78"/>
        <v>0</v>
      </c>
      <c r="M196" s="158" t="b">
        <f t="shared" si="78"/>
        <v>0</v>
      </c>
      <c r="N196" s="158" t="b">
        <f t="shared" si="78"/>
        <v>0</v>
      </c>
    </row>
    <row r="197" spans="1:15" ht="20.100000000000001" customHeight="1" x14ac:dyDescent="0.25">
      <c r="A197" s="157">
        <v>0</v>
      </c>
      <c r="B197" s="9" t="s">
        <v>39</v>
      </c>
      <c r="C197" s="158">
        <f>$A$197</f>
        <v>0</v>
      </c>
      <c r="D197" s="158">
        <f t="shared" ref="D197:N197" si="79">$A$197</f>
        <v>0</v>
      </c>
      <c r="E197" s="158">
        <f t="shared" si="79"/>
        <v>0</v>
      </c>
      <c r="F197" s="158">
        <f t="shared" si="79"/>
        <v>0</v>
      </c>
      <c r="G197" s="158">
        <f t="shared" si="79"/>
        <v>0</v>
      </c>
      <c r="H197" s="158">
        <f t="shared" si="79"/>
        <v>0</v>
      </c>
      <c r="I197" s="158">
        <f t="shared" si="79"/>
        <v>0</v>
      </c>
      <c r="J197" s="158">
        <f t="shared" si="79"/>
        <v>0</v>
      </c>
      <c r="K197" s="158">
        <f t="shared" si="79"/>
        <v>0</v>
      </c>
      <c r="L197" s="158">
        <f t="shared" si="79"/>
        <v>0</v>
      </c>
      <c r="M197" s="158">
        <f t="shared" si="79"/>
        <v>0</v>
      </c>
      <c r="N197" s="158">
        <f t="shared" si="79"/>
        <v>0</v>
      </c>
    </row>
    <row r="198" spans="1:15" ht="20.100000000000001" customHeight="1" x14ac:dyDescent="0.25">
      <c r="A198" s="157">
        <v>0</v>
      </c>
      <c r="B198" s="9" t="s">
        <v>129</v>
      </c>
      <c r="C198" s="158" t="b">
        <f t="shared" si="78"/>
        <v>0</v>
      </c>
      <c r="D198" s="158" t="b">
        <f t="shared" si="78"/>
        <v>0</v>
      </c>
      <c r="E198" s="158" t="b">
        <f t="shared" si="78"/>
        <v>0</v>
      </c>
      <c r="F198" s="158" t="b">
        <f t="shared" si="78"/>
        <v>0</v>
      </c>
      <c r="G198" s="158" t="b">
        <f t="shared" si="78"/>
        <v>0</v>
      </c>
      <c r="H198" s="158" t="b">
        <f t="shared" si="78"/>
        <v>0</v>
      </c>
      <c r="I198" s="158" t="b">
        <f t="shared" si="78"/>
        <v>0</v>
      </c>
      <c r="J198" s="158" t="b">
        <f t="shared" si="78"/>
        <v>0</v>
      </c>
      <c r="K198" s="158" t="b">
        <f t="shared" si="78"/>
        <v>0</v>
      </c>
      <c r="L198" s="158" t="b">
        <f t="shared" si="78"/>
        <v>0</v>
      </c>
      <c r="M198" s="158" t="b">
        <f t="shared" si="78"/>
        <v>0</v>
      </c>
      <c r="N198" s="158" t="b">
        <f t="shared" si="78"/>
        <v>0</v>
      </c>
    </row>
    <row r="199" spans="1:15" ht="20.100000000000001" customHeight="1" x14ac:dyDescent="0.25">
      <c r="A199" s="157">
        <v>0.32</v>
      </c>
      <c r="B199" s="9" t="s">
        <v>42</v>
      </c>
      <c r="C199" s="158" t="b">
        <f t="shared" si="78"/>
        <v>0</v>
      </c>
      <c r="D199" s="158" t="b">
        <f t="shared" si="78"/>
        <v>0</v>
      </c>
      <c r="E199" s="158" t="b">
        <f t="shared" si="78"/>
        <v>0</v>
      </c>
      <c r="F199" s="158" t="b">
        <f t="shared" si="78"/>
        <v>0</v>
      </c>
      <c r="G199" s="158" t="b">
        <f t="shared" si="78"/>
        <v>0</v>
      </c>
      <c r="H199" s="158" t="b">
        <f t="shared" si="78"/>
        <v>0</v>
      </c>
      <c r="I199" s="158" t="b">
        <f t="shared" si="78"/>
        <v>0</v>
      </c>
      <c r="J199" s="158" t="b">
        <f t="shared" si="78"/>
        <v>0</v>
      </c>
      <c r="K199" s="158" t="b">
        <f t="shared" si="78"/>
        <v>0</v>
      </c>
      <c r="L199" s="158" t="b">
        <f t="shared" si="78"/>
        <v>0</v>
      </c>
      <c r="M199" s="158" t="b">
        <f t="shared" si="78"/>
        <v>0</v>
      </c>
      <c r="N199" s="158" t="b">
        <f t="shared" si="78"/>
        <v>0</v>
      </c>
    </row>
    <row r="200" spans="1:15" ht="20.100000000000001" customHeight="1" x14ac:dyDescent="0.25">
      <c r="A200" s="157">
        <v>0.31330000000000002</v>
      </c>
      <c r="B200" s="9" t="s">
        <v>134</v>
      </c>
      <c r="C200" s="158" t="b">
        <f t="shared" si="78"/>
        <v>0</v>
      </c>
      <c r="D200" s="158" t="b">
        <f t="shared" si="78"/>
        <v>0</v>
      </c>
      <c r="E200" s="158" t="b">
        <f t="shared" si="78"/>
        <v>0</v>
      </c>
      <c r="F200" s="158" t="b">
        <f t="shared" si="78"/>
        <v>0</v>
      </c>
      <c r="G200" s="158" t="b">
        <f t="shared" si="78"/>
        <v>0</v>
      </c>
      <c r="H200" s="158" t="b">
        <f t="shared" si="78"/>
        <v>0</v>
      </c>
      <c r="I200" s="158" t="b">
        <f t="shared" si="78"/>
        <v>0</v>
      </c>
      <c r="J200" s="158" t="b">
        <f t="shared" si="78"/>
        <v>0</v>
      </c>
      <c r="K200" s="158" t="b">
        <f t="shared" si="78"/>
        <v>0</v>
      </c>
      <c r="L200" s="158" t="b">
        <f t="shared" si="78"/>
        <v>0</v>
      </c>
      <c r="M200" s="158" t="b">
        <f t="shared" si="78"/>
        <v>0</v>
      </c>
      <c r="N200" s="158" t="b">
        <f t="shared" si="78"/>
        <v>0</v>
      </c>
    </row>
    <row r="202" spans="1:15" ht="20.100000000000001" customHeight="1" x14ac:dyDescent="0.25">
      <c r="B202" s="169" t="s">
        <v>135</v>
      </c>
      <c r="C202" s="159">
        <f>C38</f>
        <v>0</v>
      </c>
      <c r="D202" s="159">
        <f t="shared" ref="D202:N202" si="80">D38</f>
        <v>0</v>
      </c>
      <c r="E202" s="159">
        <f t="shared" si="80"/>
        <v>0</v>
      </c>
      <c r="F202" s="159">
        <f t="shared" si="80"/>
        <v>0</v>
      </c>
      <c r="G202" s="159">
        <f t="shared" si="80"/>
        <v>0</v>
      </c>
      <c r="H202" s="159">
        <f t="shared" si="80"/>
        <v>0</v>
      </c>
      <c r="I202" s="159">
        <f t="shared" si="80"/>
        <v>0</v>
      </c>
      <c r="J202" s="159">
        <f t="shared" si="80"/>
        <v>0</v>
      </c>
      <c r="K202" s="159">
        <f t="shared" si="80"/>
        <v>0</v>
      </c>
      <c r="L202" s="159">
        <f t="shared" si="80"/>
        <v>0</v>
      </c>
      <c r="M202" s="159">
        <f t="shared" si="80"/>
        <v>0</v>
      </c>
      <c r="N202" s="159">
        <f t="shared" si="80"/>
        <v>0</v>
      </c>
      <c r="O202" s="152">
        <f>SUM(C202:N202)</f>
        <v>0</v>
      </c>
    </row>
    <row r="203" spans="1:15" ht="20.100000000000001" customHeight="1" x14ac:dyDescent="0.25">
      <c r="B203" s="9" t="s">
        <v>35</v>
      </c>
      <c r="C203" s="151">
        <f>IFERROR(C$202*C195,0)</f>
        <v>0</v>
      </c>
      <c r="D203" s="151">
        <f t="shared" ref="D203:N203" si="81">IFERROR(D$202*D195,0)</f>
        <v>0</v>
      </c>
      <c r="E203" s="151">
        <f t="shared" si="81"/>
        <v>0</v>
      </c>
      <c r="F203" s="151">
        <f t="shared" si="81"/>
        <v>0</v>
      </c>
      <c r="G203" s="151">
        <f t="shared" si="81"/>
        <v>0</v>
      </c>
      <c r="H203" s="151">
        <f t="shared" si="81"/>
        <v>0</v>
      </c>
      <c r="I203" s="151">
        <f t="shared" si="81"/>
        <v>0</v>
      </c>
      <c r="J203" s="151">
        <f t="shared" si="81"/>
        <v>0</v>
      </c>
      <c r="K203" s="151">
        <f t="shared" si="81"/>
        <v>0</v>
      </c>
      <c r="L203" s="151">
        <f t="shared" si="81"/>
        <v>0</v>
      </c>
      <c r="M203" s="151">
        <f t="shared" si="81"/>
        <v>0</v>
      </c>
      <c r="N203" s="151">
        <f t="shared" si="81"/>
        <v>0</v>
      </c>
      <c r="O203" s="152">
        <f t="shared" ref="O203:O208" si="82">SUM(C203:N203)</f>
        <v>0</v>
      </c>
    </row>
    <row r="204" spans="1:15" ht="20.100000000000001" customHeight="1" x14ac:dyDescent="0.25">
      <c r="B204" s="9" t="s">
        <v>36</v>
      </c>
      <c r="C204" s="151">
        <f t="shared" ref="C204:N208" si="83">IFERROR(C$202*C196,0)</f>
        <v>0</v>
      </c>
      <c r="D204" s="151">
        <f t="shared" si="83"/>
        <v>0</v>
      </c>
      <c r="E204" s="151">
        <f t="shared" si="83"/>
        <v>0</v>
      </c>
      <c r="F204" s="151">
        <f t="shared" si="83"/>
        <v>0</v>
      </c>
      <c r="G204" s="151">
        <f t="shared" si="83"/>
        <v>0</v>
      </c>
      <c r="H204" s="151">
        <f t="shared" si="83"/>
        <v>0</v>
      </c>
      <c r="I204" s="151">
        <f t="shared" si="83"/>
        <v>0</v>
      </c>
      <c r="J204" s="151">
        <f t="shared" si="83"/>
        <v>0</v>
      </c>
      <c r="K204" s="151">
        <f t="shared" si="83"/>
        <v>0</v>
      </c>
      <c r="L204" s="151">
        <f t="shared" si="83"/>
        <v>0</v>
      </c>
      <c r="M204" s="151">
        <f t="shared" si="83"/>
        <v>0</v>
      </c>
      <c r="N204" s="151">
        <f t="shared" si="83"/>
        <v>0</v>
      </c>
      <c r="O204" s="152">
        <f t="shared" si="82"/>
        <v>0</v>
      </c>
    </row>
    <row r="205" spans="1:15" ht="20.100000000000001" customHeight="1" x14ac:dyDescent="0.25">
      <c r="B205" s="9" t="s">
        <v>39</v>
      </c>
      <c r="C205" s="151">
        <f t="shared" si="83"/>
        <v>0</v>
      </c>
      <c r="D205" s="151">
        <f t="shared" si="83"/>
        <v>0</v>
      </c>
      <c r="E205" s="151">
        <f t="shared" si="83"/>
        <v>0</v>
      </c>
      <c r="F205" s="151">
        <f t="shared" si="83"/>
        <v>0</v>
      </c>
      <c r="G205" s="151">
        <f t="shared" si="83"/>
        <v>0</v>
      </c>
      <c r="H205" s="151">
        <f t="shared" si="83"/>
        <v>0</v>
      </c>
      <c r="I205" s="151">
        <f t="shared" si="83"/>
        <v>0</v>
      </c>
      <c r="J205" s="151">
        <f t="shared" si="83"/>
        <v>0</v>
      </c>
      <c r="K205" s="151">
        <f t="shared" si="83"/>
        <v>0</v>
      </c>
      <c r="L205" s="151">
        <f t="shared" si="83"/>
        <v>0</v>
      </c>
      <c r="M205" s="151">
        <f t="shared" si="83"/>
        <v>0</v>
      </c>
      <c r="N205" s="151">
        <f t="shared" si="83"/>
        <v>0</v>
      </c>
      <c r="O205" s="152">
        <f t="shared" si="82"/>
        <v>0</v>
      </c>
    </row>
    <row r="206" spans="1:15" ht="20.100000000000001" customHeight="1" x14ac:dyDescent="0.25">
      <c r="B206" s="9" t="s">
        <v>129</v>
      </c>
      <c r="C206" s="151">
        <f t="shared" si="83"/>
        <v>0</v>
      </c>
      <c r="D206" s="151">
        <f t="shared" si="83"/>
        <v>0</v>
      </c>
      <c r="E206" s="151">
        <f t="shared" si="83"/>
        <v>0</v>
      </c>
      <c r="F206" s="151">
        <f t="shared" si="83"/>
        <v>0</v>
      </c>
      <c r="G206" s="151">
        <f t="shared" si="83"/>
        <v>0</v>
      </c>
      <c r="H206" s="151">
        <f t="shared" si="83"/>
        <v>0</v>
      </c>
      <c r="I206" s="151">
        <f t="shared" si="83"/>
        <v>0</v>
      </c>
      <c r="J206" s="151">
        <f t="shared" si="83"/>
        <v>0</v>
      </c>
      <c r="K206" s="151">
        <f t="shared" si="83"/>
        <v>0</v>
      </c>
      <c r="L206" s="151">
        <f t="shared" si="83"/>
        <v>0</v>
      </c>
      <c r="M206" s="151">
        <f t="shared" si="83"/>
        <v>0</v>
      </c>
      <c r="N206" s="151">
        <f t="shared" si="83"/>
        <v>0</v>
      </c>
      <c r="O206" s="152">
        <f t="shared" si="82"/>
        <v>0</v>
      </c>
    </row>
    <row r="207" spans="1:15" ht="20.100000000000001" customHeight="1" x14ac:dyDescent="0.25">
      <c r="B207" s="9" t="s">
        <v>42</v>
      </c>
      <c r="C207" s="151">
        <f t="shared" si="83"/>
        <v>0</v>
      </c>
      <c r="D207" s="151">
        <f t="shared" si="83"/>
        <v>0</v>
      </c>
      <c r="E207" s="151">
        <f t="shared" si="83"/>
        <v>0</v>
      </c>
      <c r="F207" s="151">
        <f t="shared" si="83"/>
        <v>0</v>
      </c>
      <c r="G207" s="151">
        <f t="shared" si="83"/>
        <v>0</v>
      </c>
      <c r="H207" s="151">
        <f t="shared" si="83"/>
        <v>0</v>
      </c>
      <c r="I207" s="151">
        <f t="shared" si="83"/>
        <v>0</v>
      </c>
      <c r="J207" s="151">
        <f t="shared" si="83"/>
        <v>0</v>
      </c>
      <c r="K207" s="151">
        <f t="shared" si="83"/>
        <v>0</v>
      </c>
      <c r="L207" s="151">
        <f t="shared" si="83"/>
        <v>0</v>
      </c>
      <c r="M207" s="151">
        <f t="shared" si="83"/>
        <v>0</v>
      </c>
      <c r="N207" s="151">
        <f t="shared" si="83"/>
        <v>0</v>
      </c>
      <c r="O207" s="152">
        <f t="shared" si="82"/>
        <v>0</v>
      </c>
    </row>
    <row r="208" spans="1:15" ht="20.100000000000001" customHeight="1" x14ac:dyDescent="0.25">
      <c r="B208" s="9" t="s">
        <v>134</v>
      </c>
      <c r="C208" s="151">
        <f t="shared" si="83"/>
        <v>0</v>
      </c>
      <c r="D208" s="151">
        <f t="shared" si="83"/>
        <v>0</v>
      </c>
      <c r="E208" s="151">
        <f t="shared" si="83"/>
        <v>0</v>
      </c>
      <c r="F208" s="151">
        <f t="shared" si="83"/>
        <v>0</v>
      </c>
      <c r="G208" s="151">
        <f t="shared" si="83"/>
        <v>0</v>
      </c>
      <c r="H208" s="151">
        <f t="shared" si="83"/>
        <v>0</v>
      </c>
      <c r="I208" s="151">
        <f t="shared" si="83"/>
        <v>0</v>
      </c>
      <c r="J208" s="151">
        <f t="shared" si="83"/>
        <v>0</v>
      </c>
      <c r="K208" s="151">
        <f t="shared" si="83"/>
        <v>0</v>
      </c>
      <c r="L208" s="151">
        <f t="shared" si="83"/>
        <v>0</v>
      </c>
      <c r="M208" s="151">
        <f t="shared" si="83"/>
        <v>0</v>
      </c>
      <c r="N208" s="151">
        <f t="shared" si="83"/>
        <v>0</v>
      </c>
      <c r="O208" s="152">
        <f t="shared" si="82"/>
        <v>0</v>
      </c>
    </row>
    <row r="209" spans="2:15" ht="20.100000000000001" customHeight="1" x14ac:dyDescent="0.25">
      <c r="B209" s="168" t="s">
        <v>99</v>
      </c>
      <c r="C209" s="152">
        <f>SUM(C203:C208)</f>
        <v>0</v>
      </c>
      <c r="D209" s="152">
        <f t="shared" ref="D209:N209" si="84">SUM(D203:D208)</f>
        <v>0</v>
      </c>
      <c r="E209" s="152">
        <f t="shared" si="84"/>
        <v>0</v>
      </c>
      <c r="F209" s="152">
        <f t="shared" si="84"/>
        <v>0</v>
      </c>
      <c r="G209" s="152">
        <f t="shared" si="84"/>
        <v>0</v>
      </c>
      <c r="H209" s="152">
        <f t="shared" si="84"/>
        <v>0</v>
      </c>
      <c r="I209" s="152">
        <f t="shared" si="84"/>
        <v>0</v>
      </c>
      <c r="J209" s="152">
        <f t="shared" si="84"/>
        <v>0</v>
      </c>
      <c r="K209" s="152">
        <f t="shared" si="84"/>
        <v>0</v>
      </c>
      <c r="L209" s="152">
        <f t="shared" si="84"/>
        <v>0</v>
      </c>
      <c r="M209" s="152">
        <f t="shared" si="84"/>
        <v>0</v>
      </c>
      <c r="N209" s="152">
        <f t="shared" si="84"/>
        <v>0</v>
      </c>
      <c r="O209" s="152">
        <f>SUM(C209:N209)</f>
        <v>0</v>
      </c>
    </row>
  </sheetData>
  <mergeCells count="2">
    <mergeCell ref="B153:O153"/>
    <mergeCell ref="B2:F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1">
    <tabColor theme="9"/>
  </sheetPr>
  <dimension ref="A1:AD209"/>
  <sheetViews>
    <sheetView showGridLines="0" workbookViewId="0">
      <selection activeCell="C121" sqref="C121"/>
    </sheetView>
  </sheetViews>
  <sheetFormatPr defaultColWidth="20.7109375" defaultRowHeight="20.100000000000001" customHeight="1" x14ac:dyDescent="0.25"/>
  <cols>
    <col min="1" max="1" width="11" style="19" customWidth="1"/>
    <col min="2" max="15" width="12.7109375" style="19" customWidth="1"/>
    <col min="16" max="16" width="5.7109375" style="19" customWidth="1"/>
    <col min="17" max="17" width="12.7109375" style="144" customWidth="1"/>
    <col min="18" max="30" width="12.7109375" style="19" customWidth="1"/>
    <col min="31" max="16384" width="20.7109375" style="19"/>
  </cols>
  <sheetData>
    <row r="1" spans="2:30" s="20" customFormat="1" ht="20.100000000000001" customHeight="1" x14ac:dyDescent="0.25">
      <c r="Q1" s="143"/>
    </row>
    <row r="2" spans="2:30" s="22" customFormat="1" ht="20.100000000000001" customHeight="1" x14ac:dyDescent="0.25">
      <c r="B2" s="279" t="s">
        <v>147</v>
      </c>
      <c r="C2" s="279"/>
      <c r="D2" s="279"/>
      <c r="E2" s="279"/>
      <c r="Q2" s="170"/>
    </row>
    <row r="4" spans="2:30" ht="20.100000000000001" customHeight="1" x14ac:dyDescent="0.25">
      <c r="B4" s="112" t="s">
        <v>82</v>
      </c>
      <c r="C4" s="112" t="s">
        <v>83</v>
      </c>
      <c r="D4" s="112" t="s">
        <v>84</v>
      </c>
      <c r="E4" s="112" t="s">
        <v>85</v>
      </c>
      <c r="F4" s="112" t="s">
        <v>86</v>
      </c>
      <c r="G4" s="112" t="s">
        <v>87</v>
      </c>
      <c r="H4" s="112" t="s">
        <v>88</v>
      </c>
      <c r="I4" s="112" t="s">
        <v>89</v>
      </c>
      <c r="J4" s="112" t="s">
        <v>90</v>
      </c>
      <c r="K4" s="112" t="s">
        <v>91</v>
      </c>
      <c r="L4" s="112" t="s">
        <v>92</v>
      </c>
      <c r="M4" s="112" t="s">
        <v>93</v>
      </c>
      <c r="N4" s="112" t="s">
        <v>94</v>
      </c>
      <c r="O4" s="132"/>
    </row>
    <row r="5" spans="2:30" ht="20.100000000000001" customHeight="1" x14ac:dyDescent="0.25">
      <c r="B5" s="19" t="s">
        <v>120</v>
      </c>
      <c r="C5" s="132">
        <f>Simp1!D11</f>
        <v>0</v>
      </c>
      <c r="D5" s="132">
        <f>Simp1!E11</f>
        <v>0</v>
      </c>
      <c r="E5" s="132">
        <f>Simp1!F11</f>
        <v>0</v>
      </c>
      <c r="F5" s="132">
        <f>Simp1!G11</f>
        <v>0</v>
      </c>
      <c r="G5" s="132">
        <f>Simp1!H11</f>
        <v>0</v>
      </c>
      <c r="H5" s="132">
        <f>Simp1!I11</f>
        <v>0</v>
      </c>
      <c r="I5" s="132">
        <f>Simp1!J11</f>
        <v>0</v>
      </c>
      <c r="J5" s="132">
        <f>Simp1!K11</f>
        <v>0</v>
      </c>
      <c r="K5" s="132">
        <f>Simp1!L11</f>
        <v>0</v>
      </c>
      <c r="L5" s="132">
        <f>Simp1!M11</f>
        <v>0</v>
      </c>
      <c r="M5" s="132">
        <f>Simp1!N11</f>
        <v>0</v>
      </c>
      <c r="N5" s="132">
        <f>Simp1!O11</f>
        <v>0</v>
      </c>
      <c r="O5" s="132"/>
    </row>
    <row r="7" spans="2:30" ht="20.100000000000001" customHeight="1" x14ac:dyDescent="0.2">
      <c r="B7" s="120" t="s">
        <v>109</v>
      </c>
    </row>
    <row r="8" spans="2:30" ht="20.100000000000001" customHeight="1" x14ac:dyDescent="0.25">
      <c r="B8" s="112" t="s">
        <v>82</v>
      </c>
      <c r="C8" s="112" t="s">
        <v>83</v>
      </c>
      <c r="D8" s="112" t="s">
        <v>84</v>
      </c>
      <c r="E8" s="112" t="s">
        <v>85</v>
      </c>
      <c r="F8" s="112" t="s">
        <v>86</v>
      </c>
      <c r="G8" s="112" t="s">
        <v>87</v>
      </c>
      <c r="H8" s="112" t="s">
        <v>88</v>
      </c>
      <c r="I8" s="112" t="s">
        <v>89</v>
      </c>
      <c r="J8" s="112" t="s">
        <v>90</v>
      </c>
      <c r="K8" s="112" t="s">
        <v>91</v>
      </c>
      <c r="L8" s="112" t="s">
        <v>92</v>
      </c>
      <c r="M8" s="112" t="s">
        <v>93</v>
      </c>
      <c r="N8" s="112" t="s">
        <v>94</v>
      </c>
      <c r="O8" s="112" t="s">
        <v>95</v>
      </c>
    </row>
    <row r="9" spans="2:30" ht="20.100000000000001" customHeight="1" x14ac:dyDescent="0.25">
      <c r="B9" s="19" t="s">
        <v>80</v>
      </c>
      <c r="C9" s="116">
        <f>Simp5!D5</f>
        <v>0</v>
      </c>
      <c r="D9" s="116">
        <f>Simp5!E5</f>
        <v>0</v>
      </c>
      <c r="E9" s="116">
        <f>Simp5!F5</f>
        <v>0</v>
      </c>
      <c r="F9" s="116">
        <f>Simp5!G5</f>
        <v>0</v>
      </c>
      <c r="G9" s="116">
        <f>Simp5!H5</f>
        <v>0</v>
      </c>
      <c r="H9" s="116">
        <f>Simp5!I5</f>
        <v>0</v>
      </c>
      <c r="I9" s="116">
        <f>Simp5!J5</f>
        <v>0</v>
      </c>
      <c r="J9" s="116">
        <f>Simp5!K5</f>
        <v>0</v>
      </c>
      <c r="K9" s="116">
        <f>Simp5!L5</f>
        <v>0</v>
      </c>
      <c r="L9" s="116">
        <f>Simp5!M5</f>
        <v>0</v>
      </c>
      <c r="M9" s="116">
        <f>Simp5!N5</f>
        <v>0</v>
      </c>
      <c r="N9" s="116">
        <f>Simp5!O5</f>
        <v>0</v>
      </c>
      <c r="O9" s="119">
        <f t="shared" ref="O9:O14" si="0">SUM(C9:N9)</f>
        <v>0</v>
      </c>
    </row>
    <row r="10" spans="2:30" ht="20.100000000000001" customHeight="1" x14ac:dyDescent="0.25">
      <c r="B10" s="19" t="s">
        <v>81</v>
      </c>
      <c r="C10" s="116">
        <f>Simp5!D6</f>
        <v>0</v>
      </c>
      <c r="D10" s="116">
        <f>Simp5!E6</f>
        <v>0</v>
      </c>
      <c r="E10" s="116">
        <f>Simp5!F6</f>
        <v>0</v>
      </c>
      <c r="F10" s="116">
        <f>Simp5!G6</f>
        <v>0</v>
      </c>
      <c r="G10" s="116">
        <f>Simp5!H6</f>
        <v>0</v>
      </c>
      <c r="H10" s="116">
        <f>Simp5!I6</f>
        <v>0</v>
      </c>
      <c r="I10" s="116">
        <f>Simp5!J6</f>
        <v>0</v>
      </c>
      <c r="J10" s="116">
        <f>Simp5!K6</f>
        <v>0</v>
      </c>
      <c r="K10" s="116">
        <f>Simp5!L6</f>
        <v>0</v>
      </c>
      <c r="L10" s="116">
        <f>Simp5!M6</f>
        <v>0</v>
      </c>
      <c r="M10" s="116">
        <f>Simp5!N6</f>
        <v>0</v>
      </c>
      <c r="N10" s="116">
        <f>Simp5!O6</f>
        <v>0</v>
      </c>
      <c r="O10" s="119">
        <f t="shared" si="0"/>
        <v>0</v>
      </c>
    </row>
    <row r="11" spans="2:30" ht="20.100000000000001" customHeight="1" x14ac:dyDescent="0.25">
      <c r="B11" s="19" t="s">
        <v>75</v>
      </c>
      <c r="C11" s="116">
        <f>Simp5!D7</f>
        <v>0</v>
      </c>
      <c r="D11" s="116">
        <f>Simp5!E7</f>
        <v>0</v>
      </c>
      <c r="E11" s="116">
        <f>Simp5!F7</f>
        <v>0</v>
      </c>
      <c r="F11" s="116">
        <f>Simp5!G7</f>
        <v>0</v>
      </c>
      <c r="G11" s="116">
        <f>Simp5!H7</f>
        <v>0</v>
      </c>
      <c r="H11" s="116">
        <f>Simp5!I7</f>
        <v>0</v>
      </c>
      <c r="I11" s="116">
        <f>Simp5!J7</f>
        <v>0</v>
      </c>
      <c r="J11" s="116">
        <f>Simp5!K7</f>
        <v>0</v>
      </c>
      <c r="K11" s="116">
        <f>Simp5!L7</f>
        <v>0</v>
      </c>
      <c r="L11" s="116">
        <f>Simp5!M7</f>
        <v>0</v>
      </c>
      <c r="M11" s="116">
        <f>Simp5!N7</f>
        <v>0</v>
      </c>
      <c r="N11" s="116">
        <f>Simp5!O7</f>
        <v>0</v>
      </c>
      <c r="O11" s="119">
        <f t="shared" si="0"/>
        <v>0</v>
      </c>
    </row>
    <row r="12" spans="2:30" ht="20.100000000000001" customHeight="1" x14ac:dyDescent="0.25">
      <c r="B12" s="19" t="s">
        <v>76</v>
      </c>
      <c r="C12" s="116">
        <f>Simp5!D8</f>
        <v>0</v>
      </c>
      <c r="D12" s="116">
        <f>Simp5!E8</f>
        <v>0</v>
      </c>
      <c r="E12" s="116">
        <f>Simp5!F8</f>
        <v>0</v>
      </c>
      <c r="F12" s="116">
        <f>Simp5!G8</f>
        <v>0</v>
      </c>
      <c r="G12" s="116">
        <f>Simp5!H8</f>
        <v>0</v>
      </c>
      <c r="H12" s="116">
        <f>Simp5!I8</f>
        <v>0</v>
      </c>
      <c r="I12" s="116">
        <f>Simp5!J8</f>
        <v>0</v>
      </c>
      <c r="J12" s="116">
        <f>Simp5!K8</f>
        <v>0</v>
      </c>
      <c r="K12" s="116">
        <f>Simp5!L8</f>
        <v>0</v>
      </c>
      <c r="L12" s="116">
        <f>Simp5!M8</f>
        <v>0</v>
      </c>
      <c r="M12" s="116">
        <f>Simp5!N8</f>
        <v>0</v>
      </c>
      <c r="N12" s="116">
        <f>Simp5!O8</f>
        <v>0</v>
      </c>
      <c r="O12" s="119">
        <f t="shared" si="0"/>
        <v>0</v>
      </c>
    </row>
    <row r="13" spans="2:30" ht="20.100000000000001" customHeight="1" x14ac:dyDescent="0.25">
      <c r="B13" s="19" t="s">
        <v>77</v>
      </c>
      <c r="C13" s="116">
        <f>Simp5!D9</f>
        <v>0</v>
      </c>
      <c r="D13" s="116">
        <f>Simp5!E9</f>
        <v>0</v>
      </c>
      <c r="E13" s="116">
        <f>Simp5!F9</f>
        <v>0</v>
      </c>
      <c r="F13" s="116">
        <f>Simp5!G9</f>
        <v>0</v>
      </c>
      <c r="G13" s="116">
        <f>Simp5!H9</f>
        <v>0</v>
      </c>
      <c r="H13" s="116">
        <f>Simp5!I9</f>
        <v>0</v>
      </c>
      <c r="I13" s="116">
        <f>Simp5!J9</f>
        <v>0</v>
      </c>
      <c r="J13" s="116">
        <f>Simp5!K9</f>
        <v>0</v>
      </c>
      <c r="K13" s="116">
        <f>Simp5!L9</f>
        <v>0</v>
      </c>
      <c r="L13" s="116">
        <f>Simp5!M9</f>
        <v>0</v>
      </c>
      <c r="M13" s="116">
        <f>Simp5!N9</f>
        <v>0</v>
      </c>
      <c r="N13" s="116">
        <f>Simp5!O9</f>
        <v>0</v>
      </c>
      <c r="O13" s="119">
        <f t="shared" si="0"/>
        <v>0</v>
      </c>
    </row>
    <row r="14" spans="2:30" ht="20.100000000000001" customHeight="1" x14ac:dyDescent="0.25">
      <c r="B14" s="118" t="s">
        <v>99</v>
      </c>
      <c r="C14" s="119">
        <f>SUM(C9:C13)</f>
        <v>0</v>
      </c>
      <c r="D14" s="119">
        <f t="shared" ref="D14:N14" si="1">SUM(D9:D13)</f>
        <v>0</v>
      </c>
      <c r="E14" s="119">
        <f t="shared" si="1"/>
        <v>0</v>
      </c>
      <c r="F14" s="119">
        <f t="shared" si="1"/>
        <v>0</v>
      </c>
      <c r="G14" s="119">
        <f t="shared" si="1"/>
        <v>0</v>
      </c>
      <c r="H14" s="119">
        <f t="shared" si="1"/>
        <v>0</v>
      </c>
      <c r="I14" s="119">
        <f t="shared" si="1"/>
        <v>0</v>
      </c>
      <c r="J14" s="119">
        <f t="shared" si="1"/>
        <v>0</v>
      </c>
      <c r="K14" s="119">
        <f t="shared" si="1"/>
        <v>0</v>
      </c>
      <c r="L14" s="119">
        <f t="shared" si="1"/>
        <v>0</v>
      </c>
      <c r="M14" s="119">
        <f t="shared" si="1"/>
        <v>0</v>
      </c>
      <c r="N14" s="119">
        <f t="shared" si="1"/>
        <v>0</v>
      </c>
      <c r="O14" s="119">
        <f t="shared" si="0"/>
        <v>0</v>
      </c>
    </row>
    <row r="16" spans="2:30" ht="20.100000000000001" customHeight="1" x14ac:dyDescent="0.25">
      <c r="B16" s="112" t="s">
        <v>82</v>
      </c>
      <c r="C16" s="112" t="s">
        <v>83</v>
      </c>
      <c r="D16" s="112" t="s">
        <v>84</v>
      </c>
      <c r="E16" s="112" t="s">
        <v>85</v>
      </c>
      <c r="F16" s="112" t="s">
        <v>86</v>
      </c>
      <c r="G16" s="112" t="s">
        <v>87</v>
      </c>
      <c r="H16" s="112" t="s">
        <v>88</v>
      </c>
      <c r="I16" s="112" t="s">
        <v>89</v>
      </c>
      <c r="J16" s="112" t="s">
        <v>90</v>
      </c>
      <c r="K16" s="112" t="s">
        <v>91</v>
      </c>
      <c r="L16" s="112" t="s">
        <v>92</v>
      </c>
      <c r="M16" s="112" t="s">
        <v>93</v>
      </c>
      <c r="N16" s="112" t="s">
        <v>94</v>
      </c>
      <c r="O16" s="112" t="s">
        <v>95</v>
      </c>
      <c r="Q16" s="145" t="s">
        <v>82</v>
      </c>
      <c r="R16" s="112" t="s">
        <v>83</v>
      </c>
      <c r="S16" s="112" t="s">
        <v>84</v>
      </c>
      <c r="T16" s="112" t="s">
        <v>85</v>
      </c>
      <c r="U16" s="112" t="s">
        <v>86</v>
      </c>
      <c r="V16" s="112" t="s">
        <v>87</v>
      </c>
      <c r="W16" s="112" t="s">
        <v>88</v>
      </c>
      <c r="X16" s="112" t="s">
        <v>89</v>
      </c>
      <c r="Y16" s="112" t="s">
        <v>90</v>
      </c>
      <c r="Z16" s="112" t="s">
        <v>91</v>
      </c>
      <c r="AA16" s="112" t="s">
        <v>92</v>
      </c>
      <c r="AB16" s="112" t="s">
        <v>93</v>
      </c>
      <c r="AC16" s="112" t="s">
        <v>94</v>
      </c>
      <c r="AD16" s="112" t="s">
        <v>95</v>
      </c>
    </row>
    <row r="17" spans="2:30" ht="20.100000000000001" customHeight="1" x14ac:dyDescent="0.25">
      <c r="B17" s="19" t="s">
        <v>80</v>
      </c>
      <c r="C17" s="132">
        <f>C9</f>
        <v>0</v>
      </c>
      <c r="D17" s="132">
        <f t="shared" ref="D17:N17" si="2">D9</f>
        <v>0</v>
      </c>
      <c r="E17" s="132">
        <f t="shared" si="2"/>
        <v>0</v>
      </c>
      <c r="F17" s="132">
        <f t="shared" si="2"/>
        <v>0</v>
      </c>
      <c r="G17" s="132">
        <f t="shared" si="2"/>
        <v>0</v>
      </c>
      <c r="H17" s="132">
        <f t="shared" si="2"/>
        <v>0</v>
      </c>
      <c r="I17" s="132">
        <f t="shared" si="2"/>
        <v>0</v>
      </c>
      <c r="J17" s="132">
        <f t="shared" si="2"/>
        <v>0</v>
      </c>
      <c r="K17" s="132">
        <f t="shared" si="2"/>
        <v>0</v>
      </c>
      <c r="L17" s="132">
        <f t="shared" si="2"/>
        <v>0</v>
      </c>
      <c r="M17" s="132">
        <f t="shared" si="2"/>
        <v>0</v>
      </c>
      <c r="N17" s="132">
        <f t="shared" si="2"/>
        <v>0</v>
      </c>
      <c r="O17" s="119">
        <f t="shared" ref="O17:O22" si="3">SUM(C17:N17)</f>
        <v>0</v>
      </c>
      <c r="Q17" s="144" t="s">
        <v>80</v>
      </c>
      <c r="R17" s="132">
        <f>C9</f>
        <v>0</v>
      </c>
      <c r="S17" s="132">
        <f t="shared" ref="S17:AC17" si="4">D9</f>
        <v>0</v>
      </c>
      <c r="T17" s="132">
        <f t="shared" si="4"/>
        <v>0</v>
      </c>
      <c r="U17" s="132">
        <f t="shared" si="4"/>
        <v>0</v>
      </c>
      <c r="V17" s="132">
        <f t="shared" si="4"/>
        <v>0</v>
      </c>
      <c r="W17" s="132">
        <f t="shared" si="4"/>
        <v>0</v>
      </c>
      <c r="X17" s="132">
        <f t="shared" si="4"/>
        <v>0</v>
      </c>
      <c r="Y17" s="132">
        <f t="shared" si="4"/>
        <v>0</v>
      </c>
      <c r="Z17" s="132">
        <f t="shared" si="4"/>
        <v>0</v>
      </c>
      <c r="AA17" s="132">
        <f t="shared" si="4"/>
        <v>0</v>
      </c>
      <c r="AB17" s="132">
        <f t="shared" si="4"/>
        <v>0</v>
      </c>
      <c r="AC17" s="132">
        <f t="shared" si="4"/>
        <v>0</v>
      </c>
      <c r="AD17" s="119">
        <f t="shared" ref="AD17:AD22" si="5">SUM(R17:AC17)</f>
        <v>0</v>
      </c>
    </row>
    <row r="18" spans="2:30" ht="20.100000000000001" customHeight="1" x14ac:dyDescent="0.25">
      <c r="B18" s="19" t="s">
        <v>121</v>
      </c>
      <c r="C18" s="133">
        <f>IF(C5&lt;=TabS!$G$5,TabS!$H$5,IF(C5&lt;=TabS!$G$6,TabS!$H$6,IF(C5&lt;=TabS!$G$7,TabS!$H$7,IF(C5&lt;=TabS!$G$8,TabS!$H$8,IF(C5&lt;=TabS!$G$9,TabS!$H$9,IF(C5&lt;=TabS!$G$10,TabS!$H$10))))))</f>
        <v>0.04</v>
      </c>
      <c r="D18" s="133">
        <f>IF(D5&lt;=TabS!$G$5,TabS!$H$5,IF(D5&lt;=TabS!$G$6,TabS!$H$6,IF(D5&lt;=TabS!$G$7,TabS!$H$7,IF(D5&lt;=TabS!$G$8,TabS!$H$8,IF(D5&lt;=TabS!$G$9,TabS!$H$9,IF(D5&lt;=TabS!$G$10,TabS!$H$10))))))</f>
        <v>0.04</v>
      </c>
      <c r="E18" s="133">
        <f>IF(E5&lt;=TabS!$G$5,TabS!$H$5,IF(E5&lt;=TabS!$G$6,TabS!$H$6,IF(E5&lt;=TabS!$G$7,TabS!$H$7,IF(E5&lt;=TabS!$G$8,TabS!$H$8,IF(E5&lt;=TabS!$G$9,TabS!$H$9,IF(E5&lt;=TabS!$G$10,TabS!$H$10))))))</f>
        <v>0.04</v>
      </c>
      <c r="F18" s="133">
        <f>IF(F5&lt;=TabS!$G$5,TabS!$H$5,IF(F5&lt;=TabS!$G$6,TabS!$H$6,IF(F5&lt;=TabS!$G$7,TabS!$H$7,IF(F5&lt;=TabS!$G$8,TabS!$H$8,IF(F5&lt;=TabS!$G$9,TabS!$H$9,IF(F5&lt;=TabS!$G$10,TabS!$H$10))))))</f>
        <v>0.04</v>
      </c>
      <c r="G18" s="133">
        <f>IF(G5&lt;=TabS!$G$5,TabS!$H$5,IF(G5&lt;=TabS!$G$6,TabS!$H$6,IF(G5&lt;=TabS!$G$7,TabS!$H$7,IF(G5&lt;=TabS!$G$8,TabS!$H$8,IF(G5&lt;=TabS!$G$9,TabS!$H$9,IF(G5&lt;=TabS!$G$10,TabS!$H$10))))))</f>
        <v>0.04</v>
      </c>
      <c r="H18" s="133">
        <f>IF(H5&lt;=TabS!$G$5,TabS!$H$5,IF(H5&lt;=TabS!$G$6,TabS!$H$6,IF(H5&lt;=TabS!$G$7,TabS!$H$7,IF(H5&lt;=TabS!$G$8,TabS!$H$8,IF(H5&lt;=TabS!$G$9,TabS!$H$9,IF(H5&lt;=TabS!$G$10,TabS!$H$10))))))</f>
        <v>0.04</v>
      </c>
      <c r="I18" s="133">
        <f>IF(I5&lt;=TabS!$G$5,TabS!$H$5,IF(I5&lt;=TabS!$G$6,TabS!$H$6,IF(I5&lt;=TabS!$G$7,TabS!$H$7,IF(I5&lt;=TabS!$G$8,TabS!$H$8,IF(I5&lt;=TabS!$G$9,TabS!$H$9,IF(I5&lt;=TabS!$G$10,TabS!$H$10))))))</f>
        <v>0.04</v>
      </c>
      <c r="J18" s="133">
        <f>IF(J5&lt;=TabS!$G$5,TabS!$H$5,IF(J5&lt;=TabS!$G$6,TabS!$H$6,IF(J5&lt;=TabS!$G$7,TabS!$H$7,IF(J5&lt;=TabS!$G$8,TabS!$H$8,IF(J5&lt;=TabS!$G$9,TabS!$H$9,IF(J5&lt;=TabS!$G$10,TabS!$H$10))))))</f>
        <v>0.04</v>
      </c>
      <c r="K18" s="133">
        <f>IF(K5&lt;=TabS!$G$5,TabS!$H$5,IF(K5&lt;=TabS!$G$6,TabS!$H$6,IF(K5&lt;=TabS!$G$7,TabS!$H$7,IF(K5&lt;=TabS!$G$8,TabS!$H$8,IF(K5&lt;=TabS!$G$9,TabS!$H$9,IF(K5&lt;=TabS!$G$10,TabS!$H$10))))))</f>
        <v>0.04</v>
      </c>
      <c r="L18" s="133">
        <f>IF(L5&lt;=TabS!$G$5,TabS!$H$5,IF(L5&lt;=TabS!$G$6,TabS!$H$6,IF(L5&lt;=TabS!$G$7,TabS!$H$7,IF(L5&lt;=TabS!$G$8,TabS!$H$8,IF(L5&lt;=TabS!$G$9,TabS!$H$9,IF(L5&lt;=TabS!$G$10,TabS!$H$10))))))</f>
        <v>0.04</v>
      </c>
      <c r="M18" s="133">
        <f>IF(M5&lt;=TabS!$G$5,TabS!$H$5,IF(M5&lt;=TabS!$G$6,TabS!$H$6,IF(M5&lt;=TabS!$G$7,TabS!$H$7,IF(M5&lt;=TabS!$G$8,TabS!$H$8,IF(M5&lt;=TabS!$G$9,TabS!$H$9,IF(M5&lt;=TabS!$G$10,TabS!$H$10))))))</f>
        <v>0.04</v>
      </c>
      <c r="N18" s="133">
        <f>IF(N5&lt;=TabS!$G$5,TabS!$H$5,IF(N5&lt;=TabS!$G$6,TabS!$H$6,IF(N5&lt;=TabS!$G$7,TabS!$H$7,IF(N5&lt;=TabS!$G$8,TabS!$H$8,IF(N5&lt;=TabS!$G$9,TabS!$H$9,IF(N5&lt;=TabS!$G$10,TabS!$H$10))))))</f>
        <v>0.04</v>
      </c>
      <c r="O18" s="134">
        <f t="shared" si="3"/>
        <v>0.47999999999999993</v>
      </c>
      <c r="Q18" s="144" t="s">
        <v>121</v>
      </c>
      <c r="R18" s="133">
        <f>IF(C5&lt;=TabS!$G$5,TabS!$H$5,IF(C5&lt;=TabS!$G$6,TabS!$H$6,IF(C5&lt;=TabS!$G$7,TabS!$H$7,IF(C5&lt;=TabS!$G$8,TabS!$H$8,IF(C5&lt;=TabS!$G$9,TabS!$H$9,IF(C5&lt;=TabS!$G$10,TabS!$H$10))))))</f>
        <v>0.04</v>
      </c>
      <c r="S18" s="133">
        <f>IF(D5&lt;=TabS!$G$5,TabS!$H$5,IF(D5&lt;=TabS!$G$6,TabS!$H$6,IF(D5&lt;=TabS!$G$7,TabS!$H$7,IF(D5&lt;=TabS!$G$8,TabS!$H$8,IF(D5&lt;=TabS!$G$9,TabS!$H$9,IF(D5&lt;=TabS!$G$10,TabS!$H$10))))))</f>
        <v>0.04</v>
      </c>
      <c r="T18" s="133">
        <f>IF(E5&lt;=TabS!$G$5,TabS!$H$5,IF(E5&lt;=TabS!$G$6,TabS!$H$6,IF(E5&lt;=TabS!$G$7,TabS!$H$7,IF(E5&lt;=TabS!$G$8,TabS!$H$8,IF(E5&lt;=TabS!$G$9,TabS!$H$9,IF(E5&lt;=TabS!$G$10,TabS!$H$10))))))</f>
        <v>0.04</v>
      </c>
      <c r="U18" s="133">
        <f>IF(F5&lt;=TabS!$G$5,TabS!$H$5,IF(F5&lt;=TabS!$G$6,TabS!$H$6,IF(F5&lt;=TabS!$G$7,TabS!$H$7,IF(F5&lt;=TabS!$G$8,TabS!$H$8,IF(F5&lt;=TabS!$G$9,TabS!$H$9,IF(F5&lt;=TabS!$G$10,TabS!$H$10))))))</f>
        <v>0.04</v>
      </c>
      <c r="V18" s="133">
        <f>IF(G5&lt;=TabS!$G$5,TabS!$H$5,IF(G5&lt;=TabS!$G$6,TabS!$H$6,IF(G5&lt;=TabS!$G$7,TabS!$H$7,IF(G5&lt;=TabS!$G$8,TabS!$H$8,IF(G5&lt;=TabS!$G$9,TabS!$H$9,IF(G5&lt;=TabS!$G$10,TabS!$H$10))))))</f>
        <v>0.04</v>
      </c>
      <c r="W18" s="133">
        <f>IF(H5&lt;=TabS!$G$5,TabS!$H$5,IF(H5&lt;=TabS!$G$6,TabS!$H$6,IF(H5&lt;=TabS!$G$7,TabS!$H$7,IF(H5&lt;=TabS!$G$8,TabS!$H$8,IF(H5&lt;=TabS!$G$9,TabS!$H$9,IF(H5&lt;=TabS!$G$10,TabS!$H$10))))))</f>
        <v>0.04</v>
      </c>
      <c r="X18" s="133">
        <f>IF(I5&lt;=TabS!$G$5,TabS!$H$5,IF(I5&lt;=TabS!$G$6,TabS!$H$6,IF(I5&lt;=TabS!$G$7,TabS!$H$7,IF(I5&lt;=TabS!$G$8,TabS!$H$8,IF(I5&lt;=TabS!$G$9,TabS!$H$9,IF(I5&lt;=TabS!$G$10,TabS!$H$10))))))</f>
        <v>0.04</v>
      </c>
      <c r="Y18" s="133">
        <f>IF(J5&lt;=TabS!$G$5,TabS!$H$5,IF(J5&lt;=TabS!$G$6,TabS!$H$6,IF(J5&lt;=TabS!$G$7,TabS!$H$7,IF(J5&lt;=TabS!$G$8,TabS!$H$8,IF(J5&lt;=TabS!$G$9,TabS!$H$9,IF(J5&lt;=TabS!$G$10,TabS!$H$10))))))</f>
        <v>0.04</v>
      </c>
      <c r="Z18" s="133">
        <f>IF(K5&lt;=TabS!$G$5,TabS!$H$5,IF(K5&lt;=TabS!$G$6,TabS!$H$6,IF(K5&lt;=TabS!$G$7,TabS!$H$7,IF(K5&lt;=TabS!$G$8,TabS!$H$8,IF(K5&lt;=TabS!$G$9,TabS!$H$9,IF(K5&lt;=TabS!$G$10,TabS!$H$10))))))</f>
        <v>0.04</v>
      </c>
      <c r="AA18" s="133">
        <f>IF(L5&lt;=TabS!$G$5,TabS!$H$5,IF(L5&lt;=TabS!$G$6,TabS!$H$6,IF(L5&lt;=TabS!$G$7,TabS!$H$7,IF(L5&lt;=TabS!$G$8,TabS!$H$8,IF(L5&lt;=TabS!$G$9,TabS!$H$9,IF(L5&lt;=TabS!$G$10,TabS!$H$10))))))</f>
        <v>0.04</v>
      </c>
      <c r="AB18" s="133">
        <f>IF(M5&lt;=TabS!$G$5,TabS!$H$5,IF(M5&lt;=TabS!$G$6,TabS!$H$6,IF(M5&lt;=TabS!$G$7,TabS!$H$7,IF(M5&lt;=TabS!$G$8,TabS!$H$8,IF(M5&lt;=TabS!$G$9,TabS!$H$9,IF(M5&lt;=TabS!$G$10,TabS!$H$10))))))</f>
        <v>0.04</v>
      </c>
      <c r="AC18" s="133">
        <f>IF(N5&lt;=TabS!$G$5,TabS!$H$5,IF(N5&lt;=TabS!$G$6,TabS!$H$6,IF(N5&lt;=TabS!$G$7,TabS!$H$7,IF(N5&lt;=TabS!$G$8,TabS!$H$8,IF(N5&lt;=TabS!$G$9,TabS!$H$9,IF(N5&lt;=TabS!$G$10,TabS!$H$10))))))</f>
        <v>0.04</v>
      </c>
      <c r="AD18" s="134">
        <f t="shared" si="5"/>
        <v>0.47999999999999993</v>
      </c>
    </row>
    <row r="19" spans="2:30" ht="20.100000000000001" customHeight="1" x14ac:dyDescent="0.25">
      <c r="B19" s="19" t="s">
        <v>122</v>
      </c>
      <c r="C19" s="132">
        <f>IF(C5&lt;=TabS!$G$5,TabS!$I$5,IF(C5&lt;=TabS!$G$6,TabS!$I$6,IF(C5&lt;=TabS!$G$7,TabS!$I$7,IF(C5&lt;=TabS!$G$8,TabS!$I$8,IF(C5&lt;=TabS!$G$9,TabS!$I$9,IF(C5&lt;=TabS!$G$10,TabS!$I$10))))))</f>
        <v>0</v>
      </c>
      <c r="D19" s="132">
        <f>IF(D5&lt;=TabS!$G$5,TabS!$I$5,IF(D5&lt;=TabS!$G$6,TabS!$I$6,IF(D5&lt;=TabS!$G$7,TabS!$I$7,IF(D5&lt;=TabS!$G$8,TabS!$I$8,IF(D5&lt;=TabS!$G$9,TabS!$I$9,IF(D5&lt;=TabS!$G$10,TabS!$I$10))))))</f>
        <v>0</v>
      </c>
      <c r="E19" s="132">
        <f>IF(E5&lt;=TabS!$G$5,TabS!$I$5,IF(E5&lt;=TabS!$G$6,TabS!$I$6,IF(E5&lt;=TabS!$G$7,TabS!$I$7,IF(E5&lt;=TabS!$G$8,TabS!$I$8,IF(E5&lt;=TabS!$G$9,TabS!$I$9,IF(E5&lt;=TabS!$G$10,TabS!$I$10))))))</f>
        <v>0</v>
      </c>
      <c r="F19" s="132">
        <f>IF(F5&lt;=TabS!$G$5,TabS!$I$5,IF(F5&lt;=TabS!$G$6,TabS!$I$6,IF(F5&lt;=TabS!$G$7,TabS!$I$7,IF(F5&lt;=TabS!$G$8,TabS!$I$8,IF(F5&lt;=TabS!$G$9,TabS!$I$9,IF(F5&lt;=TabS!$G$10,TabS!$I$10))))))</f>
        <v>0</v>
      </c>
      <c r="G19" s="132">
        <f>IF(G5&lt;=TabS!$G$5,TabS!$I$5,IF(G5&lt;=TabS!$G$6,TabS!$I$6,IF(G5&lt;=TabS!$G$7,TabS!$I$7,IF(G5&lt;=TabS!$G$8,TabS!$I$8,IF(G5&lt;=TabS!$G$9,TabS!$I$9,IF(G5&lt;=TabS!$G$10,TabS!$I$10))))))</f>
        <v>0</v>
      </c>
      <c r="H19" s="132">
        <f>IF(H5&lt;=TabS!$G$5,TabS!$I$5,IF(H5&lt;=TabS!$G$6,TabS!$I$6,IF(H5&lt;=TabS!$G$7,TabS!$I$7,IF(H5&lt;=TabS!$G$8,TabS!$I$8,IF(H5&lt;=TabS!$G$9,TabS!$I$9,IF(H5&lt;=TabS!$G$10,TabS!$I$10))))))</f>
        <v>0</v>
      </c>
      <c r="I19" s="132">
        <f>IF(I5&lt;=TabS!$G$5,TabS!$I$5,IF(I5&lt;=TabS!$G$6,TabS!$I$6,IF(I5&lt;=TabS!$G$7,TabS!$I$7,IF(I5&lt;=TabS!$G$8,TabS!$I$8,IF(I5&lt;=TabS!$G$9,TabS!$I$9,IF(I5&lt;=TabS!$G$10,TabS!$I$10))))))</f>
        <v>0</v>
      </c>
      <c r="J19" s="132">
        <f>IF(J5&lt;=TabS!$G$5,TabS!$I$5,IF(J5&lt;=TabS!$G$6,TabS!$I$6,IF(J5&lt;=TabS!$G$7,TabS!$I$7,IF(J5&lt;=TabS!$G$8,TabS!$I$8,IF(J5&lt;=TabS!$G$9,TabS!$I$9,IF(J5&lt;=TabS!$G$10,TabS!$I$10))))))</f>
        <v>0</v>
      </c>
      <c r="K19" s="132">
        <f>IF(K5&lt;=TabS!$G$5,TabS!$I$5,IF(K5&lt;=TabS!$G$6,TabS!$I$6,IF(K5&lt;=TabS!$G$7,TabS!$I$7,IF(K5&lt;=TabS!$G$8,TabS!$I$8,IF(K5&lt;=TabS!$G$9,TabS!$I$9,IF(K5&lt;=TabS!$G$10,TabS!$I$10))))))</f>
        <v>0</v>
      </c>
      <c r="L19" s="132">
        <f>IF(L5&lt;=TabS!$G$5,TabS!$I$5,IF(L5&lt;=TabS!$G$6,TabS!$I$6,IF(L5&lt;=TabS!$G$7,TabS!$I$7,IF(L5&lt;=TabS!$G$8,TabS!$I$8,IF(L5&lt;=TabS!$G$9,TabS!$I$9,IF(L5&lt;=TabS!$G$10,TabS!$I$10))))))</f>
        <v>0</v>
      </c>
      <c r="M19" s="132">
        <f>IF(M5&lt;=TabS!$G$5,TabS!$I$5,IF(M5&lt;=TabS!$G$6,TabS!$I$6,IF(M5&lt;=TabS!$G$7,TabS!$I$7,IF(M5&lt;=TabS!$G$8,TabS!$I$8,IF(M5&lt;=TabS!$G$9,TabS!$I$9,IF(M5&lt;=TabS!$G$10,TabS!$I$10))))))</f>
        <v>0</v>
      </c>
      <c r="N19" s="132">
        <f>IF(N5&lt;=TabS!$G$5,TabS!$I$5,IF(N5&lt;=TabS!$G$6,TabS!$I$6,IF(N5&lt;=TabS!$G$7,TabS!$I$7,IF(N5&lt;=TabS!$G$8,TabS!$I$8,IF(N5&lt;=TabS!$G$9,TabS!$I$9,IF(N5&lt;=TabS!$G$10,TabS!$I$10))))))</f>
        <v>0</v>
      </c>
      <c r="O19" s="119">
        <f t="shared" si="3"/>
        <v>0</v>
      </c>
      <c r="Q19" s="144" t="s">
        <v>122</v>
      </c>
      <c r="R19" s="132">
        <f>IF(C5&lt;=TabS!$G$5,TabS!$I$5,IF(C5&lt;=TabS!$G$6,TabS!$I$6,IF(C5&lt;=TabS!$G$7,TabS!$I$7,IF(C5&lt;=TabS!$G$8,TabS!$I$8,IF(C5&lt;=TabS!$G$9,TabS!$I$9,IF(C5&lt;=TabS!$G$10,TabS!$I$10))))))</f>
        <v>0</v>
      </c>
      <c r="S19" s="132">
        <f>IF(D5&lt;=TabS!$G$5,TabS!$I$5,IF(D5&lt;=TabS!$G$6,TabS!$I$6,IF(D5&lt;=TabS!$G$7,TabS!$I$7,IF(D5&lt;=TabS!$G$8,TabS!$I$8,IF(D5&lt;=TabS!$G$9,TabS!$I$9,IF(D5&lt;=TabS!$G$10,TabS!$I$10))))))</f>
        <v>0</v>
      </c>
      <c r="T19" s="132">
        <f>IF(E5&lt;=TabS!$G$5,TabS!$I$5,IF(E5&lt;=TabS!$G$6,TabS!$I$6,IF(E5&lt;=TabS!$G$7,TabS!$I$7,IF(E5&lt;=TabS!$G$8,TabS!$I$8,IF(E5&lt;=TabS!$G$9,TabS!$I$9,IF(E5&lt;=TabS!$G$10,TabS!$I$10))))))</f>
        <v>0</v>
      </c>
      <c r="U19" s="132">
        <f>IF(F5&lt;=TabS!$G$5,TabS!$I$5,IF(F5&lt;=TabS!$G$6,TabS!$I$6,IF(F5&lt;=TabS!$G$7,TabS!$I$7,IF(F5&lt;=TabS!$G$8,TabS!$I$8,IF(F5&lt;=TabS!$G$9,TabS!$I$9,IF(F5&lt;=TabS!$G$10,TabS!$I$10))))))</f>
        <v>0</v>
      </c>
      <c r="V19" s="132">
        <f>IF(G5&lt;=TabS!$G$5,TabS!$I$5,IF(G5&lt;=TabS!$G$6,TabS!$I$6,IF(G5&lt;=TabS!$G$7,TabS!$I$7,IF(G5&lt;=TabS!$G$8,TabS!$I$8,IF(G5&lt;=TabS!$G$9,TabS!$I$9,IF(G5&lt;=TabS!$G$10,TabS!$I$10))))))</f>
        <v>0</v>
      </c>
      <c r="W19" s="132">
        <f>IF(H5&lt;=TabS!$G$5,TabS!$I$5,IF(H5&lt;=TabS!$G$6,TabS!$I$6,IF(H5&lt;=TabS!$G$7,TabS!$I$7,IF(H5&lt;=TabS!$G$8,TabS!$I$8,IF(H5&lt;=TabS!$G$9,TabS!$I$9,IF(H5&lt;=TabS!$G$10,TabS!$I$10))))))</f>
        <v>0</v>
      </c>
      <c r="X19" s="132">
        <f>IF(I5&lt;=TabS!$G$5,TabS!$I$5,IF(I5&lt;=TabS!$G$6,TabS!$I$6,IF(I5&lt;=TabS!$G$7,TabS!$I$7,IF(I5&lt;=TabS!$G$8,TabS!$I$8,IF(I5&lt;=TabS!$G$9,TabS!$I$9,IF(I5&lt;=TabS!$G$10,TabS!$I$10))))))</f>
        <v>0</v>
      </c>
      <c r="Y19" s="132">
        <f>IF(J5&lt;=TabS!$G$5,TabS!$I$5,IF(J5&lt;=TabS!$G$6,TabS!$I$6,IF(J5&lt;=TabS!$G$7,TabS!$I$7,IF(J5&lt;=TabS!$G$8,TabS!$I$8,IF(J5&lt;=TabS!$G$9,TabS!$I$9,IF(J5&lt;=TabS!$G$10,TabS!$I$10))))))</f>
        <v>0</v>
      </c>
      <c r="Z19" s="132">
        <f>IF(K5&lt;=TabS!$G$5,TabS!$I$5,IF(K5&lt;=TabS!$G$6,TabS!$I$6,IF(K5&lt;=TabS!$G$7,TabS!$I$7,IF(K5&lt;=TabS!$G$8,TabS!$I$8,IF(K5&lt;=TabS!$G$9,TabS!$I$9,IF(K5&lt;=TabS!$G$10,TabS!$I$10))))))</f>
        <v>0</v>
      </c>
      <c r="AA19" s="132">
        <f>IF(L5&lt;=TabS!$G$5,TabS!$I$5,IF(L5&lt;=TabS!$G$6,TabS!$I$6,IF(L5&lt;=TabS!$G$7,TabS!$I$7,IF(L5&lt;=TabS!$G$8,TabS!$I$8,IF(L5&lt;=TabS!$G$9,TabS!$I$9,IF(L5&lt;=TabS!$G$10,TabS!$I$10))))))</f>
        <v>0</v>
      </c>
      <c r="AB19" s="132">
        <f>IF(M5&lt;=TabS!$G$5,TabS!$I$5,IF(M5&lt;=TabS!$G$6,TabS!$I$6,IF(M5&lt;=TabS!$G$7,TabS!$I$7,IF(M5&lt;=TabS!$G$8,TabS!$I$8,IF(M5&lt;=TabS!$G$9,TabS!$I$9,IF(M5&lt;=TabS!$G$10,TabS!$I$10))))))</f>
        <v>0</v>
      </c>
      <c r="AC19" s="132">
        <f>IF(N5&lt;=TabS!$G$5,TabS!$I$5,IF(N5&lt;=TabS!$G$6,TabS!$I$6,IF(N5&lt;=TabS!$G$7,TabS!$I$7,IF(N5&lt;=TabS!$G$8,TabS!$I$8,IF(N5&lt;=TabS!$G$9,TabS!$I$9,IF(N5&lt;=TabS!$G$10,TabS!$I$10))))))</f>
        <v>0</v>
      </c>
      <c r="AD19" s="119">
        <f t="shared" si="5"/>
        <v>0</v>
      </c>
    </row>
    <row r="20" spans="2:30" ht="20.100000000000001" customHeight="1" x14ac:dyDescent="0.25">
      <c r="B20" s="49" t="s">
        <v>123</v>
      </c>
      <c r="C20" s="135">
        <f>IFERROR(C22/C5,0)</f>
        <v>0</v>
      </c>
      <c r="D20" s="135">
        <f t="shared" ref="D20:N20" si="6">IFERROR(D22/D5,0)</f>
        <v>0</v>
      </c>
      <c r="E20" s="135">
        <f t="shared" si="6"/>
        <v>0</v>
      </c>
      <c r="F20" s="135">
        <f t="shared" si="6"/>
        <v>0</v>
      </c>
      <c r="G20" s="135">
        <f t="shared" si="6"/>
        <v>0</v>
      </c>
      <c r="H20" s="135">
        <f t="shared" si="6"/>
        <v>0</v>
      </c>
      <c r="I20" s="135">
        <f t="shared" si="6"/>
        <v>0</v>
      </c>
      <c r="J20" s="135">
        <f t="shared" si="6"/>
        <v>0</v>
      </c>
      <c r="K20" s="135">
        <f t="shared" si="6"/>
        <v>0</v>
      </c>
      <c r="L20" s="135">
        <f t="shared" si="6"/>
        <v>0</v>
      </c>
      <c r="M20" s="135">
        <f t="shared" si="6"/>
        <v>0</v>
      </c>
      <c r="N20" s="135">
        <f t="shared" si="6"/>
        <v>0</v>
      </c>
      <c r="O20" s="136">
        <f t="shared" si="3"/>
        <v>0</v>
      </c>
      <c r="Q20" s="130" t="s">
        <v>123</v>
      </c>
      <c r="R20" s="135">
        <f>IFERROR(R22/C5,0)</f>
        <v>0</v>
      </c>
      <c r="S20" s="135">
        <f t="shared" ref="S20:AC20" si="7">IFERROR(S22/D5,0)</f>
        <v>0</v>
      </c>
      <c r="T20" s="135">
        <f t="shared" si="7"/>
        <v>0</v>
      </c>
      <c r="U20" s="135">
        <f t="shared" si="7"/>
        <v>0</v>
      </c>
      <c r="V20" s="135">
        <f t="shared" si="7"/>
        <v>0</v>
      </c>
      <c r="W20" s="135">
        <f t="shared" si="7"/>
        <v>0</v>
      </c>
      <c r="X20" s="135">
        <f t="shared" si="7"/>
        <v>0</v>
      </c>
      <c r="Y20" s="135">
        <f t="shared" si="7"/>
        <v>0</v>
      </c>
      <c r="Z20" s="135">
        <f t="shared" si="7"/>
        <v>0</v>
      </c>
      <c r="AA20" s="135">
        <f t="shared" si="7"/>
        <v>0</v>
      </c>
      <c r="AB20" s="135">
        <f t="shared" si="7"/>
        <v>0</v>
      </c>
      <c r="AC20" s="135">
        <f t="shared" si="7"/>
        <v>0</v>
      </c>
      <c r="AD20" s="136">
        <f t="shared" si="5"/>
        <v>0</v>
      </c>
    </row>
    <row r="21" spans="2:30" ht="20.100000000000001" customHeight="1" x14ac:dyDescent="0.25">
      <c r="B21" s="161" t="s">
        <v>125</v>
      </c>
      <c r="C21" s="137">
        <f>C17*C20</f>
        <v>0</v>
      </c>
      <c r="D21" s="137">
        <f t="shared" ref="D21:N21" si="8">D17*D20</f>
        <v>0</v>
      </c>
      <c r="E21" s="137">
        <f t="shared" si="8"/>
        <v>0</v>
      </c>
      <c r="F21" s="137">
        <f t="shared" si="8"/>
        <v>0</v>
      </c>
      <c r="G21" s="137">
        <f t="shared" si="8"/>
        <v>0</v>
      </c>
      <c r="H21" s="137">
        <f t="shared" si="8"/>
        <v>0</v>
      </c>
      <c r="I21" s="137">
        <f t="shared" si="8"/>
        <v>0</v>
      </c>
      <c r="J21" s="137">
        <f t="shared" si="8"/>
        <v>0</v>
      </c>
      <c r="K21" s="137">
        <f t="shared" si="8"/>
        <v>0</v>
      </c>
      <c r="L21" s="137">
        <f t="shared" si="8"/>
        <v>0</v>
      </c>
      <c r="M21" s="137">
        <f t="shared" si="8"/>
        <v>0</v>
      </c>
      <c r="N21" s="137">
        <f t="shared" si="8"/>
        <v>0</v>
      </c>
      <c r="O21" s="138">
        <f>SUM(C21:N21)</f>
        <v>0</v>
      </c>
      <c r="Q21" s="146" t="s">
        <v>125</v>
      </c>
      <c r="R21" s="137">
        <f>R17*R20</f>
        <v>0</v>
      </c>
      <c r="S21" s="137">
        <f t="shared" ref="S21:AC21" si="9">S17*S20</f>
        <v>0</v>
      </c>
      <c r="T21" s="137">
        <f t="shared" si="9"/>
        <v>0</v>
      </c>
      <c r="U21" s="137">
        <f t="shared" si="9"/>
        <v>0</v>
      </c>
      <c r="V21" s="137">
        <f t="shared" si="9"/>
        <v>0</v>
      </c>
      <c r="W21" s="137">
        <f t="shared" si="9"/>
        <v>0</v>
      </c>
      <c r="X21" s="137">
        <f t="shared" si="9"/>
        <v>0</v>
      </c>
      <c r="Y21" s="137">
        <f t="shared" si="9"/>
        <v>0</v>
      </c>
      <c r="Z21" s="137">
        <f t="shared" si="9"/>
        <v>0</v>
      </c>
      <c r="AA21" s="137">
        <f t="shared" si="9"/>
        <v>0</v>
      </c>
      <c r="AB21" s="137">
        <f t="shared" si="9"/>
        <v>0</v>
      </c>
      <c r="AC21" s="137">
        <f t="shared" si="9"/>
        <v>0</v>
      </c>
      <c r="AD21" s="138">
        <f t="shared" si="5"/>
        <v>0</v>
      </c>
    </row>
    <row r="22" spans="2:30" ht="20.100000000000001" customHeight="1" x14ac:dyDescent="0.25">
      <c r="B22" s="19" t="s">
        <v>124</v>
      </c>
      <c r="C22" s="132">
        <f>IFERROR((C5*C18)-C19,0)</f>
        <v>0</v>
      </c>
      <c r="D22" s="132">
        <f t="shared" ref="D22:N22" si="10">IFERROR((D5*D18)-D19,0)</f>
        <v>0</v>
      </c>
      <c r="E22" s="132">
        <f t="shared" si="10"/>
        <v>0</v>
      </c>
      <c r="F22" s="132">
        <f t="shared" si="10"/>
        <v>0</v>
      </c>
      <c r="G22" s="132">
        <f t="shared" si="10"/>
        <v>0</v>
      </c>
      <c r="H22" s="132">
        <f t="shared" si="10"/>
        <v>0</v>
      </c>
      <c r="I22" s="132">
        <f t="shared" si="10"/>
        <v>0</v>
      </c>
      <c r="J22" s="132">
        <f t="shared" si="10"/>
        <v>0</v>
      </c>
      <c r="K22" s="132">
        <f t="shared" si="10"/>
        <v>0</v>
      </c>
      <c r="L22" s="132">
        <f t="shared" si="10"/>
        <v>0</v>
      </c>
      <c r="M22" s="132">
        <f t="shared" si="10"/>
        <v>0</v>
      </c>
      <c r="N22" s="132">
        <f t="shared" si="10"/>
        <v>0</v>
      </c>
      <c r="O22" s="119">
        <f t="shared" si="3"/>
        <v>0</v>
      </c>
      <c r="Q22" s="144" t="s">
        <v>124</v>
      </c>
      <c r="R22" s="132">
        <f>IFERROR((C5*R18)-R19,0)</f>
        <v>0</v>
      </c>
      <c r="S22" s="132">
        <f t="shared" ref="S22:AC22" si="11">IFERROR((D5*S18)-S19,0)</f>
        <v>0</v>
      </c>
      <c r="T22" s="132">
        <f t="shared" si="11"/>
        <v>0</v>
      </c>
      <c r="U22" s="132">
        <f t="shared" si="11"/>
        <v>0</v>
      </c>
      <c r="V22" s="132">
        <f t="shared" si="11"/>
        <v>0</v>
      </c>
      <c r="W22" s="132">
        <f t="shared" si="11"/>
        <v>0</v>
      </c>
      <c r="X22" s="132">
        <f t="shared" si="11"/>
        <v>0</v>
      </c>
      <c r="Y22" s="132">
        <f t="shared" si="11"/>
        <v>0</v>
      </c>
      <c r="Z22" s="132">
        <f t="shared" si="11"/>
        <v>0</v>
      </c>
      <c r="AA22" s="132">
        <f t="shared" si="11"/>
        <v>0</v>
      </c>
      <c r="AB22" s="132">
        <f t="shared" si="11"/>
        <v>0</v>
      </c>
      <c r="AC22" s="132">
        <f t="shared" si="11"/>
        <v>0</v>
      </c>
      <c r="AD22" s="119">
        <f t="shared" si="5"/>
        <v>0</v>
      </c>
    </row>
    <row r="23" spans="2:30" ht="20.100000000000001" customHeight="1" x14ac:dyDescent="0.25">
      <c r="B23" s="112" t="s">
        <v>82</v>
      </c>
      <c r="C23" s="112" t="s">
        <v>83</v>
      </c>
      <c r="D23" s="112" t="s">
        <v>84</v>
      </c>
      <c r="E23" s="112" t="s">
        <v>85</v>
      </c>
      <c r="F23" s="112" t="s">
        <v>86</v>
      </c>
      <c r="G23" s="112" t="s">
        <v>87</v>
      </c>
      <c r="H23" s="112" t="s">
        <v>88</v>
      </c>
      <c r="I23" s="112" t="s">
        <v>89</v>
      </c>
      <c r="J23" s="112" t="s">
        <v>90</v>
      </c>
      <c r="K23" s="112" t="s">
        <v>91</v>
      </c>
      <c r="L23" s="112" t="s">
        <v>92</v>
      </c>
      <c r="M23" s="112" t="s">
        <v>93</v>
      </c>
      <c r="N23" s="112" t="s">
        <v>94</v>
      </c>
      <c r="O23" s="112" t="s">
        <v>95</v>
      </c>
    </row>
    <row r="24" spans="2:30" ht="20.100000000000001" customHeight="1" x14ac:dyDescent="0.25">
      <c r="B24" s="19" t="s">
        <v>81</v>
      </c>
      <c r="C24" s="132">
        <f>C10</f>
        <v>0</v>
      </c>
      <c r="D24" s="132">
        <f t="shared" ref="D24:N24" si="12">D10</f>
        <v>0</v>
      </c>
      <c r="E24" s="132">
        <f t="shared" si="12"/>
        <v>0</v>
      </c>
      <c r="F24" s="132">
        <f t="shared" si="12"/>
        <v>0</v>
      </c>
      <c r="G24" s="132">
        <f t="shared" si="12"/>
        <v>0</v>
      </c>
      <c r="H24" s="132">
        <f t="shared" si="12"/>
        <v>0</v>
      </c>
      <c r="I24" s="132">
        <f t="shared" si="12"/>
        <v>0</v>
      </c>
      <c r="J24" s="132">
        <f t="shared" si="12"/>
        <v>0</v>
      </c>
      <c r="K24" s="132">
        <f t="shared" si="12"/>
        <v>0</v>
      </c>
      <c r="L24" s="132">
        <f t="shared" si="12"/>
        <v>0</v>
      </c>
      <c r="M24" s="132">
        <f t="shared" si="12"/>
        <v>0</v>
      </c>
      <c r="N24" s="132">
        <f t="shared" si="12"/>
        <v>0</v>
      </c>
      <c r="O24" s="119">
        <f t="shared" ref="O24:O29" si="13">SUM(C24:N24)</f>
        <v>0</v>
      </c>
    </row>
    <row r="25" spans="2:30" ht="20.100000000000001" customHeight="1" x14ac:dyDescent="0.25">
      <c r="B25" s="19" t="s">
        <v>121</v>
      </c>
      <c r="C25" s="133">
        <f>IF(C5&lt;=TabS!$G$11,TabS!$H$11,IF(C5&lt;=TabS!$G$12,TabS!$H$12,IF(C5&lt;=TabS!$G$13,TabS!$H$13,IF(C5&lt;=TabS!$G$14,TabS!$H$14,IF(C5&lt;=TabS!$G$15,TabS!$H$15,IF(C5&lt;=TabS!$G$16,TabS!$H$16))))))</f>
        <v>4.4999999999999998E-2</v>
      </c>
      <c r="D25" s="133">
        <f>IF(D5&lt;=TabS!$G$11,TabS!$H$11,IF(D5&lt;=TabS!$G$12,TabS!$H$12,IF(D5&lt;=TabS!$G$13,TabS!$H$13,IF(D5&lt;=TabS!$G$14,TabS!$H$14,IF(D5&lt;=TabS!$G$15,TabS!$H$15,IF(D5&lt;=TabS!$G$16,TabS!$H$16))))))</f>
        <v>4.4999999999999998E-2</v>
      </c>
      <c r="E25" s="133">
        <f>IF(E5&lt;=TabS!$G$11,TabS!$H$11,IF(E5&lt;=TabS!$G$12,TabS!$H$12,IF(E5&lt;=TabS!$G$13,TabS!$H$13,IF(E5&lt;=TabS!$G$14,TabS!$H$14,IF(E5&lt;=TabS!$G$15,TabS!$H$15,IF(E5&lt;=TabS!$G$16,TabS!$H$16))))))</f>
        <v>4.4999999999999998E-2</v>
      </c>
      <c r="F25" s="133">
        <f>IF(F5&lt;=TabS!$G$11,TabS!$H$11,IF(F5&lt;=TabS!$G$12,TabS!$H$12,IF(F5&lt;=TabS!$G$13,TabS!$H$13,IF(F5&lt;=TabS!$G$14,TabS!$H$14,IF(F5&lt;=TabS!$G$15,TabS!$H$15,IF(F5&lt;=TabS!$G$16,TabS!$H$16))))))</f>
        <v>4.4999999999999998E-2</v>
      </c>
      <c r="G25" s="133">
        <f>IF(G5&lt;=TabS!$G$11,TabS!$H$11,IF(G5&lt;=TabS!$G$12,TabS!$H$12,IF(G5&lt;=TabS!$G$13,TabS!$H$13,IF(G5&lt;=TabS!$G$14,TabS!$H$14,IF(G5&lt;=TabS!$G$15,TabS!$H$15,IF(G5&lt;=TabS!$G$16,TabS!$H$16))))))</f>
        <v>4.4999999999999998E-2</v>
      </c>
      <c r="H25" s="133">
        <f>IF(H5&lt;=TabS!$G$11,TabS!$H$11,IF(H5&lt;=TabS!$G$12,TabS!$H$12,IF(H5&lt;=TabS!$G$13,TabS!$H$13,IF(H5&lt;=TabS!$G$14,TabS!$H$14,IF(H5&lt;=TabS!$G$15,TabS!$H$15,IF(H5&lt;=TabS!$G$16,TabS!$H$16))))))</f>
        <v>4.4999999999999998E-2</v>
      </c>
      <c r="I25" s="133">
        <f>IF(I5&lt;=TabS!$G$11,TabS!$H$11,IF(I5&lt;=TabS!$G$12,TabS!$H$12,IF(I5&lt;=TabS!$G$13,TabS!$H$13,IF(I5&lt;=TabS!$G$14,TabS!$H$14,IF(I5&lt;=TabS!$G$15,TabS!$H$15,IF(I5&lt;=TabS!$G$16,TabS!$H$16))))))</f>
        <v>4.4999999999999998E-2</v>
      </c>
      <c r="J25" s="133">
        <f>IF(J5&lt;=TabS!$G$11,TabS!$H$11,IF(J5&lt;=TabS!$G$12,TabS!$H$12,IF(J5&lt;=TabS!$G$13,TabS!$H$13,IF(J5&lt;=TabS!$G$14,TabS!$H$14,IF(J5&lt;=TabS!$G$15,TabS!$H$15,IF(J5&lt;=TabS!$G$16,TabS!$H$16))))))</f>
        <v>4.4999999999999998E-2</v>
      </c>
      <c r="K25" s="133">
        <f>IF(K5&lt;=TabS!$G$11,TabS!$H$11,IF(K5&lt;=TabS!$G$12,TabS!$H$12,IF(K5&lt;=TabS!$G$13,TabS!$H$13,IF(K5&lt;=TabS!$G$14,TabS!$H$14,IF(K5&lt;=TabS!$G$15,TabS!$H$15,IF(K5&lt;=TabS!$G$16,TabS!$H$16))))))</f>
        <v>4.4999999999999998E-2</v>
      </c>
      <c r="L25" s="133">
        <f>IF(L5&lt;=TabS!$G$11,TabS!$H$11,IF(L5&lt;=TabS!$G$12,TabS!$H$12,IF(L5&lt;=TabS!$G$13,TabS!$H$13,IF(L5&lt;=TabS!$G$14,TabS!$H$14,IF(L5&lt;=TabS!$G$15,TabS!$H$15,IF(L5&lt;=TabS!$G$16,TabS!$H$16))))))</f>
        <v>4.4999999999999998E-2</v>
      </c>
      <c r="M25" s="133">
        <f>IF(M5&lt;=TabS!$G$11,TabS!$H$11,IF(M5&lt;=TabS!$G$12,TabS!$H$12,IF(M5&lt;=TabS!$G$13,TabS!$H$13,IF(M5&lt;=TabS!$G$14,TabS!$H$14,IF(M5&lt;=TabS!$G$15,TabS!$H$15,IF(M5&lt;=TabS!$G$16,TabS!$H$16))))))</f>
        <v>4.4999999999999998E-2</v>
      </c>
      <c r="N25" s="133">
        <f>IF(N5&lt;=TabS!$G$11,TabS!$H$11,IF(N5&lt;=TabS!$G$12,TabS!$H$12,IF(N5&lt;=TabS!$G$13,TabS!$H$13,IF(N5&lt;=TabS!$G$14,TabS!$H$14,IF(N5&lt;=TabS!$G$15,TabS!$H$15,IF(N5&lt;=TabS!$G$16,TabS!$H$16))))))</f>
        <v>4.4999999999999998E-2</v>
      </c>
      <c r="O25" s="134">
        <f t="shared" si="13"/>
        <v>0.53999999999999992</v>
      </c>
    </row>
    <row r="26" spans="2:30" ht="20.100000000000001" customHeight="1" x14ac:dyDescent="0.25">
      <c r="B26" s="19" t="s">
        <v>122</v>
      </c>
      <c r="C26" s="132">
        <f>IF(C5&lt;=TabS!$G$11,TabS!$I$11,IF(C5&lt;=TabS!$G$12,TabS!$I$12,IF(C5&lt;=TabS!$G$13,TabS!$I$13,IF(C5&lt;=TabS!$G$14,TabS!$I$14,IF(C5&lt;=TabS!$G$15,TabS!$I$15,IF(C5&lt;=TabS!$G$16,TabS!$I$16))))))</f>
        <v>0</v>
      </c>
      <c r="D26" s="132">
        <f>IF(D5&lt;=TabS!$G$11,TabS!$I$11,IF(D5&lt;=TabS!$G$12,TabS!$I$12,IF(D5&lt;=TabS!$G$13,TabS!$I$13,IF(D5&lt;=TabS!$G$14,TabS!$I$14,IF(D5&lt;=TabS!$G$15,TabS!$I$15,IF(D5&lt;=TabS!$G$16,TabS!$I$16))))))</f>
        <v>0</v>
      </c>
      <c r="E26" s="132">
        <f>IF(E5&lt;=TabS!$G$11,TabS!$I$11,IF(E5&lt;=TabS!$G$12,TabS!$I$12,IF(E5&lt;=TabS!$G$13,TabS!$I$13,IF(E5&lt;=TabS!$G$14,TabS!$I$14,IF(E5&lt;=TabS!$G$15,TabS!$I$15,IF(E5&lt;=TabS!$G$16,TabS!$I$16))))))</f>
        <v>0</v>
      </c>
      <c r="F26" s="132">
        <f>IF(F5&lt;=TabS!$G$11,TabS!$I$11,IF(F5&lt;=TabS!$G$12,TabS!$I$12,IF(F5&lt;=TabS!$G$13,TabS!$I$13,IF(F5&lt;=TabS!$G$14,TabS!$I$14,IF(F5&lt;=TabS!$G$15,TabS!$I$15,IF(F5&lt;=TabS!$G$16,TabS!$I$16))))))</f>
        <v>0</v>
      </c>
      <c r="G26" s="132">
        <f>IF(G5&lt;=TabS!$G$11,TabS!$I$11,IF(G5&lt;=TabS!$G$12,TabS!$I$12,IF(G5&lt;=TabS!$G$13,TabS!$I$13,IF(G5&lt;=TabS!$G$14,TabS!$I$14,IF(G5&lt;=TabS!$G$15,TabS!$I$15,IF(G5&lt;=TabS!$G$16,TabS!$I$16))))))</f>
        <v>0</v>
      </c>
      <c r="H26" s="132">
        <f>IF(H5&lt;=TabS!$G$11,TabS!$I$11,IF(H5&lt;=TabS!$G$12,TabS!$I$12,IF(H5&lt;=TabS!$G$13,TabS!$I$13,IF(H5&lt;=TabS!$G$14,TabS!$I$14,IF(H5&lt;=TabS!$G$15,TabS!$I$15,IF(H5&lt;=TabS!$G$16,TabS!$I$16))))))</f>
        <v>0</v>
      </c>
      <c r="I26" s="132">
        <f>IF(I5&lt;=TabS!$G$11,TabS!$I$11,IF(I5&lt;=TabS!$G$12,TabS!$I$12,IF(I5&lt;=TabS!$G$13,TabS!$I$13,IF(I5&lt;=TabS!$G$14,TabS!$I$14,IF(I5&lt;=TabS!$G$15,TabS!$I$15,IF(I5&lt;=TabS!$G$16,TabS!$I$16))))))</f>
        <v>0</v>
      </c>
      <c r="J26" s="132">
        <f>IF(J5&lt;=TabS!$G$11,TabS!$I$11,IF(J5&lt;=TabS!$G$12,TabS!$I$12,IF(J5&lt;=TabS!$G$13,TabS!$I$13,IF(J5&lt;=TabS!$G$14,TabS!$I$14,IF(J5&lt;=TabS!$G$15,TabS!$I$15,IF(J5&lt;=TabS!$G$16,TabS!$I$16))))))</f>
        <v>0</v>
      </c>
      <c r="K26" s="132">
        <f>IF(K5&lt;=TabS!$G$11,TabS!$I$11,IF(K5&lt;=TabS!$G$12,TabS!$I$12,IF(K5&lt;=TabS!$G$13,TabS!$I$13,IF(K5&lt;=TabS!$G$14,TabS!$I$14,IF(K5&lt;=TabS!$G$15,TabS!$I$15,IF(K5&lt;=TabS!$G$16,TabS!$I$16))))))</f>
        <v>0</v>
      </c>
      <c r="L26" s="132">
        <f>IF(L5&lt;=TabS!$G$11,TabS!$I$11,IF(L5&lt;=TabS!$G$12,TabS!$I$12,IF(L5&lt;=TabS!$G$13,TabS!$I$13,IF(L5&lt;=TabS!$G$14,TabS!$I$14,IF(L5&lt;=TabS!$G$15,TabS!$I$15,IF(L5&lt;=TabS!$G$16,TabS!$I$16))))))</f>
        <v>0</v>
      </c>
      <c r="M26" s="132">
        <f>IF(M5&lt;=TabS!$G$11,TabS!$I$11,IF(M5&lt;=TabS!$G$12,TabS!$I$12,IF(M5&lt;=TabS!$G$13,TabS!$I$13,IF(M5&lt;=TabS!$G$14,TabS!$I$14,IF(M5&lt;=TabS!$G$15,TabS!$I$15,IF(M5&lt;=TabS!$G$16,TabS!$I$16))))))</f>
        <v>0</v>
      </c>
      <c r="N26" s="132">
        <f>IF(N5&lt;=TabS!$G$11,TabS!$I$11,IF(N5&lt;=TabS!$G$12,TabS!$I$12,IF(N5&lt;=TabS!$G$13,TabS!$I$13,IF(N5&lt;=TabS!$G$14,TabS!$I$14,IF(N5&lt;=TabS!$G$15,TabS!$I$15,IF(N5&lt;=TabS!$G$16,TabS!$I$16))))))</f>
        <v>0</v>
      </c>
      <c r="O26" s="119">
        <f t="shared" si="13"/>
        <v>0</v>
      </c>
    </row>
    <row r="27" spans="2:30" ht="20.100000000000001" customHeight="1" x14ac:dyDescent="0.25">
      <c r="B27" s="49" t="s">
        <v>123</v>
      </c>
      <c r="C27" s="135">
        <f>IFERROR(C29/C5,0)</f>
        <v>0</v>
      </c>
      <c r="D27" s="135">
        <f t="shared" ref="D27:N27" si="14">IFERROR(D29/D5,0)</f>
        <v>0</v>
      </c>
      <c r="E27" s="135">
        <f t="shared" si="14"/>
        <v>0</v>
      </c>
      <c r="F27" s="135">
        <f t="shared" si="14"/>
        <v>0</v>
      </c>
      <c r="G27" s="135">
        <f t="shared" si="14"/>
        <v>0</v>
      </c>
      <c r="H27" s="135">
        <f t="shared" si="14"/>
        <v>0</v>
      </c>
      <c r="I27" s="135">
        <f t="shared" si="14"/>
        <v>0</v>
      </c>
      <c r="J27" s="135">
        <f t="shared" si="14"/>
        <v>0</v>
      </c>
      <c r="K27" s="135">
        <f t="shared" si="14"/>
        <v>0</v>
      </c>
      <c r="L27" s="135">
        <f t="shared" si="14"/>
        <v>0</v>
      </c>
      <c r="M27" s="135">
        <f t="shared" si="14"/>
        <v>0</v>
      </c>
      <c r="N27" s="135">
        <f t="shared" si="14"/>
        <v>0</v>
      </c>
      <c r="O27" s="136">
        <f t="shared" si="13"/>
        <v>0</v>
      </c>
    </row>
    <row r="28" spans="2:30" ht="20.100000000000001" customHeight="1" x14ac:dyDescent="0.25">
      <c r="B28" s="161" t="s">
        <v>125</v>
      </c>
      <c r="C28" s="137">
        <f>C24*C27</f>
        <v>0</v>
      </c>
      <c r="D28" s="137">
        <f t="shared" ref="D28:N28" si="15">D24*D27</f>
        <v>0</v>
      </c>
      <c r="E28" s="137">
        <f t="shared" si="15"/>
        <v>0</v>
      </c>
      <c r="F28" s="137">
        <f t="shared" si="15"/>
        <v>0</v>
      </c>
      <c r="G28" s="137">
        <f t="shared" si="15"/>
        <v>0</v>
      </c>
      <c r="H28" s="137">
        <f t="shared" si="15"/>
        <v>0</v>
      </c>
      <c r="I28" s="137">
        <f t="shared" si="15"/>
        <v>0</v>
      </c>
      <c r="J28" s="137">
        <f t="shared" si="15"/>
        <v>0</v>
      </c>
      <c r="K28" s="137">
        <f t="shared" si="15"/>
        <v>0</v>
      </c>
      <c r="L28" s="137">
        <f t="shared" si="15"/>
        <v>0</v>
      </c>
      <c r="M28" s="137">
        <f t="shared" si="15"/>
        <v>0</v>
      </c>
      <c r="N28" s="137">
        <f t="shared" si="15"/>
        <v>0</v>
      </c>
      <c r="O28" s="138">
        <f>SUM(C28:N28)</f>
        <v>0</v>
      </c>
    </row>
    <row r="29" spans="2:30" ht="20.100000000000001" customHeight="1" x14ac:dyDescent="0.25">
      <c r="B29" s="19" t="s">
        <v>124</v>
      </c>
      <c r="C29" s="132">
        <f>IFERROR((C5*C25)-C26,0)</f>
        <v>0</v>
      </c>
      <c r="D29" s="132">
        <f t="shared" ref="D29:N29" si="16">IFERROR((D5*D25)-D26,0)</f>
        <v>0</v>
      </c>
      <c r="E29" s="132">
        <f t="shared" si="16"/>
        <v>0</v>
      </c>
      <c r="F29" s="132">
        <f t="shared" si="16"/>
        <v>0</v>
      </c>
      <c r="G29" s="132">
        <f t="shared" si="16"/>
        <v>0</v>
      </c>
      <c r="H29" s="132">
        <f t="shared" si="16"/>
        <v>0</v>
      </c>
      <c r="I29" s="132">
        <f t="shared" si="16"/>
        <v>0</v>
      </c>
      <c r="J29" s="132">
        <f t="shared" si="16"/>
        <v>0</v>
      </c>
      <c r="K29" s="132">
        <f t="shared" si="16"/>
        <v>0</v>
      </c>
      <c r="L29" s="132">
        <f t="shared" si="16"/>
        <v>0</v>
      </c>
      <c r="M29" s="132">
        <f t="shared" si="16"/>
        <v>0</v>
      </c>
      <c r="N29" s="132">
        <f t="shared" si="16"/>
        <v>0</v>
      </c>
      <c r="O29" s="119">
        <f t="shared" si="13"/>
        <v>0</v>
      </c>
    </row>
    <row r="30" spans="2:30" ht="20.100000000000001" customHeight="1" x14ac:dyDescent="0.25">
      <c r="B30" s="112" t="s">
        <v>82</v>
      </c>
      <c r="C30" s="112" t="s">
        <v>83</v>
      </c>
      <c r="D30" s="112" t="s">
        <v>84</v>
      </c>
      <c r="E30" s="112" t="s">
        <v>85</v>
      </c>
      <c r="F30" s="112" t="s">
        <v>86</v>
      </c>
      <c r="G30" s="112" t="s">
        <v>87</v>
      </c>
      <c r="H30" s="112" t="s">
        <v>88</v>
      </c>
      <c r="I30" s="112" t="s">
        <v>89</v>
      </c>
      <c r="J30" s="112" t="s">
        <v>90</v>
      </c>
      <c r="K30" s="112" t="s">
        <v>91</v>
      </c>
      <c r="L30" s="112" t="s">
        <v>92</v>
      </c>
      <c r="M30" s="112" t="s">
        <v>93</v>
      </c>
      <c r="N30" s="112" t="s">
        <v>94</v>
      </c>
      <c r="O30" s="112" t="s">
        <v>95</v>
      </c>
      <c r="Q30" s="145" t="s">
        <v>82</v>
      </c>
      <c r="R30" s="112" t="s">
        <v>83</v>
      </c>
      <c r="S30" s="112" t="s">
        <v>84</v>
      </c>
      <c r="T30" s="112" t="s">
        <v>85</v>
      </c>
      <c r="U30" s="112" t="s">
        <v>86</v>
      </c>
      <c r="V30" s="112" t="s">
        <v>87</v>
      </c>
      <c r="W30" s="112" t="s">
        <v>88</v>
      </c>
      <c r="X30" s="112" t="s">
        <v>89</v>
      </c>
      <c r="Y30" s="112" t="s">
        <v>90</v>
      </c>
      <c r="Z30" s="112" t="s">
        <v>91</v>
      </c>
      <c r="AA30" s="112" t="s">
        <v>92</v>
      </c>
      <c r="AB30" s="112" t="s">
        <v>93</v>
      </c>
      <c r="AC30" s="112" t="s">
        <v>94</v>
      </c>
      <c r="AD30" s="112" t="s">
        <v>95</v>
      </c>
    </row>
    <row r="31" spans="2:30" ht="20.100000000000001" customHeight="1" x14ac:dyDescent="0.25">
      <c r="B31" s="19" t="s">
        <v>75</v>
      </c>
      <c r="C31" s="132">
        <f>C11</f>
        <v>0</v>
      </c>
      <c r="D31" s="132">
        <f t="shared" ref="D31:N31" si="17">D11</f>
        <v>0</v>
      </c>
      <c r="E31" s="132">
        <f t="shared" si="17"/>
        <v>0</v>
      </c>
      <c r="F31" s="132">
        <f t="shared" si="17"/>
        <v>0</v>
      </c>
      <c r="G31" s="132">
        <f t="shared" si="17"/>
        <v>0</v>
      </c>
      <c r="H31" s="132">
        <f t="shared" si="17"/>
        <v>0</v>
      </c>
      <c r="I31" s="132">
        <f t="shared" si="17"/>
        <v>0</v>
      </c>
      <c r="J31" s="132">
        <f t="shared" si="17"/>
        <v>0</v>
      </c>
      <c r="K31" s="132">
        <f t="shared" si="17"/>
        <v>0</v>
      </c>
      <c r="L31" s="132">
        <f t="shared" si="17"/>
        <v>0</v>
      </c>
      <c r="M31" s="132">
        <f t="shared" si="17"/>
        <v>0</v>
      </c>
      <c r="N31" s="132">
        <f t="shared" si="17"/>
        <v>0</v>
      </c>
      <c r="O31" s="119">
        <f t="shared" ref="O31:O36" si="18">SUM(C31:N31)</f>
        <v>0</v>
      </c>
      <c r="Q31" s="144" t="s">
        <v>75</v>
      </c>
      <c r="R31" s="132">
        <f>C11</f>
        <v>0</v>
      </c>
      <c r="S31" s="132">
        <f t="shared" ref="S31:AC31" si="19">D11</f>
        <v>0</v>
      </c>
      <c r="T31" s="132">
        <f t="shared" si="19"/>
        <v>0</v>
      </c>
      <c r="U31" s="132">
        <f t="shared" si="19"/>
        <v>0</v>
      </c>
      <c r="V31" s="132">
        <f t="shared" si="19"/>
        <v>0</v>
      </c>
      <c r="W31" s="132">
        <f t="shared" si="19"/>
        <v>0</v>
      </c>
      <c r="X31" s="132">
        <f t="shared" si="19"/>
        <v>0</v>
      </c>
      <c r="Y31" s="132">
        <f t="shared" si="19"/>
        <v>0</v>
      </c>
      <c r="Z31" s="132">
        <f t="shared" si="19"/>
        <v>0</v>
      </c>
      <c r="AA31" s="132">
        <f t="shared" si="19"/>
        <v>0</v>
      </c>
      <c r="AB31" s="132">
        <f t="shared" si="19"/>
        <v>0</v>
      </c>
      <c r="AC31" s="132">
        <f t="shared" si="19"/>
        <v>0</v>
      </c>
      <c r="AD31" s="119">
        <f t="shared" ref="AD31:AD36" si="20">SUM(R31:AC31)</f>
        <v>0</v>
      </c>
    </row>
    <row r="32" spans="2:30" ht="20.100000000000001" customHeight="1" x14ac:dyDescent="0.25">
      <c r="B32" s="19" t="s">
        <v>121</v>
      </c>
      <c r="C32" s="133">
        <f>IF(C5&lt;=TabS!$G$17,TabS!$H$17,IF(C5&lt;=TabS!$G$18,TabS!$H$18,IF(C5&lt;=TabS!$G$19,TabS!$H$19,IF(C5&lt;=TabS!$G$20,TabS!$H$20,IF(C5&lt;=TabS!$G$21,TabS!$H$21,IF(C5&lt;=TabS!$G$22,TabS!$H$22))))))</f>
        <v>0.06</v>
      </c>
      <c r="D32" s="133">
        <f>IF(D5&lt;=TabS!$G$17,TabS!$H$17,IF(D5&lt;=TabS!$G$18,TabS!$H$18,IF(D5&lt;=TabS!$G$19,TabS!$H$19,IF(D5&lt;=TabS!$G$20,TabS!$H$20,IF(D5&lt;=TabS!$G$21,TabS!$H$21,IF(D5&lt;=TabS!$G$22,TabS!$H$22))))))</f>
        <v>0.06</v>
      </c>
      <c r="E32" s="133">
        <f>IF(E5&lt;=TabS!$G$17,TabS!$H$17,IF(E5&lt;=TabS!$G$18,TabS!$H$18,IF(E5&lt;=TabS!$G$19,TabS!$H$19,IF(E5&lt;=TabS!$G$20,TabS!$H$20,IF(E5&lt;=TabS!$G$21,TabS!$H$21,IF(E5&lt;=TabS!$G$22,TabS!$H$22))))))</f>
        <v>0.06</v>
      </c>
      <c r="F32" s="133">
        <f>IF(F5&lt;=TabS!$G$17,TabS!$H$17,IF(F5&lt;=TabS!$G$18,TabS!$H$18,IF(F5&lt;=TabS!$G$19,TabS!$H$19,IF(F5&lt;=TabS!$G$20,TabS!$H$20,IF(F5&lt;=TabS!$G$21,TabS!$H$21,IF(F5&lt;=TabS!$G$22,TabS!$H$22))))))</f>
        <v>0.06</v>
      </c>
      <c r="G32" s="133">
        <f>IF(G5&lt;=TabS!$G$17,TabS!$H$17,IF(G5&lt;=TabS!$G$18,TabS!$H$18,IF(G5&lt;=TabS!$G$19,TabS!$H$19,IF(G5&lt;=TabS!$G$20,TabS!$H$20,IF(G5&lt;=TabS!$G$21,TabS!$H$21,IF(G5&lt;=TabS!$G$22,TabS!$H$22))))))</f>
        <v>0.06</v>
      </c>
      <c r="H32" s="133">
        <f>IF(H5&lt;=TabS!$G$17,TabS!$H$17,IF(H5&lt;=TabS!$G$18,TabS!$H$18,IF(H5&lt;=TabS!$G$19,TabS!$H$19,IF(H5&lt;=TabS!$G$20,TabS!$H$20,IF(H5&lt;=TabS!$G$21,TabS!$H$21,IF(H5&lt;=TabS!$G$22,TabS!$H$22))))))</f>
        <v>0.06</v>
      </c>
      <c r="I32" s="133">
        <f>IF(I5&lt;=TabS!$G$17,TabS!$H$17,IF(I5&lt;=TabS!$G$18,TabS!$H$18,IF(I5&lt;=TabS!$G$19,TabS!$H$19,IF(I5&lt;=TabS!$G$20,TabS!$H$20,IF(I5&lt;=TabS!$G$21,TabS!$H$21,IF(I5&lt;=TabS!$G$22,TabS!$H$22))))))</f>
        <v>0.06</v>
      </c>
      <c r="J32" s="133">
        <f>IF(J5&lt;=TabS!$G$17,TabS!$H$17,IF(J5&lt;=TabS!$G$18,TabS!$H$18,IF(J5&lt;=TabS!$G$19,TabS!$H$19,IF(J5&lt;=TabS!$G$20,TabS!$H$20,IF(J5&lt;=TabS!$G$21,TabS!$H$21,IF(J5&lt;=TabS!$G$22,TabS!$H$22))))))</f>
        <v>0.06</v>
      </c>
      <c r="K32" s="133">
        <f>IF(K5&lt;=TabS!$G$17,TabS!$H$17,IF(K5&lt;=TabS!$G$18,TabS!$H$18,IF(K5&lt;=TabS!$G$19,TabS!$H$19,IF(K5&lt;=TabS!$G$20,TabS!$H$20,IF(K5&lt;=TabS!$G$21,TabS!$H$21,IF(K5&lt;=TabS!$G$22,TabS!$H$22))))))</f>
        <v>0.06</v>
      </c>
      <c r="L32" s="133">
        <f>IF(L5&lt;=TabS!$G$17,TabS!$H$17,IF(L5&lt;=TabS!$G$18,TabS!$H$18,IF(L5&lt;=TabS!$G$19,TabS!$H$19,IF(L5&lt;=TabS!$G$20,TabS!$H$20,IF(L5&lt;=TabS!$G$21,TabS!$H$21,IF(L5&lt;=TabS!$G$22,TabS!$H$22))))))</f>
        <v>0.06</v>
      </c>
      <c r="M32" s="133">
        <f>IF(M5&lt;=TabS!$G$17,TabS!$H$17,IF(M5&lt;=TabS!$G$18,TabS!$H$18,IF(M5&lt;=TabS!$G$19,TabS!$H$19,IF(M5&lt;=TabS!$G$20,TabS!$H$20,IF(M5&lt;=TabS!$G$21,TabS!$H$21,IF(M5&lt;=TabS!$G$22,TabS!$H$22))))))</f>
        <v>0.06</v>
      </c>
      <c r="N32" s="133">
        <f>IF(N5&lt;=TabS!$G$17,TabS!$H$17,IF(N5&lt;=TabS!$G$18,TabS!$H$18,IF(N5&lt;=TabS!$G$19,TabS!$H$19,IF(N5&lt;=TabS!$G$20,TabS!$H$20,IF(N5&lt;=TabS!$G$21,TabS!$H$21,IF(N5&lt;=TabS!$G$22,TabS!$H$22))))))</f>
        <v>0.06</v>
      </c>
      <c r="O32" s="134">
        <f t="shared" si="18"/>
        <v>0.7200000000000002</v>
      </c>
      <c r="Q32" s="144" t="s">
        <v>121</v>
      </c>
      <c r="R32" s="133">
        <f>IF(C5&gt;TabS!$G$21,TabS!$H$21,0)</f>
        <v>0</v>
      </c>
      <c r="S32" s="133">
        <f>IF(D5&gt;TabS!$G$21,TabS!$H$21,0)</f>
        <v>0</v>
      </c>
      <c r="T32" s="133">
        <f>IF(E5&gt;TabS!$G$21,TabS!$H$21,0)</f>
        <v>0</v>
      </c>
      <c r="U32" s="133">
        <f>IF(F5&gt;TabS!$G$21,TabS!$H$21,0)</f>
        <v>0</v>
      </c>
      <c r="V32" s="133">
        <f>IF(G5&gt;TabS!$G$21,TabS!$H$21,0)</f>
        <v>0</v>
      </c>
      <c r="W32" s="133">
        <f>IF(H5&gt;TabS!$G$21,TabS!$H$21,0)</f>
        <v>0</v>
      </c>
      <c r="X32" s="133">
        <f>IF(I5&gt;TabS!$G$21,TabS!$H$21,0)</f>
        <v>0</v>
      </c>
      <c r="Y32" s="133">
        <f>IF(J5&gt;TabS!$G$21,TabS!$H$21,0)</f>
        <v>0</v>
      </c>
      <c r="Z32" s="133">
        <f>IF(K5&gt;TabS!$G$21,TabS!$H$21,0)</f>
        <v>0</v>
      </c>
      <c r="AA32" s="133">
        <f>IF(L5&gt;TabS!$G$21,TabS!$H$21,0)</f>
        <v>0</v>
      </c>
      <c r="AB32" s="133">
        <f>IF(M5&gt;TabS!$G$21,TabS!$H$21,0)</f>
        <v>0</v>
      </c>
      <c r="AC32" s="133">
        <f>IF(N5&gt;TabS!$G$21,TabS!$H$21,0)</f>
        <v>0</v>
      </c>
      <c r="AD32" s="134">
        <f t="shared" si="20"/>
        <v>0</v>
      </c>
    </row>
    <row r="33" spans="2:30" ht="20.100000000000001" customHeight="1" x14ac:dyDescent="0.25">
      <c r="B33" s="19" t="s">
        <v>122</v>
      </c>
      <c r="C33" s="132">
        <f>IF(C5&lt;=TabS!$G$17,TabS!$I$17,IF(C5&lt;=TabS!$G$18,TabS!$I$18,IF(C5&lt;=TabS!$G$19,TabS!$I$19,IF(C5&lt;=TabS!$G$20,TabS!$I$20,IF(C5&lt;=TabS!$G$21,TabS!$I$21,IF(C5&lt;=TabS!$G$22,TabS!$I$22))))))</f>
        <v>0</v>
      </c>
      <c r="D33" s="132">
        <f>IF(D5&lt;=TabS!$G$17,TabS!$I$17,IF(D5&lt;=TabS!$G$18,TabS!$I$18,IF(D5&lt;=TabS!$G$19,TabS!$I$19,IF(D5&lt;=TabS!$G$20,TabS!$I$20,IF(D5&lt;=TabS!$G$21,TabS!$I$21,IF(D5&lt;=TabS!$G$22,TabS!$I$22))))))</f>
        <v>0</v>
      </c>
      <c r="E33" s="132">
        <f>IF(E5&lt;=TabS!$G$17,TabS!$I$17,IF(E5&lt;=TabS!$G$18,TabS!$I$18,IF(E5&lt;=TabS!$G$19,TabS!$I$19,IF(E5&lt;=TabS!$G$20,TabS!$I$20,IF(E5&lt;=TabS!$G$21,TabS!$I$21,IF(E5&lt;=TabS!$G$22,TabS!$I$22))))))</f>
        <v>0</v>
      </c>
      <c r="F33" s="132">
        <f>IF(F5&lt;=TabS!$G$17,TabS!$I$17,IF(F5&lt;=TabS!$G$18,TabS!$I$18,IF(F5&lt;=TabS!$G$19,TabS!$I$19,IF(F5&lt;=TabS!$G$20,TabS!$I$20,IF(F5&lt;=TabS!$G$21,TabS!$I$21,IF(F5&lt;=TabS!$G$22,TabS!$I$22))))))</f>
        <v>0</v>
      </c>
      <c r="G33" s="132">
        <f>IF(G5&lt;=TabS!$G$17,TabS!$I$17,IF(G5&lt;=TabS!$G$18,TabS!$I$18,IF(G5&lt;=TabS!$G$19,TabS!$I$19,IF(G5&lt;=TabS!$G$20,TabS!$I$20,IF(G5&lt;=TabS!$G$21,TabS!$I$21,IF(G5&lt;=TabS!$G$22,TabS!$I$22))))))</f>
        <v>0</v>
      </c>
      <c r="H33" s="132">
        <f>IF(H5&lt;=TabS!$G$17,TabS!$I$17,IF(H5&lt;=TabS!$G$18,TabS!$I$18,IF(H5&lt;=TabS!$G$19,TabS!$I$19,IF(H5&lt;=TabS!$G$20,TabS!$I$20,IF(H5&lt;=TabS!$G$21,TabS!$I$21,IF(H5&lt;=TabS!$G$22,TabS!$I$22))))))</f>
        <v>0</v>
      </c>
      <c r="I33" s="132">
        <f>IF(I5&lt;=TabS!$G$17,TabS!$I$17,IF(I5&lt;=TabS!$G$18,TabS!$I$18,IF(I5&lt;=TabS!$G$19,TabS!$I$19,IF(I5&lt;=TabS!$G$20,TabS!$I$20,IF(I5&lt;=TabS!$G$21,TabS!$I$21,IF(I5&lt;=TabS!$G$22,TabS!$I$22))))))</f>
        <v>0</v>
      </c>
      <c r="J33" s="132">
        <f>IF(J5&lt;=TabS!$G$17,TabS!$I$17,IF(J5&lt;=TabS!$G$18,TabS!$I$18,IF(J5&lt;=TabS!$G$19,TabS!$I$19,IF(J5&lt;=TabS!$G$20,TabS!$I$20,IF(J5&lt;=TabS!$G$21,TabS!$I$21,IF(J5&lt;=TabS!$G$22,TabS!$I$22))))))</f>
        <v>0</v>
      </c>
      <c r="K33" s="132">
        <f>IF(K5&lt;=TabS!$G$17,TabS!$I$17,IF(K5&lt;=TabS!$G$18,TabS!$I$18,IF(K5&lt;=TabS!$G$19,TabS!$I$19,IF(K5&lt;=TabS!$G$20,TabS!$I$20,IF(K5&lt;=TabS!$G$21,TabS!$I$21,IF(K5&lt;=TabS!$G$22,TabS!$I$22))))))</f>
        <v>0</v>
      </c>
      <c r="L33" s="132">
        <f>IF(L5&lt;=TabS!$G$17,TabS!$I$17,IF(L5&lt;=TabS!$G$18,TabS!$I$18,IF(L5&lt;=TabS!$G$19,TabS!$I$19,IF(L5&lt;=TabS!$G$20,TabS!$I$20,IF(L5&lt;=TabS!$G$21,TabS!$I$21,IF(L5&lt;=TabS!$G$22,TabS!$I$22))))))</f>
        <v>0</v>
      </c>
      <c r="M33" s="132">
        <f>IF(M5&lt;=TabS!$G$17,TabS!$I$17,IF(M5&lt;=TabS!$G$18,TabS!$I$18,IF(M5&lt;=TabS!$G$19,TabS!$I$19,IF(M5&lt;=TabS!$G$20,TabS!$I$20,IF(M5&lt;=TabS!$G$21,TabS!$I$21,IF(M5&lt;=TabS!$G$22,TabS!$I$22))))))</f>
        <v>0</v>
      </c>
      <c r="N33" s="132">
        <f>IF(N5&lt;=TabS!$G$17,TabS!$I$17,IF(N5&lt;=TabS!$G$18,TabS!$I$18,IF(N5&lt;=TabS!$G$19,TabS!$I$19,IF(N5&lt;=TabS!$G$20,TabS!$I$20,IF(N5&lt;=TabS!$G$21,TabS!$I$21,IF(N5&lt;=TabS!$G$22,TabS!$I$22))))))</f>
        <v>0</v>
      </c>
      <c r="O33" s="119">
        <f t="shared" si="18"/>
        <v>0</v>
      </c>
      <c r="Q33" s="144" t="s">
        <v>122</v>
      </c>
      <c r="R33" s="132">
        <f>IF(C5&gt;TabS!$G$21,TabS!$I$21,0)</f>
        <v>0</v>
      </c>
      <c r="S33" s="132">
        <f>IF(D5&gt;TabS!$G$21,TabS!$I$21,0)</f>
        <v>0</v>
      </c>
      <c r="T33" s="132">
        <f>IF(E5&gt;TabS!$G$21,TabS!$I$21,0)</f>
        <v>0</v>
      </c>
      <c r="U33" s="132">
        <f>IF(F5&gt;TabS!$G$21,TabS!$I$21,0)</f>
        <v>0</v>
      </c>
      <c r="V33" s="132">
        <f>IF(G5&gt;TabS!$G$21,TabS!$I$21,0)</f>
        <v>0</v>
      </c>
      <c r="W33" s="132">
        <f>IF(H5&gt;TabS!$G$21,TabS!$I$21,0)</f>
        <v>0</v>
      </c>
      <c r="X33" s="132">
        <f>IF(I5&gt;TabS!$G$21,TabS!$I$21,0)</f>
        <v>0</v>
      </c>
      <c r="Y33" s="132">
        <f>IF(J5&gt;TabS!$G$21,TabS!$I$21,0)</f>
        <v>0</v>
      </c>
      <c r="Z33" s="132">
        <f>IF(K5&gt;TabS!$G$21,TabS!$I$21,0)</f>
        <v>0</v>
      </c>
      <c r="AA33" s="132">
        <f>IF(L5&gt;TabS!$G$21,TabS!$I$21,0)</f>
        <v>0</v>
      </c>
      <c r="AB33" s="132">
        <f>IF(M5&gt;TabS!$G$21,TabS!$I$21,0)</f>
        <v>0</v>
      </c>
      <c r="AC33" s="132">
        <f>IF(N5&gt;TabS!$G$21,TabS!$I$21,0)</f>
        <v>0</v>
      </c>
      <c r="AD33" s="119">
        <f t="shared" si="20"/>
        <v>0</v>
      </c>
    </row>
    <row r="34" spans="2:30" ht="20.100000000000001" customHeight="1" x14ac:dyDescent="0.25">
      <c r="B34" s="49" t="s">
        <v>123</v>
      </c>
      <c r="C34" s="135">
        <f>IFERROR(C36/C5,0)</f>
        <v>0</v>
      </c>
      <c r="D34" s="135">
        <f t="shared" ref="D34:N34" si="21">IFERROR(D36/D5,0)</f>
        <v>0</v>
      </c>
      <c r="E34" s="135">
        <f t="shared" si="21"/>
        <v>0</v>
      </c>
      <c r="F34" s="135">
        <f t="shared" si="21"/>
        <v>0</v>
      </c>
      <c r="G34" s="135">
        <f t="shared" si="21"/>
        <v>0</v>
      </c>
      <c r="H34" s="135">
        <f t="shared" si="21"/>
        <v>0</v>
      </c>
      <c r="I34" s="135">
        <f t="shared" si="21"/>
        <v>0</v>
      </c>
      <c r="J34" s="135">
        <f t="shared" si="21"/>
        <v>0</v>
      </c>
      <c r="K34" s="135">
        <f t="shared" si="21"/>
        <v>0</v>
      </c>
      <c r="L34" s="135">
        <f t="shared" si="21"/>
        <v>0</v>
      </c>
      <c r="M34" s="135">
        <f t="shared" si="21"/>
        <v>0</v>
      </c>
      <c r="N34" s="135">
        <f t="shared" si="21"/>
        <v>0</v>
      </c>
      <c r="O34" s="136">
        <f t="shared" si="18"/>
        <v>0</v>
      </c>
      <c r="Q34" s="130" t="s">
        <v>123</v>
      </c>
      <c r="R34" s="135">
        <f>IFERROR(R36/C5,0)</f>
        <v>0</v>
      </c>
      <c r="S34" s="135">
        <f t="shared" ref="S34:AC34" si="22">IFERROR(S36/D5,0)</f>
        <v>0</v>
      </c>
      <c r="T34" s="135">
        <f t="shared" si="22"/>
        <v>0</v>
      </c>
      <c r="U34" s="135">
        <f t="shared" si="22"/>
        <v>0</v>
      </c>
      <c r="V34" s="135">
        <f t="shared" si="22"/>
        <v>0</v>
      </c>
      <c r="W34" s="135">
        <f t="shared" si="22"/>
        <v>0</v>
      </c>
      <c r="X34" s="135">
        <f t="shared" si="22"/>
        <v>0</v>
      </c>
      <c r="Y34" s="135">
        <f t="shared" si="22"/>
        <v>0</v>
      </c>
      <c r="Z34" s="135">
        <f t="shared" si="22"/>
        <v>0</v>
      </c>
      <c r="AA34" s="135">
        <f t="shared" si="22"/>
        <v>0</v>
      </c>
      <c r="AB34" s="135">
        <f t="shared" si="22"/>
        <v>0</v>
      </c>
      <c r="AC34" s="135">
        <f t="shared" si="22"/>
        <v>0</v>
      </c>
      <c r="AD34" s="136">
        <f t="shared" si="20"/>
        <v>0</v>
      </c>
    </row>
    <row r="35" spans="2:30" ht="20.100000000000001" customHeight="1" x14ac:dyDescent="0.25">
      <c r="B35" s="161" t="s">
        <v>125</v>
      </c>
      <c r="C35" s="137">
        <f>C31*C34</f>
        <v>0</v>
      </c>
      <c r="D35" s="137">
        <f t="shared" ref="D35:N35" si="23">D31*D34</f>
        <v>0</v>
      </c>
      <c r="E35" s="137">
        <f t="shared" si="23"/>
        <v>0</v>
      </c>
      <c r="F35" s="137">
        <f t="shared" si="23"/>
        <v>0</v>
      </c>
      <c r="G35" s="137">
        <f t="shared" si="23"/>
        <v>0</v>
      </c>
      <c r="H35" s="137">
        <f t="shared" si="23"/>
        <v>0</v>
      </c>
      <c r="I35" s="137">
        <f t="shared" si="23"/>
        <v>0</v>
      </c>
      <c r="J35" s="137">
        <f t="shared" si="23"/>
        <v>0</v>
      </c>
      <c r="K35" s="137">
        <f t="shared" si="23"/>
        <v>0</v>
      </c>
      <c r="L35" s="137">
        <f t="shared" si="23"/>
        <v>0</v>
      </c>
      <c r="M35" s="137">
        <f t="shared" si="23"/>
        <v>0</v>
      </c>
      <c r="N35" s="137">
        <f t="shared" si="23"/>
        <v>0</v>
      </c>
      <c r="O35" s="138">
        <f>SUM(C35:N35)</f>
        <v>0</v>
      </c>
      <c r="Q35" s="146" t="s">
        <v>125</v>
      </c>
      <c r="R35" s="137">
        <f>R31*R34</f>
        <v>0</v>
      </c>
      <c r="S35" s="137">
        <f t="shared" ref="S35:AC35" si="24">S31*S34</f>
        <v>0</v>
      </c>
      <c r="T35" s="137">
        <f t="shared" si="24"/>
        <v>0</v>
      </c>
      <c r="U35" s="137">
        <f t="shared" si="24"/>
        <v>0</v>
      </c>
      <c r="V35" s="137">
        <f t="shared" si="24"/>
        <v>0</v>
      </c>
      <c r="W35" s="137">
        <f t="shared" si="24"/>
        <v>0</v>
      </c>
      <c r="X35" s="137">
        <f t="shared" si="24"/>
        <v>0</v>
      </c>
      <c r="Y35" s="137">
        <f t="shared" si="24"/>
        <v>0</v>
      </c>
      <c r="Z35" s="137">
        <f t="shared" si="24"/>
        <v>0</v>
      </c>
      <c r="AA35" s="137">
        <f t="shared" si="24"/>
        <v>0</v>
      </c>
      <c r="AB35" s="137">
        <f t="shared" si="24"/>
        <v>0</v>
      </c>
      <c r="AC35" s="137">
        <f t="shared" si="24"/>
        <v>0</v>
      </c>
      <c r="AD35" s="138">
        <f t="shared" si="20"/>
        <v>0</v>
      </c>
    </row>
    <row r="36" spans="2:30" ht="20.100000000000001" customHeight="1" x14ac:dyDescent="0.25">
      <c r="B36" s="19" t="s">
        <v>124</v>
      </c>
      <c r="C36" s="132">
        <f>IFERROR((C5*C32)-C33,0)</f>
        <v>0</v>
      </c>
      <c r="D36" s="132">
        <f t="shared" ref="D36:N36" si="25">IFERROR((D5*D32)-D33,0)</f>
        <v>0</v>
      </c>
      <c r="E36" s="132">
        <f t="shared" si="25"/>
        <v>0</v>
      </c>
      <c r="F36" s="132">
        <f t="shared" si="25"/>
        <v>0</v>
      </c>
      <c r="G36" s="132">
        <f t="shared" si="25"/>
        <v>0</v>
      </c>
      <c r="H36" s="132">
        <f t="shared" si="25"/>
        <v>0</v>
      </c>
      <c r="I36" s="132">
        <f t="shared" si="25"/>
        <v>0</v>
      </c>
      <c r="J36" s="132">
        <f t="shared" si="25"/>
        <v>0</v>
      </c>
      <c r="K36" s="132">
        <f t="shared" si="25"/>
        <v>0</v>
      </c>
      <c r="L36" s="132">
        <f t="shared" si="25"/>
        <v>0</v>
      </c>
      <c r="M36" s="132">
        <f t="shared" si="25"/>
        <v>0</v>
      </c>
      <c r="N36" s="132">
        <f t="shared" si="25"/>
        <v>0</v>
      </c>
      <c r="O36" s="119">
        <f t="shared" si="18"/>
        <v>0</v>
      </c>
      <c r="Q36" s="144" t="s">
        <v>124</v>
      </c>
      <c r="R36" s="132">
        <f>IFERROR((C5*R32)-R33,0)</f>
        <v>0</v>
      </c>
      <c r="S36" s="132">
        <f t="shared" ref="S36:AC36" si="26">IFERROR((D5*S32)-S33,0)</f>
        <v>0</v>
      </c>
      <c r="T36" s="132">
        <f t="shared" si="26"/>
        <v>0</v>
      </c>
      <c r="U36" s="132">
        <f t="shared" si="26"/>
        <v>0</v>
      </c>
      <c r="V36" s="132">
        <f t="shared" si="26"/>
        <v>0</v>
      </c>
      <c r="W36" s="132">
        <f t="shared" si="26"/>
        <v>0</v>
      </c>
      <c r="X36" s="132">
        <f t="shared" si="26"/>
        <v>0</v>
      </c>
      <c r="Y36" s="132">
        <f t="shared" si="26"/>
        <v>0</v>
      </c>
      <c r="Z36" s="132">
        <f t="shared" si="26"/>
        <v>0</v>
      </c>
      <c r="AA36" s="132">
        <f t="shared" si="26"/>
        <v>0</v>
      </c>
      <c r="AB36" s="132">
        <f t="shared" si="26"/>
        <v>0</v>
      </c>
      <c r="AC36" s="132">
        <f t="shared" si="26"/>
        <v>0</v>
      </c>
      <c r="AD36" s="119">
        <f t="shared" si="20"/>
        <v>0</v>
      </c>
    </row>
    <row r="37" spans="2:30" ht="20.100000000000001" customHeight="1" x14ac:dyDescent="0.25">
      <c r="B37" s="112" t="s">
        <v>82</v>
      </c>
      <c r="C37" s="112" t="s">
        <v>83</v>
      </c>
      <c r="D37" s="112" t="s">
        <v>84</v>
      </c>
      <c r="E37" s="112" t="s">
        <v>85</v>
      </c>
      <c r="F37" s="112" t="s">
        <v>86</v>
      </c>
      <c r="G37" s="112" t="s">
        <v>87</v>
      </c>
      <c r="H37" s="112" t="s">
        <v>88</v>
      </c>
      <c r="I37" s="112" t="s">
        <v>89</v>
      </c>
      <c r="J37" s="112" t="s">
        <v>90</v>
      </c>
      <c r="K37" s="112" t="s">
        <v>91</v>
      </c>
      <c r="L37" s="112" t="s">
        <v>92</v>
      </c>
      <c r="M37" s="112" t="s">
        <v>93</v>
      </c>
      <c r="N37" s="112" t="s">
        <v>94</v>
      </c>
      <c r="O37" s="112" t="s">
        <v>95</v>
      </c>
      <c r="Q37" s="145" t="s">
        <v>82</v>
      </c>
      <c r="R37" s="112" t="s">
        <v>83</v>
      </c>
      <c r="S37" s="112" t="s">
        <v>84</v>
      </c>
      <c r="T37" s="112" t="s">
        <v>85</v>
      </c>
      <c r="U37" s="112" t="s">
        <v>86</v>
      </c>
      <c r="V37" s="112" t="s">
        <v>87</v>
      </c>
      <c r="W37" s="112" t="s">
        <v>88</v>
      </c>
      <c r="X37" s="112" t="s">
        <v>89</v>
      </c>
      <c r="Y37" s="112" t="s">
        <v>90</v>
      </c>
      <c r="Z37" s="112" t="s">
        <v>91</v>
      </c>
      <c r="AA37" s="112" t="s">
        <v>92</v>
      </c>
      <c r="AB37" s="112" t="s">
        <v>93</v>
      </c>
      <c r="AC37" s="112" t="s">
        <v>94</v>
      </c>
      <c r="AD37" s="112" t="s">
        <v>95</v>
      </c>
    </row>
    <row r="38" spans="2:30" ht="20.100000000000001" customHeight="1" x14ac:dyDescent="0.25">
      <c r="B38" s="19" t="s">
        <v>76</v>
      </c>
      <c r="C38" s="132">
        <f>C12</f>
        <v>0</v>
      </c>
      <c r="D38" s="132">
        <f t="shared" ref="D38:N38" si="27">D12</f>
        <v>0</v>
      </c>
      <c r="E38" s="132">
        <f t="shared" si="27"/>
        <v>0</v>
      </c>
      <c r="F38" s="132">
        <f t="shared" si="27"/>
        <v>0</v>
      </c>
      <c r="G38" s="132">
        <f t="shared" si="27"/>
        <v>0</v>
      </c>
      <c r="H38" s="132">
        <f t="shared" si="27"/>
        <v>0</v>
      </c>
      <c r="I38" s="132">
        <f t="shared" si="27"/>
        <v>0</v>
      </c>
      <c r="J38" s="132">
        <f t="shared" si="27"/>
        <v>0</v>
      </c>
      <c r="K38" s="132">
        <f t="shared" si="27"/>
        <v>0</v>
      </c>
      <c r="L38" s="132">
        <f t="shared" si="27"/>
        <v>0</v>
      </c>
      <c r="M38" s="132">
        <f t="shared" si="27"/>
        <v>0</v>
      </c>
      <c r="N38" s="132">
        <f t="shared" si="27"/>
        <v>0</v>
      </c>
      <c r="O38" s="119">
        <f t="shared" ref="O38:O43" si="28">SUM(C38:N38)</f>
        <v>0</v>
      </c>
      <c r="Q38" s="144" t="s">
        <v>76</v>
      </c>
      <c r="R38" s="132">
        <f>C12</f>
        <v>0</v>
      </c>
      <c r="S38" s="132">
        <f t="shared" ref="S38:AC38" si="29">D12</f>
        <v>0</v>
      </c>
      <c r="T38" s="132">
        <f t="shared" si="29"/>
        <v>0</v>
      </c>
      <c r="U38" s="132">
        <f t="shared" si="29"/>
        <v>0</v>
      </c>
      <c r="V38" s="132">
        <f t="shared" si="29"/>
        <v>0</v>
      </c>
      <c r="W38" s="132">
        <f t="shared" si="29"/>
        <v>0</v>
      </c>
      <c r="X38" s="132">
        <f t="shared" si="29"/>
        <v>0</v>
      </c>
      <c r="Y38" s="132">
        <f t="shared" si="29"/>
        <v>0</v>
      </c>
      <c r="Z38" s="132">
        <f t="shared" si="29"/>
        <v>0</v>
      </c>
      <c r="AA38" s="132">
        <f t="shared" si="29"/>
        <v>0</v>
      </c>
      <c r="AB38" s="132">
        <f t="shared" si="29"/>
        <v>0</v>
      </c>
      <c r="AC38" s="132">
        <f t="shared" si="29"/>
        <v>0</v>
      </c>
      <c r="AD38" s="119">
        <f t="shared" ref="AD38:AD43" si="30">SUM(R38:AC38)</f>
        <v>0</v>
      </c>
    </row>
    <row r="39" spans="2:30" ht="20.100000000000001" customHeight="1" x14ac:dyDescent="0.25">
      <c r="B39" s="19" t="s">
        <v>121</v>
      </c>
      <c r="C39" s="133">
        <f>IF(C5&lt;=TabS!$G$23,TabS!$H$23,IF(C5&lt;=TabS!$G$24,TabS!$H$24,IF(C5&lt;=TabS!$G$25,TabS!$H$25,IF(C5&lt;=TabS!$G$26,TabS!$H$26,IF(C5&lt;=TabS!$G$27,TabS!$H$27,IF(C5&lt;=TabS!$G$28,TabS!$H$28))))))</f>
        <v>4.4999999999999998E-2</v>
      </c>
      <c r="D39" s="133">
        <f>IF(D5&lt;=TabS!$G$23,TabS!$H$23,IF(D5&lt;=TabS!$G$24,TabS!$H$24,IF(D5&lt;=TabS!$G$25,TabS!$H$25,IF(D5&lt;=TabS!$G$26,TabS!$H$26,IF(D5&lt;=TabS!$G$27,TabS!$H$27,IF(D5&lt;=TabS!$G$28,TabS!$H$28))))))</f>
        <v>4.4999999999999998E-2</v>
      </c>
      <c r="E39" s="133">
        <f>IF(E5&lt;=TabS!$G$23,TabS!$H$23,IF(E5&lt;=TabS!$G$24,TabS!$H$24,IF(E5&lt;=TabS!$G$25,TabS!$H$25,IF(E5&lt;=TabS!$G$26,TabS!$H$26,IF(E5&lt;=TabS!$G$27,TabS!$H$27,IF(E5&lt;=TabS!$G$28,TabS!$H$28))))))</f>
        <v>4.4999999999999998E-2</v>
      </c>
      <c r="F39" s="133">
        <f>IF(F5&lt;=TabS!$G$23,TabS!$H$23,IF(F5&lt;=TabS!$G$24,TabS!$H$24,IF(F5&lt;=TabS!$G$25,TabS!$H$25,IF(F5&lt;=TabS!$G$26,TabS!$H$26,IF(F5&lt;=TabS!$G$27,TabS!$H$27,IF(F5&lt;=TabS!$G$28,TabS!$H$28))))))</f>
        <v>4.4999999999999998E-2</v>
      </c>
      <c r="G39" s="133">
        <f>IF(G5&lt;=TabS!$G$23,TabS!$H$23,IF(G5&lt;=TabS!$G$24,TabS!$H$24,IF(G5&lt;=TabS!$G$25,TabS!$H$25,IF(G5&lt;=TabS!$G$26,TabS!$H$26,IF(G5&lt;=TabS!$G$27,TabS!$H$27,IF(G5&lt;=TabS!$G$28,TabS!$H$28))))))</f>
        <v>4.4999999999999998E-2</v>
      </c>
      <c r="H39" s="133">
        <f>IF(H5&lt;=TabS!$G$23,TabS!$H$23,IF(H5&lt;=TabS!$G$24,TabS!$H$24,IF(H5&lt;=TabS!$G$25,TabS!$H$25,IF(H5&lt;=TabS!$G$26,TabS!$H$26,IF(H5&lt;=TabS!$G$27,TabS!$H$27,IF(H5&lt;=TabS!$G$28,TabS!$H$28))))))</f>
        <v>4.4999999999999998E-2</v>
      </c>
      <c r="I39" s="133">
        <f>IF(I5&lt;=TabS!$G$23,TabS!$H$23,IF(I5&lt;=TabS!$G$24,TabS!$H$24,IF(I5&lt;=TabS!$G$25,TabS!$H$25,IF(I5&lt;=TabS!$G$26,TabS!$H$26,IF(I5&lt;=TabS!$G$27,TabS!$H$27,IF(I5&lt;=TabS!$G$28,TabS!$H$28))))))</f>
        <v>4.4999999999999998E-2</v>
      </c>
      <c r="J39" s="133">
        <f>IF(J5&lt;=TabS!$G$23,TabS!$H$23,IF(J5&lt;=TabS!$G$24,TabS!$H$24,IF(J5&lt;=TabS!$G$25,TabS!$H$25,IF(J5&lt;=TabS!$G$26,TabS!$H$26,IF(J5&lt;=TabS!$G$27,TabS!$H$27,IF(J5&lt;=TabS!$G$28,TabS!$H$28))))))</f>
        <v>4.4999999999999998E-2</v>
      </c>
      <c r="K39" s="133">
        <f>IF(K5&lt;=TabS!$G$23,TabS!$H$23,IF(K5&lt;=TabS!$G$24,TabS!$H$24,IF(K5&lt;=TabS!$G$25,TabS!$H$25,IF(K5&lt;=TabS!$G$26,TabS!$H$26,IF(K5&lt;=TabS!$G$27,TabS!$H$27,IF(K5&lt;=TabS!$G$28,TabS!$H$28))))))</f>
        <v>4.4999999999999998E-2</v>
      </c>
      <c r="L39" s="133">
        <f>IF(L5&lt;=TabS!$G$23,TabS!$H$23,IF(L5&lt;=TabS!$G$24,TabS!$H$24,IF(L5&lt;=TabS!$G$25,TabS!$H$25,IF(L5&lt;=TabS!$G$26,TabS!$H$26,IF(L5&lt;=TabS!$G$27,TabS!$H$27,IF(L5&lt;=TabS!$G$28,TabS!$H$28))))))</f>
        <v>4.4999999999999998E-2</v>
      </c>
      <c r="M39" s="133">
        <f>IF(M5&lt;=TabS!$G$23,TabS!$H$23,IF(M5&lt;=TabS!$G$24,TabS!$H$24,IF(M5&lt;=TabS!$G$25,TabS!$H$25,IF(M5&lt;=TabS!$G$26,TabS!$H$26,IF(M5&lt;=TabS!$G$27,TabS!$H$27,IF(M5&lt;=TabS!$G$28,TabS!$H$28))))))</f>
        <v>4.4999999999999998E-2</v>
      </c>
      <c r="N39" s="133">
        <f>IF(N5&lt;=TabS!$G$23,TabS!$H$23,IF(N5&lt;=TabS!$G$24,TabS!$H$24,IF(N5&lt;=TabS!$G$25,TabS!$H$25,IF(N5&lt;=TabS!$G$26,TabS!$H$26,IF(N5&lt;=TabS!$G$27,TabS!$H$27,IF(N5&lt;=TabS!$G$28,TabS!$H$28))))))</f>
        <v>4.4999999999999998E-2</v>
      </c>
      <c r="O39" s="134">
        <f t="shared" si="28"/>
        <v>0.53999999999999992</v>
      </c>
      <c r="Q39" s="144" t="s">
        <v>121</v>
      </c>
      <c r="R39" s="133">
        <f>IF(C5&gt;TabS!$G$27,TabS!$H$27,0)</f>
        <v>0</v>
      </c>
      <c r="S39" s="133">
        <f>IF(D5&gt;TabS!$G$27,TabS!$H$27,0)</f>
        <v>0</v>
      </c>
      <c r="T39" s="133">
        <f>IF(E5&gt;TabS!$G$27,TabS!$H$27,0)</f>
        <v>0</v>
      </c>
      <c r="U39" s="133">
        <f>IF(F5&gt;TabS!$G$27,TabS!$H$27,0)</f>
        <v>0</v>
      </c>
      <c r="V39" s="133">
        <f>IF(G5&gt;TabS!$G$27,TabS!$H$27,0)</f>
        <v>0</v>
      </c>
      <c r="W39" s="133">
        <f>IF(H5&gt;TabS!$G$27,TabS!$H$27,0)</f>
        <v>0</v>
      </c>
      <c r="X39" s="133">
        <f>IF(I5&gt;TabS!$G$27,TabS!$H$27,0)</f>
        <v>0</v>
      </c>
      <c r="Y39" s="133">
        <f>IF(J5&gt;TabS!$G$27,TabS!$H$27,0)</f>
        <v>0</v>
      </c>
      <c r="Z39" s="133">
        <f>IF(K5&gt;TabS!$G$27,TabS!$H$27,0)</f>
        <v>0</v>
      </c>
      <c r="AA39" s="133">
        <f>IF(L5&gt;TabS!$G$27,TabS!$H$27,0)</f>
        <v>0</v>
      </c>
      <c r="AB39" s="133">
        <f>IF(M5&gt;TabS!$G$27,TabS!$H$27,0)</f>
        <v>0</v>
      </c>
      <c r="AC39" s="133">
        <f>IF(N5&gt;TabS!$G$27,TabS!$H$27,0)</f>
        <v>0</v>
      </c>
      <c r="AD39" s="134">
        <f t="shared" si="30"/>
        <v>0</v>
      </c>
    </row>
    <row r="40" spans="2:30" ht="20.100000000000001" customHeight="1" x14ac:dyDescent="0.25">
      <c r="B40" s="19" t="s">
        <v>122</v>
      </c>
      <c r="C40" s="132">
        <f>IF(C5&lt;=TabS!$G$23,TabS!$I$23,IF(C5&lt;=TabS!$G$24,TabS!$I$24,IF(C5&lt;=TabS!$G$25,TabS!$I$25,IF(C5&lt;=TabS!$G$26,TabS!$I$26,IF(C5&lt;=TabS!$G$27,TabS!$I$27,IF(C5&lt;=TabS!$G$28,TabS!$I$28))))))</f>
        <v>0</v>
      </c>
      <c r="D40" s="132">
        <f>IF(D5&lt;=TabS!$G$23,TabS!$I$23,IF(D5&lt;=TabS!$G$24,TabS!$I$24,IF(D5&lt;=TabS!$G$25,TabS!$I$25,IF(D5&lt;=TabS!$G$26,TabS!$I$26,IF(D5&lt;=TabS!$G$27,TabS!$I$27,IF(D5&lt;=TabS!$G$28,TabS!$I$28))))))</f>
        <v>0</v>
      </c>
      <c r="E40" s="132">
        <f>IF(E5&lt;=TabS!$G$23,TabS!$I$23,IF(E5&lt;=TabS!$G$24,TabS!$I$24,IF(E5&lt;=TabS!$G$25,TabS!$I$25,IF(E5&lt;=TabS!$G$26,TabS!$I$26,IF(E5&lt;=TabS!$G$27,TabS!$I$27,IF(E5&lt;=TabS!$G$28,TabS!$I$28))))))</f>
        <v>0</v>
      </c>
      <c r="F40" s="132">
        <f>IF(F5&lt;=TabS!$G$23,TabS!$I$23,IF(F5&lt;=TabS!$G$24,TabS!$I$24,IF(F5&lt;=TabS!$G$25,TabS!$I$25,IF(F5&lt;=TabS!$G$26,TabS!$I$26,IF(F5&lt;=TabS!$G$27,TabS!$I$27,IF(F5&lt;=TabS!$G$28,TabS!$I$28))))))</f>
        <v>0</v>
      </c>
      <c r="G40" s="132">
        <f>IF(G5&lt;=TabS!$G$23,TabS!$I$23,IF(G5&lt;=TabS!$G$24,TabS!$I$24,IF(G5&lt;=TabS!$G$25,TabS!$I$25,IF(G5&lt;=TabS!$G$26,TabS!$I$26,IF(G5&lt;=TabS!$G$27,TabS!$I$27,IF(G5&lt;=TabS!$G$28,TabS!$I$28))))))</f>
        <v>0</v>
      </c>
      <c r="H40" s="132">
        <f>IF(H5&lt;=TabS!$G$23,TabS!$I$23,IF(H5&lt;=TabS!$G$24,TabS!$I$24,IF(H5&lt;=TabS!$G$25,TabS!$I$25,IF(H5&lt;=TabS!$G$26,TabS!$I$26,IF(H5&lt;=TabS!$G$27,TabS!$I$27,IF(H5&lt;=TabS!$G$28,TabS!$I$28))))))</f>
        <v>0</v>
      </c>
      <c r="I40" s="132">
        <f>IF(I5&lt;=TabS!$G$23,TabS!$I$23,IF(I5&lt;=TabS!$G$24,TabS!$I$24,IF(I5&lt;=TabS!$G$25,TabS!$I$25,IF(I5&lt;=TabS!$G$26,TabS!$I$26,IF(I5&lt;=TabS!$G$27,TabS!$I$27,IF(I5&lt;=TabS!$G$28,TabS!$I$28))))))</f>
        <v>0</v>
      </c>
      <c r="J40" s="132">
        <f>IF(J5&lt;=TabS!$G$23,TabS!$I$23,IF(J5&lt;=TabS!$G$24,TabS!$I$24,IF(J5&lt;=TabS!$G$25,TabS!$I$25,IF(J5&lt;=TabS!$G$26,TabS!$I$26,IF(J5&lt;=TabS!$G$27,TabS!$I$27,IF(J5&lt;=TabS!$G$28,TabS!$I$28))))))</f>
        <v>0</v>
      </c>
      <c r="K40" s="132">
        <f>IF(K5&lt;=TabS!$G$23,TabS!$I$23,IF(K5&lt;=TabS!$G$24,TabS!$I$24,IF(K5&lt;=TabS!$G$25,TabS!$I$25,IF(K5&lt;=TabS!$G$26,TabS!$I$26,IF(K5&lt;=TabS!$G$27,TabS!$I$27,IF(K5&lt;=TabS!$G$28,TabS!$I$28))))))</f>
        <v>0</v>
      </c>
      <c r="L40" s="132">
        <f>IF(L5&lt;=TabS!$G$23,TabS!$I$23,IF(L5&lt;=TabS!$G$24,TabS!$I$24,IF(L5&lt;=TabS!$G$25,TabS!$I$25,IF(L5&lt;=TabS!$G$26,TabS!$I$26,IF(L5&lt;=TabS!$G$27,TabS!$I$27,IF(L5&lt;=TabS!$G$28,TabS!$I$28))))))</f>
        <v>0</v>
      </c>
      <c r="M40" s="132">
        <f>IF(M5&lt;=TabS!$G$23,TabS!$I$23,IF(M5&lt;=TabS!$G$24,TabS!$I$24,IF(M5&lt;=TabS!$G$25,TabS!$I$25,IF(M5&lt;=TabS!$G$26,TabS!$I$26,IF(M5&lt;=TabS!$G$27,TabS!$I$27,IF(M5&lt;=TabS!$G$28,TabS!$I$28))))))</f>
        <v>0</v>
      </c>
      <c r="N40" s="132">
        <f>IF(N5&lt;=TabS!$G$23,TabS!$I$23,IF(N5&lt;=TabS!$G$24,TabS!$I$24,IF(N5&lt;=TabS!$G$25,TabS!$I$25,IF(N5&lt;=TabS!$G$26,TabS!$I$26,IF(N5&lt;=TabS!$G$27,TabS!$I$27,IF(N5&lt;=TabS!$G$28,TabS!$I$28))))))</f>
        <v>0</v>
      </c>
      <c r="O40" s="119">
        <f t="shared" si="28"/>
        <v>0</v>
      </c>
      <c r="Q40" s="144" t="s">
        <v>122</v>
      </c>
      <c r="R40" s="132">
        <f>IF(C5&gt;TabS!$G$27,TabS!$I$27,0)</f>
        <v>0</v>
      </c>
      <c r="S40" s="132">
        <f>IF(D5&gt;TabS!$G$27,TabS!$I$27,0)</f>
        <v>0</v>
      </c>
      <c r="T40" s="132">
        <f>IF(E5&gt;TabS!$G$27,TabS!$I$27,0)</f>
        <v>0</v>
      </c>
      <c r="U40" s="132">
        <f>IF(F5&gt;TabS!$G$27,TabS!$I$27,0)</f>
        <v>0</v>
      </c>
      <c r="V40" s="132">
        <f>IF(G5&gt;TabS!$G$27,TabS!$I$27,0)</f>
        <v>0</v>
      </c>
      <c r="W40" s="132">
        <f>IF(H5&gt;TabS!$G$27,TabS!$I$27,0)</f>
        <v>0</v>
      </c>
      <c r="X40" s="132">
        <f>IF(I5&gt;TabS!$G$27,TabS!$I$27,0)</f>
        <v>0</v>
      </c>
      <c r="Y40" s="132">
        <f>IF(J5&gt;TabS!$G$27,TabS!$I$27,0)</f>
        <v>0</v>
      </c>
      <c r="Z40" s="132">
        <f>IF(K5&gt;TabS!$G$27,TabS!$I$27,0)</f>
        <v>0</v>
      </c>
      <c r="AA40" s="132">
        <f>IF(L5&gt;TabS!$G$27,TabS!$I$27,0)</f>
        <v>0</v>
      </c>
      <c r="AB40" s="132">
        <f>IF(M5&gt;TabS!$G$27,TabS!$I$27,0)</f>
        <v>0</v>
      </c>
      <c r="AC40" s="132">
        <f>IF(N5&gt;TabS!$G$27,TabS!$I$27,0)</f>
        <v>0</v>
      </c>
      <c r="AD40" s="119">
        <f t="shared" si="30"/>
        <v>0</v>
      </c>
    </row>
    <row r="41" spans="2:30" ht="20.100000000000001" customHeight="1" x14ac:dyDescent="0.25">
      <c r="B41" s="49" t="s">
        <v>123</v>
      </c>
      <c r="C41" s="135">
        <f>IFERROR(C43/C5,0)</f>
        <v>0</v>
      </c>
      <c r="D41" s="135">
        <f t="shared" ref="D41:N41" si="31">IFERROR(D43/D5,0)</f>
        <v>0</v>
      </c>
      <c r="E41" s="135">
        <f t="shared" si="31"/>
        <v>0</v>
      </c>
      <c r="F41" s="135">
        <f t="shared" si="31"/>
        <v>0</v>
      </c>
      <c r="G41" s="135">
        <f t="shared" si="31"/>
        <v>0</v>
      </c>
      <c r="H41" s="135">
        <f t="shared" si="31"/>
        <v>0</v>
      </c>
      <c r="I41" s="135">
        <f t="shared" si="31"/>
        <v>0</v>
      </c>
      <c r="J41" s="135">
        <f t="shared" si="31"/>
        <v>0</v>
      </c>
      <c r="K41" s="135">
        <f t="shared" si="31"/>
        <v>0</v>
      </c>
      <c r="L41" s="135">
        <f t="shared" si="31"/>
        <v>0</v>
      </c>
      <c r="M41" s="135">
        <f t="shared" si="31"/>
        <v>0</v>
      </c>
      <c r="N41" s="135">
        <f t="shared" si="31"/>
        <v>0</v>
      </c>
      <c r="O41" s="136">
        <f t="shared" si="28"/>
        <v>0</v>
      </c>
      <c r="Q41" s="130" t="s">
        <v>123</v>
      </c>
      <c r="R41" s="135">
        <f>IFERROR(R43/C5,0)</f>
        <v>0</v>
      </c>
      <c r="S41" s="135">
        <f t="shared" ref="S41:AC41" si="32">IFERROR(S43/D5,0)</f>
        <v>0</v>
      </c>
      <c r="T41" s="135">
        <f t="shared" si="32"/>
        <v>0</v>
      </c>
      <c r="U41" s="135">
        <f t="shared" si="32"/>
        <v>0</v>
      </c>
      <c r="V41" s="135">
        <f t="shared" si="32"/>
        <v>0</v>
      </c>
      <c r="W41" s="135">
        <f t="shared" si="32"/>
        <v>0</v>
      </c>
      <c r="X41" s="135">
        <f t="shared" si="32"/>
        <v>0</v>
      </c>
      <c r="Y41" s="135">
        <f t="shared" si="32"/>
        <v>0</v>
      </c>
      <c r="Z41" s="135">
        <f t="shared" si="32"/>
        <v>0</v>
      </c>
      <c r="AA41" s="135">
        <f t="shared" si="32"/>
        <v>0</v>
      </c>
      <c r="AB41" s="135">
        <f t="shared" si="32"/>
        <v>0</v>
      </c>
      <c r="AC41" s="135">
        <f t="shared" si="32"/>
        <v>0</v>
      </c>
      <c r="AD41" s="136">
        <f t="shared" si="30"/>
        <v>0</v>
      </c>
    </row>
    <row r="42" spans="2:30" ht="20.100000000000001" customHeight="1" x14ac:dyDescent="0.25">
      <c r="B42" s="161" t="s">
        <v>125</v>
      </c>
      <c r="C42" s="137">
        <f>C38*C41</f>
        <v>0</v>
      </c>
      <c r="D42" s="137">
        <f t="shared" ref="D42:N42" si="33">D38*D41</f>
        <v>0</v>
      </c>
      <c r="E42" s="137">
        <f t="shared" si="33"/>
        <v>0</v>
      </c>
      <c r="F42" s="137">
        <f t="shared" si="33"/>
        <v>0</v>
      </c>
      <c r="G42" s="137">
        <f t="shared" si="33"/>
        <v>0</v>
      </c>
      <c r="H42" s="137">
        <f t="shared" si="33"/>
        <v>0</v>
      </c>
      <c r="I42" s="137">
        <f t="shared" si="33"/>
        <v>0</v>
      </c>
      <c r="J42" s="137">
        <f t="shared" si="33"/>
        <v>0</v>
      </c>
      <c r="K42" s="137">
        <f t="shared" si="33"/>
        <v>0</v>
      </c>
      <c r="L42" s="137">
        <f t="shared" si="33"/>
        <v>0</v>
      </c>
      <c r="M42" s="137">
        <f t="shared" si="33"/>
        <v>0</v>
      </c>
      <c r="N42" s="137">
        <f t="shared" si="33"/>
        <v>0</v>
      </c>
      <c r="O42" s="138">
        <f>SUM(C42:N42)</f>
        <v>0</v>
      </c>
      <c r="Q42" s="146" t="s">
        <v>125</v>
      </c>
      <c r="R42" s="137">
        <f>R38*R41</f>
        <v>0</v>
      </c>
      <c r="S42" s="137">
        <f t="shared" ref="S42:AC42" si="34">S38*S41</f>
        <v>0</v>
      </c>
      <c r="T42" s="137">
        <f t="shared" si="34"/>
        <v>0</v>
      </c>
      <c r="U42" s="137">
        <f t="shared" si="34"/>
        <v>0</v>
      </c>
      <c r="V42" s="137">
        <f t="shared" si="34"/>
        <v>0</v>
      </c>
      <c r="W42" s="137">
        <f t="shared" si="34"/>
        <v>0</v>
      </c>
      <c r="X42" s="137">
        <f t="shared" si="34"/>
        <v>0</v>
      </c>
      <c r="Y42" s="137">
        <f t="shared" si="34"/>
        <v>0</v>
      </c>
      <c r="Z42" s="137">
        <f t="shared" si="34"/>
        <v>0</v>
      </c>
      <c r="AA42" s="137">
        <f t="shared" si="34"/>
        <v>0</v>
      </c>
      <c r="AB42" s="137">
        <f t="shared" si="34"/>
        <v>0</v>
      </c>
      <c r="AC42" s="137">
        <f t="shared" si="34"/>
        <v>0</v>
      </c>
      <c r="AD42" s="138">
        <f t="shared" si="30"/>
        <v>0</v>
      </c>
    </row>
    <row r="43" spans="2:30" ht="20.100000000000001" customHeight="1" x14ac:dyDescent="0.25">
      <c r="B43" s="19" t="s">
        <v>124</v>
      </c>
      <c r="C43" s="132">
        <f>IFERROR((C5*C39)-C40,0)</f>
        <v>0</v>
      </c>
      <c r="D43" s="132">
        <f t="shared" ref="D43:N43" si="35">IFERROR((D5*D39)-D40,0)</f>
        <v>0</v>
      </c>
      <c r="E43" s="132">
        <f t="shared" si="35"/>
        <v>0</v>
      </c>
      <c r="F43" s="132">
        <f t="shared" si="35"/>
        <v>0</v>
      </c>
      <c r="G43" s="132">
        <f t="shared" si="35"/>
        <v>0</v>
      </c>
      <c r="H43" s="132">
        <f t="shared" si="35"/>
        <v>0</v>
      </c>
      <c r="I43" s="132">
        <f t="shared" si="35"/>
        <v>0</v>
      </c>
      <c r="J43" s="132">
        <f t="shared" si="35"/>
        <v>0</v>
      </c>
      <c r="K43" s="132">
        <f t="shared" si="35"/>
        <v>0</v>
      </c>
      <c r="L43" s="132">
        <f t="shared" si="35"/>
        <v>0</v>
      </c>
      <c r="M43" s="132">
        <f t="shared" si="35"/>
        <v>0</v>
      </c>
      <c r="N43" s="132">
        <f t="shared" si="35"/>
        <v>0</v>
      </c>
      <c r="O43" s="119">
        <f t="shared" si="28"/>
        <v>0</v>
      </c>
      <c r="Q43" s="144" t="s">
        <v>124</v>
      </c>
      <c r="R43" s="132">
        <f>IFERROR((C5*R39)-R40,0)</f>
        <v>0</v>
      </c>
      <c r="S43" s="132">
        <f t="shared" ref="S43:AC43" si="36">IFERROR((D5*S39)-S40,0)</f>
        <v>0</v>
      </c>
      <c r="T43" s="132">
        <f t="shared" si="36"/>
        <v>0</v>
      </c>
      <c r="U43" s="132">
        <f t="shared" si="36"/>
        <v>0</v>
      </c>
      <c r="V43" s="132">
        <f t="shared" si="36"/>
        <v>0</v>
      </c>
      <c r="W43" s="132">
        <f t="shared" si="36"/>
        <v>0</v>
      </c>
      <c r="X43" s="132">
        <f t="shared" si="36"/>
        <v>0</v>
      </c>
      <c r="Y43" s="132">
        <f t="shared" si="36"/>
        <v>0</v>
      </c>
      <c r="Z43" s="132">
        <f t="shared" si="36"/>
        <v>0</v>
      </c>
      <c r="AA43" s="132">
        <f t="shared" si="36"/>
        <v>0</v>
      </c>
      <c r="AB43" s="132">
        <f t="shared" si="36"/>
        <v>0</v>
      </c>
      <c r="AC43" s="132">
        <f t="shared" si="36"/>
        <v>0</v>
      </c>
      <c r="AD43" s="119">
        <f t="shared" si="30"/>
        <v>0</v>
      </c>
    </row>
    <row r="44" spans="2:30" ht="20.100000000000001" customHeight="1" x14ac:dyDescent="0.25">
      <c r="B44" s="112" t="s">
        <v>82</v>
      </c>
      <c r="C44" s="112" t="s">
        <v>83</v>
      </c>
      <c r="D44" s="112" t="s">
        <v>84</v>
      </c>
      <c r="E44" s="112" t="s">
        <v>85</v>
      </c>
      <c r="F44" s="112" t="s">
        <v>86</v>
      </c>
      <c r="G44" s="112" t="s">
        <v>87</v>
      </c>
      <c r="H44" s="112" t="s">
        <v>88</v>
      </c>
      <c r="I44" s="112" t="s">
        <v>89</v>
      </c>
      <c r="J44" s="112" t="s">
        <v>90</v>
      </c>
      <c r="K44" s="112" t="s">
        <v>91</v>
      </c>
      <c r="L44" s="112" t="s">
        <v>92</v>
      </c>
      <c r="M44" s="112" t="s">
        <v>93</v>
      </c>
      <c r="N44" s="112" t="s">
        <v>94</v>
      </c>
      <c r="O44" s="112" t="s">
        <v>95</v>
      </c>
    </row>
    <row r="45" spans="2:30" ht="20.100000000000001" customHeight="1" x14ac:dyDescent="0.25">
      <c r="B45" s="19" t="s">
        <v>77</v>
      </c>
      <c r="C45" s="132">
        <f>C13</f>
        <v>0</v>
      </c>
      <c r="D45" s="132">
        <f t="shared" ref="D45:N45" si="37">D13</f>
        <v>0</v>
      </c>
      <c r="E45" s="132">
        <f t="shared" si="37"/>
        <v>0</v>
      </c>
      <c r="F45" s="132">
        <f t="shared" si="37"/>
        <v>0</v>
      </c>
      <c r="G45" s="132">
        <f t="shared" si="37"/>
        <v>0</v>
      </c>
      <c r="H45" s="132">
        <f t="shared" si="37"/>
        <v>0</v>
      </c>
      <c r="I45" s="132">
        <f t="shared" si="37"/>
        <v>0</v>
      </c>
      <c r="J45" s="132">
        <f t="shared" si="37"/>
        <v>0</v>
      </c>
      <c r="K45" s="132">
        <f t="shared" si="37"/>
        <v>0</v>
      </c>
      <c r="L45" s="132">
        <f t="shared" si="37"/>
        <v>0</v>
      </c>
      <c r="M45" s="132">
        <f t="shared" si="37"/>
        <v>0</v>
      </c>
      <c r="N45" s="132">
        <f t="shared" si="37"/>
        <v>0</v>
      </c>
      <c r="O45" s="119">
        <f t="shared" ref="O45:O50" si="38">SUM(C45:N45)</f>
        <v>0</v>
      </c>
    </row>
    <row r="46" spans="2:30" ht="20.100000000000001" customHeight="1" x14ac:dyDescent="0.25">
      <c r="B46" s="19" t="s">
        <v>121</v>
      </c>
      <c r="C46" s="133">
        <f>IF(C5&lt;=TabS!$G$29,TabS!$H$29,IF(C5&lt;=TabS!$G$30,TabS!$H$30,IF(C5&lt;=TabS!$G$31,TabS!$H$31,IF(C5&lt;=TabS!$G$32,TabS!$H$32,IF(C5&lt;=TabS!$G$33,TabS!$H$33,IF(C5&lt;=TabS!$G$34,TabS!$H$34))))))</f>
        <v>0.155</v>
      </c>
      <c r="D46" s="133">
        <f>IF(D5&lt;=TabS!$G$29,TabS!$H$29,IF(D5&lt;=TabS!$G$30,TabS!$H$30,IF(D5&lt;=TabS!$G$31,TabS!$H$31,IF(D5&lt;=TabS!$G$32,TabS!$H$32,IF(D5&lt;=TabS!$G$33,TabS!$H$33,IF(D5&lt;=TabS!$G$34,TabS!$H$34))))))</f>
        <v>0.155</v>
      </c>
      <c r="E46" s="133">
        <f>IF(E5&lt;=TabS!$G$29,TabS!$H$29,IF(E5&lt;=TabS!$G$30,TabS!$H$30,IF(E5&lt;=TabS!$G$31,TabS!$H$31,IF(E5&lt;=TabS!$G$32,TabS!$H$32,IF(E5&lt;=TabS!$G$33,TabS!$H$33,IF(E5&lt;=TabS!$G$34,TabS!$H$34))))))</f>
        <v>0.155</v>
      </c>
      <c r="F46" s="133">
        <f>IF(F5&lt;=TabS!$G$29,TabS!$H$29,IF(F5&lt;=TabS!$G$30,TabS!$H$30,IF(F5&lt;=TabS!$G$31,TabS!$H$31,IF(F5&lt;=TabS!$G$32,TabS!$H$32,IF(F5&lt;=TabS!$G$33,TabS!$H$33,IF(F5&lt;=TabS!$G$34,TabS!$H$34))))))</f>
        <v>0.155</v>
      </c>
      <c r="G46" s="133">
        <f>IF(G5&lt;=TabS!$G$29,TabS!$H$29,IF(G5&lt;=TabS!$G$30,TabS!$H$30,IF(G5&lt;=TabS!$G$31,TabS!$H$31,IF(G5&lt;=TabS!$G$32,TabS!$H$32,IF(G5&lt;=TabS!$G$33,TabS!$H$33,IF(G5&lt;=TabS!$G$34,TabS!$H$34))))))</f>
        <v>0.155</v>
      </c>
      <c r="H46" s="133">
        <f>IF(H5&lt;=TabS!$G$29,TabS!$H$29,IF(H5&lt;=TabS!$G$30,TabS!$H$30,IF(H5&lt;=TabS!$G$31,TabS!$H$31,IF(H5&lt;=TabS!$G$32,TabS!$H$32,IF(H5&lt;=TabS!$G$33,TabS!$H$33,IF(H5&lt;=TabS!$G$34,TabS!$H$34))))))</f>
        <v>0.155</v>
      </c>
      <c r="I46" s="133">
        <f>IF(I5&lt;=TabS!$G$29,TabS!$H$29,IF(I5&lt;=TabS!$G$30,TabS!$H$30,IF(I5&lt;=TabS!$G$31,TabS!$H$31,IF(I5&lt;=TabS!$G$32,TabS!$H$32,IF(I5&lt;=TabS!$G$33,TabS!$H$33,IF(I5&lt;=TabS!$G$34,TabS!$H$34))))))</f>
        <v>0.155</v>
      </c>
      <c r="J46" s="133">
        <f>IF(J5&lt;=TabS!$G$29,TabS!$H$29,IF(J5&lt;=TabS!$G$30,TabS!$H$30,IF(J5&lt;=TabS!$G$31,TabS!$H$31,IF(J5&lt;=TabS!$G$32,TabS!$H$32,IF(J5&lt;=TabS!$G$33,TabS!$H$33,IF(J5&lt;=TabS!$G$34,TabS!$H$34))))))</f>
        <v>0.155</v>
      </c>
      <c r="K46" s="133">
        <f>IF(K5&lt;=TabS!$G$29,TabS!$H$29,IF(K5&lt;=TabS!$G$30,TabS!$H$30,IF(K5&lt;=TabS!$G$31,TabS!$H$31,IF(K5&lt;=TabS!$G$32,TabS!$H$32,IF(K5&lt;=TabS!$G$33,TabS!$H$33,IF(K5&lt;=TabS!$G$34,TabS!$H$34))))))</f>
        <v>0.155</v>
      </c>
      <c r="L46" s="133">
        <f>IF(L5&lt;=TabS!$G$29,TabS!$H$29,IF(L5&lt;=TabS!$G$30,TabS!$H$30,IF(L5&lt;=TabS!$G$31,TabS!$H$31,IF(L5&lt;=TabS!$G$32,TabS!$H$32,IF(L5&lt;=TabS!$G$33,TabS!$H$33,IF(L5&lt;=TabS!$G$34,TabS!$H$34))))))</f>
        <v>0.155</v>
      </c>
      <c r="M46" s="133">
        <f>IF(M5&lt;=TabS!$G$29,TabS!$H$29,IF(M5&lt;=TabS!$G$30,TabS!$H$30,IF(M5&lt;=TabS!$G$31,TabS!$H$31,IF(M5&lt;=TabS!$G$32,TabS!$H$32,IF(M5&lt;=TabS!$G$33,TabS!$H$33,IF(M5&lt;=TabS!$G$34,TabS!$H$34))))))</f>
        <v>0.155</v>
      </c>
      <c r="N46" s="133">
        <f>IF(N5&lt;=TabS!$G$29,TabS!$H$29,IF(N5&lt;=TabS!$G$30,TabS!$H$30,IF(N5&lt;=TabS!$G$31,TabS!$H$31,IF(N5&lt;=TabS!$G$32,TabS!$H$32,IF(N5&lt;=TabS!$G$33,TabS!$H$33,IF(N5&lt;=TabS!$G$34,TabS!$H$34))))))</f>
        <v>0.155</v>
      </c>
      <c r="O46" s="134">
        <f t="shared" si="38"/>
        <v>1.86</v>
      </c>
    </row>
    <row r="47" spans="2:30" ht="20.100000000000001" customHeight="1" x14ac:dyDescent="0.25">
      <c r="B47" s="19" t="s">
        <v>122</v>
      </c>
      <c r="C47" s="132">
        <f>IF(C5&lt;=TabS!$G$29,TabS!$I$29,IF(C5&lt;=TabS!$G$30,TabS!$I$30,IF(C5&lt;=TabS!$G$31,TabS!$I$31,IF(C5&lt;=TabS!$G$32,TabS!$I$32,IF(C5&lt;=TabS!$G$33,TabS!$I$33,IF(C5&lt;=TabS!$G$34,TabS!$I$34))))))</f>
        <v>0</v>
      </c>
      <c r="D47" s="132">
        <f>IF(D5&lt;=TabS!$G$29,TabS!$I$29,IF(D5&lt;=TabS!$G$30,TabS!$I$30,IF(D5&lt;=TabS!$G$31,TabS!$I$31,IF(D5&lt;=TabS!$G$32,TabS!$I$32,IF(D5&lt;=TabS!$G$33,TabS!$I$33,IF(D5&lt;=TabS!$G$34,TabS!$I$34))))))</f>
        <v>0</v>
      </c>
      <c r="E47" s="132">
        <f>IF(E5&lt;=TabS!$G$29,TabS!$I$29,IF(E5&lt;=TabS!$G$30,TabS!$I$30,IF(E5&lt;=TabS!$G$31,TabS!$I$31,IF(E5&lt;=TabS!$G$32,TabS!$I$32,IF(E5&lt;=TabS!$G$33,TabS!$I$33,IF(E5&lt;=TabS!$G$34,TabS!$I$34))))))</f>
        <v>0</v>
      </c>
      <c r="F47" s="132">
        <f>IF(F5&lt;=TabS!$G$29,TabS!$I$29,IF(F5&lt;=TabS!$G$30,TabS!$I$30,IF(F5&lt;=TabS!$G$31,TabS!$I$31,IF(F5&lt;=TabS!$G$32,TabS!$I$32,IF(F5&lt;=TabS!$G$33,TabS!$I$33,IF(F5&lt;=TabS!$G$34,TabS!$I$34))))))</f>
        <v>0</v>
      </c>
      <c r="G47" s="132">
        <f>IF(G5&lt;=TabS!$G$29,TabS!$I$29,IF(G5&lt;=TabS!$G$30,TabS!$I$30,IF(G5&lt;=TabS!$G$31,TabS!$I$31,IF(G5&lt;=TabS!$G$32,TabS!$I$32,IF(G5&lt;=TabS!$G$33,TabS!$I$33,IF(G5&lt;=TabS!$G$34,TabS!$I$34))))))</f>
        <v>0</v>
      </c>
      <c r="H47" s="132">
        <f>IF(H5&lt;=TabS!$G$29,TabS!$I$29,IF(H5&lt;=TabS!$G$30,TabS!$I$30,IF(H5&lt;=TabS!$G$31,TabS!$I$31,IF(H5&lt;=TabS!$G$32,TabS!$I$32,IF(H5&lt;=TabS!$G$33,TabS!$I$33,IF(H5&lt;=TabS!$G$34,TabS!$I$34))))))</f>
        <v>0</v>
      </c>
      <c r="I47" s="132">
        <f>IF(I5&lt;=TabS!$G$29,TabS!$I$29,IF(I5&lt;=TabS!$G$30,TabS!$I$30,IF(I5&lt;=TabS!$G$31,TabS!$I$31,IF(I5&lt;=TabS!$G$32,TabS!$I$32,IF(I5&lt;=TabS!$G$33,TabS!$I$33,IF(I5&lt;=TabS!$G$34,TabS!$I$34))))))</f>
        <v>0</v>
      </c>
      <c r="J47" s="132">
        <f>IF(J5&lt;=TabS!$G$29,TabS!$I$29,IF(J5&lt;=TabS!$G$30,TabS!$I$30,IF(J5&lt;=TabS!$G$31,TabS!$I$31,IF(J5&lt;=TabS!$G$32,TabS!$I$32,IF(J5&lt;=TabS!$G$33,TabS!$I$33,IF(J5&lt;=TabS!$G$34,TabS!$I$34))))))</f>
        <v>0</v>
      </c>
      <c r="K47" s="132">
        <f>IF(K5&lt;=TabS!$G$29,TabS!$I$29,IF(K5&lt;=TabS!$G$30,TabS!$I$30,IF(K5&lt;=TabS!$G$31,TabS!$I$31,IF(K5&lt;=TabS!$G$32,TabS!$I$32,IF(K5&lt;=TabS!$G$33,TabS!$I$33,IF(K5&lt;=TabS!$G$34,TabS!$I$34))))))</f>
        <v>0</v>
      </c>
      <c r="L47" s="132">
        <f>IF(L5&lt;=TabS!$G$29,TabS!$I$29,IF(L5&lt;=TabS!$G$30,TabS!$I$30,IF(L5&lt;=TabS!$G$31,TabS!$I$31,IF(L5&lt;=TabS!$G$32,TabS!$I$32,IF(L5&lt;=TabS!$G$33,TabS!$I$33,IF(L5&lt;=TabS!$G$34,TabS!$I$34))))))</f>
        <v>0</v>
      </c>
      <c r="M47" s="132">
        <f>IF(M5&lt;=TabS!$G$29,TabS!$I$29,IF(M5&lt;=TabS!$G$30,TabS!$I$30,IF(M5&lt;=TabS!$G$31,TabS!$I$31,IF(M5&lt;=TabS!$G$32,TabS!$I$32,IF(M5&lt;=TabS!$G$33,TabS!$I$33,IF(M5&lt;=TabS!$G$34,TabS!$I$34))))))</f>
        <v>0</v>
      </c>
      <c r="N47" s="132">
        <f>IF(N5&lt;=TabS!$G$29,TabS!$I$29,IF(N5&lt;=TabS!$G$30,TabS!$I$30,IF(N5&lt;=TabS!$G$31,TabS!$I$31,IF(N5&lt;=TabS!$G$32,TabS!$I$32,IF(N5&lt;=TabS!$G$33,TabS!$I$33,IF(N5&lt;=TabS!$G$34,TabS!$I$34))))))</f>
        <v>0</v>
      </c>
      <c r="O47" s="119">
        <f t="shared" si="38"/>
        <v>0</v>
      </c>
    </row>
    <row r="48" spans="2:30" ht="20.100000000000001" customHeight="1" x14ac:dyDescent="0.25">
      <c r="B48" s="49" t="s">
        <v>123</v>
      </c>
      <c r="C48" s="135">
        <f>IFERROR(C50/C5,0)</f>
        <v>0</v>
      </c>
      <c r="D48" s="135">
        <f t="shared" ref="D48:N48" si="39">IFERROR(D50/D5,0)</f>
        <v>0</v>
      </c>
      <c r="E48" s="135">
        <f t="shared" si="39"/>
        <v>0</v>
      </c>
      <c r="F48" s="135">
        <f t="shared" si="39"/>
        <v>0</v>
      </c>
      <c r="G48" s="135">
        <f t="shared" si="39"/>
        <v>0</v>
      </c>
      <c r="H48" s="135">
        <f t="shared" si="39"/>
        <v>0</v>
      </c>
      <c r="I48" s="135">
        <f t="shared" si="39"/>
        <v>0</v>
      </c>
      <c r="J48" s="135">
        <f t="shared" si="39"/>
        <v>0</v>
      </c>
      <c r="K48" s="135">
        <f t="shared" si="39"/>
        <v>0</v>
      </c>
      <c r="L48" s="135">
        <f t="shared" si="39"/>
        <v>0</v>
      </c>
      <c r="M48" s="135">
        <f t="shared" si="39"/>
        <v>0</v>
      </c>
      <c r="N48" s="135">
        <f t="shared" si="39"/>
        <v>0</v>
      </c>
      <c r="O48" s="136">
        <f t="shared" si="38"/>
        <v>0</v>
      </c>
    </row>
    <row r="49" spans="2:15" ht="20.100000000000001" customHeight="1" x14ac:dyDescent="0.25">
      <c r="B49" s="161" t="s">
        <v>125</v>
      </c>
      <c r="C49" s="137">
        <f>C45*C48</f>
        <v>0</v>
      </c>
      <c r="D49" s="137">
        <f t="shared" ref="D49:N49" si="40">D45*D48</f>
        <v>0</v>
      </c>
      <c r="E49" s="137">
        <f t="shared" si="40"/>
        <v>0</v>
      </c>
      <c r="F49" s="137">
        <f t="shared" si="40"/>
        <v>0</v>
      </c>
      <c r="G49" s="137">
        <f t="shared" si="40"/>
        <v>0</v>
      </c>
      <c r="H49" s="137">
        <f t="shared" si="40"/>
        <v>0</v>
      </c>
      <c r="I49" s="137">
        <f t="shared" si="40"/>
        <v>0</v>
      </c>
      <c r="J49" s="137">
        <f t="shared" si="40"/>
        <v>0</v>
      </c>
      <c r="K49" s="137">
        <f t="shared" si="40"/>
        <v>0</v>
      </c>
      <c r="L49" s="137">
        <f t="shared" si="40"/>
        <v>0</v>
      </c>
      <c r="M49" s="137">
        <f t="shared" si="40"/>
        <v>0</v>
      </c>
      <c r="N49" s="137">
        <f t="shared" si="40"/>
        <v>0</v>
      </c>
      <c r="O49" s="138">
        <f>SUM(C49:N49)</f>
        <v>0</v>
      </c>
    </row>
    <row r="50" spans="2:15" ht="20.100000000000001" customHeight="1" x14ac:dyDescent="0.25">
      <c r="B50" s="19" t="s">
        <v>124</v>
      </c>
      <c r="C50" s="132">
        <f>IFERROR((C5*C46)-C47,0)</f>
        <v>0</v>
      </c>
      <c r="D50" s="132">
        <f t="shared" ref="D50:N50" si="41">IFERROR((D5*D46)-D47,0)</f>
        <v>0</v>
      </c>
      <c r="E50" s="132">
        <f t="shared" si="41"/>
        <v>0</v>
      </c>
      <c r="F50" s="132">
        <f t="shared" si="41"/>
        <v>0</v>
      </c>
      <c r="G50" s="132">
        <f t="shared" si="41"/>
        <v>0</v>
      </c>
      <c r="H50" s="132">
        <f t="shared" si="41"/>
        <v>0</v>
      </c>
      <c r="I50" s="132">
        <f t="shared" si="41"/>
        <v>0</v>
      </c>
      <c r="J50" s="132">
        <f t="shared" si="41"/>
        <v>0</v>
      </c>
      <c r="K50" s="132">
        <f t="shared" si="41"/>
        <v>0</v>
      </c>
      <c r="L50" s="132">
        <f t="shared" si="41"/>
        <v>0</v>
      </c>
      <c r="M50" s="132">
        <f t="shared" si="41"/>
        <v>0</v>
      </c>
      <c r="N50" s="132">
        <f t="shared" si="41"/>
        <v>0</v>
      </c>
      <c r="O50" s="119">
        <f t="shared" si="38"/>
        <v>0</v>
      </c>
    </row>
    <row r="52" spans="2:15" ht="29.25" customHeight="1" x14ac:dyDescent="0.25">
      <c r="B52" s="162" t="s">
        <v>126</v>
      </c>
      <c r="C52" s="139"/>
      <c r="D52" s="139"/>
      <c r="E52" s="139"/>
      <c r="F52" s="139"/>
      <c r="G52" s="139"/>
      <c r="H52" s="139"/>
    </row>
    <row r="53" spans="2:15" ht="20.100000000000001" customHeight="1" x14ac:dyDescent="0.25">
      <c r="B53" s="163"/>
      <c r="C53" s="139"/>
      <c r="D53" s="139"/>
      <c r="E53" s="139"/>
      <c r="F53" s="139"/>
      <c r="G53" s="139"/>
      <c r="H53" s="139"/>
    </row>
    <row r="54" spans="2:15" ht="20.100000000000001" customHeight="1" x14ac:dyDescent="0.25">
      <c r="B54" s="164" t="s">
        <v>80</v>
      </c>
      <c r="C54" s="139"/>
      <c r="D54" s="139"/>
      <c r="E54" s="139"/>
      <c r="F54" s="139"/>
      <c r="G54" s="139"/>
      <c r="H54" s="139"/>
    </row>
    <row r="55" spans="2:15" ht="20.100000000000001" customHeight="1" x14ac:dyDescent="0.25">
      <c r="B55" s="163"/>
      <c r="C55" s="139"/>
      <c r="D55" s="139"/>
      <c r="E55" s="139"/>
      <c r="F55" s="139"/>
      <c r="G55" s="139"/>
      <c r="H55" s="139"/>
    </row>
    <row r="56" spans="2:15" ht="20.100000000000001" customHeight="1" x14ac:dyDescent="0.25">
      <c r="B56" s="165" t="s">
        <v>127</v>
      </c>
      <c r="C56" s="140" t="s">
        <v>97</v>
      </c>
      <c r="D56" s="140" t="s">
        <v>98</v>
      </c>
      <c r="E56" s="140" t="s">
        <v>128</v>
      </c>
      <c r="F56" s="140" t="s">
        <v>129</v>
      </c>
      <c r="G56" s="140" t="s">
        <v>42</v>
      </c>
      <c r="H56" s="140" t="s">
        <v>40</v>
      </c>
    </row>
    <row r="57" spans="2:15" ht="20.100000000000001" customHeight="1" x14ac:dyDescent="0.25">
      <c r="B57" s="163" t="s">
        <v>69</v>
      </c>
      <c r="C57" s="141">
        <v>0</v>
      </c>
      <c r="D57" s="141">
        <v>0</v>
      </c>
      <c r="E57" s="141">
        <v>0</v>
      </c>
      <c r="F57" s="141">
        <v>0</v>
      </c>
      <c r="G57" s="141">
        <v>0</v>
      </c>
      <c r="H57" s="141">
        <v>0</v>
      </c>
    </row>
    <row r="58" spans="2:15" ht="20.100000000000001" customHeight="1" x14ac:dyDescent="0.25">
      <c r="B58" s="163" t="s">
        <v>70</v>
      </c>
      <c r="C58" s="141">
        <v>0</v>
      </c>
      <c r="D58" s="141">
        <v>0</v>
      </c>
      <c r="E58" s="141">
        <v>0</v>
      </c>
      <c r="F58" s="141">
        <v>0</v>
      </c>
      <c r="G58" s="141">
        <v>0</v>
      </c>
      <c r="H58" s="141">
        <v>0</v>
      </c>
    </row>
    <row r="59" spans="2:15" ht="20.100000000000001" customHeight="1" x14ac:dyDescent="0.25">
      <c r="B59" s="163" t="s">
        <v>71</v>
      </c>
      <c r="C59" s="141">
        <v>0</v>
      </c>
      <c r="D59" s="141">
        <v>0</v>
      </c>
      <c r="E59" s="141">
        <v>0</v>
      </c>
      <c r="F59" s="141">
        <v>0</v>
      </c>
      <c r="G59" s="141">
        <v>0</v>
      </c>
      <c r="H59" s="141">
        <v>0</v>
      </c>
    </row>
    <row r="60" spans="2:15" ht="20.100000000000001" customHeight="1" x14ac:dyDescent="0.25">
      <c r="B60" s="163" t="s">
        <v>72</v>
      </c>
      <c r="C60" s="141">
        <v>0</v>
      </c>
      <c r="D60" s="141">
        <v>0</v>
      </c>
      <c r="E60" s="141">
        <v>0</v>
      </c>
      <c r="F60" s="141">
        <v>0</v>
      </c>
      <c r="G60" s="141">
        <v>0</v>
      </c>
      <c r="H60" s="141">
        <v>0</v>
      </c>
    </row>
    <row r="61" spans="2:15" ht="20.100000000000001" customHeight="1" x14ac:dyDescent="0.25">
      <c r="B61" s="163" t="s">
        <v>73</v>
      </c>
      <c r="C61" s="141">
        <v>0</v>
      </c>
      <c r="D61" s="141">
        <v>0</v>
      </c>
      <c r="E61" s="141">
        <v>0</v>
      </c>
      <c r="F61" s="141">
        <v>0</v>
      </c>
      <c r="G61" s="141">
        <v>0</v>
      </c>
      <c r="H61" s="141">
        <v>0</v>
      </c>
    </row>
    <row r="62" spans="2:15" ht="20.100000000000001" customHeight="1" x14ac:dyDescent="0.25">
      <c r="B62" s="166" t="s">
        <v>74</v>
      </c>
      <c r="C62" s="142">
        <v>0</v>
      </c>
      <c r="D62" s="142">
        <v>0</v>
      </c>
      <c r="E62" s="142">
        <v>0</v>
      </c>
      <c r="F62" s="142">
        <v>0</v>
      </c>
      <c r="G62" s="142">
        <v>0</v>
      </c>
      <c r="H62" s="142">
        <v>0</v>
      </c>
    </row>
    <row r="63" spans="2:15" ht="20.100000000000001" customHeight="1" x14ac:dyDescent="0.25">
      <c r="B63" s="163"/>
      <c r="C63" s="139"/>
      <c r="D63" s="139"/>
      <c r="E63" s="139"/>
      <c r="F63" s="139"/>
      <c r="G63" s="139"/>
      <c r="H63" s="139"/>
    </row>
    <row r="64" spans="2:15" ht="20.100000000000001" customHeight="1" x14ac:dyDescent="0.25">
      <c r="B64" s="164" t="s">
        <v>81</v>
      </c>
      <c r="C64" s="139"/>
      <c r="D64" s="139"/>
      <c r="E64" s="139"/>
      <c r="F64" s="139"/>
      <c r="G64" s="139"/>
      <c r="H64" s="139"/>
    </row>
    <row r="65" spans="2:9" ht="20.100000000000001" customHeight="1" x14ac:dyDescent="0.25">
      <c r="B65" s="163"/>
      <c r="C65" s="139"/>
      <c r="D65" s="139"/>
      <c r="E65" s="139"/>
      <c r="F65" s="139"/>
      <c r="G65" s="139"/>
      <c r="H65" s="139"/>
    </row>
    <row r="66" spans="2:9" ht="20.100000000000001" customHeight="1" x14ac:dyDescent="0.25">
      <c r="B66" s="165" t="s">
        <v>127</v>
      </c>
      <c r="C66" s="140" t="s">
        <v>97</v>
      </c>
      <c r="D66" s="140" t="s">
        <v>98</v>
      </c>
      <c r="E66" s="140" t="s">
        <v>128</v>
      </c>
      <c r="F66" s="140" t="s">
        <v>129</v>
      </c>
      <c r="G66" s="140" t="s">
        <v>42</v>
      </c>
      <c r="H66" s="140" t="s">
        <v>40</v>
      </c>
      <c r="I66" s="140" t="s">
        <v>38</v>
      </c>
    </row>
    <row r="67" spans="2:9" ht="20.100000000000001" customHeight="1" x14ac:dyDescent="0.25">
      <c r="B67" s="163" t="s">
        <v>69</v>
      </c>
      <c r="C67" s="141">
        <v>0</v>
      </c>
      <c r="D67" s="141">
        <v>0</v>
      </c>
      <c r="E67" s="141">
        <v>0</v>
      </c>
      <c r="F67" s="141">
        <v>0</v>
      </c>
      <c r="G67" s="141">
        <v>0</v>
      </c>
      <c r="H67" s="141">
        <v>0</v>
      </c>
      <c r="I67" s="141">
        <v>0</v>
      </c>
    </row>
    <row r="68" spans="2:9" ht="20.100000000000001" customHeight="1" x14ac:dyDescent="0.25">
      <c r="B68" s="163" t="s">
        <v>70</v>
      </c>
      <c r="C68" s="141">
        <v>0</v>
      </c>
      <c r="D68" s="141">
        <v>0</v>
      </c>
      <c r="E68" s="141">
        <v>0</v>
      </c>
      <c r="F68" s="141">
        <v>0</v>
      </c>
      <c r="G68" s="141">
        <v>0</v>
      </c>
      <c r="H68" s="141">
        <v>0</v>
      </c>
      <c r="I68" s="141">
        <v>0</v>
      </c>
    </row>
    <row r="69" spans="2:9" ht="20.100000000000001" customHeight="1" x14ac:dyDescent="0.25">
      <c r="B69" s="163" t="s">
        <v>71</v>
      </c>
      <c r="C69" s="141">
        <v>0</v>
      </c>
      <c r="D69" s="141">
        <v>0</v>
      </c>
      <c r="E69" s="141">
        <v>0</v>
      </c>
      <c r="F69" s="141">
        <v>0</v>
      </c>
      <c r="G69" s="141">
        <v>0</v>
      </c>
      <c r="H69" s="141">
        <v>0</v>
      </c>
      <c r="I69" s="141">
        <v>0</v>
      </c>
    </row>
    <row r="70" spans="2:9" ht="20.100000000000001" customHeight="1" x14ac:dyDescent="0.25">
      <c r="B70" s="163" t="s">
        <v>72</v>
      </c>
      <c r="C70" s="141">
        <v>0</v>
      </c>
      <c r="D70" s="141">
        <v>0</v>
      </c>
      <c r="E70" s="141">
        <v>0</v>
      </c>
      <c r="F70" s="141">
        <v>0</v>
      </c>
      <c r="G70" s="141">
        <v>0</v>
      </c>
      <c r="H70" s="141">
        <v>0</v>
      </c>
      <c r="I70" s="141">
        <v>0</v>
      </c>
    </row>
    <row r="71" spans="2:9" ht="20.100000000000001" customHeight="1" x14ac:dyDescent="0.25">
      <c r="B71" s="163" t="s">
        <v>73</v>
      </c>
      <c r="C71" s="141">
        <v>0</v>
      </c>
      <c r="D71" s="141">
        <v>0</v>
      </c>
      <c r="E71" s="141">
        <v>0</v>
      </c>
      <c r="F71" s="141">
        <v>0</v>
      </c>
      <c r="G71" s="141">
        <v>0</v>
      </c>
      <c r="H71" s="141">
        <v>0</v>
      </c>
      <c r="I71" s="141">
        <v>0</v>
      </c>
    </row>
    <row r="72" spans="2:9" ht="20.100000000000001" customHeight="1" x14ac:dyDescent="0.25">
      <c r="B72" s="166" t="s">
        <v>74</v>
      </c>
      <c r="C72" s="142">
        <v>0</v>
      </c>
      <c r="D72" s="142">
        <v>0</v>
      </c>
      <c r="E72" s="142">
        <v>0</v>
      </c>
      <c r="F72" s="142">
        <v>0</v>
      </c>
      <c r="G72" s="142">
        <v>0</v>
      </c>
      <c r="H72" s="142">
        <v>0</v>
      </c>
      <c r="I72" s="142">
        <v>0</v>
      </c>
    </row>
    <row r="73" spans="2:9" ht="20.100000000000001" customHeight="1" x14ac:dyDescent="0.25">
      <c r="B73" s="163"/>
      <c r="C73" s="139"/>
      <c r="D73" s="139"/>
      <c r="E73" s="139"/>
      <c r="F73" s="139"/>
      <c r="G73" s="139"/>
      <c r="H73" s="139"/>
    </row>
    <row r="74" spans="2:9" ht="20.100000000000001" customHeight="1" x14ac:dyDescent="0.25">
      <c r="B74" s="164" t="s">
        <v>75</v>
      </c>
      <c r="C74" s="139"/>
      <c r="D74" s="139"/>
      <c r="E74" s="139"/>
      <c r="F74" s="139"/>
      <c r="G74" s="139"/>
      <c r="H74" s="139"/>
    </row>
    <row r="75" spans="2:9" ht="20.100000000000001" customHeight="1" x14ac:dyDescent="0.25">
      <c r="B75" s="163"/>
      <c r="C75" s="139"/>
      <c r="D75" s="139"/>
      <c r="E75" s="139"/>
      <c r="F75" s="139"/>
      <c r="G75" s="139"/>
      <c r="H75" s="139"/>
    </row>
    <row r="76" spans="2:9" ht="20.100000000000001" customHeight="1" x14ac:dyDescent="0.25">
      <c r="B76" s="165" t="s">
        <v>127</v>
      </c>
      <c r="C76" s="140" t="s">
        <v>97</v>
      </c>
      <c r="D76" s="140" t="s">
        <v>98</v>
      </c>
      <c r="E76" s="140" t="s">
        <v>39</v>
      </c>
      <c r="F76" s="140" t="s">
        <v>129</v>
      </c>
      <c r="G76" s="140" t="s">
        <v>42</v>
      </c>
      <c r="H76" s="140" t="s">
        <v>40</v>
      </c>
    </row>
    <row r="77" spans="2:9" ht="20.100000000000001" customHeight="1" x14ac:dyDescent="0.25">
      <c r="B77" s="163" t="s">
        <v>69</v>
      </c>
      <c r="C77" s="141">
        <v>0</v>
      </c>
      <c r="D77" s="141">
        <v>0</v>
      </c>
      <c r="E77" s="141">
        <v>0</v>
      </c>
      <c r="F77" s="141">
        <v>0</v>
      </c>
      <c r="G77" s="141">
        <v>0</v>
      </c>
      <c r="H77" s="141">
        <v>0</v>
      </c>
    </row>
    <row r="78" spans="2:9" ht="20.100000000000001" customHeight="1" x14ac:dyDescent="0.25">
      <c r="B78" s="163" t="s">
        <v>70</v>
      </c>
      <c r="C78" s="141">
        <v>0</v>
      </c>
      <c r="D78" s="141">
        <v>0</v>
      </c>
      <c r="E78" s="141">
        <v>0</v>
      </c>
      <c r="F78" s="141">
        <v>0</v>
      </c>
      <c r="G78" s="141">
        <v>0</v>
      </c>
      <c r="H78" s="141">
        <v>0</v>
      </c>
    </row>
    <row r="79" spans="2:9" ht="20.100000000000001" customHeight="1" x14ac:dyDescent="0.25">
      <c r="B79" s="163" t="s">
        <v>71</v>
      </c>
      <c r="C79" s="141">
        <v>0</v>
      </c>
      <c r="D79" s="141">
        <v>0</v>
      </c>
      <c r="E79" s="141">
        <v>0</v>
      </c>
      <c r="F79" s="141">
        <v>0</v>
      </c>
      <c r="G79" s="141">
        <v>0</v>
      </c>
      <c r="H79" s="141">
        <v>0</v>
      </c>
    </row>
    <row r="80" spans="2:9" ht="20.100000000000001" customHeight="1" x14ac:dyDescent="0.25">
      <c r="B80" s="163" t="s">
        <v>72</v>
      </c>
      <c r="C80" s="141">
        <v>0</v>
      </c>
      <c r="D80" s="141">
        <v>0</v>
      </c>
      <c r="E80" s="141">
        <v>0</v>
      </c>
      <c r="F80" s="141">
        <v>0</v>
      </c>
      <c r="G80" s="141">
        <v>0</v>
      </c>
      <c r="H80" s="141">
        <v>0</v>
      </c>
    </row>
    <row r="81" spans="2:8" ht="20.100000000000001" customHeight="1" x14ac:dyDescent="0.25">
      <c r="B81" s="163" t="s">
        <v>73</v>
      </c>
      <c r="C81" s="141">
        <v>0</v>
      </c>
      <c r="D81" s="141">
        <v>0</v>
      </c>
      <c r="E81" s="141">
        <v>0</v>
      </c>
      <c r="F81" s="141">
        <v>0</v>
      </c>
      <c r="G81" s="141">
        <v>0</v>
      </c>
      <c r="H81" s="141">
        <v>0</v>
      </c>
    </row>
    <row r="82" spans="2:8" ht="20.100000000000001" customHeight="1" x14ac:dyDescent="0.25">
      <c r="B82" s="166" t="s">
        <v>74</v>
      </c>
      <c r="C82" s="142">
        <v>0</v>
      </c>
      <c r="D82" s="142">
        <v>0</v>
      </c>
      <c r="E82" s="142">
        <v>0</v>
      </c>
      <c r="F82" s="142">
        <v>0</v>
      </c>
      <c r="G82" s="142">
        <v>0</v>
      </c>
      <c r="H82" s="142">
        <v>0</v>
      </c>
    </row>
    <row r="83" spans="2:8" ht="20.100000000000001" customHeight="1" x14ac:dyDescent="0.25">
      <c r="B83" s="163"/>
      <c r="C83" s="139"/>
      <c r="D83" s="139"/>
      <c r="E83" s="139"/>
      <c r="F83" s="139"/>
      <c r="G83" s="139"/>
      <c r="H83" s="139"/>
    </row>
    <row r="84" spans="2:8" ht="20.100000000000001" customHeight="1" x14ac:dyDescent="0.25">
      <c r="B84" s="164" t="s">
        <v>76</v>
      </c>
      <c r="C84" s="139"/>
      <c r="D84" s="139"/>
      <c r="E84" s="139"/>
      <c r="F84" s="139"/>
      <c r="G84" s="139"/>
      <c r="H84" s="139"/>
    </row>
    <row r="85" spans="2:8" ht="20.100000000000001" customHeight="1" x14ac:dyDescent="0.25">
      <c r="B85" s="163"/>
      <c r="C85" s="139"/>
      <c r="D85" s="139"/>
      <c r="E85" s="139"/>
      <c r="F85" s="139"/>
      <c r="G85" s="139"/>
      <c r="H85" s="139"/>
    </row>
    <row r="86" spans="2:8" ht="20.100000000000001" customHeight="1" x14ac:dyDescent="0.25">
      <c r="B86" s="165" t="s">
        <v>127</v>
      </c>
      <c r="C86" s="140" t="s">
        <v>97</v>
      </c>
      <c r="D86" s="140" t="s">
        <v>98</v>
      </c>
      <c r="E86" s="140" t="s">
        <v>39</v>
      </c>
      <c r="F86" s="140" t="s">
        <v>129</v>
      </c>
      <c r="G86" s="140" t="s">
        <v>42</v>
      </c>
      <c r="H86" s="140" t="s">
        <v>40</v>
      </c>
    </row>
    <row r="87" spans="2:8" ht="20.100000000000001" customHeight="1" x14ac:dyDescent="0.25">
      <c r="B87" s="163" t="s">
        <v>69</v>
      </c>
      <c r="C87" s="141">
        <v>0</v>
      </c>
      <c r="D87" s="141">
        <v>0</v>
      </c>
      <c r="E87" s="141">
        <v>0</v>
      </c>
      <c r="F87" s="141">
        <v>0</v>
      </c>
      <c r="G87" s="141">
        <v>0</v>
      </c>
      <c r="H87" s="141">
        <v>0</v>
      </c>
    </row>
    <row r="88" spans="2:8" ht="20.100000000000001" customHeight="1" x14ac:dyDescent="0.25">
      <c r="B88" s="163" t="s">
        <v>70</v>
      </c>
      <c r="C88" s="141">
        <v>0</v>
      </c>
      <c r="D88" s="141">
        <v>0</v>
      </c>
      <c r="E88" s="141">
        <v>0</v>
      </c>
      <c r="F88" s="141">
        <v>0</v>
      </c>
      <c r="G88" s="141">
        <v>0</v>
      </c>
      <c r="H88" s="141">
        <v>0</v>
      </c>
    </row>
    <row r="89" spans="2:8" ht="20.100000000000001" customHeight="1" x14ac:dyDescent="0.25">
      <c r="B89" s="163" t="s">
        <v>71</v>
      </c>
      <c r="C89" s="141">
        <v>0</v>
      </c>
      <c r="D89" s="141">
        <v>0</v>
      </c>
      <c r="E89" s="141">
        <v>0</v>
      </c>
      <c r="F89" s="141">
        <v>0</v>
      </c>
      <c r="G89" s="141">
        <v>0</v>
      </c>
      <c r="H89" s="141">
        <v>0</v>
      </c>
    </row>
    <row r="90" spans="2:8" ht="20.100000000000001" customHeight="1" x14ac:dyDescent="0.25">
      <c r="B90" s="163" t="s">
        <v>72</v>
      </c>
      <c r="C90" s="141">
        <v>0</v>
      </c>
      <c r="D90" s="141">
        <v>0</v>
      </c>
      <c r="E90" s="141">
        <v>0</v>
      </c>
      <c r="F90" s="141">
        <v>0</v>
      </c>
      <c r="G90" s="141">
        <v>0</v>
      </c>
      <c r="H90" s="141">
        <v>0</v>
      </c>
    </row>
    <row r="91" spans="2:8" ht="20.100000000000001" customHeight="1" x14ac:dyDescent="0.25">
      <c r="B91" s="163" t="s">
        <v>73</v>
      </c>
      <c r="C91" s="141">
        <v>0</v>
      </c>
      <c r="D91" s="141">
        <v>0</v>
      </c>
      <c r="E91" s="141">
        <v>0</v>
      </c>
      <c r="F91" s="141">
        <v>0</v>
      </c>
      <c r="G91" s="141">
        <v>0</v>
      </c>
      <c r="H91" s="141">
        <v>0</v>
      </c>
    </row>
    <row r="92" spans="2:8" ht="20.100000000000001" customHeight="1" x14ac:dyDescent="0.25">
      <c r="B92" s="166" t="s">
        <v>74</v>
      </c>
      <c r="C92" s="142">
        <v>0</v>
      </c>
      <c r="D92" s="142">
        <v>0</v>
      </c>
      <c r="E92" s="142">
        <v>0</v>
      </c>
      <c r="F92" s="142">
        <v>0</v>
      </c>
      <c r="G92" s="142">
        <v>0</v>
      </c>
      <c r="H92" s="142">
        <v>0</v>
      </c>
    </row>
    <row r="93" spans="2:8" ht="20.100000000000001" customHeight="1" x14ac:dyDescent="0.25">
      <c r="B93" s="163"/>
      <c r="C93" s="139"/>
      <c r="D93" s="139"/>
      <c r="E93" s="139"/>
      <c r="F93" s="139"/>
      <c r="G93" s="139"/>
      <c r="H93" s="139"/>
    </row>
    <row r="94" spans="2:8" ht="20.100000000000001" customHeight="1" x14ac:dyDescent="0.25">
      <c r="B94" s="164" t="s">
        <v>77</v>
      </c>
      <c r="C94" s="139"/>
      <c r="D94" s="139"/>
      <c r="E94" s="139"/>
      <c r="F94" s="139"/>
      <c r="G94" s="139"/>
      <c r="H94" s="139"/>
    </row>
    <row r="95" spans="2:8" ht="20.100000000000001" customHeight="1" x14ac:dyDescent="0.25">
      <c r="B95" s="163"/>
      <c r="C95" s="139"/>
      <c r="D95" s="139"/>
      <c r="E95" s="139"/>
      <c r="F95" s="139"/>
      <c r="G95" s="139"/>
      <c r="H95" s="139"/>
    </row>
    <row r="96" spans="2:8" ht="20.100000000000001" customHeight="1" x14ac:dyDescent="0.25">
      <c r="B96" s="165" t="s">
        <v>127</v>
      </c>
      <c r="C96" s="140" t="s">
        <v>97</v>
      </c>
      <c r="D96" s="140" t="s">
        <v>98</v>
      </c>
      <c r="E96" s="140" t="s">
        <v>39</v>
      </c>
      <c r="F96" s="140" t="s">
        <v>129</v>
      </c>
      <c r="G96" s="140" t="s">
        <v>42</v>
      </c>
      <c r="H96" s="140" t="s">
        <v>40</v>
      </c>
    </row>
    <row r="97" spans="2:30" ht="20.100000000000001" customHeight="1" x14ac:dyDescent="0.25">
      <c r="B97" s="163" t="s">
        <v>69</v>
      </c>
      <c r="C97" s="141">
        <v>0</v>
      </c>
      <c r="D97" s="141">
        <v>0</v>
      </c>
      <c r="E97" s="141">
        <v>0</v>
      </c>
      <c r="F97" s="141">
        <v>0</v>
      </c>
      <c r="G97" s="141">
        <v>0</v>
      </c>
      <c r="H97" s="141">
        <v>0</v>
      </c>
    </row>
    <row r="98" spans="2:30" ht="20.100000000000001" customHeight="1" x14ac:dyDescent="0.25">
      <c r="B98" s="163" t="s">
        <v>70</v>
      </c>
      <c r="C98" s="141">
        <v>0</v>
      </c>
      <c r="D98" s="141">
        <v>0</v>
      </c>
      <c r="E98" s="141">
        <v>0</v>
      </c>
      <c r="F98" s="141">
        <v>0</v>
      </c>
      <c r="G98" s="141">
        <v>0</v>
      </c>
      <c r="H98" s="141">
        <v>0</v>
      </c>
    </row>
    <row r="99" spans="2:30" ht="20.100000000000001" customHeight="1" x14ac:dyDescent="0.25">
      <c r="B99" s="163" t="s">
        <v>71</v>
      </c>
      <c r="C99" s="141">
        <v>0</v>
      </c>
      <c r="D99" s="141">
        <v>0</v>
      </c>
      <c r="E99" s="141">
        <v>0</v>
      </c>
      <c r="F99" s="141">
        <v>0</v>
      </c>
      <c r="G99" s="141">
        <v>0</v>
      </c>
      <c r="H99" s="141">
        <v>0</v>
      </c>
    </row>
    <row r="100" spans="2:30" ht="20.100000000000001" customHeight="1" x14ac:dyDescent="0.25">
      <c r="B100" s="163" t="s">
        <v>72</v>
      </c>
      <c r="C100" s="141">
        <v>0</v>
      </c>
      <c r="D100" s="141">
        <v>0</v>
      </c>
      <c r="E100" s="141">
        <v>0</v>
      </c>
      <c r="F100" s="141">
        <v>0</v>
      </c>
      <c r="G100" s="141">
        <v>0</v>
      </c>
      <c r="H100" s="141">
        <v>0</v>
      </c>
    </row>
    <row r="101" spans="2:30" ht="20.100000000000001" customHeight="1" x14ac:dyDescent="0.25">
      <c r="B101" s="163" t="s">
        <v>73</v>
      </c>
      <c r="C101" s="141">
        <v>0</v>
      </c>
      <c r="D101" s="141">
        <v>0</v>
      </c>
      <c r="E101" s="141">
        <v>0</v>
      </c>
      <c r="F101" s="141">
        <v>0</v>
      </c>
      <c r="G101" s="141">
        <v>0</v>
      </c>
      <c r="H101" s="141">
        <v>0</v>
      </c>
    </row>
    <row r="102" spans="2:30" ht="20.100000000000001" customHeight="1" x14ac:dyDescent="0.25">
      <c r="B102" s="166" t="s">
        <v>74</v>
      </c>
      <c r="C102" s="142">
        <v>0</v>
      </c>
      <c r="D102" s="142">
        <v>0</v>
      </c>
      <c r="E102" s="142">
        <v>0</v>
      </c>
      <c r="F102" s="142">
        <v>0</v>
      </c>
      <c r="G102" s="142">
        <v>0</v>
      </c>
      <c r="H102" s="142">
        <v>0</v>
      </c>
    </row>
    <row r="104" spans="2:30" ht="20.100000000000001" customHeight="1" x14ac:dyDescent="0.25">
      <c r="B104" s="112" t="s">
        <v>82</v>
      </c>
      <c r="C104" s="112" t="s">
        <v>83</v>
      </c>
      <c r="D104" s="112" t="s">
        <v>84</v>
      </c>
      <c r="E104" s="112" t="s">
        <v>85</v>
      </c>
      <c r="F104" s="112" t="s">
        <v>86</v>
      </c>
      <c r="G104" s="112" t="s">
        <v>87</v>
      </c>
      <c r="H104" s="112" t="s">
        <v>88</v>
      </c>
      <c r="I104" s="112" t="s">
        <v>89</v>
      </c>
      <c r="J104" s="112" t="s">
        <v>90</v>
      </c>
      <c r="K104" s="112" t="s">
        <v>91</v>
      </c>
      <c r="L104" s="112" t="s">
        <v>92</v>
      </c>
      <c r="M104" s="112" t="s">
        <v>93</v>
      </c>
      <c r="N104" s="112" t="s">
        <v>94</v>
      </c>
      <c r="Q104" s="145" t="s">
        <v>82</v>
      </c>
      <c r="R104" s="112" t="s">
        <v>83</v>
      </c>
      <c r="S104" s="112" t="s">
        <v>84</v>
      </c>
      <c r="T104" s="112" t="s">
        <v>85</v>
      </c>
      <c r="U104" s="112" t="s">
        <v>86</v>
      </c>
      <c r="V104" s="112" t="s">
        <v>87</v>
      </c>
      <c r="W104" s="112" t="s">
        <v>88</v>
      </c>
      <c r="X104" s="112" t="s">
        <v>89</v>
      </c>
      <c r="Y104" s="112" t="s">
        <v>90</v>
      </c>
      <c r="Z104" s="112" t="s">
        <v>91</v>
      </c>
      <c r="AA104" s="112" t="s">
        <v>92</v>
      </c>
      <c r="AB104" s="112" t="s">
        <v>93</v>
      </c>
      <c r="AC104" s="112" t="s">
        <v>94</v>
      </c>
    </row>
    <row r="105" spans="2:30" ht="20.100000000000001" customHeight="1" x14ac:dyDescent="0.25">
      <c r="B105" s="19" t="s">
        <v>120</v>
      </c>
      <c r="C105" s="132">
        <f>C5</f>
        <v>0</v>
      </c>
      <c r="D105" s="132">
        <f t="shared" ref="D105:N105" si="42">D5</f>
        <v>0</v>
      </c>
      <c r="E105" s="132">
        <f t="shared" si="42"/>
        <v>0</v>
      </c>
      <c r="F105" s="132">
        <f t="shared" si="42"/>
        <v>0</v>
      </c>
      <c r="G105" s="132">
        <f t="shared" si="42"/>
        <v>0</v>
      </c>
      <c r="H105" s="132">
        <f t="shared" si="42"/>
        <v>0</v>
      </c>
      <c r="I105" s="132">
        <f t="shared" si="42"/>
        <v>0</v>
      </c>
      <c r="J105" s="132">
        <f t="shared" si="42"/>
        <v>0</v>
      </c>
      <c r="K105" s="132">
        <f t="shared" si="42"/>
        <v>0</v>
      </c>
      <c r="L105" s="132">
        <f t="shared" si="42"/>
        <v>0</v>
      </c>
      <c r="M105" s="132">
        <f t="shared" si="42"/>
        <v>0</v>
      </c>
      <c r="N105" s="132">
        <f t="shared" si="42"/>
        <v>0</v>
      </c>
      <c r="Q105" s="144" t="s">
        <v>120</v>
      </c>
      <c r="R105" s="132">
        <f>C105</f>
        <v>0</v>
      </c>
      <c r="S105" s="132">
        <f t="shared" ref="S105:AC105" si="43">D105</f>
        <v>0</v>
      </c>
      <c r="T105" s="132">
        <f t="shared" si="43"/>
        <v>0</v>
      </c>
      <c r="U105" s="132">
        <f t="shared" si="43"/>
        <v>0</v>
      </c>
      <c r="V105" s="132">
        <f t="shared" si="43"/>
        <v>0</v>
      </c>
      <c r="W105" s="132">
        <f t="shared" si="43"/>
        <v>0</v>
      </c>
      <c r="X105" s="132">
        <f t="shared" si="43"/>
        <v>0</v>
      </c>
      <c r="Y105" s="132">
        <f t="shared" si="43"/>
        <v>0</v>
      </c>
      <c r="Z105" s="132">
        <f t="shared" si="43"/>
        <v>0</v>
      </c>
      <c r="AA105" s="132">
        <f t="shared" si="43"/>
        <v>0</v>
      </c>
      <c r="AB105" s="132">
        <f t="shared" si="43"/>
        <v>0</v>
      </c>
      <c r="AC105" s="132">
        <f t="shared" si="43"/>
        <v>0</v>
      </c>
    </row>
    <row r="106" spans="2:30" ht="20.100000000000001" customHeight="1" x14ac:dyDescent="0.25">
      <c r="Q106" s="144" t="s">
        <v>138</v>
      </c>
      <c r="R106" s="132">
        <v>3600000</v>
      </c>
      <c r="S106" s="132">
        <v>3600000</v>
      </c>
      <c r="T106" s="132">
        <v>3600000</v>
      </c>
      <c r="U106" s="132">
        <v>3600000</v>
      </c>
      <c r="V106" s="132">
        <v>3600000</v>
      </c>
      <c r="W106" s="132">
        <v>3600000</v>
      </c>
      <c r="X106" s="132">
        <v>3600000</v>
      </c>
      <c r="Y106" s="132">
        <v>3600000</v>
      </c>
      <c r="Z106" s="132">
        <v>3600000</v>
      </c>
      <c r="AA106" s="132">
        <v>3600000</v>
      </c>
      <c r="AB106" s="132">
        <v>3600000</v>
      </c>
      <c r="AC106" s="132">
        <v>3600000</v>
      </c>
    </row>
    <row r="107" spans="2:30" ht="20.100000000000001" customHeight="1" x14ac:dyDescent="0.25">
      <c r="B107" s="164" t="s">
        <v>80</v>
      </c>
      <c r="Q107" s="144" t="s">
        <v>139</v>
      </c>
      <c r="R107" s="132">
        <v>4320000</v>
      </c>
      <c r="S107" s="132">
        <v>4320000</v>
      </c>
      <c r="T107" s="132">
        <v>4320000</v>
      </c>
      <c r="U107" s="132">
        <v>4320000</v>
      </c>
      <c r="V107" s="132">
        <v>4320000</v>
      </c>
      <c r="W107" s="132">
        <v>4320000</v>
      </c>
      <c r="X107" s="132">
        <v>4320000</v>
      </c>
      <c r="Y107" s="132">
        <v>4320000</v>
      </c>
      <c r="Z107" s="132">
        <v>4320000</v>
      </c>
      <c r="AA107" s="132">
        <v>4320000</v>
      </c>
      <c r="AB107" s="132">
        <v>4320000</v>
      </c>
      <c r="AC107" s="132">
        <v>4320000</v>
      </c>
    </row>
    <row r="108" spans="2:30" ht="20.100000000000001" customHeight="1" x14ac:dyDescent="0.25">
      <c r="B108" s="149" t="s">
        <v>82</v>
      </c>
      <c r="C108" s="149" t="s">
        <v>83</v>
      </c>
      <c r="D108" s="149" t="s">
        <v>84</v>
      </c>
      <c r="E108" s="149" t="s">
        <v>85</v>
      </c>
      <c r="F108" s="149" t="s">
        <v>86</v>
      </c>
      <c r="G108" s="149" t="s">
        <v>87</v>
      </c>
      <c r="H108" s="149" t="s">
        <v>88</v>
      </c>
      <c r="I108" s="149" t="s">
        <v>89</v>
      </c>
      <c r="J108" s="149" t="s">
        <v>90</v>
      </c>
      <c r="K108" s="149" t="s">
        <v>91</v>
      </c>
      <c r="L108" s="149" t="s">
        <v>92</v>
      </c>
      <c r="M108" s="149" t="s">
        <v>93</v>
      </c>
      <c r="N108" s="149" t="s">
        <v>94</v>
      </c>
      <c r="O108" s="149" t="s">
        <v>95</v>
      </c>
      <c r="Q108" s="171" t="s">
        <v>82</v>
      </c>
      <c r="R108" s="149" t="s">
        <v>83</v>
      </c>
      <c r="S108" s="149" t="s">
        <v>84</v>
      </c>
      <c r="T108" s="149" t="s">
        <v>85</v>
      </c>
      <c r="U108" s="149" t="s">
        <v>86</v>
      </c>
      <c r="V108" s="149" t="s">
        <v>87</v>
      </c>
      <c r="W108" s="149" t="s">
        <v>88</v>
      </c>
      <c r="X108" s="149" t="s">
        <v>89</v>
      </c>
      <c r="Y108" s="149" t="s">
        <v>90</v>
      </c>
      <c r="Z108" s="149" t="s">
        <v>91</v>
      </c>
      <c r="AA108" s="149" t="s">
        <v>92</v>
      </c>
      <c r="AB108" s="149" t="s">
        <v>93</v>
      </c>
      <c r="AC108" s="149" t="s">
        <v>94</v>
      </c>
      <c r="AD108" s="149" t="s">
        <v>95</v>
      </c>
    </row>
    <row r="109" spans="2:30" ht="20.100000000000001" customHeight="1" x14ac:dyDescent="0.25">
      <c r="B109" s="167" t="s">
        <v>97</v>
      </c>
      <c r="C109" s="151">
        <f>IF(C$105&lt;=TabS!$G$5,C21*$C$57,IF(C$105&lt;=TabS!$G$6,C21*$C$58,IF(C$105&lt;=TabS!$G$7,C21*$C$59,IF(C$105&lt;=TabS!$G$8,C21*$C$60,IF(C$105&lt;=TabS!$G$9,C21*$C$61,IF(C$105&lt;=TabS!$G$10,C21*$C$62))))))</f>
        <v>0</v>
      </c>
      <c r="D109" s="151">
        <f>IF(D$105&lt;=TabS!$G$5,D21*$C$57,IF(D$105&lt;=TabS!$G$6,D21*$C$58,IF(D$105&lt;=TabS!$G$7,D21*$C$59,IF(D$105&lt;=TabS!$G$8,D21*$C$60,IF(D$105&lt;=TabS!$G$9,D21*$C$61,IF(D$105&lt;=TabS!$G$10,D21*$C$62))))))</f>
        <v>0</v>
      </c>
      <c r="E109" s="151">
        <f>IF(E$105&lt;=TabS!$G$5,E21*$C$57,IF(E$105&lt;=TabS!$G$6,E21*$C$58,IF(E$105&lt;=TabS!$G$7,E21*$C$59,IF(E$105&lt;=TabS!$G$8,E21*$C$60,IF(E$105&lt;=TabS!$G$9,E21*$C$61,IF(E$105&lt;=TabS!$G$10,E21*$C$62))))))</f>
        <v>0</v>
      </c>
      <c r="F109" s="151">
        <f>IF(F$105&lt;=TabS!$G$5,F21*$C$57,IF(F$105&lt;=TabS!$G$6,F21*$C$58,IF(F$105&lt;=TabS!$G$7,F21*$C$59,IF(F$105&lt;=TabS!$G$8,F21*$C$60,IF(F$105&lt;=TabS!$G$9,F21*$C$61,IF(F$105&lt;=TabS!$G$10,F21*$C$62))))))</f>
        <v>0</v>
      </c>
      <c r="G109" s="151">
        <f>IF(G$105&lt;=TabS!$G$5,G21*$C$57,IF(G$105&lt;=TabS!$G$6,G21*$C$58,IF(G$105&lt;=TabS!$G$7,G21*$C$59,IF(G$105&lt;=TabS!$G$8,G21*$C$60,IF(G$105&lt;=TabS!$G$9,G21*$C$61,IF(G$105&lt;=TabS!$G$10,G21*$C$62))))))</f>
        <v>0</v>
      </c>
      <c r="H109" s="151">
        <f>IF(H$105&lt;=TabS!$G$5,H21*$C$57,IF(H$105&lt;=TabS!$G$6,H21*$C$58,IF(H$105&lt;=TabS!$G$7,H21*$C$59,IF(H$105&lt;=TabS!$G$8,H21*$C$60,IF(H$105&lt;=TabS!$G$9,H21*$C$61,IF(H$105&lt;=TabS!$G$10,H21*$C$62))))))</f>
        <v>0</v>
      </c>
      <c r="I109" s="151">
        <f>IF(I$105&lt;=TabS!$G$5,I21*$C$57,IF(I$105&lt;=TabS!$G$6,I21*$C$58,IF(I$105&lt;=TabS!$G$7,I21*$C$59,IF(I$105&lt;=TabS!$G$8,I21*$C$60,IF(I$105&lt;=TabS!$G$9,I21*$C$61,IF(I$105&lt;=TabS!$G$10,I21*$C$62))))))</f>
        <v>0</v>
      </c>
      <c r="J109" s="151">
        <f>IF(J$105&lt;=TabS!$G$5,J21*$C$57,IF(J$105&lt;=TabS!$G$6,J21*$C$58,IF(J$105&lt;=TabS!$G$7,J21*$C$59,IF(J$105&lt;=TabS!$G$8,J21*$C$60,IF(J$105&lt;=TabS!$G$9,J21*$C$61,IF(J$105&lt;=TabS!$G$10,J21*$C$62))))))</f>
        <v>0</v>
      </c>
      <c r="K109" s="151">
        <f>IF(K$105&lt;=TabS!$G$5,K21*$C$57,IF(K$105&lt;=TabS!$G$6,K21*$C$58,IF(K$105&lt;=TabS!$G$7,K21*$C$59,IF(K$105&lt;=TabS!$G$8,K21*$C$60,IF(K$105&lt;=TabS!$G$9,K21*$C$61,IF(K$105&lt;=TabS!$G$10,K21*$C$62))))))</f>
        <v>0</v>
      </c>
      <c r="L109" s="151">
        <f>IF(L$105&lt;=TabS!$G$5,L21*$C$57,IF(L$105&lt;=TabS!$G$6,L21*$C$58,IF(L$105&lt;=TabS!$G$7,L21*$C$59,IF(L$105&lt;=TabS!$G$8,L21*$C$60,IF(L$105&lt;=TabS!$G$9,L21*$C$61,IF(L$105&lt;=TabS!$G$10,L21*$C$62))))))</f>
        <v>0</v>
      </c>
      <c r="M109" s="151">
        <f>IF(M$105&lt;=TabS!$G$5,M21*$C$57,IF(M$105&lt;=TabS!$G$6,M21*$C$58,IF(M$105&lt;=TabS!$G$7,M21*$C$59,IF(M$105&lt;=TabS!$G$8,M21*$C$60,IF(M$105&lt;=TabS!$G$9,M21*$C$61,IF(M$105&lt;=TabS!$G$10,M21*$C$62))))))</f>
        <v>0</v>
      </c>
      <c r="N109" s="151">
        <f>IF(N$105&lt;=TabS!$G$5,N21*$C$57,IF(N$105&lt;=TabS!$G$6,N21*$C$58,IF(N$105&lt;=TabS!$G$7,N21*$C$59,IF(N$105&lt;=TabS!$G$8,N21*$C$60,IF(N$105&lt;=TabS!$G$9,N21*$C$61,IF(N$105&lt;=TabS!$G$10,N21*$C$62))))))</f>
        <v>0</v>
      </c>
      <c r="O109" s="152">
        <f t="shared" ref="O109:O115" si="44">SUM(C109:N109)</f>
        <v>0</v>
      </c>
      <c r="Q109" s="150" t="s">
        <v>97</v>
      </c>
      <c r="R109" s="151">
        <f>IF(R$105&lt;=TabS!$G$5,R21*$C$57,IF(R$105&lt;=TabS!$G$6,R21*$C$58,IF(R$105&lt;=TabS!$G$7,R21*$C$59,IF(R$105&lt;=TabS!$G$8,R21*$C$60,IF(R$105&lt;=TabS!$G$9,R21*$C$61,IF(R$105&lt;=TabS!$G$10,R21*$C$62))))))</f>
        <v>0</v>
      </c>
      <c r="S109" s="151">
        <f>IF(S$105&lt;=TabS!$G$5,S21*$C$57,IF(S$105&lt;=TabS!$G$6,S21*$C$58,IF(S$105&lt;=TabS!$G$7,S21*$C$59,IF(S$105&lt;=TabS!$G$8,S21*$C$60,IF(S$105&lt;=TabS!$G$9,S21*$C$61,IF(S$105&lt;=TabS!$G$10,S21*$C$62))))))</f>
        <v>0</v>
      </c>
      <c r="T109" s="151">
        <f>IF(T$105&lt;=TabS!$G$5,T21*$C$57,IF(T$105&lt;=TabS!$G$6,T21*$C$58,IF(T$105&lt;=TabS!$G$7,T21*$C$59,IF(T$105&lt;=TabS!$G$8,T21*$C$60,IF(T$105&lt;=TabS!$G$9,T21*$C$61,IF(T$105&lt;=TabS!$G$10,T21*$C$62))))))</f>
        <v>0</v>
      </c>
      <c r="U109" s="151">
        <f>IF(U$105&lt;=TabS!$G$5,U21*$C$57,IF(U$105&lt;=TabS!$G$6,U21*$C$58,IF(U$105&lt;=TabS!$G$7,U21*$C$59,IF(U$105&lt;=TabS!$G$8,U21*$C$60,IF(U$105&lt;=TabS!$G$9,U21*$C$61,IF(U$105&lt;=TabS!$G$10,U21*$C$62))))))</f>
        <v>0</v>
      </c>
      <c r="V109" s="151">
        <f>IF(V$105&lt;=TabS!$G$5,V21*$C$57,IF(V$105&lt;=TabS!$G$6,V21*$C$58,IF(V$105&lt;=TabS!$G$7,V21*$C$59,IF(V$105&lt;=TabS!$G$8,V21*$C$60,IF(V$105&lt;=TabS!$G$9,V21*$C$61,IF(V$105&lt;=TabS!$G$10,V21*$C$62))))))</f>
        <v>0</v>
      </c>
      <c r="W109" s="151">
        <f>IF(W$105&lt;=TabS!$G$5,W21*$C$57,IF(W$105&lt;=TabS!$G$6,W21*$C$58,IF(W$105&lt;=TabS!$G$7,W21*$C$59,IF(W$105&lt;=TabS!$G$8,W21*$C$60,IF(W$105&lt;=TabS!$G$9,W21*$C$61,IF(W$105&lt;=TabS!$G$10,W21*$C$62))))))</f>
        <v>0</v>
      </c>
      <c r="X109" s="151">
        <f>IF(X$105&lt;=TabS!$G$5,X21*$C$57,IF(X$105&lt;=TabS!$G$6,X21*$C$58,IF(X$105&lt;=TabS!$G$7,X21*$C$59,IF(X$105&lt;=TabS!$G$8,X21*$C$60,IF(X$105&lt;=TabS!$G$9,X21*$C$61,IF(X$105&lt;=TabS!$G$10,X21*$C$62))))))</f>
        <v>0</v>
      </c>
      <c r="Y109" s="151">
        <f>IF(Y$105&lt;=TabS!$G$5,Y21*$C$57,IF(Y$105&lt;=TabS!$G$6,Y21*$C$58,IF(Y$105&lt;=TabS!$G$7,Y21*$C$59,IF(Y$105&lt;=TabS!$G$8,Y21*$C$60,IF(Y$105&lt;=TabS!$G$9,Y21*$C$61,IF(Y$105&lt;=TabS!$G$10,Y21*$C$62))))))</f>
        <v>0</v>
      </c>
      <c r="Z109" s="151">
        <f>IF(Z$105&lt;=TabS!$G$5,Z21*$C$57,IF(Z$105&lt;=TabS!$G$6,Z21*$C$58,IF(Z$105&lt;=TabS!$G$7,Z21*$C$59,IF(Z$105&lt;=TabS!$G$8,Z21*$C$60,IF(Z$105&lt;=TabS!$G$9,Z21*$C$61,IF(Z$105&lt;=TabS!$G$10,Z21*$C$62))))))</f>
        <v>0</v>
      </c>
      <c r="AA109" s="151">
        <f>IF(AA$105&lt;=TabS!$G$5,AA21*$C$57,IF(AA$105&lt;=TabS!$G$6,AA21*$C$58,IF(AA$105&lt;=TabS!$G$7,AA21*$C$59,IF(AA$105&lt;=TabS!$G$8,AA21*$C$60,IF(AA$105&lt;=TabS!$G$9,AA21*$C$61,IF(AA$105&lt;=TabS!$G$10,AA21*$C$62))))))</f>
        <v>0</v>
      </c>
      <c r="AB109" s="151">
        <f>IF(AB$105&lt;=TabS!$G$5,AB21*$C$57,IF(AB$105&lt;=TabS!$G$6,AB21*$C$58,IF(AB$105&lt;=TabS!$G$7,AB21*$C$59,IF(AB$105&lt;=TabS!$G$8,AB21*$C$60,IF(AB$105&lt;=TabS!$G$9,AB21*$C$61,IF(AB$105&lt;=TabS!$G$10,AB21*$C$62))))))</f>
        <v>0</v>
      </c>
      <c r="AC109" s="151">
        <f>IF(AC$105&lt;=TabS!$G$5,AC21*$C$57,IF(AC$105&lt;=TabS!$G$6,AC21*$C$58,IF(AC$105&lt;=TabS!$G$7,AC21*$C$59,IF(AC$105&lt;=TabS!$G$8,AC21*$C$60,IF(AC$105&lt;=TabS!$G$9,AC21*$C$61,IF(AC$105&lt;=TabS!$G$10,AC21*$C$62))))))</f>
        <v>0</v>
      </c>
      <c r="AD109" s="152">
        <f t="shared" ref="AD109:AD115" si="45">SUM(R109:AC109)</f>
        <v>0</v>
      </c>
    </row>
    <row r="110" spans="2:30" ht="20.100000000000001" customHeight="1" x14ac:dyDescent="0.25">
      <c r="B110" s="167" t="s">
        <v>98</v>
      </c>
      <c r="C110" s="151">
        <f>IF(C$105&lt;=TabS!$G$5,C21*$D$57,IF(C$105&lt;=TabS!$G$6,C21*$D$58,IF(C$105&lt;=TabS!$G$7,C21*$D$59,IF(C$105&lt;=TabS!$G$8,C21*$D$60,IF(C$105&lt;=TabS!$G$9,C21*$D$61,IF(C$105&lt;=TabS!$G$10,C21*$D$62))))))</f>
        <v>0</v>
      </c>
      <c r="D110" s="151">
        <f>IF(D$105&lt;=TabS!$G$5,D21*$D$57,IF(D$105&lt;=TabS!$G$6,D21*$D$58,IF(D$105&lt;=TabS!$G$7,D21*$D$59,IF(D$105&lt;=TabS!$G$8,D21*$D$60,IF(D$105&lt;=TabS!$G$9,D21*$D$61,IF(D$105&lt;=TabS!$G$10,D21*$D$62))))))</f>
        <v>0</v>
      </c>
      <c r="E110" s="151">
        <f>IF(E$105&lt;=TabS!$G$5,E21*$D$57,IF(E$105&lt;=TabS!$G$6,E21*$D$58,IF(E$105&lt;=TabS!$G$7,E21*$D$59,IF(E$105&lt;=TabS!$G$8,E21*$D$60,IF(E$105&lt;=TabS!$G$9,E21*$D$61,IF(E$105&lt;=TabS!$G$10,E21*$D$62))))))</f>
        <v>0</v>
      </c>
      <c r="F110" s="151">
        <f>IF(F$105&lt;=TabS!$G$5,F21*$D$57,IF(F$105&lt;=TabS!$G$6,F21*$D$58,IF(F$105&lt;=TabS!$G$7,F21*$D$59,IF(F$105&lt;=TabS!$G$8,F21*$D$60,IF(F$105&lt;=TabS!$G$9,F21*$D$61,IF(F$105&lt;=TabS!$G$10,F21*$D$62))))))</f>
        <v>0</v>
      </c>
      <c r="G110" s="151">
        <f>IF(G$105&lt;=TabS!$G$5,G21*$D$57,IF(G$105&lt;=TabS!$G$6,G21*$D$58,IF(G$105&lt;=TabS!$G$7,G21*$D$59,IF(G$105&lt;=TabS!$G$8,G21*$D$60,IF(G$105&lt;=TabS!$G$9,G21*$D$61,IF(G$105&lt;=TabS!$G$10,G21*$D$62))))))</f>
        <v>0</v>
      </c>
      <c r="H110" s="151">
        <f>IF(H$105&lt;=TabS!$G$5,H21*$D$57,IF(H$105&lt;=TabS!$G$6,H21*$D$58,IF(H$105&lt;=TabS!$G$7,H21*$D$59,IF(H$105&lt;=TabS!$G$8,H21*$D$60,IF(H$105&lt;=TabS!$G$9,H21*$D$61,IF(H$105&lt;=TabS!$G$10,H21*$D$62))))))</f>
        <v>0</v>
      </c>
      <c r="I110" s="151">
        <f>IF(I$105&lt;=TabS!$G$5,I21*$D$57,IF(I$105&lt;=TabS!$G$6,I21*$D$58,IF(I$105&lt;=TabS!$G$7,I21*$D$59,IF(I$105&lt;=TabS!$G$8,I21*$D$60,IF(I$105&lt;=TabS!$G$9,I21*$D$61,IF(I$105&lt;=TabS!$G$10,I21*$D$62))))))</f>
        <v>0</v>
      </c>
      <c r="J110" s="151">
        <f>IF(J$105&lt;=TabS!$G$5,J21*$D$57,IF(J$105&lt;=TabS!$G$6,J21*$D$58,IF(J$105&lt;=TabS!$G$7,J21*$D$59,IF(J$105&lt;=TabS!$G$8,J21*$D$60,IF(J$105&lt;=TabS!$G$9,J21*$D$61,IF(J$105&lt;=TabS!$G$10,J21*$D$62))))))</f>
        <v>0</v>
      </c>
      <c r="K110" s="151">
        <f>IF(K$105&lt;=TabS!$G$5,K21*$D$57,IF(K$105&lt;=TabS!$G$6,K21*$D$58,IF(K$105&lt;=TabS!$G$7,K21*$D$59,IF(K$105&lt;=TabS!$G$8,K21*$D$60,IF(K$105&lt;=TabS!$G$9,K21*$D$61,IF(K$105&lt;=TabS!$G$10,K21*$D$62))))))</f>
        <v>0</v>
      </c>
      <c r="L110" s="151">
        <f>IF(L$105&lt;=TabS!$G$5,L21*$D$57,IF(L$105&lt;=TabS!$G$6,L21*$D$58,IF(L$105&lt;=TabS!$G$7,L21*$D$59,IF(L$105&lt;=TabS!$G$8,L21*$D$60,IF(L$105&lt;=TabS!$G$9,L21*$D$61,IF(L$105&lt;=TabS!$G$10,L21*$D$62))))))</f>
        <v>0</v>
      </c>
      <c r="M110" s="151">
        <f>IF(M$105&lt;=TabS!$G$5,M21*$D$57,IF(M$105&lt;=TabS!$G$6,M21*$D$58,IF(M$105&lt;=TabS!$G$7,M21*$D$59,IF(M$105&lt;=TabS!$G$8,M21*$D$60,IF(M$105&lt;=TabS!$G$9,M21*$D$61,IF(M$105&lt;=TabS!$G$10,M21*$D$62))))))</f>
        <v>0</v>
      </c>
      <c r="N110" s="151">
        <f>IF(N$105&lt;=TabS!$G$5,N21*$D$57,IF(N$105&lt;=TabS!$G$6,N21*$D$58,IF(N$105&lt;=TabS!$G$7,N21*$D$59,IF(N$105&lt;=TabS!$G$8,N21*$D$60,IF(N$105&lt;=TabS!$G$9,N21*$D$61,IF(N$105&lt;=TabS!$G$10,N21*$D$62))))))</f>
        <v>0</v>
      </c>
      <c r="O110" s="152">
        <f t="shared" si="44"/>
        <v>0</v>
      </c>
      <c r="Q110" s="150" t="s">
        <v>98</v>
      </c>
      <c r="R110" s="151">
        <f>IF(R$105&lt;=TabS!$G$5,R21*$D$57,IF(R$105&lt;=TabS!$G$6,R21*$D$58,IF(R$105&lt;=TabS!$G$7,R21*$D$59,IF(R$105&lt;=TabS!$G$8,R21*$D$60,IF(R$105&lt;=TabS!$G$9,R21*$D$61,IF(R$105&lt;=TabS!$G$10,R21*$D$62))))))</f>
        <v>0</v>
      </c>
      <c r="S110" s="151">
        <f>IF(S$105&lt;=TabS!$G$5,S21*$D$57,IF(S$105&lt;=TabS!$G$6,S21*$D$58,IF(S$105&lt;=TabS!$G$7,S21*$D$59,IF(S$105&lt;=TabS!$G$8,S21*$D$60,IF(S$105&lt;=TabS!$G$9,S21*$D$61,IF(S$105&lt;=TabS!$G$10,S21*$D$62))))))</f>
        <v>0</v>
      </c>
      <c r="T110" s="151">
        <f>IF(T$105&lt;=TabS!$G$5,T21*$D$57,IF(T$105&lt;=TabS!$G$6,T21*$D$58,IF(T$105&lt;=TabS!$G$7,T21*$D$59,IF(T$105&lt;=TabS!$G$8,T21*$D$60,IF(T$105&lt;=TabS!$G$9,T21*$D$61,IF(T$105&lt;=TabS!$G$10,T21*$D$62))))))</f>
        <v>0</v>
      </c>
      <c r="U110" s="151">
        <f>IF(U$105&lt;=TabS!$G$5,U21*$D$57,IF(U$105&lt;=TabS!$G$6,U21*$D$58,IF(U$105&lt;=TabS!$G$7,U21*$D$59,IF(U$105&lt;=TabS!$G$8,U21*$D$60,IF(U$105&lt;=TabS!$G$9,U21*$D$61,IF(U$105&lt;=TabS!$G$10,U21*$D$62))))))</f>
        <v>0</v>
      </c>
      <c r="V110" s="151">
        <f>IF(V$105&lt;=TabS!$G$5,V21*$D$57,IF(V$105&lt;=TabS!$G$6,V21*$D$58,IF(V$105&lt;=TabS!$G$7,V21*$D$59,IF(V$105&lt;=TabS!$G$8,V21*$D$60,IF(V$105&lt;=TabS!$G$9,V21*$D$61,IF(V$105&lt;=TabS!$G$10,V21*$D$62))))))</f>
        <v>0</v>
      </c>
      <c r="W110" s="151">
        <f>IF(W$105&lt;=TabS!$G$5,W21*$D$57,IF(W$105&lt;=TabS!$G$6,W21*$D$58,IF(W$105&lt;=TabS!$G$7,W21*$D$59,IF(W$105&lt;=TabS!$G$8,W21*$D$60,IF(W$105&lt;=TabS!$G$9,W21*$D$61,IF(W$105&lt;=TabS!$G$10,W21*$D$62))))))</f>
        <v>0</v>
      </c>
      <c r="X110" s="151">
        <f>IF(X$105&lt;=TabS!$G$5,X21*$D$57,IF(X$105&lt;=TabS!$G$6,X21*$D$58,IF(X$105&lt;=TabS!$G$7,X21*$D$59,IF(X$105&lt;=TabS!$G$8,X21*$D$60,IF(X$105&lt;=TabS!$G$9,X21*$D$61,IF(X$105&lt;=TabS!$G$10,X21*$D$62))))))</f>
        <v>0</v>
      </c>
      <c r="Y110" s="151">
        <f>IF(Y$105&lt;=TabS!$G$5,Y21*$D$57,IF(Y$105&lt;=TabS!$G$6,Y21*$D$58,IF(Y$105&lt;=TabS!$G$7,Y21*$D$59,IF(Y$105&lt;=TabS!$G$8,Y21*$D$60,IF(Y$105&lt;=TabS!$G$9,Y21*$D$61,IF(Y$105&lt;=TabS!$G$10,Y21*$D$62))))))</f>
        <v>0</v>
      </c>
      <c r="Z110" s="151">
        <f>IF(Z$105&lt;=TabS!$G$5,Z21*$D$57,IF(Z$105&lt;=TabS!$G$6,Z21*$D$58,IF(Z$105&lt;=TabS!$G$7,Z21*$D$59,IF(Z$105&lt;=TabS!$G$8,Z21*$D$60,IF(Z$105&lt;=TabS!$G$9,Z21*$D$61,IF(Z$105&lt;=TabS!$G$10,Z21*$D$62))))))</f>
        <v>0</v>
      </c>
      <c r="AA110" s="151">
        <f>IF(AA$105&lt;=TabS!$G$5,AA21*$D$57,IF(AA$105&lt;=TabS!$G$6,AA21*$D$58,IF(AA$105&lt;=TabS!$G$7,AA21*$D$59,IF(AA$105&lt;=TabS!$G$8,AA21*$D$60,IF(AA$105&lt;=TabS!$G$9,AA21*$D$61,IF(AA$105&lt;=TabS!$G$10,AA21*$D$62))))))</f>
        <v>0</v>
      </c>
      <c r="AB110" s="151">
        <f>IF(AB$105&lt;=TabS!$G$5,AB21*$D$57,IF(AB$105&lt;=TabS!$G$6,AB21*$D$58,IF(AB$105&lt;=TabS!$G$7,AB21*$D$59,IF(AB$105&lt;=TabS!$G$8,AB21*$D$60,IF(AB$105&lt;=TabS!$G$9,AB21*$D$61,IF(AB$105&lt;=TabS!$G$10,AB21*$D$62))))))</f>
        <v>0</v>
      </c>
      <c r="AC110" s="151">
        <f>IF(AC$105&lt;=TabS!$G$5,AC21*$D$57,IF(AC$105&lt;=TabS!$G$6,AC21*$D$58,IF(AC$105&lt;=TabS!$G$7,AC21*$D$59,IF(AC$105&lt;=TabS!$G$8,AC21*$D$60,IF(AC$105&lt;=TabS!$G$9,AC21*$D$61,IF(AC$105&lt;=TabS!$G$10,AC21*$D$62))))))</f>
        <v>0</v>
      </c>
      <c r="AD110" s="152">
        <f t="shared" si="45"/>
        <v>0</v>
      </c>
    </row>
    <row r="111" spans="2:30" ht="20.100000000000001" customHeight="1" x14ac:dyDescent="0.25">
      <c r="B111" s="167" t="s">
        <v>37</v>
      </c>
      <c r="C111" s="151">
        <f>R111</f>
        <v>0</v>
      </c>
      <c r="D111" s="151">
        <f t="shared" ref="D111:N111" si="46">S111</f>
        <v>0</v>
      </c>
      <c r="E111" s="151">
        <f t="shared" si="46"/>
        <v>0</v>
      </c>
      <c r="F111" s="151">
        <f t="shared" si="46"/>
        <v>0</v>
      </c>
      <c r="G111" s="151">
        <f t="shared" si="46"/>
        <v>0</v>
      </c>
      <c r="H111" s="151">
        <f t="shared" si="46"/>
        <v>0</v>
      </c>
      <c r="I111" s="151">
        <f t="shared" si="46"/>
        <v>0</v>
      </c>
      <c r="J111" s="151">
        <f t="shared" si="46"/>
        <v>0</v>
      </c>
      <c r="K111" s="151">
        <f t="shared" si="46"/>
        <v>0</v>
      </c>
      <c r="L111" s="151">
        <f t="shared" si="46"/>
        <v>0</v>
      </c>
      <c r="M111" s="151">
        <f t="shared" si="46"/>
        <v>0</v>
      </c>
      <c r="N111" s="151">
        <f t="shared" si="46"/>
        <v>0</v>
      </c>
      <c r="O111" s="152">
        <f t="shared" si="44"/>
        <v>0</v>
      </c>
      <c r="Q111" s="150" t="s">
        <v>37</v>
      </c>
      <c r="R111" s="151">
        <f>IF(R105&lt;R106,IF(R105&lt;=TabS!$G$5,R21*$E$57,IF(R105&lt;=TabS!$G$6,R21*$E$58,IF(R105&lt;=TabS!$G$7,R21*$E$59,IF(R105&lt;=TabS!$G$8,R21*$E$60,IF(R105&lt;=TabS!$G$9,R21*$E$61,IF(R105&lt;=TabS!$G$10,R21*$E$62)))))),C17*R116)</f>
        <v>0</v>
      </c>
      <c r="S111" s="151">
        <f>IF(S105&lt;S106,IF(S105&lt;=TabS!$G$5,S21*$E$57,IF(S105&lt;=TabS!$G$6,S21*$E$58,IF(S105&lt;=TabS!$G$7,S21*$E$59,IF(S105&lt;=TabS!$G$8,S21*$E$60,IF(S105&lt;=TabS!$G$9,S21*$E$61,IF(S105&lt;=TabS!$G$10,S21*$E$62)))))),D17*S116)</f>
        <v>0</v>
      </c>
      <c r="T111" s="151">
        <f>IF(T105&lt;T106,IF(T105&lt;=TabS!$G$5,T21*$E$57,IF(T105&lt;=TabS!$G$6,T21*$E$58,IF(T105&lt;=TabS!$G$7,T21*$E$59,IF(T105&lt;=TabS!$G$8,T21*$E$60,IF(T105&lt;=TabS!$G$9,T21*$E$61,IF(T105&lt;=TabS!$G$10,T21*$E$62)))))),E17*T116)</f>
        <v>0</v>
      </c>
      <c r="U111" s="151">
        <f>IF(U105&lt;U106,IF(U105&lt;=TabS!$G$5,U21*$E$57,IF(U105&lt;=TabS!$G$6,U21*$E$58,IF(U105&lt;=TabS!$G$7,U21*$E$59,IF(U105&lt;=TabS!$G$8,U21*$E$60,IF(U105&lt;=TabS!$G$9,U21*$E$61,IF(U105&lt;=TabS!$G$10,U21*$E$62)))))),F17*U116)</f>
        <v>0</v>
      </c>
      <c r="V111" s="151">
        <f>IF(V105&lt;V106,IF(V105&lt;=TabS!$G$5,V21*$E$57,IF(V105&lt;=TabS!$G$6,V21*$E$58,IF(V105&lt;=TabS!$G$7,V21*$E$59,IF(V105&lt;=TabS!$G$8,V21*$E$60,IF(V105&lt;=TabS!$G$9,V21*$E$61,IF(V105&lt;=TabS!$G$10,V21*$E$62)))))),G17*V116)</f>
        <v>0</v>
      </c>
      <c r="W111" s="151">
        <f>IF(W105&lt;W106,IF(W105&lt;=TabS!$G$5,W21*$E$57,IF(W105&lt;=TabS!$G$6,W21*$E$58,IF(W105&lt;=TabS!$G$7,W21*$E$59,IF(W105&lt;=TabS!$G$8,W21*$E$60,IF(W105&lt;=TabS!$G$9,W21*$E$61,IF(W105&lt;=TabS!$G$10,W21*$E$62)))))),H17*W116)</f>
        <v>0</v>
      </c>
      <c r="X111" s="151">
        <f>IF(X105&lt;X106,IF(X105&lt;=TabS!$G$5,X21*$E$57,IF(X105&lt;=TabS!$G$6,X21*$E$58,IF(X105&lt;=TabS!$G$7,X21*$E$59,IF(X105&lt;=TabS!$G$8,X21*$E$60,IF(X105&lt;=TabS!$G$9,X21*$E$61,IF(X105&lt;=TabS!$G$10,X21*$E$62)))))),I17*X116)</f>
        <v>0</v>
      </c>
      <c r="Y111" s="151">
        <f>IF(Y105&lt;Y106,IF(Y105&lt;=TabS!$G$5,Y21*$E$57,IF(Y105&lt;=TabS!$G$6,Y21*$E$58,IF(Y105&lt;=TabS!$G$7,Y21*$E$59,IF(Y105&lt;=TabS!$G$8,Y21*$E$60,IF(Y105&lt;=TabS!$G$9,Y21*$E$61,IF(Y105&lt;=TabS!$G$10,Y21*$E$62)))))),J17*Y116)</f>
        <v>0</v>
      </c>
      <c r="Z111" s="151">
        <f>IF(Z105&lt;Z106,IF(Z105&lt;=TabS!$G$5,Z21*$E$57,IF(Z105&lt;=TabS!$G$6,Z21*$E$58,IF(Z105&lt;=TabS!$G$7,Z21*$E$59,IF(Z105&lt;=TabS!$G$8,Z21*$E$60,IF(Z105&lt;=TabS!$G$9,Z21*$E$61,IF(Z105&lt;=TabS!$G$10,Z21*$E$62)))))),K17*Z116)</f>
        <v>0</v>
      </c>
      <c r="AA111" s="151">
        <f>IF(AA105&lt;AA106,IF(AA105&lt;=TabS!$G$5,AA21*$E$57,IF(AA105&lt;=TabS!$G$6,AA21*$E$58,IF(AA105&lt;=TabS!$G$7,AA21*$E$59,IF(AA105&lt;=TabS!$G$8,AA21*$E$60,IF(AA105&lt;=TabS!$G$9,AA21*$E$61,IF(AA105&lt;=TabS!$G$10,AA21*$E$62)))))),L17*AA116)</f>
        <v>0</v>
      </c>
      <c r="AB111" s="151">
        <f>IF(AB105&lt;AB106,IF(AB105&lt;=TabS!$G$5,AB21*$E$57,IF(AB105&lt;=TabS!$G$6,AB21*$E$58,IF(AB105&lt;=TabS!$G$7,AB21*$E$59,IF(AB105&lt;=TabS!$G$8,AB21*$E$60,IF(AB105&lt;=TabS!$G$9,AB21*$E$61,IF(AB105&lt;=TabS!$G$10,AB21*$E$62)))))),M17*AB116)</f>
        <v>0</v>
      </c>
      <c r="AC111" s="151">
        <f>IF(AC105&lt;AC106,IF(AC105&lt;=TabS!$G$5,AC21*$E$57,IF(AC105&lt;=TabS!$G$6,AC21*$E$58,IF(AC105&lt;=TabS!$G$7,AC21*$E$59,IF(AC105&lt;=TabS!$G$8,AC21*$E$60,IF(AC105&lt;=TabS!$G$9,AC21*$E$61,IF(AC105&lt;=TabS!$G$10,AC21*$E$62)))))),N17*AC116)</f>
        <v>0</v>
      </c>
      <c r="AD111" s="152">
        <f t="shared" si="45"/>
        <v>0</v>
      </c>
    </row>
    <row r="112" spans="2:30" ht="20.100000000000001" customHeight="1" x14ac:dyDescent="0.25">
      <c r="B112" s="167" t="s">
        <v>129</v>
      </c>
      <c r="C112" s="151">
        <f>IF(C$105&lt;=TabS!$G$5,C21*$F$57,IF(C$105&lt;=TabS!$G$6,C21*$F$58,IF(C$105&lt;=TabS!$G$7,C21*$F$59,IF(C$105&lt;=TabS!$G$8,C21*$F$60,IF(C$105&lt;=TabS!$G$9,C21*$F$61,IF(C$105&lt;=TabS!$G$10,C21*$F$62))))))</f>
        <v>0</v>
      </c>
      <c r="D112" s="151">
        <f>IF(D$105&lt;=TabS!$G$5,D21*$F$57,IF(D$105&lt;=TabS!$G$6,D21*$F$58,IF(D$105&lt;=TabS!$G$7,D21*$F$59,IF(D$105&lt;=TabS!$G$8,D21*$F$60,IF(D$105&lt;=TabS!$G$9,D21*$F$61,IF(D$105&lt;=TabS!$G$10,D21*$F$62))))))</f>
        <v>0</v>
      </c>
      <c r="E112" s="151">
        <f>IF(E$105&lt;=TabS!$G$5,E21*$F$57,IF(E$105&lt;=TabS!$G$6,E21*$F$58,IF(E$105&lt;=TabS!$G$7,E21*$F$59,IF(E$105&lt;=TabS!$G$8,E21*$F$60,IF(E$105&lt;=TabS!$G$9,E21*$F$61,IF(E$105&lt;=TabS!$G$10,E21*$F$62))))))</f>
        <v>0</v>
      </c>
      <c r="F112" s="151">
        <f>IF(F$105&lt;=TabS!$G$5,F21*$F$57,IF(F$105&lt;=TabS!$G$6,F21*$F$58,IF(F$105&lt;=TabS!$G$7,F21*$F$59,IF(F$105&lt;=TabS!$G$8,F21*$F$60,IF(F$105&lt;=TabS!$G$9,F21*$F$61,IF(F$105&lt;=TabS!$G$10,F21*$F$62))))))</f>
        <v>0</v>
      </c>
      <c r="G112" s="151">
        <f>IF(G$105&lt;=TabS!$G$5,G21*$F$57,IF(G$105&lt;=TabS!$G$6,G21*$F$58,IF(G$105&lt;=TabS!$G$7,G21*$F$59,IF(G$105&lt;=TabS!$G$8,G21*$F$60,IF(G$105&lt;=TabS!$G$9,G21*$F$61,IF(G$105&lt;=TabS!$G$10,G21*$F$62))))))</f>
        <v>0</v>
      </c>
      <c r="H112" s="151">
        <f>IF(H$105&lt;=TabS!$G$5,H21*$F$57,IF(H$105&lt;=TabS!$G$6,H21*$F$58,IF(H$105&lt;=TabS!$G$7,H21*$F$59,IF(H$105&lt;=TabS!$G$8,H21*$F$60,IF(H$105&lt;=TabS!$G$9,H21*$F$61,IF(H$105&lt;=TabS!$G$10,H21*$F$62))))))</f>
        <v>0</v>
      </c>
      <c r="I112" s="151">
        <f>IF(I$105&lt;=TabS!$G$5,I21*$F$57,IF(I$105&lt;=TabS!$G$6,I21*$F$58,IF(I$105&lt;=TabS!$G$7,I21*$F$59,IF(I$105&lt;=TabS!$G$8,I21*$F$60,IF(I$105&lt;=TabS!$G$9,I21*$F$61,IF(I$105&lt;=TabS!$G$10,I21*$F$62))))))</f>
        <v>0</v>
      </c>
      <c r="J112" s="151">
        <f>IF(J$105&lt;=TabS!$G$5,J21*$F$57,IF(J$105&lt;=TabS!$G$6,J21*$F$58,IF(J$105&lt;=TabS!$G$7,J21*$F$59,IF(J$105&lt;=TabS!$G$8,J21*$F$60,IF(J$105&lt;=TabS!$G$9,J21*$F$61,IF(J$105&lt;=TabS!$G$10,J21*$F$62))))))</f>
        <v>0</v>
      </c>
      <c r="K112" s="151">
        <f>IF(K$105&lt;=TabS!$G$5,K21*$F$57,IF(K$105&lt;=TabS!$G$6,K21*$F$58,IF(K$105&lt;=TabS!$G$7,K21*$F$59,IF(K$105&lt;=TabS!$G$8,K21*$F$60,IF(K$105&lt;=TabS!$G$9,K21*$F$61,IF(K$105&lt;=TabS!$G$10,K21*$F$62))))))</f>
        <v>0</v>
      </c>
      <c r="L112" s="151">
        <f>IF(L$105&lt;=TabS!$G$5,L21*$F$57,IF(L$105&lt;=TabS!$G$6,L21*$F$58,IF(L$105&lt;=TabS!$G$7,L21*$F$59,IF(L$105&lt;=TabS!$G$8,L21*$F$60,IF(L$105&lt;=TabS!$G$9,L21*$F$61,IF(L$105&lt;=TabS!$G$10,L21*$F$62))))))</f>
        <v>0</v>
      </c>
      <c r="M112" s="151">
        <f>IF(M$105&lt;=TabS!$G$5,M21*$F$57,IF(M$105&lt;=TabS!$G$6,M21*$F$58,IF(M$105&lt;=TabS!$G$7,M21*$F$59,IF(M$105&lt;=TabS!$G$8,M21*$F$60,IF(M$105&lt;=TabS!$G$9,M21*$F$61,IF(M$105&lt;=TabS!$G$10,M21*$F$62))))))</f>
        <v>0</v>
      </c>
      <c r="N112" s="151">
        <f>IF(N$105&lt;=TabS!$G$5,N21*$F$57,IF(N$105&lt;=TabS!$G$6,N21*$F$58,IF(N$105&lt;=TabS!$G$7,N21*$F$59,IF(N$105&lt;=TabS!$G$8,N21*$F$60,IF(N$105&lt;=TabS!$G$9,N21*$F$61,IF(N$105&lt;=TabS!$G$10,N21*$F$62))))))</f>
        <v>0</v>
      </c>
      <c r="O112" s="152">
        <f t="shared" si="44"/>
        <v>0</v>
      </c>
      <c r="Q112" s="150" t="s">
        <v>129</v>
      </c>
      <c r="R112" s="151">
        <f>IF(R$105&lt;=TabS!$G$5,R21*$F$57,IF(R$105&lt;=TabS!$G$6,R21*$F$58,IF(R$105&lt;=TabS!$G$7,R21*$F$59,IF(R$105&lt;=TabS!$G$8,R21*$F$60,IF(R$105&lt;=TabS!$G$9,R21*$F$61,IF(R$105&lt;=TabS!$G$10,R21*$F$62))))))</f>
        <v>0</v>
      </c>
      <c r="S112" s="151">
        <f>IF(S$105&lt;=TabS!$G$5,S21*$F$57,IF(S$105&lt;=TabS!$G$6,S21*$F$58,IF(S$105&lt;=TabS!$G$7,S21*$F$59,IF(S$105&lt;=TabS!$G$8,S21*$F$60,IF(S$105&lt;=TabS!$G$9,S21*$F$61,IF(S$105&lt;=TabS!$G$10,S21*$F$62))))))</f>
        <v>0</v>
      </c>
      <c r="T112" s="151">
        <f>IF(T$105&lt;=TabS!$G$5,T21*$F$57,IF(T$105&lt;=TabS!$G$6,T21*$F$58,IF(T$105&lt;=TabS!$G$7,T21*$F$59,IF(T$105&lt;=TabS!$G$8,T21*$F$60,IF(T$105&lt;=TabS!$G$9,T21*$F$61,IF(T$105&lt;=TabS!$G$10,T21*$F$62))))))</f>
        <v>0</v>
      </c>
      <c r="U112" s="151">
        <f>IF(U$105&lt;=TabS!$G$5,U21*$F$57,IF(U$105&lt;=TabS!$G$6,U21*$F$58,IF(U$105&lt;=TabS!$G$7,U21*$F$59,IF(U$105&lt;=TabS!$G$8,U21*$F$60,IF(U$105&lt;=TabS!$G$9,U21*$F$61,IF(U$105&lt;=TabS!$G$10,U21*$F$62))))))</f>
        <v>0</v>
      </c>
      <c r="V112" s="151">
        <f>IF(V$105&lt;=TabS!$G$5,V21*$F$57,IF(V$105&lt;=TabS!$G$6,V21*$F$58,IF(V$105&lt;=TabS!$G$7,V21*$F$59,IF(V$105&lt;=TabS!$G$8,V21*$F$60,IF(V$105&lt;=TabS!$G$9,V21*$F$61,IF(V$105&lt;=TabS!$G$10,V21*$F$62))))))</f>
        <v>0</v>
      </c>
      <c r="W112" s="151">
        <f>IF(W$105&lt;=TabS!$G$5,W21*$F$57,IF(W$105&lt;=TabS!$G$6,W21*$F$58,IF(W$105&lt;=TabS!$G$7,W21*$F$59,IF(W$105&lt;=TabS!$G$8,W21*$F$60,IF(W$105&lt;=TabS!$G$9,W21*$F$61,IF(W$105&lt;=TabS!$G$10,W21*$F$62))))))</f>
        <v>0</v>
      </c>
      <c r="X112" s="151">
        <f>IF(X$105&lt;=TabS!$G$5,X21*$F$57,IF(X$105&lt;=TabS!$G$6,X21*$F$58,IF(X$105&lt;=TabS!$G$7,X21*$F$59,IF(X$105&lt;=TabS!$G$8,X21*$F$60,IF(X$105&lt;=TabS!$G$9,X21*$F$61,IF(X$105&lt;=TabS!$G$10,X21*$F$62))))))</f>
        <v>0</v>
      </c>
      <c r="Y112" s="151">
        <f>IF(Y$105&lt;=TabS!$G$5,Y21*$F$57,IF(Y$105&lt;=TabS!$G$6,Y21*$F$58,IF(Y$105&lt;=TabS!$G$7,Y21*$F$59,IF(Y$105&lt;=TabS!$G$8,Y21*$F$60,IF(Y$105&lt;=TabS!$G$9,Y21*$F$61,IF(Y$105&lt;=TabS!$G$10,Y21*$F$62))))))</f>
        <v>0</v>
      </c>
      <c r="Z112" s="151">
        <f>IF(Z$105&lt;=TabS!$G$5,Z21*$F$57,IF(Z$105&lt;=TabS!$G$6,Z21*$F$58,IF(Z$105&lt;=TabS!$G$7,Z21*$F$59,IF(Z$105&lt;=TabS!$G$8,Z21*$F$60,IF(Z$105&lt;=TabS!$G$9,Z21*$F$61,IF(Z$105&lt;=TabS!$G$10,Z21*$F$62))))))</f>
        <v>0</v>
      </c>
      <c r="AA112" s="151">
        <f>IF(AA$105&lt;=TabS!$G$5,AA21*$F$57,IF(AA$105&lt;=TabS!$G$6,AA21*$F$58,IF(AA$105&lt;=TabS!$G$7,AA21*$F$59,IF(AA$105&lt;=TabS!$G$8,AA21*$F$60,IF(AA$105&lt;=TabS!$G$9,AA21*$F$61,IF(AA$105&lt;=TabS!$G$10,AA21*$F$62))))))</f>
        <v>0</v>
      </c>
      <c r="AB112" s="151">
        <f>IF(AB$105&lt;=TabS!$G$5,AB21*$F$57,IF(AB$105&lt;=TabS!$G$6,AB21*$F$58,IF(AB$105&lt;=TabS!$G$7,AB21*$F$59,IF(AB$105&lt;=TabS!$G$8,AB21*$F$60,IF(AB$105&lt;=TabS!$G$9,AB21*$F$61,IF(AB$105&lt;=TabS!$G$10,AB21*$F$62))))))</f>
        <v>0</v>
      </c>
      <c r="AC112" s="151">
        <f>IF(AC$105&lt;=TabS!$G$5,AC21*$F$57,IF(AC$105&lt;=TabS!$G$6,AC21*$F$58,IF(AC$105&lt;=TabS!$G$7,AC21*$F$59,IF(AC$105&lt;=TabS!$G$8,AC21*$F$60,IF(AC$105&lt;=TabS!$G$9,AC21*$F$61,IF(AC$105&lt;=TabS!$G$10,AC21*$F$62))))))</f>
        <v>0</v>
      </c>
      <c r="AD112" s="152">
        <f t="shared" si="45"/>
        <v>0</v>
      </c>
    </row>
    <row r="113" spans="2:30" ht="20.100000000000001" customHeight="1" x14ac:dyDescent="0.25">
      <c r="B113" s="167" t="s">
        <v>42</v>
      </c>
      <c r="C113" s="151">
        <f>IF(C$105&lt;=TabS!$G$5,C21*$G$57,IF(C$105&lt;=TabS!$G$6,C21*$G$58,IF(C$105&lt;=TabS!$G$7,C21*$G$59,IF(C$105&lt;=TabS!$G$8,C21*$G$60,IF(C$105&lt;=TabS!$G$9,C21*$G$61,IF(C$105&lt;=TabS!$G$10,C21*$G$62))))))</f>
        <v>0</v>
      </c>
      <c r="D113" s="151">
        <f>IF(D$105&lt;=TabS!$G$5,D21*$G$57,IF(D$105&lt;=TabS!$G$6,D21*$G$58,IF(D$105&lt;=TabS!$G$7,D21*$G$59,IF(D$105&lt;=TabS!$G$8,D21*$G$60,IF(D$105&lt;=TabS!$G$9,D21*$G$61,IF(D$105&lt;=TabS!$G$10,D21*$G$62))))))</f>
        <v>0</v>
      </c>
      <c r="E113" s="151">
        <f>IF(E$105&lt;=TabS!$G$5,E21*$G$57,IF(E$105&lt;=TabS!$G$6,E21*$G$58,IF(E$105&lt;=TabS!$G$7,E21*$G$59,IF(E$105&lt;=TabS!$G$8,E21*$G$60,IF(E$105&lt;=TabS!$G$9,E21*$G$61,IF(E$105&lt;=TabS!$G$10,E21*$G$62))))))</f>
        <v>0</v>
      </c>
      <c r="F113" s="151">
        <f>IF(F$105&lt;=TabS!$G$5,F21*$G$57,IF(F$105&lt;=TabS!$G$6,F21*$G$58,IF(F$105&lt;=TabS!$G$7,F21*$G$59,IF(F$105&lt;=TabS!$G$8,F21*$G$60,IF(F$105&lt;=TabS!$G$9,F21*$G$61,IF(F$105&lt;=TabS!$G$10,F21*$G$62))))))</f>
        <v>0</v>
      </c>
      <c r="G113" s="151">
        <f>IF(G$105&lt;=TabS!$G$5,G21*$G$57,IF(G$105&lt;=TabS!$G$6,G21*$G$58,IF(G$105&lt;=TabS!$G$7,G21*$G$59,IF(G$105&lt;=TabS!$G$8,G21*$G$60,IF(G$105&lt;=TabS!$G$9,G21*$G$61,IF(G$105&lt;=TabS!$G$10,G21*$G$62))))))</f>
        <v>0</v>
      </c>
      <c r="H113" s="151">
        <f>IF(H$105&lt;=TabS!$G$5,H21*$G$57,IF(H$105&lt;=TabS!$G$6,H21*$G$58,IF(H$105&lt;=TabS!$G$7,H21*$G$59,IF(H$105&lt;=TabS!$G$8,H21*$G$60,IF(H$105&lt;=TabS!$G$9,H21*$G$61,IF(H$105&lt;=TabS!$G$10,H21*$G$62))))))</f>
        <v>0</v>
      </c>
      <c r="I113" s="151">
        <f>IF(I$105&lt;=TabS!$G$5,I21*$G$57,IF(I$105&lt;=TabS!$G$6,I21*$G$58,IF(I$105&lt;=TabS!$G$7,I21*$G$59,IF(I$105&lt;=TabS!$G$8,I21*$G$60,IF(I$105&lt;=TabS!$G$9,I21*$G$61,IF(I$105&lt;=TabS!$G$10,I21*$G$62))))))</f>
        <v>0</v>
      </c>
      <c r="J113" s="151">
        <f>IF(J$105&lt;=TabS!$G$5,J21*$G$57,IF(J$105&lt;=TabS!$G$6,J21*$G$58,IF(J$105&lt;=TabS!$G$7,J21*$G$59,IF(J$105&lt;=TabS!$G$8,J21*$G$60,IF(J$105&lt;=TabS!$G$9,J21*$G$61,IF(J$105&lt;=TabS!$G$10,J21*$G$62))))))</f>
        <v>0</v>
      </c>
      <c r="K113" s="151">
        <f>IF(K$105&lt;=TabS!$G$5,K21*$G$57,IF(K$105&lt;=TabS!$G$6,K21*$G$58,IF(K$105&lt;=TabS!$G$7,K21*$G$59,IF(K$105&lt;=TabS!$G$8,K21*$G$60,IF(K$105&lt;=TabS!$G$9,K21*$G$61,IF(K$105&lt;=TabS!$G$10,K21*$G$62))))))</f>
        <v>0</v>
      </c>
      <c r="L113" s="151">
        <f>IF(L$105&lt;=TabS!$G$5,L21*$G$57,IF(L$105&lt;=TabS!$G$6,L21*$G$58,IF(L$105&lt;=TabS!$G$7,L21*$G$59,IF(L$105&lt;=TabS!$G$8,L21*$G$60,IF(L$105&lt;=TabS!$G$9,L21*$G$61,IF(L$105&lt;=TabS!$G$10,L21*$G$62))))))</f>
        <v>0</v>
      </c>
      <c r="M113" s="151">
        <f>IF(M$105&lt;=TabS!$G$5,M21*$G$57,IF(M$105&lt;=TabS!$G$6,M21*$G$58,IF(M$105&lt;=TabS!$G$7,M21*$G$59,IF(M$105&lt;=TabS!$G$8,M21*$G$60,IF(M$105&lt;=TabS!$G$9,M21*$G$61,IF(M$105&lt;=TabS!$G$10,M21*$G$62))))))</f>
        <v>0</v>
      </c>
      <c r="N113" s="151">
        <f>IF(N$105&lt;=TabS!$G$5,N21*$G$57,IF(N$105&lt;=TabS!$G$6,N21*$G$58,IF(N$105&lt;=TabS!$G$7,N21*$G$59,IF(N$105&lt;=TabS!$G$8,N21*$G$60,IF(N$105&lt;=TabS!$G$9,N21*$G$61,IF(N$105&lt;=TabS!$G$10,N21*$G$62))))))</f>
        <v>0</v>
      </c>
      <c r="O113" s="152">
        <f t="shared" si="44"/>
        <v>0</v>
      </c>
      <c r="Q113" s="150" t="s">
        <v>42</v>
      </c>
      <c r="R113" s="151">
        <f>IF(R$105&lt;=TabS!$G$5,R21*$G$57,IF(R$105&lt;=TabS!$G$6,R21*$G$58,IF(R$105&lt;=TabS!$G$7,R21*$G$59,IF(R$105&lt;=TabS!$G$8,R21*$G$60,IF(R$105&lt;=TabS!$G$9,R21*$G$61,IF(R$105&lt;=TabS!$G$10,R21*$G$62))))))</f>
        <v>0</v>
      </c>
      <c r="S113" s="151">
        <f>IF(S$105&lt;=TabS!$G$5,S21*$G$57,IF(S$105&lt;=TabS!$G$6,S21*$G$58,IF(S$105&lt;=TabS!$G$7,S21*$G$59,IF(S$105&lt;=TabS!$G$8,S21*$G$60,IF(S$105&lt;=TabS!$G$9,S21*$G$61,IF(S$105&lt;=TabS!$G$10,S21*$G$62))))))</f>
        <v>0</v>
      </c>
      <c r="T113" s="151">
        <f>IF(T$105&lt;=TabS!$G$5,T21*$G$57,IF(T$105&lt;=TabS!$G$6,T21*$G$58,IF(T$105&lt;=TabS!$G$7,T21*$G$59,IF(T$105&lt;=TabS!$G$8,T21*$G$60,IF(T$105&lt;=TabS!$G$9,T21*$G$61,IF(T$105&lt;=TabS!$G$10,T21*$G$62))))))</f>
        <v>0</v>
      </c>
      <c r="U113" s="151">
        <f>IF(U$105&lt;=TabS!$G$5,U21*$G$57,IF(U$105&lt;=TabS!$G$6,U21*$G$58,IF(U$105&lt;=TabS!$G$7,U21*$G$59,IF(U$105&lt;=TabS!$G$8,U21*$G$60,IF(U$105&lt;=TabS!$G$9,U21*$G$61,IF(U$105&lt;=TabS!$G$10,U21*$G$62))))))</f>
        <v>0</v>
      </c>
      <c r="V113" s="151">
        <f>IF(V$105&lt;=TabS!$G$5,V21*$G$57,IF(V$105&lt;=TabS!$G$6,V21*$G$58,IF(V$105&lt;=TabS!$G$7,V21*$G$59,IF(V$105&lt;=TabS!$G$8,V21*$G$60,IF(V$105&lt;=TabS!$G$9,V21*$G$61,IF(V$105&lt;=TabS!$G$10,V21*$G$62))))))</f>
        <v>0</v>
      </c>
      <c r="W113" s="151">
        <f>IF(W$105&lt;=TabS!$G$5,W21*$G$57,IF(W$105&lt;=TabS!$G$6,W21*$G$58,IF(W$105&lt;=TabS!$G$7,W21*$G$59,IF(W$105&lt;=TabS!$G$8,W21*$G$60,IF(W$105&lt;=TabS!$G$9,W21*$G$61,IF(W$105&lt;=TabS!$G$10,W21*$G$62))))))</f>
        <v>0</v>
      </c>
      <c r="X113" s="151">
        <f>IF(X$105&lt;=TabS!$G$5,X21*$G$57,IF(X$105&lt;=TabS!$G$6,X21*$G$58,IF(X$105&lt;=TabS!$G$7,X21*$G$59,IF(X$105&lt;=TabS!$G$8,X21*$G$60,IF(X$105&lt;=TabS!$G$9,X21*$G$61,IF(X$105&lt;=TabS!$G$10,X21*$G$62))))))</f>
        <v>0</v>
      </c>
      <c r="Y113" s="151">
        <f>IF(Y$105&lt;=TabS!$G$5,Y21*$G$57,IF(Y$105&lt;=TabS!$G$6,Y21*$G$58,IF(Y$105&lt;=TabS!$G$7,Y21*$G$59,IF(Y$105&lt;=TabS!$G$8,Y21*$G$60,IF(Y$105&lt;=TabS!$G$9,Y21*$G$61,IF(Y$105&lt;=TabS!$G$10,Y21*$G$62))))))</f>
        <v>0</v>
      </c>
      <c r="Z113" s="151">
        <f>IF(Z$105&lt;=TabS!$G$5,Z21*$G$57,IF(Z$105&lt;=TabS!$G$6,Z21*$G$58,IF(Z$105&lt;=TabS!$G$7,Z21*$G$59,IF(Z$105&lt;=TabS!$G$8,Z21*$G$60,IF(Z$105&lt;=TabS!$G$9,Z21*$G$61,IF(Z$105&lt;=TabS!$G$10,Z21*$G$62))))))</f>
        <v>0</v>
      </c>
      <c r="AA113" s="151">
        <f>IF(AA$105&lt;=TabS!$G$5,AA21*$G$57,IF(AA$105&lt;=TabS!$G$6,AA21*$G$58,IF(AA$105&lt;=TabS!$G$7,AA21*$G$59,IF(AA$105&lt;=TabS!$G$8,AA21*$G$60,IF(AA$105&lt;=TabS!$G$9,AA21*$G$61,IF(AA$105&lt;=TabS!$G$10,AA21*$G$62))))))</f>
        <v>0</v>
      </c>
      <c r="AB113" s="151">
        <f>IF(AB$105&lt;=TabS!$G$5,AB21*$G$57,IF(AB$105&lt;=TabS!$G$6,AB21*$G$58,IF(AB$105&lt;=TabS!$G$7,AB21*$G$59,IF(AB$105&lt;=TabS!$G$8,AB21*$G$60,IF(AB$105&lt;=TabS!$G$9,AB21*$G$61,IF(AB$105&lt;=TabS!$G$10,AB21*$G$62))))))</f>
        <v>0</v>
      </c>
      <c r="AC113" s="151">
        <f>IF(AC$105&lt;=TabS!$G$5,AC21*$G$57,IF(AC$105&lt;=TabS!$G$6,AC21*$G$58,IF(AC$105&lt;=TabS!$G$7,AC21*$G$59,IF(AC$105&lt;=TabS!$G$8,AC21*$G$60,IF(AC$105&lt;=TabS!$G$9,AC21*$G$61,IF(AC$105&lt;=TabS!$G$10,AC21*$G$62))))))</f>
        <v>0</v>
      </c>
      <c r="AD113" s="152">
        <f t="shared" si="45"/>
        <v>0</v>
      </c>
    </row>
    <row r="114" spans="2:30" ht="20.100000000000001" customHeight="1" x14ac:dyDescent="0.25">
      <c r="B114" s="167" t="s">
        <v>40</v>
      </c>
      <c r="C114" s="151">
        <f>IF(C$105&lt;=TabS!$G$5,C21*$H$57,IF(C$105&lt;=TabS!$G$6,C21*$H$58,IF(C$105&lt;=TabS!$G$7,C21*$H$59,IF(C$105&lt;=TabS!$G$8,C21*$H$60,IF(C$105&lt;=TabS!$G$9,C21*$H$61,IF(C$105&lt;=TabS!$G$10,C21*$H$62))))))</f>
        <v>0</v>
      </c>
      <c r="D114" s="151">
        <f>IF(D$105&lt;=TabS!$G$5,D21*$H$57,IF(D$105&lt;=TabS!$G$6,D21*$H$58,IF(D$105&lt;=TabS!$G$7,D21*$H$59,IF(D$105&lt;=TabS!$G$8,D21*$H$60,IF(D$105&lt;=TabS!$G$9,D21*$H$61,IF(D$105&lt;=TabS!$G$10,D21*$H$62))))))</f>
        <v>0</v>
      </c>
      <c r="E114" s="151">
        <f>IF(E$105&lt;=TabS!$G$5,E21*$H$57,IF(E$105&lt;=TabS!$G$6,E21*$H$58,IF(E$105&lt;=TabS!$G$7,E21*$H$59,IF(E$105&lt;=TabS!$G$8,E21*$H$60,IF(E$105&lt;=TabS!$G$9,E21*$H$61,IF(E$105&lt;=TabS!$G$10,E21*$H$62))))))</f>
        <v>0</v>
      </c>
      <c r="F114" s="151">
        <f>IF(F$105&lt;=TabS!$G$5,F21*$H$57,IF(F$105&lt;=TabS!$G$6,F21*$H$58,IF(F$105&lt;=TabS!$G$7,F21*$H$59,IF(F$105&lt;=TabS!$G$8,F21*$H$60,IF(F$105&lt;=TabS!$G$9,F21*$H$61,IF(F$105&lt;=TabS!$G$10,F21*$H$62))))))</f>
        <v>0</v>
      </c>
      <c r="G114" s="151">
        <f>IF(G$105&lt;=TabS!$G$5,G21*$H$57,IF(G$105&lt;=TabS!$G$6,G21*$H$58,IF(G$105&lt;=TabS!$G$7,G21*$H$59,IF(G$105&lt;=TabS!$G$8,G21*$H$60,IF(G$105&lt;=TabS!$G$9,G21*$H$61,IF(G$105&lt;=TabS!$G$10,G21*$H$62))))))</f>
        <v>0</v>
      </c>
      <c r="H114" s="151">
        <f>IF(H$105&lt;=TabS!$G$5,H21*$H$57,IF(H$105&lt;=TabS!$G$6,H21*$H$58,IF(H$105&lt;=TabS!$G$7,H21*$H$59,IF(H$105&lt;=TabS!$G$8,H21*$H$60,IF(H$105&lt;=TabS!$G$9,H21*$H$61,IF(H$105&lt;=TabS!$G$10,H21*$H$62))))))</f>
        <v>0</v>
      </c>
      <c r="I114" s="151">
        <f>IF(I$105&lt;=TabS!$G$5,I21*$H$57,IF(I$105&lt;=TabS!$G$6,I21*$H$58,IF(I$105&lt;=TabS!$G$7,I21*$H$59,IF(I$105&lt;=TabS!$G$8,I21*$H$60,IF(I$105&lt;=TabS!$G$9,I21*$H$61,IF(I$105&lt;=TabS!$G$10,I21*$H$62))))))</f>
        <v>0</v>
      </c>
      <c r="J114" s="151">
        <f>IF(J$105&lt;=TabS!$G$5,J21*$H$57,IF(J$105&lt;=TabS!$G$6,J21*$H$58,IF(J$105&lt;=TabS!$G$7,J21*$H$59,IF(J$105&lt;=TabS!$G$8,J21*$H$60,IF(J$105&lt;=TabS!$G$9,J21*$H$61,IF(J$105&lt;=TabS!$G$10,J21*$H$62))))))</f>
        <v>0</v>
      </c>
      <c r="K114" s="151">
        <f>IF(K$105&lt;=TabS!$G$5,K21*$H$57,IF(K$105&lt;=TabS!$G$6,K21*$H$58,IF(K$105&lt;=TabS!$G$7,K21*$H$59,IF(K$105&lt;=TabS!$G$8,K21*$H$60,IF(K$105&lt;=TabS!$G$9,K21*$H$61,IF(K$105&lt;=TabS!$G$10,K21*$H$62))))))</f>
        <v>0</v>
      </c>
      <c r="L114" s="151">
        <f>IF(L$105&lt;=TabS!$G$5,L21*$H$57,IF(L$105&lt;=TabS!$G$6,L21*$H$58,IF(L$105&lt;=TabS!$G$7,L21*$H$59,IF(L$105&lt;=TabS!$G$8,L21*$H$60,IF(L$105&lt;=TabS!$G$9,L21*$H$61,IF(L$105&lt;=TabS!$G$10,L21*$H$62))))))</f>
        <v>0</v>
      </c>
      <c r="M114" s="151">
        <f>IF(M$105&lt;=TabS!$G$5,M21*$H$57,IF(M$105&lt;=TabS!$G$6,M21*$H$58,IF(M$105&lt;=TabS!$G$7,M21*$H$59,IF(M$105&lt;=TabS!$G$8,M21*$H$60,IF(M$105&lt;=TabS!$G$9,M21*$H$61,IF(M$105&lt;=TabS!$G$10,M21*$H$62))))))</f>
        <v>0</v>
      </c>
      <c r="N114" s="151">
        <f>IF(N$105&lt;=TabS!$G$5,N21*$H$57,IF(N$105&lt;=TabS!$G$6,N21*$H$58,IF(N$105&lt;=TabS!$G$7,N21*$H$59,IF(N$105&lt;=TabS!$G$8,N21*$H$60,IF(N$105&lt;=TabS!$G$9,N21*$H$61,IF(N$105&lt;=TabS!$G$10,N21*$H$62))))))</f>
        <v>0</v>
      </c>
      <c r="O114" s="152">
        <f t="shared" si="44"/>
        <v>0</v>
      </c>
      <c r="Q114" s="150" t="s">
        <v>40</v>
      </c>
      <c r="R114" s="151">
        <f>IF(R$105&lt;=TabS!$G$5,R21*$H$57,IF(R$105&lt;=TabS!$G$6,R21*$H$58,IF(R$105&lt;=TabS!$G$7,R21*$H$59,IF(R$105&lt;=TabS!$G$8,R21*$H$60,IF(R$105&lt;=TabS!$G$9,R21*$H$61,IF(R$105&lt;=TabS!$G$10,R21*$H$62))))))</f>
        <v>0</v>
      </c>
      <c r="S114" s="151">
        <f>IF(S$105&lt;=TabS!$G$5,S21*$H$57,IF(S$105&lt;=TabS!$G$6,S21*$H$58,IF(S$105&lt;=TabS!$G$7,S21*$H$59,IF(S$105&lt;=TabS!$G$8,S21*$H$60,IF(S$105&lt;=TabS!$G$9,S21*$H$61,IF(S$105&lt;=TabS!$G$10,S21*$H$62))))))</f>
        <v>0</v>
      </c>
      <c r="T114" s="151">
        <f>IF(T$105&lt;=TabS!$G$5,T21*$H$57,IF(T$105&lt;=TabS!$G$6,T21*$H$58,IF(T$105&lt;=TabS!$G$7,T21*$H$59,IF(T$105&lt;=TabS!$G$8,T21*$H$60,IF(T$105&lt;=TabS!$G$9,T21*$H$61,IF(T$105&lt;=TabS!$G$10,T21*$H$62))))))</f>
        <v>0</v>
      </c>
      <c r="U114" s="151">
        <f>IF(U$105&lt;=TabS!$G$5,U21*$H$57,IF(U$105&lt;=TabS!$G$6,U21*$H$58,IF(U$105&lt;=TabS!$G$7,U21*$H$59,IF(U$105&lt;=TabS!$G$8,U21*$H$60,IF(U$105&lt;=TabS!$G$9,U21*$H$61,IF(U$105&lt;=TabS!$G$10,U21*$H$62))))))</f>
        <v>0</v>
      </c>
      <c r="V114" s="151">
        <f>IF(V$105&lt;=TabS!$G$5,V21*$H$57,IF(V$105&lt;=TabS!$G$6,V21*$H$58,IF(V$105&lt;=TabS!$G$7,V21*$H$59,IF(V$105&lt;=TabS!$G$8,V21*$H$60,IF(V$105&lt;=TabS!$G$9,V21*$H$61,IF(V$105&lt;=TabS!$G$10,V21*$H$62))))))</f>
        <v>0</v>
      </c>
      <c r="W114" s="151">
        <f>IF(W$105&lt;=TabS!$G$5,W21*$H$57,IF(W$105&lt;=TabS!$G$6,W21*$H$58,IF(W$105&lt;=TabS!$G$7,W21*$H$59,IF(W$105&lt;=TabS!$G$8,W21*$H$60,IF(W$105&lt;=TabS!$G$9,W21*$H$61,IF(W$105&lt;=TabS!$G$10,W21*$H$62))))))</f>
        <v>0</v>
      </c>
      <c r="X114" s="151">
        <f>IF(X$105&lt;=TabS!$G$5,X21*$H$57,IF(X$105&lt;=TabS!$G$6,X21*$H$58,IF(X$105&lt;=TabS!$G$7,X21*$H$59,IF(X$105&lt;=TabS!$G$8,X21*$H$60,IF(X$105&lt;=TabS!$G$9,X21*$H$61,IF(X$105&lt;=TabS!$G$10,X21*$H$62))))))</f>
        <v>0</v>
      </c>
      <c r="Y114" s="151">
        <f>IF(Y$105&lt;=TabS!$G$5,Y21*$H$57,IF(Y$105&lt;=TabS!$G$6,Y21*$H$58,IF(Y$105&lt;=TabS!$G$7,Y21*$H$59,IF(Y$105&lt;=TabS!$G$8,Y21*$H$60,IF(Y$105&lt;=TabS!$G$9,Y21*$H$61,IF(Y$105&lt;=TabS!$G$10,Y21*$H$62))))))</f>
        <v>0</v>
      </c>
      <c r="Z114" s="151">
        <f>IF(Z$105&lt;=TabS!$G$5,Z21*$H$57,IF(Z$105&lt;=TabS!$G$6,Z21*$H$58,IF(Z$105&lt;=TabS!$G$7,Z21*$H$59,IF(Z$105&lt;=TabS!$G$8,Z21*$H$60,IF(Z$105&lt;=TabS!$G$9,Z21*$H$61,IF(Z$105&lt;=TabS!$G$10,Z21*$H$62))))))</f>
        <v>0</v>
      </c>
      <c r="AA114" s="151">
        <f>IF(AA$105&lt;=TabS!$G$5,AA21*$H$57,IF(AA$105&lt;=TabS!$G$6,AA21*$H$58,IF(AA$105&lt;=TabS!$G$7,AA21*$H$59,IF(AA$105&lt;=TabS!$G$8,AA21*$H$60,IF(AA$105&lt;=TabS!$G$9,AA21*$H$61,IF(AA$105&lt;=TabS!$G$10,AA21*$H$62))))))</f>
        <v>0</v>
      </c>
      <c r="AB114" s="151">
        <f>IF(AB$105&lt;=TabS!$G$5,AB21*$H$57,IF(AB$105&lt;=TabS!$G$6,AB21*$H$58,IF(AB$105&lt;=TabS!$G$7,AB21*$H$59,IF(AB$105&lt;=TabS!$G$8,AB21*$H$60,IF(AB$105&lt;=TabS!$G$9,AB21*$H$61,IF(AB$105&lt;=TabS!$G$10,AB21*$H$62))))))</f>
        <v>0</v>
      </c>
      <c r="AC114" s="151">
        <f>IF(AC$105&lt;=TabS!$G$5,AC21*$H$57,IF(AC$105&lt;=TabS!$G$6,AC21*$H$58,IF(AC$105&lt;=TabS!$G$7,AC21*$H$59,IF(AC$105&lt;=TabS!$G$8,AC21*$H$60,IF(AC$105&lt;=TabS!$G$9,AC21*$H$61,IF(AC$105&lt;=TabS!$G$10,AC21*$H$62))))))</f>
        <v>0</v>
      </c>
      <c r="AD114" s="152">
        <f t="shared" si="45"/>
        <v>0</v>
      </c>
    </row>
    <row r="115" spans="2:30" ht="20.100000000000001" customHeight="1" x14ac:dyDescent="0.25">
      <c r="B115" s="168" t="s">
        <v>99</v>
      </c>
      <c r="C115" s="152">
        <f>SUM(C109:C114)</f>
        <v>0</v>
      </c>
      <c r="D115" s="152">
        <f t="shared" ref="D115:N115" si="47">SUM(D109:D114)</f>
        <v>0</v>
      </c>
      <c r="E115" s="152">
        <f t="shared" si="47"/>
        <v>0</v>
      </c>
      <c r="F115" s="152">
        <f t="shared" si="47"/>
        <v>0</v>
      </c>
      <c r="G115" s="152">
        <f t="shared" si="47"/>
        <v>0</v>
      </c>
      <c r="H115" s="152">
        <f t="shared" si="47"/>
        <v>0</v>
      </c>
      <c r="I115" s="152">
        <f t="shared" si="47"/>
        <v>0</v>
      </c>
      <c r="J115" s="152">
        <f t="shared" si="47"/>
        <v>0</v>
      </c>
      <c r="K115" s="152">
        <f t="shared" si="47"/>
        <v>0</v>
      </c>
      <c r="L115" s="152">
        <f t="shared" si="47"/>
        <v>0</v>
      </c>
      <c r="M115" s="152">
        <f t="shared" si="47"/>
        <v>0</v>
      </c>
      <c r="N115" s="152">
        <f t="shared" si="47"/>
        <v>0</v>
      </c>
      <c r="O115" s="152">
        <f t="shared" si="44"/>
        <v>0</v>
      </c>
      <c r="Q115" s="153" t="s">
        <v>99</v>
      </c>
      <c r="R115" s="152">
        <f>SUM(R109:R114)</f>
        <v>0</v>
      </c>
      <c r="S115" s="152">
        <f t="shared" ref="S115:AC115" si="48">SUM(S109:S114)</f>
        <v>0</v>
      </c>
      <c r="T115" s="152">
        <f t="shared" si="48"/>
        <v>0</v>
      </c>
      <c r="U115" s="152">
        <f t="shared" si="48"/>
        <v>0</v>
      </c>
      <c r="V115" s="152">
        <f t="shared" si="48"/>
        <v>0</v>
      </c>
      <c r="W115" s="152">
        <f t="shared" si="48"/>
        <v>0</v>
      </c>
      <c r="X115" s="152">
        <f t="shared" si="48"/>
        <v>0</v>
      </c>
      <c r="Y115" s="152">
        <f t="shared" si="48"/>
        <v>0</v>
      </c>
      <c r="Z115" s="152">
        <f t="shared" si="48"/>
        <v>0</v>
      </c>
      <c r="AA115" s="152">
        <f t="shared" si="48"/>
        <v>0</v>
      </c>
      <c r="AB115" s="152">
        <f t="shared" si="48"/>
        <v>0</v>
      </c>
      <c r="AC115" s="152">
        <f t="shared" si="48"/>
        <v>0</v>
      </c>
      <c r="AD115" s="152">
        <f t="shared" si="45"/>
        <v>0</v>
      </c>
    </row>
    <row r="116" spans="2:30" ht="20.100000000000001" customHeight="1" x14ac:dyDescent="0.25">
      <c r="B116" s="164" t="s">
        <v>81</v>
      </c>
      <c r="Q116" s="144" t="s">
        <v>140</v>
      </c>
      <c r="R116" s="158">
        <f>IFERROR((R105*TabS!$H$9-TabS!$I$9)/R105*$E$61,0)</f>
        <v>0</v>
      </c>
      <c r="S116" s="158">
        <f>IFERROR((S105*TabS!$H$9-TabS!$I$9)/S105*$E$61,0)</f>
        <v>0</v>
      </c>
      <c r="T116" s="158">
        <f>IFERROR((T105*TabS!$H$9-TabS!$I$9)/T105*$E$61,0)</f>
        <v>0</v>
      </c>
      <c r="U116" s="158">
        <f>IFERROR((U105*TabS!$H$9-TabS!$I$9)/U105*$E$61,0)</f>
        <v>0</v>
      </c>
      <c r="V116" s="158">
        <f>IFERROR((V105*TabS!$H$9-TabS!$I$9)/V105*$E$61,0)</f>
        <v>0</v>
      </c>
      <c r="W116" s="158">
        <f>IFERROR((W105*TabS!$H$9-TabS!$I$9)/W105*$E$61,0)</f>
        <v>0</v>
      </c>
      <c r="X116" s="158">
        <f>IFERROR((X105*TabS!$H$9-TabS!$I$9)/X105*$E$61,0)</f>
        <v>0</v>
      </c>
      <c r="Y116" s="158">
        <f>IFERROR((Y105*TabS!$H$9-TabS!$I$9)/Y105*$E$61,0)</f>
        <v>0</v>
      </c>
      <c r="Z116" s="158">
        <f>IFERROR((Z105*TabS!$H$9-TabS!$I$9)/Z105*$E$61,0)</f>
        <v>0</v>
      </c>
      <c r="AA116" s="158">
        <f>IFERROR((AA105*TabS!$H$9-TabS!$I$9)/AA105*$E$61,0)</f>
        <v>0</v>
      </c>
      <c r="AB116" s="158">
        <f>IFERROR((AB105*TabS!$H$9-TabS!$I$9)/AB105*$E$61,0)</f>
        <v>0</v>
      </c>
      <c r="AC116" s="158">
        <f>IFERROR((AC105*TabS!$H$9-TabS!$I$9)/AC105*$E$61,0)</f>
        <v>0</v>
      </c>
    </row>
    <row r="117" spans="2:30" ht="20.100000000000001" customHeight="1" x14ac:dyDescent="0.25">
      <c r="B117" s="149" t="s">
        <v>82</v>
      </c>
      <c r="C117" s="149" t="s">
        <v>83</v>
      </c>
      <c r="D117" s="149" t="s">
        <v>84</v>
      </c>
      <c r="E117" s="149" t="s">
        <v>85</v>
      </c>
      <c r="F117" s="149" t="s">
        <v>86</v>
      </c>
      <c r="G117" s="149" t="s">
        <v>87</v>
      </c>
      <c r="H117" s="149" t="s">
        <v>88</v>
      </c>
      <c r="I117" s="149" t="s">
        <v>89</v>
      </c>
      <c r="J117" s="149" t="s">
        <v>90</v>
      </c>
      <c r="K117" s="149" t="s">
        <v>91</v>
      </c>
      <c r="L117" s="149" t="s">
        <v>92</v>
      </c>
      <c r="M117" s="149" t="s">
        <v>93</v>
      </c>
      <c r="N117" s="149" t="s">
        <v>94</v>
      </c>
      <c r="O117" s="149" t="s">
        <v>95</v>
      </c>
      <c r="Q117" s="144" t="s">
        <v>141</v>
      </c>
      <c r="R117" s="158">
        <f>IFERROR((R105*TabS!$H$15-TabS!$I$15)/R105*$E$71,0)</f>
        <v>0</v>
      </c>
      <c r="S117" s="158">
        <f>IFERROR((S105*TabS!$H$15-TabS!$I$15)/S105*$E$71,0)</f>
        <v>0</v>
      </c>
      <c r="T117" s="158">
        <f>IFERROR((T105*TabS!$H$15-TabS!$I$15)/T105*$E$71,0)</f>
        <v>0</v>
      </c>
      <c r="U117" s="158">
        <f>IFERROR((U105*TabS!$H$15-TabS!$I$15)/U105*$E$71,0)</f>
        <v>0</v>
      </c>
      <c r="V117" s="158">
        <f>IFERROR((V105*TabS!$H$15-TabS!$I$15)/V105*$E$71,0)</f>
        <v>0</v>
      </c>
      <c r="W117" s="158">
        <f>IFERROR((W105*TabS!$H$15-TabS!$I$15)/W105*$E$71,0)</f>
        <v>0</v>
      </c>
      <c r="X117" s="158">
        <f>IFERROR((X105*TabS!$H$15-TabS!$I$15)/X105*$E$71,0)</f>
        <v>0</v>
      </c>
      <c r="Y117" s="158">
        <f>IFERROR((Y105*TabS!$H$15-TabS!$I$15)/Y105*$E$71,0)</f>
        <v>0</v>
      </c>
      <c r="Z117" s="158">
        <f>IFERROR((Z105*TabS!$H$15-TabS!$I$15)/Z105*$E$71,0)</f>
        <v>0</v>
      </c>
      <c r="AA117" s="158">
        <f>IFERROR((AA105*TabS!$H$15-TabS!$I$15)/AA105*$E$71,0)</f>
        <v>0</v>
      </c>
      <c r="AB117" s="158">
        <f>IFERROR((AB105*TabS!$H$15-TabS!$I$15)/AB105*$E$71,0)</f>
        <v>0</v>
      </c>
      <c r="AC117" s="158">
        <f>IFERROR((AC105*TabS!$H$15-TabS!$I$15)/AC105*$E$71,0)</f>
        <v>0</v>
      </c>
    </row>
    <row r="118" spans="2:30" ht="20.100000000000001" customHeight="1" x14ac:dyDescent="0.25">
      <c r="B118" s="167" t="s">
        <v>97</v>
      </c>
      <c r="C118" s="151">
        <f>IF(C$105&lt;=TabS!$G$5,C28*$C$67,IF(C$105&lt;=TabS!$G$6,C28*$C$68,IF(C$105&lt;=TabS!$G$7,C28*$C$69,IF(C$105&lt;=TabS!$G$8,C28*$C$70,IF(C$105&lt;=TabS!$G$9,C28*$C$71,IF(C$105&lt;=TabS!$G$10,C28*$C$72))))))</f>
        <v>0</v>
      </c>
      <c r="D118" s="151">
        <f>IF(D$105&lt;=TabS!$G$5,D28*$C$67,IF(D$105&lt;=TabS!$G$6,D28*$C$68,IF(D$105&lt;=TabS!$G$7,D28*$C$69,IF(D$105&lt;=TabS!$G$8,D28*$C$70,IF(D$105&lt;=TabS!$G$9,D28*$C$71,IF(D$105&lt;=TabS!$G$10,D28*$C$72))))))</f>
        <v>0</v>
      </c>
      <c r="E118" s="151">
        <f>IF(E$105&lt;=TabS!$G$5,E28*$C$67,IF(E$105&lt;=TabS!$G$6,E28*$C$68,IF(E$105&lt;=TabS!$G$7,E28*$C$69,IF(E$105&lt;=TabS!$G$8,E28*$C$70,IF(E$105&lt;=TabS!$G$9,E28*$C$71,IF(E$105&lt;=TabS!$G$10,E28*$C$72))))))</f>
        <v>0</v>
      </c>
      <c r="F118" s="151">
        <f>IF(F$105&lt;=TabS!$G$5,F28*$C$67,IF(F$105&lt;=TabS!$G$6,F28*$C$68,IF(F$105&lt;=TabS!$G$7,F28*$C$69,IF(F$105&lt;=TabS!$G$8,F28*$C$70,IF(F$105&lt;=TabS!$G$9,F28*$C$71,IF(F$105&lt;=TabS!$G$10,F28*$C$72))))))</f>
        <v>0</v>
      </c>
      <c r="G118" s="151">
        <f>IF(G$105&lt;=TabS!$G$5,G28*$C$67,IF(G$105&lt;=TabS!$G$6,G28*$C$68,IF(G$105&lt;=TabS!$G$7,G28*$C$69,IF(G$105&lt;=TabS!$G$8,G28*$C$70,IF(G$105&lt;=TabS!$G$9,G28*$C$71,IF(G$105&lt;=TabS!$G$10,G28*$C$72))))))</f>
        <v>0</v>
      </c>
      <c r="H118" s="151">
        <f>IF(H$105&lt;=TabS!$G$5,H28*$C$67,IF(H$105&lt;=TabS!$G$6,H28*$C$68,IF(H$105&lt;=TabS!$G$7,H28*$C$69,IF(H$105&lt;=TabS!$G$8,H28*$C$70,IF(H$105&lt;=TabS!$G$9,H28*$C$71,IF(H$105&lt;=TabS!$G$10,H28*$C$72))))))</f>
        <v>0</v>
      </c>
      <c r="I118" s="151">
        <f>IF(I$105&lt;=TabS!$G$5,I28*$C$67,IF(I$105&lt;=TabS!$G$6,I28*$C$68,IF(I$105&lt;=TabS!$G$7,I28*$C$69,IF(I$105&lt;=TabS!$G$8,I28*$C$70,IF(I$105&lt;=TabS!$G$9,I28*$C$71,IF(I$105&lt;=TabS!$G$10,I28*$C$72))))))</f>
        <v>0</v>
      </c>
      <c r="J118" s="151">
        <f>IF(J$105&lt;=TabS!$G$5,J28*$C$67,IF(J$105&lt;=TabS!$G$6,J28*$C$68,IF(J$105&lt;=TabS!$G$7,J28*$C$69,IF(J$105&lt;=TabS!$G$8,J28*$C$70,IF(J$105&lt;=TabS!$G$9,J28*$C$71,IF(J$105&lt;=TabS!$G$10,J28*$C$72))))))</f>
        <v>0</v>
      </c>
      <c r="K118" s="151">
        <f>IF(K$105&lt;=TabS!$G$5,K28*$C$67,IF(K$105&lt;=TabS!$G$6,K28*$C$68,IF(K$105&lt;=TabS!$G$7,K28*$C$69,IF(K$105&lt;=TabS!$G$8,K28*$C$70,IF(K$105&lt;=TabS!$G$9,K28*$C$71,IF(K$105&lt;=TabS!$G$10,K28*$C$72))))))</f>
        <v>0</v>
      </c>
      <c r="L118" s="151">
        <f>IF(L$105&lt;=TabS!$G$5,L28*$C$67,IF(L$105&lt;=TabS!$G$6,L28*$C$68,IF(L$105&lt;=TabS!$G$7,L28*$C$69,IF(L$105&lt;=TabS!$G$8,L28*$C$70,IF(L$105&lt;=TabS!$G$9,L28*$C$71,IF(L$105&lt;=TabS!$G$10,L28*$C$72))))))</f>
        <v>0</v>
      </c>
      <c r="M118" s="151">
        <f>IF(M$105&lt;=TabS!$G$5,M28*$C$67,IF(M$105&lt;=TabS!$G$6,M28*$C$68,IF(M$105&lt;=TabS!$G$7,M28*$C$69,IF(M$105&lt;=TabS!$G$8,M28*$C$70,IF(M$105&lt;=TabS!$G$9,M28*$C$71,IF(M$105&lt;=TabS!$G$10,M28*$C$72))))))</f>
        <v>0</v>
      </c>
      <c r="N118" s="151">
        <f>IF(N$105&lt;=TabS!$G$5,N28*$C$67,IF(N$105&lt;=TabS!$G$6,N28*$C$68,IF(N$105&lt;=TabS!$G$7,N28*$C$69,IF(N$105&lt;=TabS!$G$8,N28*$C$70,IF(N$105&lt;=TabS!$G$9,N28*$C$71,IF(N$105&lt;=TabS!$G$10,N28*$C$72))))))</f>
        <v>0</v>
      </c>
      <c r="O118" s="152">
        <f t="shared" ref="O118:O125" si="49">SUM(C118:N118)</f>
        <v>0</v>
      </c>
      <c r="Q118" s="150" t="s">
        <v>141</v>
      </c>
      <c r="R118" s="151">
        <f>IF(C105&lt;R106,IF(C$105&lt;=TabS!$G$5,C28*$E$67,IF(C$105&lt;=TabS!$G$6,C28*$E$68,IF(C$105&lt;=TabS!$G$7,C28*$E$69,IF(C$105&lt;=TabS!$G$8,C28*$E$70,IF(C$105&lt;=TabS!$G$9,C28*$E$71,IF(C$105&lt;=TabS!$G$10,C28*$E$72)))))),C24*R117)</f>
        <v>0</v>
      </c>
      <c r="S118" s="151">
        <f>IF(D105&lt;S106,IF(D$105&lt;=TabS!$G$5,D28*$E$67,IF(D$105&lt;=TabS!$G$6,D28*$E$68,IF(D$105&lt;=TabS!$G$7,D28*$E$69,IF(D$105&lt;=TabS!$G$8,D28*$E$70,IF(D$105&lt;=TabS!$G$9,D28*$E$71,IF(D$105&lt;=TabS!$G$10,D28*$E$72)))))),D24*S117)</f>
        <v>0</v>
      </c>
      <c r="T118" s="151">
        <f>IF(E105&lt;T106,IF(E$105&lt;=TabS!$G$5,E28*$E$67,IF(E$105&lt;=TabS!$G$6,E28*$E$68,IF(E$105&lt;=TabS!$G$7,E28*$E$69,IF(E$105&lt;=TabS!$G$8,E28*$E$70,IF(E$105&lt;=TabS!$G$9,E28*$E$71,IF(E$105&lt;=TabS!$G$10,E28*$E$72)))))),E24*T117)</f>
        <v>0</v>
      </c>
      <c r="U118" s="151">
        <f>IF(F105&lt;U106,IF(F$105&lt;=TabS!$G$5,F28*$E$67,IF(F$105&lt;=TabS!$G$6,F28*$E$68,IF(F$105&lt;=TabS!$G$7,F28*$E$69,IF(F$105&lt;=TabS!$G$8,F28*$E$70,IF(F$105&lt;=TabS!$G$9,F28*$E$71,IF(F$105&lt;=TabS!$G$10,F28*$E$72)))))),F24*U117)</f>
        <v>0</v>
      </c>
      <c r="V118" s="151">
        <f>IF(G105&lt;V106,IF(G$105&lt;=TabS!$G$5,G28*$E$67,IF(G$105&lt;=TabS!$G$6,G28*$E$68,IF(G$105&lt;=TabS!$G$7,G28*$E$69,IF(G$105&lt;=TabS!$G$8,G28*$E$70,IF(G$105&lt;=TabS!$G$9,G28*$E$71,IF(G$105&lt;=TabS!$G$10,G28*$E$72)))))),G24*V117)</f>
        <v>0</v>
      </c>
      <c r="W118" s="151">
        <f>IF(H105&lt;W106,IF(H$105&lt;=TabS!$G$5,H28*$E$67,IF(H$105&lt;=TabS!$G$6,H28*$E$68,IF(H$105&lt;=TabS!$G$7,H28*$E$69,IF(H$105&lt;=TabS!$G$8,H28*$E$70,IF(H$105&lt;=TabS!$G$9,H28*$E$71,IF(H$105&lt;=TabS!$G$10,H28*$E$72)))))),H24*W117)</f>
        <v>0</v>
      </c>
      <c r="X118" s="151">
        <f>IF(I105&lt;X106,IF(I$105&lt;=TabS!$G$5,I28*$E$67,IF(I$105&lt;=TabS!$G$6,I28*$E$68,IF(I$105&lt;=TabS!$G$7,I28*$E$69,IF(I$105&lt;=TabS!$G$8,I28*$E$70,IF(I$105&lt;=TabS!$G$9,I28*$E$71,IF(I$105&lt;=TabS!$G$10,I28*$E$72)))))),I24*X117)</f>
        <v>0</v>
      </c>
      <c r="Y118" s="151">
        <f>IF(J105&lt;Y106,IF(J$105&lt;=TabS!$G$5,J28*$E$67,IF(J$105&lt;=TabS!$G$6,J28*$E$68,IF(J$105&lt;=TabS!$G$7,J28*$E$69,IF(J$105&lt;=TabS!$G$8,J28*$E$70,IF(J$105&lt;=TabS!$G$9,J28*$E$71,IF(J$105&lt;=TabS!$G$10,J28*$E$72)))))),J24*Y117)</f>
        <v>0</v>
      </c>
      <c r="Z118" s="151">
        <f>IF(K105&lt;Z106,IF(K$105&lt;=TabS!$G$5,K28*$E$67,IF(K$105&lt;=TabS!$G$6,K28*$E$68,IF(K$105&lt;=TabS!$G$7,K28*$E$69,IF(K$105&lt;=TabS!$G$8,K28*$E$70,IF(K$105&lt;=TabS!$G$9,K28*$E$71,IF(K$105&lt;=TabS!$G$10,K28*$E$72)))))),K24*Z117)</f>
        <v>0</v>
      </c>
      <c r="AA118" s="151">
        <f>IF(L105&lt;AA106,IF(L$105&lt;=TabS!$G$5,L28*$E$67,IF(L$105&lt;=TabS!$G$6,L28*$E$68,IF(L$105&lt;=TabS!$G$7,L28*$E$69,IF(L$105&lt;=TabS!$G$8,L28*$E$70,IF(L$105&lt;=TabS!$G$9,L28*$E$71,IF(L$105&lt;=TabS!$G$10,L28*$E$72)))))),L24*AA117)</f>
        <v>0</v>
      </c>
      <c r="AB118" s="151">
        <f>IF(M105&lt;AB106,IF(M$105&lt;=TabS!$G$5,M28*$E$67,IF(M$105&lt;=TabS!$G$6,M28*$E$68,IF(M$105&lt;=TabS!$G$7,M28*$E$69,IF(M$105&lt;=TabS!$G$8,M28*$E$70,IF(M$105&lt;=TabS!$G$9,M28*$E$71,IF(M$105&lt;=TabS!$G$10,M28*$E$72)))))),M24*AB117)</f>
        <v>0</v>
      </c>
      <c r="AC118" s="151">
        <f>IF(N105&lt;AC106,IF(N$105&lt;=TabS!$G$5,N28*$E$67,IF(N$105&lt;=TabS!$G$6,N28*$E$68,IF(N$105&lt;=TabS!$G$7,N28*$E$69,IF(N$105&lt;=TabS!$G$8,N28*$E$70,IF(N$105&lt;=TabS!$G$9,N28*$E$71,IF(N$105&lt;=TabS!$G$10,N28*$E$72)))))),N24*AC117)</f>
        <v>0</v>
      </c>
      <c r="AD118" s="152">
        <f>SUM(R118:AC118)</f>
        <v>0</v>
      </c>
    </row>
    <row r="119" spans="2:30" ht="20.100000000000001" customHeight="1" x14ac:dyDescent="0.25">
      <c r="B119" s="167" t="s">
        <v>98</v>
      </c>
      <c r="C119" s="151">
        <f>IF(C$105&lt;=TabS!$G$5,C28*$D$67,IF(C$105&lt;=TabS!$G$6,C28*$D$68,IF(C$105&lt;=TabS!$G$7,C28*$D$69,IF(C$105&lt;=TabS!$G$8,C28*$D$70,IF(C$105&lt;=TabS!$G$9,C28*$D$71,IF(C$105&lt;=TabS!$G$10,C28*$D$72))))))</f>
        <v>0</v>
      </c>
      <c r="D119" s="151">
        <f>IF(D$105&lt;=TabS!$G$5,D28*$D$67,IF(D$105&lt;=TabS!$G$6,D28*$D$68,IF(D$105&lt;=TabS!$G$7,D28*$D$69,IF(D$105&lt;=TabS!$G$8,D28*$D$70,IF(D$105&lt;=TabS!$G$9,D28*$D$71,IF(D$105&lt;=TabS!$G$10,D28*$D$72))))))</f>
        <v>0</v>
      </c>
      <c r="E119" s="151">
        <f>IF(E$105&lt;=TabS!$G$5,E28*$D$67,IF(E$105&lt;=TabS!$G$6,E28*$D$68,IF(E$105&lt;=TabS!$G$7,E28*$D$69,IF(E$105&lt;=TabS!$G$8,E28*$D$70,IF(E$105&lt;=TabS!$G$9,E28*$D$71,IF(E$105&lt;=TabS!$G$10,E28*$D$72))))))</f>
        <v>0</v>
      </c>
      <c r="F119" s="151">
        <f>IF(F$105&lt;=TabS!$G$5,F28*$D$67,IF(F$105&lt;=TabS!$G$6,F28*$D$68,IF(F$105&lt;=TabS!$G$7,F28*$D$69,IF(F$105&lt;=TabS!$G$8,F28*$D$70,IF(F$105&lt;=TabS!$G$9,F28*$D$71,IF(F$105&lt;=TabS!$G$10,F28*$D$72))))))</f>
        <v>0</v>
      </c>
      <c r="G119" s="151">
        <f>IF(G$105&lt;=TabS!$G$5,G28*$D$67,IF(G$105&lt;=TabS!$G$6,G28*$D$68,IF(G$105&lt;=TabS!$G$7,G28*$D$69,IF(G$105&lt;=TabS!$G$8,G28*$D$70,IF(G$105&lt;=TabS!$G$9,G28*$D$71,IF(G$105&lt;=TabS!$G$10,G28*$D$72))))))</f>
        <v>0</v>
      </c>
      <c r="H119" s="151">
        <f>IF(H$105&lt;=TabS!$G$5,H28*$D$67,IF(H$105&lt;=TabS!$G$6,H28*$D$68,IF(H$105&lt;=TabS!$G$7,H28*$D$69,IF(H$105&lt;=TabS!$G$8,H28*$D$70,IF(H$105&lt;=TabS!$G$9,H28*$D$71,IF(H$105&lt;=TabS!$G$10,H28*$D$72))))))</f>
        <v>0</v>
      </c>
      <c r="I119" s="151">
        <f>IF(I$105&lt;=TabS!$G$5,I28*$D$67,IF(I$105&lt;=TabS!$G$6,I28*$D$68,IF(I$105&lt;=TabS!$G$7,I28*$D$69,IF(I$105&lt;=TabS!$G$8,I28*$D$70,IF(I$105&lt;=TabS!$G$9,I28*$D$71,IF(I$105&lt;=TabS!$G$10,I28*$D$72))))))</f>
        <v>0</v>
      </c>
      <c r="J119" s="151">
        <f>IF(J$105&lt;=TabS!$G$5,J28*$D$67,IF(J$105&lt;=TabS!$G$6,J28*$D$68,IF(J$105&lt;=TabS!$G$7,J28*$D$69,IF(J$105&lt;=TabS!$G$8,J28*$D$70,IF(J$105&lt;=TabS!$G$9,J28*$D$71,IF(J$105&lt;=TabS!$G$10,J28*$D$72))))))</f>
        <v>0</v>
      </c>
      <c r="K119" s="151">
        <f>IF(K$105&lt;=TabS!$G$5,K28*$D$67,IF(K$105&lt;=TabS!$G$6,K28*$D$68,IF(K$105&lt;=TabS!$G$7,K28*$D$69,IF(K$105&lt;=TabS!$G$8,K28*$D$70,IF(K$105&lt;=TabS!$G$9,K28*$D$71,IF(K$105&lt;=TabS!$G$10,K28*$D$72))))))</f>
        <v>0</v>
      </c>
      <c r="L119" s="151">
        <f>IF(L$105&lt;=TabS!$G$5,L28*$D$67,IF(L$105&lt;=TabS!$G$6,L28*$D$68,IF(L$105&lt;=TabS!$G$7,L28*$D$69,IF(L$105&lt;=TabS!$G$8,L28*$D$70,IF(L$105&lt;=TabS!$G$9,L28*$D$71,IF(L$105&lt;=TabS!$G$10,L28*$D$72))))))</f>
        <v>0</v>
      </c>
      <c r="M119" s="151">
        <f>IF(M$105&lt;=TabS!$G$5,M28*$D$67,IF(M$105&lt;=TabS!$G$6,M28*$D$68,IF(M$105&lt;=TabS!$G$7,M28*$D$69,IF(M$105&lt;=TabS!$G$8,M28*$D$70,IF(M$105&lt;=TabS!$G$9,M28*$D$71,IF(M$105&lt;=TabS!$G$10,M28*$D$72))))))</f>
        <v>0</v>
      </c>
      <c r="N119" s="151">
        <f>IF(N$105&lt;=TabS!$G$5,N28*$D$67,IF(N$105&lt;=TabS!$G$6,N28*$D$68,IF(N$105&lt;=TabS!$G$7,N28*$D$69,IF(N$105&lt;=TabS!$G$8,N28*$D$70,IF(N$105&lt;=TabS!$G$9,N28*$D$71,IF(N$105&lt;=TabS!$G$10,N28*$D$72))))))</f>
        <v>0</v>
      </c>
      <c r="O119" s="152">
        <f t="shared" si="49"/>
        <v>0</v>
      </c>
    </row>
    <row r="120" spans="2:30" ht="20.100000000000001" customHeight="1" x14ac:dyDescent="0.25">
      <c r="B120" s="167" t="s">
        <v>37</v>
      </c>
      <c r="C120" s="151">
        <f>R118</f>
        <v>0</v>
      </c>
      <c r="D120" s="151">
        <f t="shared" ref="D120:N120" si="50">S118</f>
        <v>0</v>
      </c>
      <c r="E120" s="151">
        <f t="shared" si="50"/>
        <v>0</v>
      </c>
      <c r="F120" s="151">
        <f t="shared" si="50"/>
        <v>0</v>
      </c>
      <c r="G120" s="151">
        <f t="shared" si="50"/>
        <v>0</v>
      </c>
      <c r="H120" s="151">
        <f t="shared" si="50"/>
        <v>0</v>
      </c>
      <c r="I120" s="151">
        <f t="shared" si="50"/>
        <v>0</v>
      </c>
      <c r="J120" s="151">
        <f t="shared" si="50"/>
        <v>0</v>
      </c>
      <c r="K120" s="151">
        <f t="shared" si="50"/>
        <v>0</v>
      </c>
      <c r="L120" s="151">
        <f t="shared" si="50"/>
        <v>0</v>
      </c>
      <c r="M120" s="151">
        <f t="shared" si="50"/>
        <v>0</v>
      </c>
      <c r="N120" s="151">
        <f t="shared" si="50"/>
        <v>0</v>
      </c>
      <c r="O120" s="152">
        <f t="shared" si="49"/>
        <v>0</v>
      </c>
    </row>
    <row r="121" spans="2:30" ht="20.100000000000001" customHeight="1" x14ac:dyDescent="0.25">
      <c r="B121" s="167" t="s">
        <v>129</v>
      </c>
      <c r="C121" s="151">
        <f>IF(C$105&lt;=TabS!$G$5,C28*$F$67,IF(C$105&lt;=TabS!$G$6,C28*$F$68,IF(C$105&lt;=TabS!$G$7,C28*$F$69,IF(C$105&lt;=TabS!$G$8,C28*$F$70,IF(C$105&lt;=TabS!$G$9,C28*$F$71,IF(C$105&lt;=TabS!$G$10,C28*$F$72))))))</f>
        <v>0</v>
      </c>
      <c r="D121" s="151">
        <f>IF(D$105&lt;=TabS!$G$5,D28*$F$67,IF(D$105&lt;=TabS!$G$6,D28*$F$68,IF(D$105&lt;=TabS!$G$7,D28*$F$69,IF(D$105&lt;=TabS!$G$8,D28*$F$70,IF(D$105&lt;=TabS!$G$9,D28*$F$71,IF(D$105&lt;=TabS!$G$10,D28*$F$72))))))</f>
        <v>0</v>
      </c>
      <c r="E121" s="151">
        <f>IF(E$105&lt;=TabS!$G$5,E28*$F$67,IF(E$105&lt;=TabS!$G$6,E28*$F$68,IF(E$105&lt;=TabS!$G$7,E28*$F$69,IF(E$105&lt;=TabS!$G$8,E28*$F$70,IF(E$105&lt;=TabS!$G$9,E28*$F$71,IF(E$105&lt;=TabS!$G$10,E28*$F$72))))))</f>
        <v>0</v>
      </c>
      <c r="F121" s="151">
        <f>IF(F$105&lt;=TabS!$G$5,F28*$F$67,IF(F$105&lt;=TabS!$G$6,F28*$F$68,IF(F$105&lt;=TabS!$G$7,F28*$F$69,IF(F$105&lt;=TabS!$G$8,F28*$F$70,IF(F$105&lt;=TabS!$G$9,F28*$F$71,IF(F$105&lt;=TabS!$G$10,F28*$F$72))))))</f>
        <v>0</v>
      </c>
      <c r="G121" s="151">
        <f>IF(G$105&lt;=TabS!$G$5,G28*$F$67,IF(G$105&lt;=TabS!$G$6,G28*$F$68,IF(G$105&lt;=TabS!$G$7,G28*$F$69,IF(G$105&lt;=TabS!$G$8,G28*$F$70,IF(G$105&lt;=TabS!$G$9,G28*$F$71,IF(G$105&lt;=TabS!$G$10,G28*$F$72))))))</f>
        <v>0</v>
      </c>
      <c r="H121" s="151">
        <f>IF(H$105&lt;=TabS!$G$5,H28*$F$67,IF(H$105&lt;=TabS!$G$6,H28*$F$68,IF(H$105&lt;=TabS!$G$7,H28*$F$69,IF(H$105&lt;=TabS!$G$8,H28*$F$70,IF(H$105&lt;=TabS!$G$9,H28*$F$71,IF(H$105&lt;=TabS!$G$10,H28*$F$72))))))</f>
        <v>0</v>
      </c>
      <c r="I121" s="151">
        <f>IF(I$105&lt;=TabS!$G$5,I28*$F$67,IF(I$105&lt;=TabS!$G$6,I28*$F$68,IF(I$105&lt;=TabS!$G$7,I28*$F$69,IF(I$105&lt;=TabS!$G$8,I28*$F$70,IF(I$105&lt;=TabS!$G$9,I28*$F$71,IF(I$105&lt;=TabS!$G$10,I28*$F$72))))))</f>
        <v>0</v>
      </c>
      <c r="J121" s="151">
        <f>IF(J$105&lt;=TabS!$G$5,J28*$F$67,IF(J$105&lt;=TabS!$G$6,J28*$F$68,IF(J$105&lt;=TabS!$G$7,J28*$F$69,IF(J$105&lt;=TabS!$G$8,J28*$F$70,IF(J$105&lt;=TabS!$G$9,J28*$F$71,IF(J$105&lt;=TabS!$G$10,J28*$F$72))))))</f>
        <v>0</v>
      </c>
      <c r="K121" s="151">
        <f>IF(K$105&lt;=TabS!$G$5,K28*$F$67,IF(K$105&lt;=TabS!$G$6,K28*$F$68,IF(K$105&lt;=TabS!$G$7,K28*$F$69,IF(K$105&lt;=TabS!$G$8,K28*$F$70,IF(K$105&lt;=TabS!$G$9,K28*$F$71,IF(K$105&lt;=TabS!$G$10,K28*$F$72))))))</f>
        <v>0</v>
      </c>
      <c r="L121" s="151">
        <f>IF(L$105&lt;=TabS!$G$5,L28*$F$67,IF(L$105&lt;=TabS!$G$6,L28*$F$68,IF(L$105&lt;=TabS!$G$7,L28*$F$69,IF(L$105&lt;=TabS!$G$8,L28*$F$70,IF(L$105&lt;=TabS!$G$9,L28*$F$71,IF(L$105&lt;=TabS!$G$10,L28*$F$72))))))</f>
        <v>0</v>
      </c>
      <c r="M121" s="151">
        <f>IF(M$105&lt;=TabS!$G$5,M28*$F$67,IF(M$105&lt;=TabS!$G$6,M28*$F$68,IF(M$105&lt;=TabS!$G$7,M28*$F$69,IF(M$105&lt;=TabS!$G$8,M28*$F$70,IF(M$105&lt;=TabS!$G$9,M28*$F$71,IF(M$105&lt;=TabS!$G$10,M28*$F$72))))))</f>
        <v>0</v>
      </c>
      <c r="N121" s="151">
        <f>IF(N$105&lt;=TabS!$G$5,N28*$F$67,IF(N$105&lt;=TabS!$G$6,N28*$F$68,IF(N$105&lt;=TabS!$G$7,N28*$F$69,IF(N$105&lt;=TabS!$G$8,N28*$F$70,IF(N$105&lt;=TabS!$G$9,N28*$F$71,IF(N$105&lt;=TabS!$G$10,N28*$F$72))))))</f>
        <v>0</v>
      </c>
      <c r="O121" s="152">
        <f t="shared" si="49"/>
        <v>0</v>
      </c>
    </row>
    <row r="122" spans="2:30" ht="20.100000000000001" customHeight="1" x14ac:dyDescent="0.25">
      <c r="B122" s="167" t="s">
        <v>42</v>
      </c>
      <c r="C122" s="151">
        <f>IF(C$105&lt;=TabS!$G$5,C28*$G$67,IF(C$105&lt;=TabS!$G$6,C28*$G$68,IF(C$105&lt;=TabS!$G$7,C28*$G$69,IF(C$105&lt;=TabS!$G$8,C28*$G$70,IF(C$105&lt;=TabS!$G$9,C28*$G$71,IF(C$105&lt;=TabS!$G$10,C28*$G$72))))))</f>
        <v>0</v>
      </c>
      <c r="D122" s="151">
        <f>IF(D$105&lt;=TabS!$G$5,D28*$G$67,IF(D$105&lt;=TabS!$G$6,D28*$G$68,IF(D$105&lt;=TabS!$G$7,D28*$G$69,IF(D$105&lt;=TabS!$G$8,D28*$G$70,IF(D$105&lt;=TabS!$G$9,D28*$G$71,IF(D$105&lt;=TabS!$G$10,D28*$G$72))))))</f>
        <v>0</v>
      </c>
      <c r="E122" s="151">
        <f>IF(E$105&lt;=TabS!$G$5,E28*$G$67,IF(E$105&lt;=TabS!$G$6,E28*$G$68,IF(E$105&lt;=TabS!$G$7,E28*$G$69,IF(E$105&lt;=TabS!$G$8,E28*$G$70,IF(E$105&lt;=TabS!$G$9,E28*$G$71,IF(E$105&lt;=TabS!$G$10,E28*$G$72))))))</f>
        <v>0</v>
      </c>
      <c r="F122" s="151">
        <f>IF(F$105&lt;=TabS!$G$5,F28*$G$67,IF(F$105&lt;=TabS!$G$6,F28*$G$68,IF(F$105&lt;=TabS!$G$7,F28*$G$69,IF(F$105&lt;=TabS!$G$8,F28*$G$70,IF(F$105&lt;=TabS!$G$9,F28*$G$71,IF(F$105&lt;=TabS!$G$10,F28*$G$72))))))</f>
        <v>0</v>
      </c>
      <c r="G122" s="151">
        <f>IF(G$105&lt;=TabS!$G$5,G28*$G$67,IF(G$105&lt;=TabS!$G$6,G28*$G$68,IF(G$105&lt;=TabS!$G$7,G28*$G$69,IF(G$105&lt;=TabS!$G$8,G28*$G$70,IF(G$105&lt;=TabS!$G$9,G28*$G$71,IF(G$105&lt;=TabS!$G$10,G28*$G$72))))))</f>
        <v>0</v>
      </c>
      <c r="H122" s="151">
        <f>IF(H$105&lt;=TabS!$G$5,H28*$G$67,IF(H$105&lt;=TabS!$G$6,H28*$G$68,IF(H$105&lt;=TabS!$G$7,H28*$G$69,IF(H$105&lt;=TabS!$G$8,H28*$G$70,IF(H$105&lt;=TabS!$G$9,H28*$G$71,IF(H$105&lt;=TabS!$G$10,H28*$G$72))))))</f>
        <v>0</v>
      </c>
      <c r="I122" s="151">
        <f>IF(I$105&lt;=TabS!$G$5,I28*$G$67,IF(I$105&lt;=TabS!$G$6,I28*$G$68,IF(I$105&lt;=TabS!$G$7,I28*$G$69,IF(I$105&lt;=TabS!$G$8,I28*$G$70,IF(I$105&lt;=TabS!$G$9,I28*$G$71,IF(I$105&lt;=TabS!$G$10,I28*$G$72))))))</f>
        <v>0</v>
      </c>
      <c r="J122" s="151">
        <f>IF(J$105&lt;=TabS!$G$5,J28*$G$67,IF(J$105&lt;=TabS!$G$6,J28*$G$68,IF(J$105&lt;=TabS!$G$7,J28*$G$69,IF(J$105&lt;=TabS!$G$8,J28*$G$70,IF(J$105&lt;=TabS!$G$9,J28*$G$71,IF(J$105&lt;=TabS!$G$10,J28*$G$72))))))</f>
        <v>0</v>
      </c>
      <c r="K122" s="151">
        <f>IF(K$105&lt;=TabS!$G$5,K28*$G$67,IF(K$105&lt;=TabS!$G$6,K28*$G$68,IF(K$105&lt;=TabS!$G$7,K28*$G$69,IF(K$105&lt;=TabS!$G$8,K28*$G$70,IF(K$105&lt;=TabS!$G$9,K28*$G$71,IF(K$105&lt;=TabS!$G$10,K28*$G$72))))))</f>
        <v>0</v>
      </c>
      <c r="L122" s="151">
        <f>IF(L$105&lt;=TabS!$G$5,L28*$G$67,IF(L$105&lt;=TabS!$G$6,L28*$G$68,IF(L$105&lt;=TabS!$G$7,L28*$G$69,IF(L$105&lt;=TabS!$G$8,L28*$G$70,IF(L$105&lt;=TabS!$G$9,L28*$G$71,IF(L$105&lt;=TabS!$G$10,L28*$G$72))))))</f>
        <v>0</v>
      </c>
      <c r="M122" s="151">
        <f>IF(M$105&lt;=TabS!$G$5,M28*$G$67,IF(M$105&lt;=TabS!$G$6,M28*$G$68,IF(M$105&lt;=TabS!$G$7,M28*$G$69,IF(M$105&lt;=TabS!$G$8,M28*$G$70,IF(M$105&lt;=TabS!$G$9,M28*$G$71,IF(M$105&lt;=TabS!$G$10,M28*$G$72))))))</f>
        <v>0</v>
      </c>
      <c r="N122" s="151">
        <f>IF(N$105&lt;=TabS!$G$5,N28*$G$67,IF(N$105&lt;=TabS!$G$6,N28*$G$68,IF(N$105&lt;=TabS!$G$7,N28*$G$69,IF(N$105&lt;=TabS!$G$8,N28*$G$70,IF(N$105&lt;=TabS!$G$9,N28*$G$71,IF(N$105&lt;=TabS!$G$10,N28*$G$72))))))</f>
        <v>0</v>
      </c>
      <c r="O122" s="152">
        <f t="shared" si="49"/>
        <v>0</v>
      </c>
    </row>
    <row r="123" spans="2:30" ht="20.100000000000001" customHeight="1" x14ac:dyDescent="0.25">
      <c r="B123" s="167" t="s">
        <v>40</v>
      </c>
      <c r="C123" s="151">
        <f>IF(C$105&lt;=TabS!$G$5,C28*$H$67,IF(C$105&lt;=TabS!$G$6,C28*$H$68,IF(C$105&lt;=TabS!$G$7,C28*$H$69,IF(C$105&lt;=TabS!$G$8,C28*$H$70,IF(C$105&lt;=TabS!$G$9,C28*$H$71,IF(C$105&lt;=TabS!$G$10,C28*$H$72))))))</f>
        <v>0</v>
      </c>
      <c r="D123" s="151">
        <f>IF(D$105&lt;=TabS!$G$5,D28*$H$67,IF(D$105&lt;=TabS!$G$6,D28*$H$68,IF(D$105&lt;=TabS!$G$7,D28*$H$69,IF(D$105&lt;=TabS!$G$8,D28*$H$70,IF(D$105&lt;=TabS!$G$9,D28*$H$71,IF(D$105&lt;=TabS!$G$10,D28*$H$72))))))</f>
        <v>0</v>
      </c>
      <c r="E123" s="151">
        <f>IF(E$105&lt;=TabS!$G$5,E28*$H$67,IF(E$105&lt;=TabS!$G$6,E28*$H$68,IF(E$105&lt;=TabS!$G$7,E28*$H$69,IF(E$105&lt;=TabS!$G$8,E28*$H$70,IF(E$105&lt;=TabS!$G$9,E28*$H$71,IF(E$105&lt;=TabS!$G$10,E28*$H$72))))))</f>
        <v>0</v>
      </c>
      <c r="F123" s="151">
        <f>IF(F$105&lt;=TabS!$G$5,F28*$H$67,IF(F$105&lt;=TabS!$G$6,F28*$H$68,IF(F$105&lt;=TabS!$G$7,F28*$H$69,IF(F$105&lt;=TabS!$G$8,F28*$H$70,IF(F$105&lt;=TabS!$G$9,F28*$H$71,IF(F$105&lt;=TabS!$G$10,F28*$H$72))))))</f>
        <v>0</v>
      </c>
      <c r="G123" s="151">
        <f>IF(G$105&lt;=TabS!$G$5,G28*$H$67,IF(G$105&lt;=TabS!$G$6,G28*$H$68,IF(G$105&lt;=TabS!$G$7,G28*$H$69,IF(G$105&lt;=TabS!$G$8,G28*$H$70,IF(G$105&lt;=TabS!$G$9,G28*$H$71,IF(G$105&lt;=TabS!$G$10,G28*$H$72))))))</f>
        <v>0</v>
      </c>
      <c r="H123" s="151">
        <f>IF(H$105&lt;=TabS!$G$5,H28*$H$67,IF(H$105&lt;=TabS!$G$6,H28*$H$68,IF(H$105&lt;=TabS!$G$7,H28*$H$69,IF(H$105&lt;=TabS!$G$8,H28*$H$70,IF(H$105&lt;=TabS!$G$9,H28*$H$71,IF(H$105&lt;=TabS!$G$10,H28*$H$72))))))</f>
        <v>0</v>
      </c>
      <c r="I123" s="151">
        <f>IF(I$105&lt;=TabS!$G$5,I28*$H$67,IF(I$105&lt;=TabS!$G$6,I28*$H$68,IF(I$105&lt;=TabS!$G$7,I28*$H$69,IF(I$105&lt;=TabS!$G$8,I28*$H$70,IF(I$105&lt;=TabS!$G$9,I28*$H$71,IF(I$105&lt;=TabS!$G$10,I28*$H$72))))))</f>
        <v>0</v>
      </c>
      <c r="J123" s="151">
        <f>IF(J$105&lt;=TabS!$G$5,J28*$H$67,IF(J$105&lt;=TabS!$G$6,J28*$H$68,IF(J$105&lt;=TabS!$G$7,J28*$H$69,IF(J$105&lt;=TabS!$G$8,J28*$H$70,IF(J$105&lt;=TabS!$G$9,J28*$H$71,IF(J$105&lt;=TabS!$G$10,J28*$H$72))))))</f>
        <v>0</v>
      </c>
      <c r="K123" s="151">
        <f>IF(K$105&lt;=TabS!$G$5,K28*$H$67,IF(K$105&lt;=TabS!$G$6,K28*$H$68,IF(K$105&lt;=TabS!$G$7,K28*$H$69,IF(K$105&lt;=TabS!$G$8,K28*$H$70,IF(K$105&lt;=TabS!$G$9,K28*$H$71,IF(K$105&lt;=TabS!$G$10,K28*$H$72))))))</f>
        <v>0</v>
      </c>
      <c r="L123" s="151">
        <f>IF(L$105&lt;=TabS!$G$5,L28*$H$67,IF(L$105&lt;=TabS!$G$6,L28*$H$68,IF(L$105&lt;=TabS!$G$7,L28*$H$69,IF(L$105&lt;=TabS!$G$8,L28*$H$70,IF(L$105&lt;=TabS!$G$9,L28*$H$71,IF(L$105&lt;=TabS!$G$10,L28*$H$72))))))</f>
        <v>0</v>
      </c>
      <c r="M123" s="151">
        <f>IF(M$105&lt;=TabS!$G$5,M28*$H$67,IF(M$105&lt;=TabS!$G$6,M28*$H$68,IF(M$105&lt;=TabS!$G$7,M28*$H$69,IF(M$105&lt;=TabS!$G$8,M28*$H$70,IF(M$105&lt;=TabS!$G$9,M28*$H$71,IF(M$105&lt;=TabS!$G$10,M28*$H$72))))))</f>
        <v>0</v>
      </c>
      <c r="N123" s="151">
        <f>IF(N$105&lt;=TabS!$G$5,N28*$H$67,IF(N$105&lt;=TabS!$G$6,N28*$H$68,IF(N$105&lt;=TabS!$G$7,N28*$H$69,IF(N$105&lt;=TabS!$G$8,N28*$H$70,IF(N$105&lt;=TabS!$G$9,N28*$H$71,IF(N$105&lt;=TabS!$G$10,N28*$H$72))))))</f>
        <v>0</v>
      </c>
      <c r="O123" s="152">
        <f t="shared" si="49"/>
        <v>0</v>
      </c>
    </row>
    <row r="124" spans="2:30" ht="20.100000000000001" customHeight="1" x14ac:dyDescent="0.25">
      <c r="B124" s="167" t="s">
        <v>38</v>
      </c>
      <c r="C124" s="151">
        <f>IF(C$105&lt;=TabS!$G$5,C28*$I$67,IF(C$105&lt;=TabS!$G$6,C28*$I$68,IF(C$105&lt;=TabS!$G$7,C28*$I$69,IF(C$105&lt;=TabS!$G$8,C28*$I$70,IF(C$105&lt;=TabS!$G$9,C28*$I$71,IF(C$105&lt;=TabS!$G$10,C28*$I$72))))))</f>
        <v>0</v>
      </c>
      <c r="D124" s="151">
        <f>IF(D$105&lt;=TabS!$G$5,D28*$I$67,IF(D$105&lt;=TabS!$G$6,D28*$I$68,IF(D$105&lt;=TabS!$G$7,D28*$I$69,IF(D$105&lt;=TabS!$G$8,D28*$I$70,IF(D$105&lt;=TabS!$G$9,D28*$I$71,IF(D$105&lt;=TabS!$G$10,D28*$I$72))))))</f>
        <v>0</v>
      </c>
      <c r="E124" s="151">
        <f>IF(E$105&lt;=TabS!$G$5,E28*$I$67,IF(E$105&lt;=TabS!$G$6,E28*$I$68,IF(E$105&lt;=TabS!$G$7,E28*$I$69,IF(E$105&lt;=TabS!$G$8,E28*$I$70,IF(E$105&lt;=TabS!$G$9,E28*$I$71,IF(E$105&lt;=TabS!$G$10,E28*$I$72))))))</f>
        <v>0</v>
      </c>
      <c r="F124" s="151">
        <f>IF(F$105&lt;=TabS!$G$5,F28*$I$67,IF(F$105&lt;=TabS!$G$6,F28*$I$68,IF(F$105&lt;=TabS!$G$7,F28*$I$69,IF(F$105&lt;=TabS!$G$8,F28*$I$70,IF(F$105&lt;=TabS!$G$9,F28*$I$71,IF(F$105&lt;=TabS!$G$10,F28*$I$72))))))</f>
        <v>0</v>
      </c>
      <c r="G124" s="151">
        <f>IF(G$105&lt;=TabS!$G$5,G28*$I$67,IF(G$105&lt;=TabS!$G$6,G28*$I$68,IF(G$105&lt;=TabS!$G$7,G28*$I$69,IF(G$105&lt;=TabS!$G$8,G28*$I$70,IF(G$105&lt;=TabS!$G$9,G28*$I$71,IF(G$105&lt;=TabS!$G$10,G28*$I$72))))))</f>
        <v>0</v>
      </c>
      <c r="H124" s="151">
        <f>IF(H$105&lt;=TabS!$G$5,H28*$I$67,IF(H$105&lt;=TabS!$G$6,H28*$I$68,IF(H$105&lt;=TabS!$G$7,H28*$I$69,IF(H$105&lt;=TabS!$G$8,H28*$I$70,IF(H$105&lt;=TabS!$G$9,H28*$I$71,IF(H$105&lt;=TabS!$G$10,H28*$I$72))))))</f>
        <v>0</v>
      </c>
      <c r="I124" s="151">
        <f>IF(I$105&lt;=TabS!$G$5,I28*$I$67,IF(I$105&lt;=TabS!$G$6,I28*$I$68,IF(I$105&lt;=TabS!$G$7,I28*$I$69,IF(I$105&lt;=TabS!$G$8,I28*$I$70,IF(I$105&lt;=TabS!$G$9,I28*$I$71,IF(I$105&lt;=TabS!$G$10,I28*$I$72))))))</f>
        <v>0</v>
      </c>
      <c r="J124" s="151">
        <f>IF(J$105&lt;=TabS!$G$5,J28*$I$67,IF(J$105&lt;=TabS!$G$6,J28*$I$68,IF(J$105&lt;=TabS!$G$7,J28*$I$69,IF(J$105&lt;=TabS!$G$8,J28*$I$70,IF(J$105&lt;=TabS!$G$9,J28*$I$71,IF(J$105&lt;=TabS!$G$10,J28*$I$72))))))</f>
        <v>0</v>
      </c>
      <c r="K124" s="151">
        <f>IF(K$105&lt;=TabS!$G$5,K28*$I$67,IF(K$105&lt;=TabS!$G$6,K28*$I$68,IF(K$105&lt;=TabS!$G$7,K28*$I$69,IF(K$105&lt;=TabS!$G$8,K28*$I$70,IF(K$105&lt;=TabS!$G$9,K28*$I$71,IF(K$105&lt;=TabS!$G$10,K28*$I$72))))))</f>
        <v>0</v>
      </c>
      <c r="L124" s="151">
        <f>IF(L$105&lt;=TabS!$G$5,L28*$I$67,IF(L$105&lt;=TabS!$G$6,L28*$I$68,IF(L$105&lt;=TabS!$G$7,L28*$I$69,IF(L$105&lt;=TabS!$G$8,L28*$I$70,IF(L$105&lt;=TabS!$G$9,L28*$I$71,IF(L$105&lt;=TabS!$G$10,L28*$I$72))))))</f>
        <v>0</v>
      </c>
      <c r="M124" s="151">
        <f>IF(M$105&lt;=TabS!$G$5,M28*$I$67,IF(M$105&lt;=TabS!$G$6,M28*$I$68,IF(M$105&lt;=TabS!$G$7,M28*$I$69,IF(M$105&lt;=TabS!$G$8,M28*$I$70,IF(M$105&lt;=TabS!$G$9,M28*$I$71,IF(M$105&lt;=TabS!$G$10,M28*$I$72))))))</f>
        <v>0</v>
      </c>
      <c r="N124" s="151">
        <f>IF(N$105&lt;=TabS!$G$5,N28*$I$67,IF(N$105&lt;=TabS!$G$6,N28*$I$68,IF(N$105&lt;=TabS!$G$7,N28*$I$69,IF(N$105&lt;=TabS!$G$8,N28*$I$70,IF(N$105&lt;=TabS!$G$9,N28*$I$71,IF(N$105&lt;=TabS!$G$10,N28*$I$72))))))</f>
        <v>0</v>
      </c>
      <c r="O124" s="152">
        <f t="shared" si="49"/>
        <v>0</v>
      </c>
    </row>
    <row r="125" spans="2:30" ht="20.100000000000001" customHeight="1" x14ac:dyDescent="0.25">
      <c r="B125" s="168" t="s">
        <v>99</v>
      </c>
      <c r="C125" s="152">
        <f>SUM(C118:C124)</f>
        <v>0</v>
      </c>
      <c r="D125" s="152">
        <f t="shared" ref="D125:N125" si="51">SUM(D118:D124)</f>
        <v>0</v>
      </c>
      <c r="E125" s="152">
        <f t="shared" si="51"/>
        <v>0</v>
      </c>
      <c r="F125" s="152">
        <f t="shared" si="51"/>
        <v>0</v>
      </c>
      <c r="G125" s="152">
        <f t="shared" si="51"/>
        <v>0</v>
      </c>
      <c r="H125" s="152">
        <f t="shared" si="51"/>
        <v>0</v>
      </c>
      <c r="I125" s="152">
        <f t="shared" si="51"/>
        <v>0</v>
      </c>
      <c r="J125" s="152">
        <f t="shared" si="51"/>
        <v>0</v>
      </c>
      <c r="K125" s="152">
        <f t="shared" si="51"/>
        <v>0</v>
      </c>
      <c r="L125" s="152">
        <f t="shared" si="51"/>
        <v>0</v>
      </c>
      <c r="M125" s="152">
        <f t="shared" si="51"/>
        <v>0</v>
      </c>
      <c r="N125" s="152">
        <f t="shared" si="51"/>
        <v>0</v>
      </c>
      <c r="O125" s="152">
        <f t="shared" si="49"/>
        <v>0</v>
      </c>
    </row>
    <row r="126" spans="2:30" ht="20.100000000000001" customHeight="1" x14ac:dyDescent="0.25">
      <c r="B126" s="164" t="s">
        <v>75</v>
      </c>
    </row>
    <row r="127" spans="2:30" ht="20.100000000000001" customHeight="1" x14ac:dyDescent="0.25">
      <c r="B127" s="149" t="s">
        <v>82</v>
      </c>
      <c r="C127" s="149" t="s">
        <v>83</v>
      </c>
      <c r="D127" s="149" t="s">
        <v>84</v>
      </c>
      <c r="E127" s="149" t="s">
        <v>85</v>
      </c>
      <c r="F127" s="149" t="s">
        <v>86</v>
      </c>
      <c r="G127" s="149" t="s">
        <v>87</v>
      </c>
      <c r="H127" s="149" t="s">
        <v>88</v>
      </c>
      <c r="I127" s="149" t="s">
        <v>89</v>
      </c>
      <c r="J127" s="149" t="s">
        <v>90</v>
      </c>
      <c r="K127" s="149" t="s">
        <v>91</v>
      </c>
      <c r="L127" s="149" t="s">
        <v>92</v>
      </c>
      <c r="M127" s="149" t="s">
        <v>93</v>
      </c>
      <c r="N127" s="149" t="s">
        <v>94</v>
      </c>
      <c r="O127" s="149" t="s">
        <v>95</v>
      </c>
    </row>
    <row r="128" spans="2:30" ht="20.100000000000001" customHeight="1" x14ac:dyDescent="0.25">
      <c r="B128" s="167" t="s">
        <v>97</v>
      </c>
      <c r="C128" s="151">
        <f>IF(C$167&gt;$C$168,C180,IF(C$105&lt;=TabS!$G$5,C35*$C$77,IF(C$105&lt;=TabS!$G$6,C35*$C$78,IF(C$105&lt;=TabS!$G$7,C35*$C$79,IF(C$105&lt;=TabS!$G$8,C35*$C$80,IF(C$105&lt;=TabS!$G$9,C35*$C$81,IF(C$105&lt;=TabS!$G$10,C35*$C$82)))))))</f>
        <v>0</v>
      </c>
      <c r="D128" s="151">
        <f>IF(D$167&gt;$C$168,D180,IF(D$105&lt;=TabS!$G$5,D35*$C$77,IF(D$105&lt;=TabS!$G$6,D35*$C$78,IF(D$105&lt;=TabS!$G$7,D35*$C$79,IF(D$105&lt;=TabS!$G$8,D35*$C$80,IF(D$105&lt;=TabS!$G$9,D35*$C$81,IF(D$105&lt;=TabS!$G$10,D35*$C$82)))))))</f>
        <v>0</v>
      </c>
      <c r="E128" s="151">
        <f>IF(E$167&gt;$C$168,E180,IF(E$105&lt;=TabS!$G$5,E35*$C$77,IF(E$105&lt;=TabS!$G$6,E35*$C$78,IF(E$105&lt;=TabS!$G$7,E35*$C$79,IF(E$105&lt;=TabS!$G$8,E35*$C$80,IF(E$105&lt;=TabS!$G$9,E35*$C$81,IF(E$105&lt;=TabS!$G$10,E35*$C$82)))))))</f>
        <v>0</v>
      </c>
      <c r="F128" s="151">
        <f>IF(F$167&gt;$C$168,F180,IF(F$105&lt;=TabS!$G$5,F35*$C$77,IF(F$105&lt;=TabS!$G$6,F35*$C$78,IF(F$105&lt;=TabS!$G$7,F35*$C$79,IF(F$105&lt;=TabS!$G$8,F35*$C$80,IF(F$105&lt;=TabS!$G$9,F35*$C$81,IF(F$105&lt;=TabS!$G$10,F35*$C$82)))))))</f>
        <v>0</v>
      </c>
      <c r="G128" s="151">
        <f>IF(G$167&gt;$C$168,G180,IF(G$105&lt;=TabS!$G$5,G35*$C$77,IF(G$105&lt;=TabS!$G$6,G35*$C$78,IF(G$105&lt;=TabS!$G$7,G35*$C$79,IF(G$105&lt;=TabS!$G$8,G35*$C$80,IF(G$105&lt;=TabS!$G$9,G35*$C$81,IF(G$105&lt;=TabS!$G$10,G35*$C$82)))))))</f>
        <v>0</v>
      </c>
      <c r="H128" s="151">
        <f>IF(H$167&gt;$C$168,H180,IF(H$105&lt;=TabS!$G$5,H35*$C$77,IF(H$105&lt;=TabS!$G$6,H35*$C$78,IF(H$105&lt;=TabS!$G$7,H35*$C$79,IF(H$105&lt;=TabS!$G$8,H35*$C$80,IF(H$105&lt;=TabS!$G$9,H35*$C$81,IF(H$105&lt;=TabS!$G$10,H35*$C$82)))))))</f>
        <v>0</v>
      </c>
      <c r="I128" s="151">
        <f>IF(I$167&gt;$C$168,I180,IF(I$105&lt;=TabS!$G$5,I35*$C$77,IF(I$105&lt;=TabS!$G$6,I35*$C$78,IF(I$105&lt;=TabS!$G$7,I35*$C$79,IF(I$105&lt;=TabS!$G$8,I35*$C$80,IF(I$105&lt;=TabS!$G$9,I35*$C$81,IF(I$105&lt;=TabS!$G$10,I35*$C$82)))))))</f>
        <v>0</v>
      </c>
      <c r="J128" s="151">
        <f>IF(J$167&gt;$C$168,J180,IF(J$105&lt;=TabS!$G$5,J35*$C$77,IF(J$105&lt;=TabS!$G$6,J35*$C$78,IF(J$105&lt;=TabS!$G$7,J35*$C$79,IF(J$105&lt;=TabS!$G$8,J35*$C$80,IF(J$105&lt;=TabS!$G$9,J35*$C$81,IF(J$105&lt;=TabS!$G$10,J35*$C$82)))))))</f>
        <v>0</v>
      </c>
      <c r="K128" s="151">
        <f>IF(K$167&gt;$C$168,K180,IF(K$105&lt;=TabS!$G$5,K35*$C$77,IF(K$105&lt;=TabS!$G$6,K35*$C$78,IF(K$105&lt;=TabS!$G$7,K35*$C$79,IF(K$105&lt;=TabS!$G$8,K35*$C$80,IF(K$105&lt;=TabS!$G$9,K35*$C$81,IF(K$105&lt;=TabS!$G$10,K35*$C$82)))))))</f>
        <v>0</v>
      </c>
      <c r="L128" s="151">
        <f>IF(L$167&gt;$C$168,L180,IF(L$105&lt;=TabS!$G$5,L35*$C$77,IF(L$105&lt;=TabS!$G$6,L35*$C$78,IF(L$105&lt;=TabS!$G$7,L35*$C$79,IF(L$105&lt;=TabS!$G$8,L35*$C$80,IF(L$105&lt;=TabS!$G$9,L35*$C$81,IF(L$105&lt;=TabS!$G$10,L35*$C$82)))))))</f>
        <v>0</v>
      </c>
      <c r="M128" s="151">
        <f>IF(M$167&gt;$C$168,M180,IF(M$105&lt;=TabS!$G$5,M35*$C$77,IF(M$105&lt;=TabS!$G$6,M35*$C$78,IF(M$105&lt;=TabS!$G$7,M35*$C$79,IF(M$105&lt;=TabS!$G$8,M35*$C$80,IF(M$105&lt;=TabS!$G$9,M35*$C$81,IF(M$105&lt;=TabS!$G$10,M35*$C$82)))))))</f>
        <v>0</v>
      </c>
      <c r="N128" s="151">
        <f>IF(N$167&gt;$C$168,N180,IF(N$105&lt;=TabS!$G$5,N35*$C$77,IF(N$105&lt;=TabS!$G$6,N35*$C$78,IF(N$105&lt;=TabS!$G$7,N35*$C$79,IF(N$105&lt;=TabS!$G$8,N35*$C$80,IF(N$105&lt;=TabS!$G$9,N35*$C$81,IF(N$105&lt;=TabS!$G$10,N35*$C$82)))))))</f>
        <v>0</v>
      </c>
      <c r="O128" s="152">
        <f t="shared" ref="O128:O134" si="52">SUM(C128:N128)</f>
        <v>0</v>
      </c>
    </row>
    <row r="129" spans="2:15" ht="20.100000000000001" customHeight="1" x14ac:dyDescent="0.25">
      <c r="B129" s="167" t="s">
        <v>98</v>
      </c>
      <c r="C129" s="151">
        <f>IF(C$167&gt;$C$168,C181,IF(C$105&lt;=TabS!$G$5,C35*$D$77,IF(C$105&lt;=TabS!$G$6,C35*$D$78,IF(C$105&lt;=TabS!$G$7,C35*$D$79,IF(C$105&lt;=TabS!$G$8,C35*$D$80,IF(C$105&lt;=TabS!$G$9,C35*$D$81,IF(C$105&lt;=TabS!$G$10,C35*$D$82)))))))</f>
        <v>0</v>
      </c>
      <c r="D129" s="151">
        <f>IF(D$167&gt;$C$168,D181,IF(D$105&lt;=TabS!$G$5,D35*$D$77,IF(D$105&lt;=TabS!$G$6,D35*$D$78,IF(D$105&lt;=TabS!$G$7,D35*$D$79,IF(D$105&lt;=TabS!$G$8,D35*$D$80,IF(D$105&lt;=TabS!$G$9,D35*$D$81,IF(D$105&lt;=TabS!$G$10,D35*$D$82)))))))</f>
        <v>0</v>
      </c>
      <c r="E129" s="151">
        <f>IF(E$167&gt;$C$168,E181,IF(E$105&lt;=TabS!$G$5,E35*$D$77,IF(E$105&lt;=TabS!$G$6,E35*$D$78,IF(E$105&lt;=TabS!$G$7,E35*$D$79,IF(E$105&lt;=TabS!$G$8,E35*$D$80,IF(E$105&lt;=TabS!$G$9,E35*$D$81,IF(E$105&lt;=TabS!$G$10,E35*$D$82)))))))</f>
        <v>0</v>
      </c>
      <c r="F129" s="151">
        <f>IF(F$167&gt;$C$168,F181,IF(F$105&lt;=TabS!$G$5,F35*$D$77,IF(F$105&lt;=TabS!$G$6,F35*$D$78,IF(F$105&lt;=TabS!$G$7,F35*$D$79,IF(F$105&lt;=TabS!$G$8,F35*$D$80,IF(F$105&lt;=TabS!$G$9,F35*$D$81,IF(F$105&lt;=TabS!$G$10,F35*$D$82)))))))</f>
        <v>0</v>
      </c>
      <c r="G129" s="151">
        <f>IF(G$167&gt;$C$168,G181,IF(G$105&lt;=TabS!$G$5,G35*$D$77,IF(G$105&lt;=TabS!$G$6,G35*$D$78,IF(G$105&lt;=TabS!$G$7,G35*$D$79,IF(G$105&lt;=TabS!$G$8,G35*$D$80,IF(G$105&lt;=TabS!$G$9,G35*$D$81,IF(G$105&lt;=TabS!$G$10,G35*$D$82)))))))</f>
        <v>0</v>
      </c>
      <c r="H129" s="151">
        <f>IF(H$167&gt;$C$168,H181,IF(H$105&lt;=TabS!$G$5,H35*$D$77,IF(H$105&lt;=TabS!$G$6,H35*$D$78,IF(H$105&lt;=TabS!$G$7,H35*$D$79,IF(H$105&lt;=TabS!$G$8,H35*$D$80,IF(H$105&lt;=TabS!$G$9,H35*$D$81,IF(H$105&lt;=TabS!$G$10,H35*$D$82)))))))</f>
        <v>0</v>
      </c>
      <c r="I129" s="151">
        <f>IF(I$167&gt;$C$168,I181,IF(I$105&lt;=TabS!$G$5,I35*$D$77,IF(I$105&lt;=TabS!$G$6,I35*$D$78,IF(I$105&lt;=TabS!$G$7,I35*$D$79,IF(I$105&lt;=TabS!$G$8,I35*$D$80,IF(I$105&lt;=TabS!$G$9,I35*$D$81,IF(I$105&lt;=TabS!$G$10,I35*$D$82)))))))</f>
        <v>0</v>
      </c>
      <c r="J129" s="151">
        <f>IF(J$167&gt;$C$168,J181,IF(J$105&lt;=TabS!$G$5,J35*$D$77,IF(J$105&lt;=TabS!$G$6,J35*$D$78,IF(J$105&lt;=TabS!$G$7,J35*$D$79,IF(J$105&lt;=TabS!$G$8,J35*$D$80,IF(J$105&lt;=TabS!$G$9,J35*$D$81,IF(J$105&lt;=TabS!$G$10,J35*$D$82)))))))</f>
        <v>0</v>
      </c>
      <c r="K129" s="151">
        <f>IF(K$167&gt;$C$168,K181,IF(K$105&lt;=TabS!$G$5,K35*$D$77,IF(K$105&lt;=TabS!$G$6,K35*$D$78,IF(K$105&lt;=TabS!$G$7,K35*$D$79,IF(K$105&lt;=TabS!$G$8,K35*$D$80,IF(K$105&lt;=TabS!$G$9,K35*$D$81,IF(K$105&lt;=TabS!$G$10,K35*$D$82)))))))</f>
        <v>0</v>
      </c>
      <c r="L129" s="151">
        <f>IF(L$167&gt;$C$168,L181,IF(L$105&lt;=TabS!$G$5,L35*$D$77,IF(L$105&lt;=TabS!$G$6,L35*$D$78,IF(L$105&lt;=TabS!$G$7,L35*$D$79,IF(L$105&lt;=TabS!$G$8,L35*$D$80,IF(L$105&lt;=TabS!$G$9,L35*$D$81,IF(L$105&lt;=TabS!$G$10,L35*$D$82)))))))</f>
        <v>0</v>
      </c>
      <c r="M129" s="151">
        <f>IF(M$167&gt;$C$168,M181,IF(M$105&lt;=TabS!$G$5,M35*$D$77,IF(M$105&lt;=TabS!$G$6,M35*$D$78,IF(M$105&lt;=TabS!$G$7,M35*$D$79,IF(M$105&lt;=TabS!$G$8,M35*$D$80,IF(M$105&lt;=TabS!$G$9,M35*$D$81,IF(M$105&lt;=TabS!$G$10,M35*$D$82)))))))</f>
        <v>0</v>
      </c>
      <c r="N129" s="151">
        <f>IF(N$167&gt;$C$168,N181,IF(N$105&lt;=TabS!$G$5,N35*$D$77,IF(N$105&lt;=TabS!$G$6,N35*$D$78,IF(N$105&lt;=TabS!$G$7,N35*$D$79,IF(N$105&lt;=TabS!$G$8,N35*$D$80,IF(N$105&lt;=TabS!$G$9,N35*$D$81,IF(N$105&lt;=TabS!$G$10,N35*$D$82)))))))</f>
        <v>0</v>
      </c>
      <c r="O129" s="152">
        <f t="shared" si="52"/>
        <v>0</v>
      </c>
    </row>
    <row r="130" spans="2:15" ht="20.100000000000001" customHeight="1" x14ac:dyDescent="0.25">
      <c r="B130" s="167" t="s">
        <v>39</v>
      </c>
      <c r="C130" s="151">
        <f>IF(C$167&gt;$C$168,C182,IF(C$105&lt;=TabS!$G$5,C35*$E$77,IF(C$105&lt;=TabS!$G$6,C35*$E$78,IF(C$105&lt;=TabS!$G$7,C35*$E$79,IF(C$105&lt;=TabS!$G$8,C35*$E$80,IF(C$105&lt;=TabS!$G$9,C35*$E$81,IF(C$105&lt;=TabS!$G$10,C35*$E$82)))))))</f>
        <v>0</v>
      </c>
      <c r="D130" s="151">
        <f>IF(D$167&gt;$C$168,D182,IF(D$105&lt;=TabS!$G$5,D35*$E$77,IF(D$105&lt;=TabS!$G$6,D35*$E$78,IF(D$105&lt;=TabS!$G$7,D35*$E$79,IF(D$105&lt;=TabS!$G$8,D35*$E$80,IF(D$105&lt;=TabS!$G$9,D35*$E$81,IF(D$105&lt;=TabS!$G$10,D35*$E$82)))))))</f>
        <v>0</v>
      </c>
      <c r="E130" s="151">
        <f>IF(E$167&gt;$C$168,E182,IF(E$105&lt;=TabS!$G$5,E35*$E$77,IF(E$105&lt;=TabS!$G$6,E35*$E$78,IF(E$105&lt;=TabS!$G$7,E35*$E$79,IF(E$105&lt;=TabS!$G$8,E35*$E$80,IF(E$105&lt;=TabS!$G$9,E35*$E$81,IF(E$105&lt;=TabS!$G$10,E35*$E$82)))))))</f>
        <v>0</v>
      </c>
      <c r="F130" s="151">
        <f>IF(F$167&gt;$C$168,F182,IF(F$105&lt;=TabS!$G$5,F35*$E$77,IF(F$105&lt;=TabS!$G$6,F35*$E$78,IF(F$105&lt;=TabS!$G$7,F35*$E$79,IF(F$105&lt;=TabS!$G$8,F35*$E$80,IF(F$105&lt;=TabS!$G$9,F35*$E$81,IF(F$105&lt;=TabS!$G$10,F35*$E$82)))))))</f>
        <v>0</v>
      </c>
      <c r="G130" s="151">
        <f>IF(G$167&gt;$C$168,G182,IF(G$105&lt;=TabS!$G$5,G35*$E$77,IF(G$105&lt;=TabS!$G$6,G35*$E$78,IF(G$105&lt;=TabS!$G$7,G35*$E$79,IF(G$105&lt;=TabS!$G$8,G35*$E$80,IF(G$105&lt;=TabS!$G$9,G35*$E$81,IF(G$105&lt;=TabS!$G$10,G35*$E$82)))))))</f>
        <v>0</v>
      </c>
      <c r="H130" s="151">
        <f>IF(H$167&gt;$C$168,H182,IF(H$105&lt;=TabS!$G$5,H35*$E$77,IF(H$105&lt;=TabS!$G$6,H35*$E$78,IF(H$105&lt;=TabS!$G$7,H35*$E$79,IF(H$105&lt;=TabS!$G$8,H35*$E$80,IF(H$105&lt;=TabS!$G$9,H35*$E$81,IF(H$105&lt;=TabS!$G$10,H35*$E$82)))))))</f>
        <v>0</v>
      </c>
      <c r="I130" s="151">
        <f>IF(I$167&gt;$C$168,I182,IF(I$105&lt;=TabS!$G$5,I35*$E$77,IF(I$105&lt;=TabS!$G$6,I35*$E$78,IF(I$105&lt;=TabS!$G$7,I35*$E$79,IF(I$105&lt;=TabS!$G$8,I35*$E$80,IF(I$105&lt;=TabS!$G$9,I35*$E$81,IF(I$105&lt;=TabS!$G$10,I35*$E$82)))))))</f>
        <v>0</v>
      </c>
      <c r="J130" s="151">
        <f>IF(J$167&gt;$C$168,J182,IF(J$105&lt;=TabS!$G$5,J35*$E$77,IF(J$105&lt;=TabS!$G$6,J35*$E$78,IF(J$105&lt;=TabS!$G$7,J35*$E$79,IF(J$105&lt;=TabS!$G$8,J35*$E$80,IF(J$105&lt;=TabS!$G$9,J35*$E$81,IF(J$105&lt;=TabS!$G$10,J35*$E$82)))))))</f>
        <v>0</v>
      </c>
      <c r="K130" s="151">
        <f>IF(K$167&gt;$C$168,K182,IF(K$105&lt;=TabS!$G$5,K35*$E$77,IF(K$105&lt;=TabS!$G$6,K35*$E$78,IF(K$105&lt;=TabS!$G$7,K35*$E$79,IF(K$105&lt;=TabS!$G$8,K35*$E$80,IF(K$105&lt;=TabS!$G$9,K35*$E$81,IF(K$105&lt;=TabS!$G$10,K35*$E$82)))))))</f>
        <v>0</v>
      </c>
      <c r="L130" s="151">
        <f>IF(L$167&gt;$C$168,L182,IF(L$105&lt;=TabS!$G$5,L35*$E$77,IF(L$105&lt;=TabS!$G$6,L35*$E$78,IF(L$105&lt;=TabS!$G$7,L35*$E$79,IF(L$105&lt;=TabS!$G$8,L35*$E$80,IF(L$105&lt;=TabS!$G$9,L35*$E$81,IF(L$105&lt;=TabS!$G$10,L35*$E$82)))))))</f>
        <v>0</v>
      </c>
      <c r="M130" s="151">
        <f>IF(M$167&gt;$C$168,M182,IF(M$105&lt;=TabS!$G$5,M35*$E$77,IF(M$105&lt;=TabS!$G$6,M35*$E$78,IF(M$105&lt;=TabS!$G$7,M35*$E$79,IF(M$105&lt;=TabS!$G$8,M35*$E$80,IF(M$105&lt;=TabS!$G$9,M35*$E$81,IF(M$105&lt;=TabS!$G$10,M35*$E$82)))))))</f>
        <v>0</v>
      </c>
      <c r="N130" s="151">
        <f>IF(N$167&gt;$C$168,N182,IF(N$105&lt;=TabS!$G$5,N35*$E$77,IF(N$105&lt;=TabS!$G$6,N35*$E$78,IF(N$105&lt;=TabS!$G$7,N35*$E$79,IF(N$105&lt;=TabS!$G$8,N35*$E$80,IF(N$105&lt;=TabS!$G$9,N35*$E$81,IF(N$105&lt;=TabS!$G$10,N35*$E$82)))))))</f>
        <v>0</v>
      </c>
      <c r="O130" s="152">
        <f>SUM(C130:N130)</f>
        <v>0</v>
      </c>
    </row>
    <row r="131" spans="2:15" ht="20.100000000000001" customHeight="1" x14ac:dyDescent="0.25">
      <c r="B131" s="167" t="s">
        <v>129</v>
      </c>
      <c r="C131" s="151">
        <f>IF(C$167&gt;$C$168,C183,IF(C$105&lt;=TabS!$G$5,C35*$F$77,IF(C$105&lt;=TabS!$G$6,C35*$F$78,IF(C$105&lt;=TabS!$G$7,C35*$F$79,IF(C$105&lt;=TabS!$G$8,C35*$F$80,IF(C$105&lt;=TabS!$G$9,C35*$F$81,IF(C$105&lt;=TabS!$G$10,C35*$F$82)))))))</f>
        <v>0</v>
      </c>
      <c r="D131" s="151">
        <f>IF(D$167&gt;$C$168,D183,IF(D$105&lt;=TabS!$G$5,D35*$F$77,IF(D$105&lt;=TabS!$G$6,D35*$F$78,IF(D$105&lt;=TabS!$G$7,D35*$F$79,IF(D$105&lt;=TabS!$G$8,D35*$F$80,IF(D$105&lt;=TabS!$G$9,D35*$F$81,IF(D$105&lt;=TabS!$G$10,D35*$F$82)))))))</f>
        <v>0</v>
      </c>
      <c r="E131" s="151">
        <f>IF(E$167&gt;$C$168,E183,IF(E$105&lt;=TabS!$G$5,E35*$F$77,IF(E$105&lt;=TabS!$G$6,E35*$F$78,IF(E$105&lt;=TabS!$G$7,E35*$F$79,IF(E$105&lt;=TabS!$G$8,E35*$F$80,IF(E$105&lt;=TabS!$G$9,E35*$F$81,IF(E$105&lt;=TabS!$G$10,E35*$F$82)))))))</f>
        <v>0</v>
      </c>
      <c r="F131" s="151">
        <f>IF(F$167&gt;$C$168,F183,IF(F$105&lt;=TabS!$G$5,F35*$F$77,IF(F$105&lt;=TabS!$G$6,F35*$F$78,IF(F$105&lt;=TabS!$G$7,F35*$F$79,IF(F$105&lt;=TabS!$G$8,F35*$F$80,IF(F$105&lt;=TabS!$G$9,F35*$F$81,IF(F$105&lt;=TabS!$G$10,F35*$F$82)))))))</f>
        <v>0</v>
      </c>
      <c r="G131" s="151">
        <f>IF(G$167&gt;$C$168,G183,IF(G$105&lt;=TabS!$G$5,G35*$F$77,IF(G$105&lt;=TabS!$G$6,G35*$F$78,IF(G$105&lt;=TabS!$G$7,G35*$F$79,IF(G$105&lt;=TabS!$G$8,G35*$F$80,IF(G$105&lt;=TabS!$G$9,G35*$F$81,IF(G$105&lt;=TabS!$G$10,G35*$F$82)))))))</f>
        <v>0</v>
      </c>
      <c r="H131" s="151">
        <f>IF(H$167&gt;$C$168,H183,IF(H$105&lt;=TabS!$G$5,H35*$F$77,IF(H$105&lt;=TabS!$G$6,H35*$F$78,IF(H$105&lt;=TabS!$G$7,H35*$F$79,IF(H$105&lt;=TabS!$G$8,H35*$F$80,IF(H$105&lt;=TabS!$G$9,H35*$F$81,IF(H$105&lt;=TabS!$G$10,H35*$F$82)))))))</f>
        <v>0</v>
      </c>
      <c r="I131" s="151">
        <f>IF(I$167&gt;$C$168,I183,IF(I$105&lt;=TabS!$G$5,I35*$F$77,IF(I$105&lt;=TabS!$G$6,I35*$F$78,IF(I$105&lt;=TabS!$G$7,I35*$F$79,IF(I$105&lt;=TabS!$G$8,I35*$F$80,IF(I$105&lt;=TabS!$G$9,I35*$F$81,IF(I$105&lt;=TabS!$G$10,I35*$F$82)))))))</f>
        <v>0</v>
      </c>
      <c r="J131" s="151">
        <f>IF(J$167&gt;$C$168,J183,IF(J$105&lt;=TabS!$G$5,J35*$F$77,IF(J$105&lt;=TabS!$G$6,J35*$F$78,IF(J$105&lt;=TabS!$G$7,J35*$F$79,IF(J$105&lt;=TabS!$G$8,J35*$F$80,IF(J$105&lt;=TabS!$G$9,J35*$F$81,IF(J$105&lt;=TabS!$G$10,J35*$F$82)))))))</f>
        <v>0</v>
      </c>
      <c r="K131" s="151">
        <f>IF(K$167&gt;$C$168,K183,IF(K$105&lt;=TabS!$G$5,K35*$F$77,IF(K$105&lt;=TabS!$G$6,K35*$F$78,IF(K$105&lt;=TabS!$G$7,K35*$F$79,IF(K$105&lt;=TabS!$G$8,K35*$F$80,IF(K$105&lt;=TabS!$G$9,K35*$F$81,IF(K$105&lt;=TabS!$G$10,K35*$F$82)))))))</f>
        <v>0</v>
      </c>
      <c r="L131" s="151">
        <f>IF(L$167&gt;$C$168,L183,IF(L$105&lt;=TabS!$G$5,L35*$F$77,IF(L$105&lt;=TabS!$G$6,L35*$F$78,IF(L$105&lt;=TabS!$G$7,L35*$F$79,IF(L$105&lt;=TabS!$G$8,L35*$F$80,IF(L$105&lt;=TabS!$G$9,L35*$F$81,IF(L$105&lt;=TabS!$G$10,L35*$F$82)))))))</f>
        <v>0</v>
      </c>
      <c r="M131" s="151">
        <f>IF(M$167&gt;$C$168,M183,IF(M$105&lt;=TabS!$G$5,M35*$F$77,IF(M$105&lt;=TabS!$G$6,M35*$F$78,IF(M$105&lt;=TabS!$G$7,M35*$F$79,IF(M$105&lt;=TabS!$G$8,M35*$F$80,IF(M$105&lt;=TabS!$G$9,M35*$F$81,IF(M$105&lt;=TabS!$G$10,M35*$F$82)))))))</f>
        <v>0</v>
      </c>
      <c r="N131" s="151">
        <f>IF(N$167&gt;$C$168,N183,IF(N$105&lt;=TabS!$G$5,N35*$F$77,IF(N$105&lt;=TabS!$G$6,N35*$F$78,IF(N$105&lt;=TabS!$G$7,N35*$F$79,IF(N$105&lt;=TabS!$G$8,N35*$F$80,IF(N$105&lt;=TabS!$G$9,N35*$F$81,IF(N$105&lt;=TabS!$G$10,N35*$F$82)))))))</f>
        <v>0</v>
      </c>
      <c r="O131" s="152">
        <f t="shared" si="52"/>
        <v>0</v>
      </c>
    </row>
    <row r="132" spans="2:15" ht="20.100000000000001" customHeight="1" x14ac:dyDescent="0.25">
      <c r="B132" s="167" t="s">
        <v>42</v>
      </c>
      <c r="C132" s="151">
        <f>IF(C$167&gt;$C$168,C184,IF(C$105&lt;=TabS!$G$5,C35*$G$77,IF(C$105&lt;=TabS!$G$6,C35*$G$78,IF(C$105&lt;=TabS!$G$7,C35*$G$79,IF(C$105&lt;=TabS!$G$8,C35*$G$80,IF(C$105&lt;=TabS!$G$9,C35*$G$81,IF(C$105&lt;=TabS!$G$10,C35*$G$82)))))))</f>
        <v>0</v>
      </c>
      <c r="D132" s="151">
        <f>IF(D$167&gt;$C$168,D184,IF(D$105&lt;=TabS!$G$5,D35*$G$77,IF(D$105&lt;=TabS!$G$6,D35*$G$78,IF(D$105&lt;=TabS!$G$7,D35*$G$79,IF(D$105&lt;=TabS!$G$8,D35*$G$80,IF(D$105&lt;=TabS!$G$9,D35*$G$81,IF(D$105&lt;=TabS!$G$10,D35*$G$82)))))))</f>
        <v>0</v>
      </c>
      <c r="E132" s="151">
        <f>IF(E$167&gt;$C$168,E184,IF(E$105&lt;=TabS!$G$5,E35*$G$77,IF(E$105&lt;=TabS!$G$6,E35*$G$78,IF(E$105&lt;=TabS!$G$7,E35*$G$79,IF(E$105&lt;=TabS!$G$8,E35*$G$80,IF(E$105&lt;=TabS!$G$9,E35*$G$81,IF(E$105&lt;=TabS!$G$10,E35*$G$82)))))))</f>
        <v>0</v>
      </c>
      <c r="F132" s="151">
        <f>IF(F$167&gt;$C$168,F184,IF(F$105&lt;=TabS!$G$5,F35*$G$77,IF(F$105&lt;=TabS!$G$6,F35*$G$78,IF(F$105&lt;=TabS!$G$7,F35*$G$79,IF(F$105&lt;=TabS!$G$8,F35*$G$80,IF(F$105&lt;=TabS!$G$9,F35*$G$81,IF(F$105&lt;=TabS!$G$10,F35*$G$82)))))))</f>
        <v>0</v>
      </c>
      <c r="G132" s="151">
        <f>IF(G$167&gt;$C$168,G184,IF(G$105&lt;=TabS!$G$5,G35*$G$77,IF(G$105&lt;=TabS!$G$6,G35*$G$78,IF(G$105&lt;=TabS!$G$7,G35*$G$79,IF(G$105&lt;=TabS!$G$8,G35*$G$80,IF(G$105&lt;=TabS!$G$9,G35*$G$81,IF(G$105&lt;=TabS!$G$10,G35*$G$82)))))))</f>
        <v>0</v>
      </c>
      <c r="H132" s="151">
        <f>IF(H$167&gt;$C$168,H184,IF(H$105&lt;=TabS!$G$5,H35*$G$77,IF(H$105&lt;=TabS!$G$6,H35*$G$78,IF(H$105&lt;=TabS!$G$7,H35*$G$79,IF(H$105&lt;=TabS!$G$8,H35*$G$80,IF(H$105&lt;=TabS!$G$9,H35*$G$81,IF(H$105&lt;=TabS!$G$10,H35*$G$82)))))))</f>
        <v>0</v>
      </c>
      <c r="I132" s="151">
        <f>IF(I$167&gt;$C$168,I184,IF(I$105&lt;=TabS!$G$5,I35*$G$77,IF(I$105&lt;=TabS!$G$6,I35*$G$78,IF(I$105&lt;=TabS!$G$7,I35*$G$79,IF(I$105&lt;=TabS!$G$8,I35*$G$80,IF(I$105&lt;=TabS!$G$9,I35*$G$81,IF(I$105&lt;=TabS!$G$10,I35*$G$82)))))))</f>
        <v>0</v>
      </c>
      <c r="J132" s="151">
        <f>IF(J$167&gt;$C$168,J184,IF(J$105&lt;=TabS!$G$5,J35*$G$77,IF(J$105&lt;=TabS!$G$6,J35*$G$78,IF(J$105&lt;=TabS!$G$7,J35*$G$79,IF(J$105&lt;=TabS!$G$8,J35*$G$80,IF(J$105&lt;=TabS!$G$9,J35*$G$81,IF(J$105&lt;=TabS!$G$10,J35*$G$82)))))))</f>
        <v>0</v>
      </c>
      <c r="K132" s="151">
        <f>IF(K$167&gt;$C$168,K184,IF(K$105&lt;=TabS!$G$5,K35*$G$77,IF(K$105&lt;=TabS!$G$6,K35*$G$78,IF(K$105&lt;=TabS!$G$7,K35*$G$79,IF(K$105&lt;=TabS!$G$8,K35*$G$80,IF(K$105&lt;=TabS!$G$9,K35*$G$81,IF(K$105&lt;=TabS!$G$10,K35*$G$82)))))))</f>
        <v>0</v>
      </c>
      <c r="L132" s="151">
        <f>IF(L$167&gt;$C$168,L184,IF(L$105&lt;=TabS!$G$5,L35*$G$77,IF(L$105&lt;=TabS!$G$6,L35*$G$78,IF(L$105&lt;=TabS!$G$7,L35*$G$79,IF(L$105&lt;=TabS!$G$8,L35*$G$80,IF(L$105&lt;=TabS!$G$9,L35*$G$81,IF(L$105&lt;=TabS!$G$10,L35*$G$82)))))))</f>
        <v>0</v>
      </c>
      <c r="M132" s="151">
        <f>IF(M$167&gt;$C$168,M184,IF(M$105&lt;=TabS!$G$5,M35*$G$77,IF(M$105&lt;=TabS!$G$6,M35*$G$78,IF(M$105&lt;=TabS!$G$7,M35*$G$79,IF(M$105&lt;=TabS!$G$8,M35*$G$80,IF(M$105&lt;=TabS!$G$9,M35*$G$81,IF(M$105&lt;=TabS!$G$10,M35*$G$82)))))))</f>
        <v>0</v>
      </c>
      <c r="N132" s="151">
        <f>IF(N$167&gt;$C$168,N184,IF(N$105&lt;=TabS!$G$5,N35*$G$77,IF(N$105&lt;=TabS!$G$6,N35*$G$78,IF(N$105&lt;=TabS!$G$7,N35*$G$79,IF(N$105&lt;=TabS!$G$8,N35*$G$80,IF(N$105&lt;=TabS!$G$9,N35*$G$81,IF(N$105&lt;=TabS!$G$10,N35*$G$82)))))))</f>
        <v>0</v>
      </c>
      <c r="O132" s="152">
        <f t="shared" si="52"/>
        <v>0</v>
      </c>
    </row>
    <row r="133" spans="2:15" ht="20.100000000000001" customHeight="1" x14ac:dyDescent="0.25">
      <c r="B133" s="167" t="s">
        <v>40</v>
      </c>
      <c r="C133" s="151">
        <f>IF(C$167&gt;$C$168,C185,IF(C$105&lt;=TabS!$G$5,C35*$H$77,IF(C$105&lt;=TabS!$G$6,C35*$H$78,IF(C$105&lt;=TabS!$G$7,C35*$H$79,IF(C$105&lt;=TabS!$G$8,C35*$H$80,IF(C$105&lt;=TabS!$G$9,C35*$H$81,IF(C$105&lt;=TabS!$G$10,C35*$H$82)))))))</f>
        <v>0</v>
      </c>
      <c r="D133" s="151">
        <f>IF(D$167&gt;$C$168,D185,IF(D$105&lt;=TabS!$G$5,D35*$H$77,IF(D$105&lt;=TabS!$G$6,D35*$H$78,IF(D$105&lt;=TabS!$G$7,D35*$H$79,IF(D$105&lt;=TabS!$G$8,D35*$H$80,IF(D$105&lt;=TabS!$G$9,D35*$H$81,IF(D$105&lt;=TabS!$G$10,D35*$H$82)))))))</f>
        <v>0</v>
      </c>
      <c r="E133" s="151">
        <f>IF(E$167&gt;$C$168,E185,IF(E$105&lt;=TabS!$G$5,E35*$H$77,IF(E$105&lt;=TabS!$G$6,E35*$H$78,IF(E$105&lt;=TabS!$G$7,E35*$H$79,IF(E$105&lt;=TabS!$G$8,E35*$H$80,IF(E$105&lt;=TabS!$G$9,E35*$H$81,IF(E$105&lt;=TabS!$G$10,E35*$H$82)))))))</f>
        <v>0</v>
      </c>
      <c r="F133" s="151">
        <f>IF(F$167&gt;$C$168,F185,IF(F$105&lt;=TabS!$G$5,F35*$H$77,IF(F$105&lt;=TabS!$G$6,F35*$H$78,IF(F$105&lt;=TabS!$G$7,F35*$H$79,IF(F$105&lt;=TabS!$G$8,F35*$H$80,IF(F$105&lt;=TabS!$G$9,F35*$H$81,IF(F$105&lt;=TabS!$G$10,F35*$H$82)))))))</f>
        <v>0</v>
      </c>
      <c r="G133" s="151">
        <f>IF(G$167&gt;$C$168,G185,IF(G$105&lt;=TabS!$G$5,G35*$H$77,IF(G$105&lt;=TabS!$G$6,G35*$H$78,IF(G$105&lt;=TabS!$G$7,G35*$H$79,IF(G$105&lt;=TabS!$G$8,G35*$H$80,IF(G$105&lt;=TabS!$G$9,G35*$H$81,IF(G$105&lt;=TabS!$G$10,G35*$H$82)))))))</f>
        <v>0</v>
      </c>
      <c r="H133" s="151">
        <f>IF(H$167&gt;$C$168,H185,IF(H$105&lt;=TabS!$G$5,H35*$H$77,IF(H$105&lt;=TabS!$G$6,H35*$H$78,IF(H$105&lt;=TabS!$G$7,H35*$H$79,IF(H$105&lt;=TabS!$G$8,H35*$H$80,IF(H$105&lt;=TabS!$G$9,H35*$H$81,IF(H$105&lt;=TabS!$G$10,H35*$H$82)))))))</f>
        <v>0</v>
      </c>
      <c r="I133" s="151">
        <f>IF(I$167&gt;$C$168,I185,IF(I$105&lt;=TabS!$G$5,I35*$H$77,IF(I$105&lt;=TabS!$G$6,I35*$H$78,IF(I$105&lt;=TabS!$G$7,I35*$H$79,IF(I$105&lt;=TabS!$G$8,I35*$H$80,IF(I$105&lt;=TabS!$G$9,I35*$H$81,IF(I$105&lt;=TabS!$G$10,I35*$H$82)))))))</f>
        <v>0</v>
      </c>
      <c r="J133" s="151">
        <f>IF(J$167&gt;$C$168,J185,IF(J$105&lt;=TabS!$G$5,J35*$H$77,IF(J$105&lt;=TabS!$G$6,J35*$H$78,IF(J$105&lt;=TabS!$G$7,J35*$H$79,IF(J$105&lt;=TabS!$G$8,J35*$H$80,IF(J$105&lt;=TabS!$G$9,J35*$H$81,IF(J$105&lt;=TabS!$G$10,J35*$H$82)))))))</f>
        <v>0</v>
      </c>
      <c r="K133" s="151">
        <f>IF(K$167&gt;$C$168,K185,IF(K$105&lt;=TabS!$G$5,K35*$H$77,IF(K$105&lt;=TabS!$G$6,K35*$H$78,IF(K$105&lt;=TabS!$G$7,K35*$H$79,IF(K$105&lt;=TabS!$G$8,K35*$H$80,IF(K$105&lt;=TabS!$G$9,K35*$H$81,IF(K$105&lt;=TabS!$G$10,K35*$H$82)))))))</f>
        <v>0</v>
      </c>
      <c r="L133" s="151">
        <f>IF(L$167&gt;$C$168,L185,IF(L$105&lt;=TabS!$G$5,L35*$H$77,IF(L$105&lt;=TabS!$G$6,L35*$H$78,IF(L$105&lt;=TabS!$G$7,L35*$H$79,IF(L$105&lt;=TabS!$G$8,L35*$H$80,IF(L$105&lt;=TabS!$G$9,L35*$H$81,IF(L$105&lt;=TabS!$G$10,L35*$H$82)))))))</f>
        <v>0</v>
      </c>
      <c r="M133" s="151">
        <f>IF(M$167&gt;$C$168,M185,IF(M$105&lt;=TabS!$G$5,M35*$H$77,IF(M$105&lt;=TabS!$G$6,M35*$H$78,IF(M$105&lt;=TabS!$G$7,M35*$H$79,IF(M$105&lt;=TabS!$G$8,M35*$H$80,IF(M$105&lt;=TabS!$G$9,M35*$H$81,IF(M$105&lt;=TabS!$G$10,M35*$H$82)))))))</f>
        <v>0</v>
      </c>
      <c r="N133" s="151">
        <f>IF(N$167&gt;$C$168,N185,IF(N$105&lt;=TabS!$G$5,N35*$H$77,IF(N$105&lt;=TabS!$G$6,N35*$H$78,IF(N$105&lt;=TabS!$G$7,N35*$H$79,IF(N$105&lt;=TabS!$G$8,N35*$H$80,IF(N$105&lt;=TabS!$G$9,N35*$H$81,IF(N$105&lt;=TabS!$G$10,N35*$H$82)))))))</f>
        <v>0</v>
      </c>
      <c r="O133" s="152">
        <f t="shared" si="52"/>
        <v>0</v>
      </c>
    </row>
    <row r="134" spans="2:15" ht="20.100000000000001" customHeight="1" x14ac:dyDescent="0.25">
      <c r="B134" s="168" t="s">
        <v>99</v>
      </c>
      <c r="C134" s="152">
        <f>SUM(C128:C133)</f>
        <v>0</v>
      </c>
      <c r="D134" s="152">
        <f t="shared" ref="D134:N134" si="53">SUM(D128:D133)</f>
        <v>0</v>
      </c>
      <c r="E134" s="152">
        <f t="shared" si="53"/>
        <v>0</v>
      </c>
      <c r="F134" s="152">
        <f t="shared" si="53"/>
        <v>0</v>
      </c>
      <c r="G134" s="152">
        <f t="shared" si="53"/>
        <v>0</v>
      </c>
      <c r="H134" s="152">
        <f t="shared" si="53"/>
        <v>0</v>
      </c>
      <c r="I134" s="152">
        <f t="shared" si="53"/>
        <v>0</v>
      </c>
      <c r="J134" s="152">
        <f t="shared" si="53"/>
        <v>0</v>
      </c>
      <c r="K134" s="152">
        <f t="shared" si="53"/>
        <v>0</v>
      </c>
      <c r="L134" s="152">
        <f t="shared" si="53"/>
        <v>0</v>
      </c>
      <c r="M134" s="152">
        <f t="shared" si="53"/>
        <v>0</v>
      </c>
      <c r="N134" s="152">
        <f t="shared" si="53"/>
        <v>0</v>
      </c>
      <c r="O134" s="152">
        <f t="shared" si="52"/>
        <v>0</v>
      </c>
    </row>
    <row r="135" spans="2:15" ht="20.100000000000001" customHeight="1" x14ac:dyDescent="0.25">
      <c r="B135" s="164" t="s">
        <v>76</v>
      </c>
    </row>
    <row r="136" spans="2:15" ht="20.100000000000001" customHeight="1" x14ac:dyDescent="0.25">
      <c r="B136" s="149" t="s">
        <v>82</v>
      </c>
      <c r="C136" s="149" t="s">
        <v>83</v>
      </c>
      <c r="D136" s="149" t="s">
        <v>84</v>
      </c>
      <c r="E136" s="149" t="s">
        <v>85</v>
      </c>
      <c r="F136" s="149" t="s">
        <v>86</v>
      </c>
      <c r="G136" s="149" t="s">
        <v>87</v>
      </c>
      <c r="H136" s="149" t="s">
        <v>88</v>
      </c>
      <c r="I136" s="149" t="s">
        <v>89</v>
      </c>
      <c r="J136" s="149" t="s">
        <v>90</v>
      </c>
      <c r="K136" s="149" t="s">
        <v>91</v>
      </c>
      <c r="L136" s="149" t="s">
        <v>92</v>
      </c>
      <c r="M136" s="149" t="s">
        <v>93</v>
      </c>
      <c r="N136" s="149" t="s">
        <v>94</v>
      </c>
      <c r="O136" s="149" t="s">
        <v>95</v>
      </c>
    </row>
    <row r="137" spans="2:15" ht="20.100000000000001" customHeight="1" x14ac:dyDescent="0.25">
      <c r="B137" s="167" t="s">
        <v>97</v>
      </c>
      <c r="C137" s="151">
        <f>IF(C$190&gt;$C$191,C203,IF(C$105&lt;=TabS!$G$5,C42*$C$87,IF(C$105&lt;=TabS!$G$6,C42*$C$88,IF(C$105&lt;=TabS!$G$7,C42*$C$89,IF(C$105&lt;=TabS!$G$8,C42*$C$90,IF(C$105&lt;=TabS!$G$9,C42*$C$91,IF(C$105&lt;=TabS!$G$10,C42*$C$92)))))))</f>
        <v>0</v>
      </c>
      <c r="D137" s="151">
        <f>IF(D$190&gt;$C$191,D203,IF(D$105&lt;=TabS!$G$5,D42*$C$87,IF(D$105&lt;=TabS!$G$6,D42*$C$88,IF(D$105&lt;=TabS!$G$7,D42*$C$89,IF(D$105&lt;=TabS!$G$8,D42*$C$90,IF(D$105&lt;=TabS!$G$9,D42*$C$91,IF(D$105&lt;=TabS!$G$10,D42*$C$92)))))))</f>
        <v>0</v>
      </c>
      <c r="E137" s="151">
        <f>IF(E$190&gt;$C$191,E203,IF(E$105&lt;=TabS!$G$5,E42*$C$87,IF(E$105&lt;=TabS!$G$6,E42*$C$88,IF(E$105&lt;=TabS!$G$7,E42*$C$89,IF(E$105&lt;=TabS!$G$8,E42*$C$90,IF(E$105&lt;=TabS!$G$9,E42*$C$91,IF(E$105&lt;=TabS!$G$10,E42*$C$92)))))))</f>
        <v>0</v>
      </c>
      <c r="F137" s="151">
        <f>IF(F$190&gt;$C$191,F203,IF(F$105&lt;=TabS!$G$5,F42*$C$87,IF(F$105&lt;=TabS!$G$6,F42*$C$88,IF(F$105&lt;=TabS!$G$7,F42*$C$89,IF(F$105&lt;=TabS!$G$8,F42*$C$90,IF(F$105&lt;=TabS!$G$9,F42*$C$91,IF(F$105&lt;=TabS!$G$10,F42*$C$92)))))))</f>
        <v>0</v>
      </c>
      <c r="G137" s="151">
        <f>IF(G$190&gt;$C$191,G203,IF(G$105&lt;=TabS!$G$5,G42*$C$87,IF(G$105&lt;=TabS!$G$6,G42*$C$88,IF(G$105&lt;=TabS!$G$7,G42*$C$89,IF(G$105&lt;=TabS!$G$8,G42*$C$90,IF(G$105&lt;=TabS!$G$9,G42*$C$91,IF(G$105&lt;=TabS!$G$10,G42*$C$92)))))))</f>
        <v>0</v>
      </c>
      <c r="H137" s="151">
        <f>IF(H$190&gt;$C$191,H203,IF(H$105&lt;=TabS!$G$5,H42*$C$87,IF(H$105&lt;=TabS!$G$6,H42*$C$88,IF(H$105&lt;=TabS!$G$7,H42*$C$89,IF(H$105&lt;=TabS!$G$8,H42*$C$90,IF(H$105&lt;=TabS!$G$9,H42*$C$91,IF(H$105&lt;=TabS!$G$10,H42*$C$92)))))))</f>
        <v>0</v>
      </c>
      <c r="I137" s="151">
        <f>IF(I$190&gt;$C$191,I203,IF(I$105&lt;=TabS!$G$5,I42*$C$87,IF(I$105&lt;=TabS!$G$6,I42*$C$88,IF(I$105&lt;=TabS!$G$7,I42*$C$89,IF(I$105&lt;=TabS!$G$8,I42*$C$90,IF(I$105&lt;=TabS!$G$9,I42*$C$91,IF(I$105&lt;=TabS!$G$10,I42*$C$92)))))))</f>
        <v>0</v>
      </c>
      <c r="J137" s="151">
        <f>IF(J$190&gt;$C$191,J203,IF(J$105&lt;=TabS!$G$5,J42*$C$87,IF(J$105&lt;=TabS!$G$6,J42*$C$88,IF(J$105&lt;=TabS!$G$7,J42*$C$89,IF(J$105&lt;=TabS!$G$8,J42*$C$90,IF(J$105&lt;=TabS!$G$9,J42*$C$91,IF(J$105&lt;=TabS!$G$10,J42*$C$92)))))))</f>
        <v>0</v>
      </c>
      <c r="K137" s="151">
        <f>IF(K$190&gt;$C$191,K203,IF(K$105&lt;=TabS!$G$5,K42*$C$87,IF(K$105&lt;=TabS!$G$6,K42*$C$88,IF(K$105&lt;=TabS!$G$7,K42*$C$89,IF(K$105&lt;=TabS!$G$8,K42*$C$90,IF(K$105&lt;=TabS!$G$9,K42*$C$91,IF(K$105&lt;=TabS!$G$10,K42*$C$92)))))))</f>
        <v>0</v>
      </c>
      <c r="L137" s="151">
        <f>IF(L$190&gt;$C$191,L203,IF(L$105&lt;=TabS!$G$5,L42*$C$87,IF(L$105&lt;=TabS!$G$6,L42*$C$88,IF(L$105&lt;=TabS!$G$7,L42*$C$89,IF(L$105&lt;=TabS!$G$8,L42*$C$90,IF(L$105&lt;=TabS!$G$9,L42*$C$91,IF(L$105&lt;=TabS!$G$10,L42*$C$92)))))))</f>
        <v>0</v>
      </c>
      <c r="M137" s="151">
        <f>IF(M$190&gt;$C$191,M203,IF(M$105&lt;=TabS!$G$5,M42*$C$87,IF(M$105&lt;=TabS!$G$6,M42*$C$88,IF(M$105&lt;=TabS!$G$7,M42*$C$89,IF(M$105&lt;=TabS!$G$8,M42*$C$90,IF(M$105&lt;=TabS!$G$9,M42*$C$91,IF(M$105&lt;=TabS!$G$10,M42*$C$92)))))))</f>
        <v>0</v>
      </c>
      <c r="N137" s="151">
        <f>IF(N$190&gt;$C$191,N203,IF(N$105&lt;=TabS!$G$5,N42*$C$87,IF(N$105&lt;=TabS!$G$6,N42*$C$88,IF(N$105&lt;=TabS!$G$7,N42*$C$89,IF(N$105&lt;=TabS!$G$8,N42*$C$90,IF(N$105&lt;=TabS!$G$9,N42*$C$91,IF(N$105&lt;=TabS!$G$10,N42*$C$92)))))))</f>
        <v>0</v>
      </c>
      <c r="O137" s="152">
        <f t="shared" ref="O137:O143" si="54">SUM(C137:N137)</f>
        <v>0</v>
      </c>
    </row>
    <row r="138" spans="2:15" ht="20.100000000000001" customHeight="1" x14ac:dyDescent="0.25">
      <c r="B138" s="167" t="s">
        <v>98</v>
      </c>
      <c r="C138" s="151">
        <f>IF(C$190&gt;$C$191,C204,IF(C$105&lt;=TabS!$G$5,C42*$D$87,IF(C$105&lt;=TabS!$G$6,C42*$D$88,IF(C$105&lt;=TabS!$G$7,C42*$D$89,IF(C$105&lt;=TabS!$G$8,C42*$D$90,IF(C$105&lt;=TabS!$G$9,C42*$D$91,IF(C$105&lt;=TabS!$G$10,C42*$D$92)))))))</f>
        <v>0</v>
      </c>
      <c r="D138" s="151">
        <f>IF(D$190&gt;$C$191,D204,IF(D$105&lt;=TabS!$G$5,D42*$D$87,IF(D$105&lt;=TabS!$G$6,D42*$D$88,IF(D$105&lt;=TabS!$G$7,D42*$D$89,IF(D$105&lt;=TabS!$G$8,D42*$D$90,IF(D$105&lt;=TabS!$G$9,D42*$D$91,IF(D$105&lt;=TabS!$G$10,D42*$D$92)))))))</f>
        <v>0</v>
      </c>
      <c r="E138" s="151">
        <f>IF(E$190&gt;$C$191,E204,IF(E$105&lt;=TabS!$G$5,E42*$D$87,IF(E$105&lt;=TabS!$G$6,E42*$D$88,IF(E$105&lt;=TabS!$G$7,E42*$D$89,IF(E$105&lt;=TabS!$G$8,E42*$D$90,IF(E$105&lt;=TabS!$G$9,E42*$D$91,IF(E$105&lt;=TabS!$G$10,E42*$D$92)))))))</f>
        <v>0</v>
      </c>
      <c r="F138" s="151">
        <f>IF(F$190&gt;$C$191,F204,IF(F$105&lt;=TabS!$G$5,F42*$D$87,IF(F$105&lt;=TabS!$G$6,F42*$D$88,IF(F$105&lt;=TabS!$G$7,F42*$D$89,IF(F$105&lt;=TabS!$G$8,F42*$D$90,IF(F$105&lt;=TabS!$G$9,F42*$D$91,IF(F$105&lt;=TabS!$G$10,F42*$D$92)))))))</f>
        <v>0</v>
      </c>
      <c r="G138" s="151">
        <f>IF(G$190&gt;$C$191,G204,IF(G$105&lt;=TabS!$G$5,G42*$D$87,IF(G$105&lt;=TabS!$G$6,G42*$D$88,IF(G$105&lt;=TabS!$G$7,G42*$D$89,IF(G$105&lt;=TabS!$G$8,G42*$D$90,IF(G$105&lt;=TabS!$G$9,G42*$D$91,IF(G$105&lt;=TabS!$G$10,G42*$D$92)))))))</f>
        <v>0</v>
      </c>
      <c r="H138" s="151">
        <f>IF(H$190&gt;$C$191,H204,IF(H$105&lt;=TabS!$G$5,H42*$D$87,IF(H$105&lt;=TabS!$G$6,H42*$D$88,IF(H$105&lt;=TabS!$G$7,H42*$D$89,IF(H$105&lt;=TabS!$G$8,H42*$D$90,IF(H$105&lt;=TabS!$G$9,H42*$D$91,IF(H$105&lt;=TabS!$G$10,H42*$D$92)))))))</f>
        <v>0</v>
      </c>
      <c r="I138" s="151">
        <f>IF(I$190&gt;$C$191,I204,IF(I$105&lt;=TabS!$G$5,I42*$D$87,IF(I$105&lt;=TabS!$G$6,I42*$D$88,IF(I$105&lt;=TabS!$G$7,I42*$D$89,IF(I$105&lt;=TabS!$G$8,I42*$D$90,IF(I$105&lt;=TabS!$G$9,I42*$D$91,IF(I$105&lt;=TabS!$G$10,I42*$D$92)))))))</f>
        <v>0</v>
      </c>
      <c r="J138" s="151">
        <f>IF(J$190&gt;$C$191,J204,IF(J$105&lt;=TabS!$G$5,J42*$D$87,IF(J$105&lt;=TabS!$G$6,J42*$D$88,IF(J$105&lt;=TabS!$G$7,J42*$D$89,IF(J$105&lt;=TabS!$G$8,J42*$D$90,IF(J$105&lt;=TabS!$G$9,J42*$D$91,IF(J$105&lt;=TabS!$G$10,J42*$D$92)))))))</f>
        <v>0</v>
      </c>
      <c r="K138" s="151">
        <f>IF(K$190&gt;$C$191,K204,IF(K$105&lt;=TabS!$G$5,K42*$D$87,IF(K$105&lt;=TabS!$G$6,K42*$D$88,IF(K$105&lt;=TabS!$G$7,K42*$D$89,IF(K$105&lt;=TabS!$G$8,K42*$D$90,IF(K$105&lt;=TabS!$G$9,K42*$D$91,IF(K$105&lt;=TabS!$G$10,K42*$D$92)))))))</f>
        <v>0</v>
      </c>
      <c r="L138" s="151">
        <f>IF(L$190&gt;$C$191,L204,IF(L$105&lt;=TabS!$G$5,L42*$D$87,IF(L$105&lt;=TabS!$G$6,L42*$D$88,IF(L$105&lt;=TabS!$G$7,L42*$D$89,IF(L$105&lt;=TabS!$G$8,L42*$D$90,IF(L$105&lt;=TabS!$G$9,L42*$D$91,IF(L$105&lt;=TabS!$G$10,L42*$D$92)))))))</f>
        <v>0</v>
      </c>
      <c r="M138" s="151">
        <f>IF(M$190&gt;$C$191,M204,IF(M$105&lt;=TabS!$G$5,M42*$D$87,IF(M$105&lt;=TabS!$G$6,M42*$D$88,IF(M$105&lt;=TabS!$G$7,M42*$D$89,IF(M$105&lt;=TabS!$G$8,M42*$D$90,IF(M$105&lt;=TabS!$G$9,M42*$D$91,IF(M$105&lt;=TabS!$G$10,M42*$D$92)))))))</f>
        <v>0</v>
      </c>
      <c r="N138" s="151">
        <f>IF(N$190&gt;$C$191,N204,IF(N$105&lt;=TabS!$G$5,N42*$D$87,IF(N$105&lt;=TabS!$G$6,N42*$D$88,IF(N$105&lt;=TabS!$G$7,N42*$D$89,IF(N$105&lt;=TabS!$G$8,N42*$D$90,IF(N$105&lt;=TabS!$G$9,N42*$D$91,IF(N$105&lt;=TabS!$G$10,N42*$D$92)))))))</f>
        <v>0</v>
      </c>
      <c r="O138" s="152">
        <f t="shared" si="54"/>
        <v>0</v>
      </c>
    </row>
    <row r="139" spans="2:15" ht="20.100000000000001" customHeight="1" x14ac:dyDescent="0.25">
      <c r="B139" s="167" t="s">
        <v>39</v>
      </c>
      <c r="C139" s="151">
        <f>IF(C$190&gt;$C$191,C205,IF(C$105&lt;=TabS!$G$5,C42*$E$87,IF(C$105&lt;=TabS!$G$6,C42*$E$88,IF(C$105&lt;=TabS!$G$7,C42*$E$89,IF(C$105&lt;=TabS!$G$8,C42*$E$90,IF(C$105&lt;=TabS!$G$9,C42*$E$91,IF(C$105&lt;=TabS!$G$10,C42*$E$92)))))))</f>
        <v>0</v>
      </c>
      <c r="D139" s="151">
        <f>IF(D$190&gt;$C$191,D205,IF(D$105&lt;=TabS!$G$5,D42*$E$87,IF(D$105&lt;=TabS!$G$6,D42*$E$88,IF(D$105&lt;=TabS!$G$7,D42*$E$89,IF(D$105&lt;=TabS!$G$8,D42*$E$90,IF(D$105&lt;=TabS!$G$9,D42*$E$91,IF(D$105&lt;=TabS!$G$10,D42*$E$92)))))))</f>
        <v>0</v>
      </c>
      <c r="E139" s="151">
        <f>IF(E$190&gt;$C$191,E205,IF(E$105&lt;=TabS!$G$5,E42*$E$87,IF(E$105&lt;=TabS!$G$6,E42*$E$88,IF(E$105&lt;=TabS!$G$7,E42*$E$89,IF(E$105&lt;=TabS!$G$8,E42*$E$90,IF(E$105&lt;=TabS!$G$9,E42*$E$91,IF(E$105&lt;=TabS!$G$10,E42*$E$92)))))))</f>
        <v>0</v>
      </c>
      <c r="F139" s="151">
        <f>IF(F$190&gt;$C$191,F205,IF(F$105&lt;=TabS!$G$5,F42*$E$87,IF(F$105&lt;=TabS!$G$6,F42*$E$88,IF(F$105&lt;=TabS!$G$7,F42*$E$89,IF(F$105&lt;=TabS!$G$8,F42*$E$90,IF(F$105&lt;=TabS!$G$9,F42*$E$91,IF(F$105&lt;=TabS!$G$10,F42*$E$92)))))))</f>
        <v>0</v>
      </c>
      <c r="G139" s="151">
        <f>IF(G$190&gt;$C$191,G205,IF(G$105&lt;=TabS!$G$5,G42*$E$87,IF(G$105&lt;=TabS!$G$6,G42*$E$88,IF(G$105&lt;=TabS!$G$7,G42*$E$89,IF(G$105&lt;=TabS!$G$8,G42*$E$90,IF(G$105&lt;=TabS!$G$9,G42*$E$91,IF(G$105&lt;=TabS!$G$10,G42*$E$92)))))))</f>
        <v>0</v>
      </c>
      <c r="H139" s="151">
        <f>IF(H$190&gt;$C$191,H205,IF(H$105&lt;=TabS!$G$5,H42*$E$87,IF(H$105&lt;=TabS!$G$6,H42*$E$88,IF(H$105&lt;=TabS!$G$7,H42*$E$89,IF(H$105&lt;=TabS!$G$8,H42*$E$90,IF(H$105&lt;=TabS!$G$9,H42*$E$91,IF(H$105&lt;=TabS!$G$10,H42*$E$92)))))))</f>
        <v>0</v>
      </c>
      <c r="I139" s="151">
        <f>IF(I$190&gt;$C$191,I205,IF(I$105&lt;=TabS!$G$5,I42*$E$87,IF(I$105&lt;=TabS!$G$6,I42*$E$88,IF(I$105&lt;=TabS!$G$7,I42*$E$89,IF(I$105&lt;=TabS!$G$8,I42*$E$90,IF(I$105&lt;=TabS!$G$9,I42*$E$91,IF(I$105&lt;=TabS!$G$10,I42*$E$92)))))))</f>
        <v>0</v>
      </c>
      <c r="J139" s="151">
        <f>IF(J$190&gt;$C$191,J205,IF(J$105&lt;=TabS!$G$5,J42*$E$87,IF(J$105&lt;=TabS!$G$6,J42*$E$88,IF(J$105&lt;=TabS!$G$7,J42*$E$89,IF(J$105&lt;=TabS!$G$8,J42*$E$90,IF(J$105&lt;=TabS!$G$9,J42*$E$91,IF(J$105&lt;=TabS!$G$10,J42*$E$92)))))))</f>
        <v>0</v>
      </c>
      <c r="K139" s="151">
        <f>IF(K$190&gt;$C$191,K205,IF(K$105&lt;=TabS!$G$5,K42*$E$87,IF(K$105&lt;=TabS!$G$6,K42*$E$88,IF(K$105&lt;=TabS!$G$7,K42*$E$89,IF(K$105&lt;=TabS!$G$8,K42*$E$90,IF(K$105&lt;=TabS!$G$9,K42*$E$91,IF(K$105&lt;=TabS!$G$10,K42*$E$92)))))))</f>
        <v>0</v>
      </c>
      <c r="L139" s="151">
        <f>IF(L$190&gt;$C$191,L205,IF(L$105&lt;=TabS!$G$5,L42*$E$87,IF(L$105&lt;=TabS!$G$6,L42*$E$88,IF(L$105&lt;=TabS!$G$7,L42*$E$89,IF(L$105&lt;=TabS!$G$8,L42*$E$90,IF(L$105&lt;=TabS!$G$9,L42*$E$91,IF(L$105&lt;=TabS!$G$10,L42*$E$92)))))))</f>
        <v>0</v>
      </c>
      <c r="M139" s="151">
        <f>IF(M$190&gt;$C$191,M205,IF(M$105&lt;=TabS!$G$5,M42*$E$87,IF(M$105&lt;=TabS!$G$6,M42*$E$88,IF(M$105&lt;=TabS!$G$7,M42*$E$89,IF(M$105&lt;=TabS!$G$8,M42*$E$90,IF(M$105&lt;=TabS!$G$9,M42*$E$91,IF(M$105&lt;=TabS!$G$10,M42*$E$92)))))))</f>
        <v>0</v>
      </c>
      <c r="N139" s="151">
        <f>IF(N$190&gt;$C$191,N205,IF(N$105&lt;=TabS!$G$5,N42*$E$87,IF(N$105&lt;=TabS!$G$6,N42*$E$88,IF(N$105&lt;=TabS!$G$7,N42*$E$89,IF(N$105&lt;=TabS!$G$8,N42*$E$90,IF(N$105&lt;=TabS!$G$9,N42*$E$91,IF(N$105&lt;=TabS!$G$10,N42*$E$92)))))))</f>
        <v>0</v>
      </c>
      <c r="O139" s="152">
        <f>SUM(C139:N139)</f>
        <v>0</v>
      </c>
    </row>
    <row r="140" spans="2:15" ht="20.100000000000001" customHeight="1" x14ac:dyDescent="0.25">
      <c r="B140" s="167" t="s">
        <v>129</v>
      </c>
      <c r="C140" s="151">
        <f>IF(C$190&gt;$C$191,C206,IF(C$105&lt;=TabS!$G$5,C42*$F$87,IF(C$105&lt;=TabS!$G$6,C42*$F$88,IF(C$105&lt;=TabS!$G$7,C42*$F$89,IF(C$105&lt;=TabS!$G$8,C42*$F$90,IF(C$105&lt;=TabS!$G$9,C42*$F$91,IF(C$105&lt;=TabS!$G$10,C42*$F$92)))))))</f>
        <v>0</v>
      </c>
      <c r="D140" s="151">
        <f>IF(D$190&gt;$C$191,D206,IF(D$105&lt;=TabS!$G$5,D42*$F$87,IF(D$105&lt;=TabS!$G$6,D42*$F$88,IF(D$105&lt;=TabS!$G$7,D42*$F$89,IF(D$105&lt;=TabS!$G$8,D42*$F$90,IF(D$105&lt;=TabS!$G$9,D42*$F$91,IF(D$105&lt;=TabS!$G$10,D42*$F$92)))))))</f>
        <v>0</v>
      </c>
      <c r="E140" s="151">
        <f>IF(E$190&gt;$C$191,E206,IF(E$105&lt;=TabS!$G$5,E42*$F$87,IF(E$105&lt;=TabS!$G$6,E42*$F$88,IF(E$105&lt;=TabS!$G$7,E42*$F$89,IF(E$105&lt;=TabS!$G$8,E42*$F$90,IF(E$105&lt;=TabS!$G$9,E42*$F$91,IF(E$105&lt;=TabS!$G$10,E42*$F$92)))))))</f>
        <v>0</v>
      </c>
      <c r="F140" s="151">
        <f>IF(F$190&gt;$C$191,F206,IF(F$105&lt;=TabS!$G$5,F42*$F$87,IF(F$105&lt;=TabS!$G$6,F42*$F$88,IF(F$105&lt;=TabS!$G$7,F42*$F$89,IF(F$105&lt;=TabS!$G$8,F42*$F$90,IF(F$105&lt;=TabS!$G$9,F42*$F$91,IF(F$105&lt;=TabS!$G$10,F42*$F$92)))))))</f>
        <v>0</v>
      </c>
      <c r="G140" s="151">
        <f>IF(G$190&gt;$C$191,G206,IF(G$105&lt;=TabS!$G$5,G42*$F$87,IF(G$105&lt;=TabS!$G$6,G42*$F$88,IF(G$105&lt;=TabS!$G$7,G42*$F$89,IF(G$105&lt;=TabS!$G$8,G42*$F$90,IF(G$105&lt;=TabS!$G$9,G42*$F$91,IF(G$105&lt;=TabS!$G$10,G42*$F$92)))))))</f>
        <v>0</v>
      </c>
      <c r="H140" s="151">
        <f>IF(H$190&gt;$C$191,H206,IF(H$105&lt;=TabS!$G$5,H42*$F$87,IF(H$105&lt;=TabS!$G$6,H42*$F$88,IF(H$105&lt;=TabS!$G$7,H42*$F$89,IF(H$105&lt;=TabS!$G$8,H42*$F$90,IF(H$105&lt;=TabS!$G$9,H42*$F$91,IF(H$105&lt;=TabS!$G$10,H42*$F$92)))))))</f>
        <v>0</v>
      </c>
      <c r="I140" s="151">
        <f>IF(I$190&gt;$C$191,I206,IF(I$105&lt;=TabS!$G$5,I42*$F$87,IF(I$105&lt;=TabS!$G$6,I42*$F$88,IF(I$105&lt;=TabS!$G$7,I42*$F$89,IF(I$105&lt;=TabS!$G$8,I42*$F$90,IF(I$105&lt;=TabS!$G$9,I42*$F$91,IF(I$105&lt;=TabS!$G$10,I42*$F$92)))))))</f>
        <v>0</v>
      </c>
      <c r="J140" s="151">
        <f>IF(J$190&gt;$C$191,J206,IF(J$105&lt;=TabS!$G$5,J42*$F$87,IF(J$105&lt;=TabS!$G$6,J42*$F$88,IF(J$105&lt;=TabS!$G$7,J42*$F$89,IF(J$105&lt;=TabS!$G$8,J42*$F$90,IF(J$105&lt;=TabS!$G$9,J42*$F$91,IF(J$105&lt;=TabS!$G$10,J42*$F$92)))))))</f>
        <v>0</v>
      </c>
      <c r="K140" s="151">
        <f>IF(K$190&gt;$C$191,K206,IF(K$105&lt;=TabS!$G$5,K42*$F$87,IF(K$105&lt;=TabS!$G$6,K42*$F$88,IF(K$105&lt;=TabS!$G$7,K42*$F$89,IF(K$105&lt;=TabS!$G$8,K42*$F$90,IF(K$105&lt;=TabS!$G$9,K42*$F$91,IF(K$105&lt;=TabS!$G$10,K42*$F$92)))))))</f>
        <v>0</v>
      </c>
      <c r="L140" s="151">
        <f>IF(L$190&gt;$C$191,L206,IF(L$105&lt;=TabS!$G$5,L42*$F$87,IF(L$105&lt;=TabS!$G$6,L42*$F$88,IF(L$105&lt;=TabS!$G$7,L42*$F$89,IF(L$105&lt;=TabS!$G$8,L42*$F$90,IF(L$105&lt;=TabS!$G$9,L42*$F$91,IF(L$105&lt;=TabS!$G$10,L42*$F$92)))))))</f>
        <v>0</v>
      </c>
      <c r="M140" s="151">
        <f>IF(M$190&gt;$C$191,M206,IF(M$105&lt;=TabS!$G$5,M42*$F$87,IF(M$105&lt;=TabS!$G$6,M42*$F$88,IF(M$105&lt;=TabS!$G$7,M42*$F$89,IF(M$105&lt;=TabS!$G$8,M42*$F$90,IF(M$105&lt;=TabS!$G$9,M42*$F$91,IF(M$105&lt;=TabS!$G$10,M42*$F$92)))))))</f>
        <v>0</v>
      </c>
      <c r="N140" s="151">
        <f>IF(N$190&gt;$C$191,N206,IF(N$105&lt;=TabS!$G$5,N42*$F$87,IF(N$105&lt;=TabS!$G$6,N42*$F$88,IF(N$105&lt;=TabS!$G$7,N42*$F$89,IF(N$105&lt;=TabS!$G$8,N42*$F$90,IF(N$105&lt;=TabS!$G$9,N42*$F$91,IF(N$105&lt;=TabS!$G$10,N42*$F$92)))))))</f>
        <v>0</v>
      </c>
      <c r="O140" s="152">
        <f t="shared" si="54"/>
        <v>0</v>
      </c>
    </row>
    <row r="141" spans="2:15" ht="20.100000000000001" customHeight="1" x14ac:dyDescent="0.25">
      <c r="B141" s="167" t="s">
        <v>42</v>
      </c>
      <c r="C141" s="151">
        <f>IF(C$190&gt;$C$191,C207,IF(C$105&lt;=TabS!$G$5,C42*$G$87,IF(C$105&lt;=TabS!$G$6,C42*$G$88,IF(C$105&lt;=TabS!$G$7,C42*$G$89,IF(C$105&lt;=TabS!$G$8,C42*$G$90,IF(C$105&lt;=TabS!$G$9,C42*$G$91,IF(C$105&lt;=TabS!$G$10,C42*$G$92)))))))</f>
        <v>0</v>
      </c>
      <c r="D141" s="151">
        <f>IF(D$190&gt;$C$191,D207,IF(D$105&lt;=TabS!$G$5,D42*$G$87,IF(D$105&lt;=TabS!$G$6,D42*$G$88,IF(D$105&lt;=TabS!$G$7,D42*$G$89,IF(D$105&lt;=TabS!$G$8,D42*$G$90,IF(D$105&lt;=TabS!$G$9,D42*$G$91,IF(D$105&lt;=TabS!$G$10,D42*$G$92)))))))</f>
        <v>0</v>
      </c>
      <c r="E141" s="151">
        <f>IF(E$190&gt;$C$191,E207,IF(E$105&lt;=TabS!$G$5,E42*$G$87,IF(E$105&lt;=TabS!$G$6,E42*$G$88,IF(E$105&lt;=TabS!$G$7,E42*$G$89,IF(E$105&lt;=TabS!$G$8,E42*$G$90,IF(E$105&lt;=TabS!$G$9,E42*$G$91,IF(E$105&lt;=TabS!$G$10,E42*$G$92)))))))</f>
        <v>0</v>
      </c>
      <c r="F141" s="151">
        <f>IF(F$190&gt;$C$191,F207,IF(F$105&lt;=TabS!$G$5,F42*$G$87,IF(F$105&lt;=TabS!$G$6,F42*$G$88,IF(F$105&lt;=TabS!$G$7,F42*$G$89,IF(F$105&lt;=TabS!$G$8,F42*$G$90,IF(F$105&lt;=TabS!$G$9,F42*$G$91,IF(F$105&lt;=TabS!$G$10,F42*$G$92)))))))</f>
        <v>0</v>
      </c>
      <c r="G141" s="151">
        <f>IF(G$190&gt;$C$191,G207,IF(G$105&lt;=TabS!$G$5,G42*$G$87,IF(G$105&lt;=TabS!$G$6,G42*$G$88,IF(G$105&lt;=TabS!$G$7,G42*$G$89,IF(G$105&lt;=TabS!$G$8,G42*$G$90,IF(G$105&lt;=TabS!$G$9,G42*$G$91,IF(G$105&lt;=TabS!$G$10,G42*$G$92)))))))</f>
        <v>0</v>
      </c>
      <c r="H141" s="151">
        <f>IF(H$190&gt;$C$191,H207,IF(H$105&lt;=TabS!$G$5,H42*$G$87,IF(H$105&lt;=TabS!$G$6,H42*$G$88,IF(H$105&lt;=TabS!$G$7,H42*$G$89,IF(H$105&lt;=TabS!$G$8,H42*$G$90,IF(H$105&lt;=TabS!$G$9,H42*$G$91,IF(H$105&lt;=TabS!$G$10,H42*$G$92)))))))</f>
        <v>0</v>
      </c>
      <c r="I141" s="151">
        <f>IF(I$190&gt;$C$191,I207,IF(I$105&lt;=TabS!$G$5,I42*$G$87,IF(I$105&lt;=TabS!$G$6,I42*$G$88,IF(I$105&lt;=TabS!$G$7,I42*$G$89,IF(I$105&lt;=TabS!$G$8,I42*$G$90,IF(I$105&lt;=TabS!$G$9,I42*$G$91,IF(I$105&lt;=TabS!$G$10,I42*$G$92)))))))</f>
        <v>0</v>
      </c>
      <c r="J141" s="151">
        <f>IF(J$190&gt;$C$191,J207,IF(J$105&lt;=TabS!$G$5,J42*$G$87,IF(J$105&lt;=TabS!$G$6,J42*$G$88,IF(J$105&lt;=TabS!$G$7,J42*$G$89,IF(J$105&lt;=TabS!$G$8,J42*$G$90,IF(J$105&lt;=TabS!$G$9,J42*$G$91,IF(J$105&lt;=TabS!$G$10,J42*$G$92)))))))</f>
        <v>0</v>
      </c>
      <c r="K141" s="151">
        <f>IF(K$190&gt;$C$191,K207,IF(K$105&lt;=TabS!$G$5,K42*$G$87,IF(K$105&lt;=TabS!$G$6,K42*$G$88,IF(K$105&lt;=TabS!$G$7,K42*$G$89,IF(K$105&lt;=TabS!$G$8,K42*$G$90,IF(K$105&lt;=TabS!$G$9,K42*$G$91,IF(K$105&lt;=TabS!$G$10,K42*$G$92)))))))</f>
        <v>0</v>
      </c>
      <c r="L141" s="151">
        <f>IF(L$190&gt;$C$191,L207,IF(L$105&lt;=TabS!$G$5,L42*$G$87,IF(L$105&lt;=TabS!$G$6,L42*$G$88,IF(L$105&lt;=TabS!$G$7,L42*$G$89,IF(L$105&lt;=TabS!$G$8,L42*$G$90,IF(L$105&lt;=TabS!$G$9,L42*$G$91,IF(L$105&lt;=TabS!$G$10,L42*$G$92)))))))</f>
        <v>0</v>
      </c>
      <c r="M141" s="151">
        <f>IF(M$190&gt;$C$191,M207,IF(M$105&lt;=TabS!$G$5,M42*$G$87,IF(M$105&lt;=TabS!$G$6,M42*$G$88,IF(M$105&lt;=TabS!$G$7,M42*$G$89,IF(M$105&lt;=TabS!$G$8,M42*$G$90,IF(M$105&lt;=TabS!$G$9,M42*$G$91,IF(M$105&lt;=TabS!$G$10,M42*$G$92)))))))</f>
        <v>0</v>
      </c>
      <c r="N141" s="151">
        <f>IF(N$190&gt;$C$191,N207,IF(N$105&lt;=TabS!$G$5,N42*$G$87,IF(N$105&lt;=TabS!$G$6,N42*$G$88,IF(N$105&lt;=TabS!$G$7,N42*$G$89,IF(N$105&lt;=TabS!$G$8,N42*$G$90,IF(N$105&lt;=TabS!$G$9,N42*$G$91,IF(N$105&lt;=TabS!$G$10,N42*$G$92)))))))</f>
        <v>0</v>
      </c>
      <c r="O141" s="152">
        <f t="shared" si="54"/>
        <v>0</v>
      </c>
    </row>
    <row r="142" spans="2:15" ht="20.100000000000001" customHeight="1" x14ac:dyDescent="0.25">
      <c r="B142" s="167" t="s">
        <v>40</v>
      </c>
      <c r="C142" s="151">
        <f>IF(C$190&gt;$C$191,C208,IF(C$105&lt;=TabS!$G$5,C42*$H$87,IF(C$105&lt;=TabS!$G$6,C42*$H$88,IF(C$105&lt;=TabS!$G$7,C42*$H$89,IF(C$105&lt;=TabS!$G$8,C42*$H$90,IF(C$105&lt;=TabS!$G$9,C42*$H$91,IF(C$105&lt;=TabS!$G$10,C42*$H$92)))))))</f>
        <v>0</v>
      </c>
      <c r="D142" s="151">
        <f>IF(D$190&gt;$C$191,D208,IF(D$105&lt;=TabS!$G$5,D42*$H$87,IF(D$105&lt;=TabS!$G$6,D42*$H$88,IF(D$105&lt;=TabS!$G$7,D42*$H$89,IF(D$105&lt;=TabS!$G$8,D42*$H$90,IF(D$105&lt;=TabS!$G$9,D42*$H$91,IF(D$105&lt;=TabS!$G$10,D42*$H$92)))))))</f>
        <v>0</v>
      </c>
      <c r="E142" s="151">
        <f>IF(E$190&gt;$C$191,E208,IF(E$105&lt;=TabS!$G$5,E42*$H$87,IF(E$105&lt;=TabS!$G$6,E42*$H$88,IF(E$105&lt;=TabS!$G$7,E42*$H$89,IF(E$105&lt;=TabS!$G$8,E42*$H$90,IF(E$105&lt;=TabS!$G$9,E42*$H$91,IF(E$105&lt;=TabS!$G$10,E42*$H$92)))))))</f>
        <v>0</v>
      </c>
      <c r="F142" s="151">
        <f>IF(F$190&gt;$C$191,F208,IF(F$105&lt;=TabS!$G$5,F42*$H$87,IF(F$105&lt;=TabS!$G$6,F42*$H$88,IF(F$105&lt;=TabS!$G$7,F42*$H$89,IF(F$105&lt;=TabS!$G$8,F42*$H$90,IF(F$105&lt;=TabS!$G$9,F42*$H$91,IF(F$105&lt;=TabS!$G$10,F42*$H$92)))))))</f>
        <v>0</v>
      </c>
      <c r="G142" s="151">
        <f>IF(G$190&gt;$C$191,G208,IF(G$105&lt;=TabS!$G$5,G42*$H$87,IF(G$105&lt;=TabS!$G$6,G42*$H$88,IF(G$105&lt;=TabS!$G$7,G42*$H$89,IF(G$105&lt;=TabS!$G$8,G42*$H$90,IF(G$105&lt;=TabS!$G$9,G42*$H$91,IF(G$105&lt;=TabS!$G$10,G42*$H$92)))))))</f>
        <v>0</v>
      </c>
      <c r="H142" s="151">
        <f>IF(H$190&gt;$C$191,H208,IF(H$105&lt;=TabS!$G$5,H42*$H$87,IF(H$105&lt;=TabS!$G$6,H42*$H$88,IF(H$105&lt;=TabS!$G$7,H42*$H$89,IF(H$105&lt;=TabS!$G$8,H42*$H$90,IF(H$105&lt;=TabS!$G$9,H42*$H$91,IF(H$105&lt;=TabS!$G$10,H42*$H$92)))))))</f>
        <v>0</v>
      </c>
      <c r="I142" s="151">
        <f>IF(I$190&gt;$C$191,I208,IF(I$105&lt;=TabS!$G$5,I42*$H$87,IF(I$105&lt;=TabS!$G$6,I42*$H$88,IF(I$105&lt;=TabS!$G$7,I42*$H$89,IF(I$105&lt;=TabS!$G$8,I42*$H$90,IF(I$105&lt;=TabS!$G$9,I42*$H$91,IF(I$105&lt;=TabS!$G$10,I42*$H$92)))))))</f>
        <v>0</v>
      </c>
      <c r="J142" s="151">
        <f>IF(J$190&gt;$C$191,J208,IF(J$105&lt;=TabS!$G$5,J42*$H$87,IF(J$105&lt;=TabS!$G$6,J42*$H$88,IF(J$105&lt;=TabS!$G$7,J42*$H$89,IF(J$105&lt;=TabS!$G$8,J42*$H$90,IF(J$105&lt;=TabS!$G$9,J42*$H$91,IF(J$105&lt;=TabS!$G$10,J42*$H$92)))))))</f>
        <v>0</v>
      </c>
      <c r="K142" s="151">
        <f>IF(K$190&gt;$C$191,K208,IF(K$105&lt;=TabS!$G$5,K42*$H$87,IF(K$105&lt;=TabS!$G$6,K42*$H$88,IF(K$105&lt;=TabS!$G$7,K42*$H$89,IF(K$105&lt;=TabS!$G$8,K42*$H$90,IF(K$105&lt;=TabS!$G$9,K42*$H$91,IF(K$105&lt;=TabS!$G$10,K42*$H$92)))))))</f>
        <v>0</v>
      </c>
      <c r="L142" s="151">
        <f>IF(L$190&gt;$C$191,L208,IF(L$105&lt;=TabS!$G$5,L42*$H$87,IF(L$105&lt;=TabS!$G$6,L42*$H$88,IF(L$105&lt;=TabS!$G$7,L42*$H$89,IF(L$105&lt;=TabS!$G$8,L42*$H$90,IF(L$105&lt;=TabS!$G$9,L42*$H$91,IF(L$105&lt;=TabS!$G$10,L42*$H$92)))))))</f>
        <v>0</v>
      </c>
      <c r="M142" s="151">
        <f>IF(M$190&gt;$C$191,M208,IF(M$105&lt;=TabS!$G$5,M42*$H$87,IF(M$105&lt;=TabS!$G$6,M42*$H$88,IF(M$105&lt;=TabS!$G$7,M42*$H$89,IF(M$105&lt;=TabS!$G$8,M42*$H$90,IF(M$105&lt;=TabS!$G$9,M42*$H$91,IF(M$105&lt;=TabS!$G$10,M42*$H$92)))))))</f>
        <v>0</v>
      </c>
      <c r="N142" s="151">
        <f>IF(N$190&gt;$C$191,N208,IF(N$105&lt;=TabS!$G$5,N42*$H$87,IF(N$105&lt;=TabS!$G$6,N42*$H$88,IF(N$105&lt;=TabS!$G$7,N42*$H$89,IF(N$105&lt;=TabS!$G$8,N42*$H$90,IF(N$105&lt;=TabS!$G$9,N42*$H$91,IF(N$105&lt;=TabS!$G$10,N42*$H$92)))))))</f>
        <v>0</v>
      </c>
      <c r="O142" s="152">
        <f t="shared" si="54"/>
        <v>0</v>
      </c>
    </row>
    <row r="143" spans="2:15" ht="20.100000000000001" customHeight="1" x14ac:dyDescent="0.25">
      <c r="B143" s="168" t="s">
        <v>99</v>
      </c>
      <c r="C143" s="152">
        <f>SUM(C137:C142)</f>
        <v>0</v>
      </c>
      <c r="D143" s="152">
        <f t="shared" ref="D143:N143" si="55">SUM(D137:D142)</f>
        <v>0</v>
      </c>
      <c r="E143" s="152">
        <f t="shared" si="55"/>
        <v>0</v>
      </c>
      <c r="F143" s="152">
        <f t="shared" si="55"/>
        <v>0</v>
      </c>
      <c r="G143" s="152">
        <f t="shared" si="55"/>
        <v>0</v>
      </c>
      <c r="H143" s="152">
        <f t="shared" si="55"/>
        <v>0</v>
      </c>
      <c r="I143" s="152">
        <f t="shared" si="55"/>
        <v>0</v>
      </c>
      <c r="J143" s="152">
        <f t="shared" si="55"/>
        <v>0</v>
      </c>
      <c r="K143" s="152">
        <f t="shared" si="55"/>
        <v>0</v>
      </c>
      <c r="L143" s="152">
        <f t="shared" si="55"/>
        <v>0</v>
      </c>
      <c r="M143" s="152">
        <f t="shared" si="55"/>
        <v>0</v>
      </c>
      <c r="N143" s="152">
        <f t="shared" si="55"/>
        <v>0</v>
      </c>
      <c r="O143" s="152">
        <f t="shared" si="54"/>
        <v>0</v>
      </c>
    </row>
    <row r="144" spans="2:15" ht="20.100000000000001" customHeight="1" x14ac:dyDescent="0.25">
      <c r="B144" s="164" t="s">
        <v>77</v>
      </c>
    </row>
    <row r="145" spans="2:15" ht="20.100000000000001" customHeight="1" x14ac:dyDescent="0.25">
      <c r="B145" s="149" t="s">
        <v>82</v>
      </c>
      <c r="C145" s="149" t="s">
        <v>83</v>
      </c>
      <c r="D145" s="149" t="s">
        <v>84</v>
      </c>
      <c r="E145" s="149" t="s">
        <v>85</v>
      </c>
      <c r="F145" s="149" t="s">
        <v>86</v>
      </c>
      <c r="G145" s="149" t="s">
        <v>87</v>
      </c>
      <c r="H145" s="149" t="s">
        <v>88</v>
      </c>
      <c r="I145" s="149" t="s">
        <v>89</v>
      </c>
      <c r="J145" s="149" t="s">
        <v>90</v>
      </c>
      <c r="K145" s="149" t="s">
        <v>91</v>
      </c>
      <c r="L145" s="149" t="s">
        <v>92</v>
      </c>
      <c r="M145" s="149" t="s">
        <v>93</v>
      </c>
      <c r="N145" s="149" t="s">
        <v>94</v>
      </c>
      <c r="O145" s="149" t="s">
        <v>95</v>
      </c>
    </row>
    <row r="146" spans="2:15" ht="20.100000000000001" customHeight="1" x14ac:dyDescent="0.25">
      <c r="B146" s="167" t="s">
        <v>97</v>
      </c>
      <c r="C146" s="151">
        <f>IF(C$105&lt;=TabS!$G$5,C49*$C$97,IF(C$105&lt;=TabS!$G$6,C49*$C$98,IF(C$105&lt;=TabS!$G$7,C49*$C$99,IF(C$105&lt;=TabS!$G$8,C49*$C$100,IF(C$105&lt;=TabS!$G$9,C49*$C$101,IF(C$105&lt;=TabS!$G$10,C49*$C$102))))))</f>
        <v>0</v>
      </c>
      <c r="D146" s="151">
        <f>IF(D$105&lt;=TabS!$G$5,D49*$C$97,IF(D$105&lt;=TabS!$G$6,D49*$C$98,IF(D$105&lt;=TabS!$G$7,D49*$C$99,IF(D$105&lt;=TabS!$G$8,D49*$C$100,IF(D$105&lt;=TabS!$G$9,D49*$C$101,IF(D$105&lt;=TabS!$G$10,D49*$C$102))))))</f>
        <v>0</v>
      </c>
      <c r="E146" s="151">
        <f>IF(E$105&lt;=TabS!$G$5,E49*$C$97,IF(E$105&lt;=TabS!$G$6,E49*$C$98,IF(E$105&lt;=TabS!$G$7,E49*$C$99,IF(E$105&lt;=TabS!$G$8,E49*$C$100,IF(E$105&lt;=TabS!$G$9,E49*$C$101,IF(E$105&lt;=TabS!$G$10,E49*$C$102))))))</f>
        <v>0</v>
      </c>
      <c r="F146" s="151">
        <f>IF(F$105&lt;=TabS!$G$5,F49*$C$97,IF(F$105&lt;=TabS!$G$6,F49*$C$98,IF(F$105&lt;=TabS!$G$7,F49*$C$99,IF(F$105&lt;=TabS!$G$8,F49*$C$100,IF(F$105&lt;=TabS!$G$9,F49*$C$101,IF(F$105&lt;=TabS!$G$10,F49*$C$102))))))</f>
        <v>0</v>
      </c>
      <c r="G146" s="151">
        <f>IF(G$105&lt;=TabS!$G$5,G49*$C$97,IF(G$105&lt;=TabS!$G$6,G49*$C$98,IF(G$105&lt;=TabS!$G$7,G49*$C$99,IF(G$105&lt;=TabS!$G$8,G49*$C$100,IF(G$105&lt;=TabS!$G$9,G49*$C$101,IF(G$105&lt;=TabS!$G$10,G49*$C$102))))))</f>
        <v>0</v>
      </c>
      <c r="H146" s="151">
        <f>IF(H$105&lt;=TabS!$G$5,H49*$C$97,IF(H$105&lt;=TabS!$G$6,H49*$C$98,IF(H$105&lt;=TabS!$G$7,H49*$C$99,IF(H$105&lt;=TabS!$G$8,H49*$C$100,IF(H$105&lt;=TabS!$G$9,H49*$C$101,IF(H$105&lt;=TabS!$G$10,H49*$C$102))))))</f>
        <v>0</v>
      </c>
      <c r="I146" s="151">
        <f>IF(I$105&lt;=TabS!$G$5,I49*$C$97,IF(I$105&lt;=TabS!$G$6,I49*$C$98,IF(I$105&lt;=TabS!$G$7,I49*$C$99,IF(I$105&lt;=TabS!$G$8,I49*$C$100,IF(I$105&lt;=TabS!$G$9,I49*$C$101,IF(I$105&lt;=TabS!$G$10,I49*$C$102))))))</f>
        <v>0</v>
      </c>
      <c r="J146" s="151">
        <f>IF(J$105&lt;=TabS!$G$5,J49*$C$97,IF(J$105&lt;=TabS!$G$6,J49*$C$98,IF(J$105&lt;=TabS!$G$7,J49*$C$99,IF(J$105&lt;=TabS!$G$8,J49*$C$100,IF(J$105&lt;=TabS!$G$9,J49*$C$101,IF(J$105&lt;=TabS!$G$10,J49*$C$102))))))</f>
        <v>0</v>
      </c>
      <c r="K146" s="151">
        <f>IF(K$105&lt;=TabS!$G$5,K49*$C$97,IF(K$105&lt;=TabS!$G$6,K49*$C$98,IF(K$105&lt;=TabS!$G$7,K49*$C$99,IF(K$105&lt;=TabS!$G$8,K49*$C$100,IF(K$105&lt;=TabS!$G$9,K49*$C$101,IF(K$105&lt;=TabS!$G$10,K49*$C$102))))))</f>
        <v>0</v>
      </c>
      <c r="L146" s="151">
        <f>IF(L$105&lt;=TabS!$G$5,L49*$C$97,IF(L$105&lt;=TabS!$G$6,L49*$C$98,IF(L$105&lt;=TabS!$G$7,L49*$C$99,IF(L$105&lt;=TabS!$G$8,L49*$C$100,IF(L$105&lt;=TabS!$G$9,L49*$C$101,IF(L$105&lt;=TabS!$G$10,L49*$C$102))))))</f>
        <v>0</v>
      </c>
      <c r="M146" s="151">
        <f>IF(M$105&lt;=TabS!$G$5,M49*$C$97,IF(M$105&lt;=TabS!$G$6,M49*$C$98,IF(M$105&lt;=TabS!$G$7,M49*$C$99,IF(M$105&lt;=TabS!$G$8,M49*$C$100,IF(M$105&lt;=TabS!$G$9,M49*$C$101,IF(M$105&lt;=TabS!$G$10,M49*$C$102))))))</f>
        <v>0</v>
      </c>
      <c r="N146" s="151">
        <f>IF(N$105&lt;=TabS!$G$5,N49*$C$97,IF(N$105&lt;=TabS!$G$6,N49*$C$98,IF(N$105&lt;=TabS!$G$7,N49*$C$99,IF(N$105&lt;=TabS!$G$8,N49*$C$100,IF(N$105&lt;=TabS!$G$9,N49*$C$101,IF(N$105&lt;=TabS!$G$10,N49*$C$102))))))</f>
        <v>0</v>
      </c>
      <c r="O146" s="152">
        <f t="shared" ref="O146:O151" si="56">SUM(C146:N146)</f>
        <v>0</v>
      </c>
    </row>
    <row r="147" spans="2:15" ht="20.100000000000001" customHeight="1" x14ac:dyDescent="0.25">
      <c r="B147" s="167" t="s">
        <v>98</v>
      </c>
      <c r="C147" s="151">
        <f>IF(C$105&lt;=TabS!$G$5,C49*$D$97,IF(C$105&lt;=TabS!$G$6,C49*$D$98,IF(C$105&lt;=TabS!$G$7,C49*$D$99,IF(C$105&lt;=TabS!$G$8,C49*$D$100,IF(C$105&lt;=TabS!$G$9,C49*$D$101,IF(C$105&lt;=TabS!$G$10,C49*$D$102))))))</f>
        <v>0</v>
      </c>
      <c r="D147" s="151">
        <f>IF(D$105&lt;=TabS!$G$5,D49*$D$97,IF(D$105&lt;=TabS!$G$6,D49*$D$98,IF(D$105&lt;=TabS!$G$7,D49*$D$99,IF(D$105&lt;=TabS!$G$8,D49*$D$100,IF(D$105&lt;=TabS!$G$9,D49*$D$101,IF(D$105&lt;=TabS!$G$10,D49*$D$102))))))</f>
        <v>0</v>
      </c>
      <c r="E147" s="151">
        <f>IF(E$105&lt;=TabS!$G$5,E49*$D$97,IF(E$105&lt;=TabS!$G$6,E49*$D$98,IF(E$105&lt;=TabS!$G$7,E49*$D$99,IF(E$105&lt;=TabS!$G$8,E49*$D$100,IF(E$105&lt;=TabS!$G$9,E49*$D$101,IF(E$105&lt;=TabS!$G$10,E49*$D$102))))))</f>
        <v>0</v>
      </c>
      <c r="F147" s="151">
        <f>IF(F$105&lt;=TabS!$G$5,F49*$D$97,IF(F$105&lt;=TabS!$G$6,F49*$D$98,IF(F$105&lt;=TabS!$G$7,F49*$D$99,IF(F$105&lt;=TabS!$G$8,F49*$D$100,IF(F$105&lt;=TabS!$G$9,F49*$D$101,IF(F$105&lt;=TabS!$G$10,F49*$D$102))))))</f>
        <v>0</v>
      </c>
      <c r="G147" s="151">
        <f>IF(G$105&lt;=TabS!$G$5,G49*$D$97,IF(G$105&lt;=TabS!$G$6,G49*$D$98,IF(G$105&lt;=TabS!$G$7,G49*$D$99,IF(G$105&lt;=TabS!$G$8,G49*$D$100,IF(G$105&lt;=TabS!$G$9,G49*$D$101,IF(G$105&lt;=TabS!$G$10,G49*$D$102))))))</f>
        <v>0</v>
      </c>
      <c r="H147" s="151">
        <f>IF(H$105&lt;=TabS!$G$5,H49*$D$97,IF(H$105&lt;=TabS!$G$6,H49*$D$98,IF(H$105&lt;=TabS!$G$7,H49*$D$99,IF(H$105&lt;=TabS!$G$8,H49*$D$100,IF(H$105&lt;=TabS!$G$9,H49*$D$101,IF(H$105&lt;=TabS!$G$10,H49*$D$102))))))</f>
        <v>0</v>
      </c>
      <c r="I147" s="151">
        <f>IF(I$105&lt;=TabS!$G$5,I49*$D$97,IF(I$105&lt;=TabS!$G$6,I49*$D$98,IF(I$105&lt;=TabS!$G$7,I49*$D$99,IF(I$105&lt;=TabS!$G$8,I49*$D$100,IF(I$105&lt;=TabS!$G$9,I49*$D$101,IF(I$105&lt;=TabS!$G$10,I49*$D$102))))))</f>
        <v>0</v>
      </c>
      <c r="J147" s="151">
        <f>IF(J$105&lt;=TabS!$G$5,J49*$D$97,IF(J$105&lt;=TabS!$G$6,J49*$D$98,IF(J$105&lt;=TabS!$G$7,J49*$D$99,IF(J$105&lt;=TabS!$G$8,J49*$D$100,IF(J$105&lt;=TabS!$G$9,J49*$D$101,IF(J$105&lt;=TabS!$G$10,J49*$D$102))))))</f>
        <v>0</v>
      </c>
      <c r="K147" s="151">
        <f>IF(K$105&lt;=TabS!$G$5,K49*$D$97,IF(K$105&lt;=TabS!$G$6,K49*$D$98,IF(K$105&lt;=TabS!$G$7,K49*$D$99,IF(K$105&lt;=TabS!$G$8,K49*$D$100,IF(K$105&lt;=TabS!$G$9,K49*$D$101,IF(K$105&lt;=TabS!$G$10,K49*$D$102))))))</f>
        <v>0</v>
      </c>
      <c r="L147" s="151">
        <f>IF(L$105&lt;=TabS!$G$5,L49*$D$97,IF(L$105&lt;=TabS!$G$6,L49*$D$98,IF(L$105&lt;=TabS!$G$7,L49*$D$99,IF(L$105&lt;=TabS!$G$8,L49*$D$100,IF(L$105&lt;=TabS!$G$9,L49*$D$101,IF(L$105&lt;=TabS!$G$10,L49*$D$102))))))</f>
        <v>0</v>
      </c>
      <c r="M147" s="151">
        <f>IF(M$105&lt;=TabS!$G$5,M49*$D$97,IF(M$105&lt;=TabS!$G$6,M49*$D$98,IF(M$105&lt;=TabS!$G$7,M49*$D$99,IF(M$105&lt;=TabS!$G$8,M49*$D$100,IF(M$105&lt;=TabS!$G$9,M49*$D$101,IF(M$105&lt;=TabS!$G$10,M49*$D$102))))))</f>
        <v>0</v>
      </c>
      <c r="N147" s="151">
        <f>IF(N$105&lt;=TabS!$G$5,N49*$D$97,IF(N$105&lt;=TabS!$G$6,N49*$D$98,IF(N$105&lt;=TabS!$G$7,N49*$D$99,IF(N$105&lt;=TabS!$G$8,N49*$D$100,IF(N$105&lt;=TabS!$G$9,N49*$D$101,IF(N$105&lt;=TabS!$G$10,N49*$D$102))))))</f>
        <v>0</v>
      </c>
      <c r="O147" s="152">
        <f t="shared" si="56"/>
        <v>0</v>
      </c>
    </row>
    <row r="148" spans="2:15" ht="20.100000000000001" customHeight="1" x14ac:dyDescent="0.25">
      <c r="B148" s="167" t="s">
        <v>39</v>
      </c>
      <c r="C148" s="151">
        <f>IF(C$105&lt;=TabS!$G$5,C49*$E$97,IF(C$105&lt;=TabS!$G$6,C49*$E$98,IF(C$105&lt;=TabS!$G$7,C49*$E$99,IF(C$105&lt;=TabS!$G$8,C49*$E$100,IF(C$105&lt;=TabS!$G$9,C49*$E$101,IF(C$105&lt;=TabS!$G$10,C49*$E$102))))))</f>
        <v>0</v>
      </c>
      <c r="D148" s="151">
        <f>IF(D$105&lt;=TabS!$G$5,D49*$E$97,IF(D$105&lt;=TabS!$G$6,D49*$E$98,IF(D$105&lt;=TabS!$G$7,D49*$E$99,IF(D$105&lt;=TabS!$G$8,D49*$E$100,IF(D$105&lt;=TabS!$G$9,D49*$E$101,IF(D$105&lt;=TabS!$G$10,D49*$E$102))))))</f>
        <v>0</v>
      </c>
      <c r="E148" s="151">
        <f>IF(E$105&lt;=TabS!$G$5,E49*$E$97,IF(E$105&lt;=TabS!$G$6,E49*$E$98,IF(E$105&lt;=TabS!$G$7,E49*$E$99,IF(E$105&lt;=TabS!$G$8,E49*$E$100,IF(E$105&lt;=TabS!$G$9,E49*$E$101,IF(E$105&lt;=TabS!$G$10,E49*$E$102))))))</f>
        <v>0</v>
      </c>
      <c r="F148" s="151">
        <f>IF(F$105&lt;=TabS!$G$5,F49*$E$97,IF(F$105&lt;=TabS!$G$6,F49*$E$98,IF(F$105&lt;=TabS!$G$7,F49*$E$99,IF(F$105&lt;=TabS!$G$8,F49*$E$100,IF(F$105&lt;=TabS!$G$9,F49*$E$101,IF(F$105&lt;=TabS!$G$10,F49*$E$102))))))</f>
        <v>0</v>
      </c>
      <c r="G148" s="151">
        <f>IF(G$105&lt;=TabS!$G$5,G49*$E$97,IF(G$105&lt;=TabS!$G$6,G49*$E$98,IF(G$105&lt;=TabS!$G$7,G49*$E$99,IF(G$105&lt;=TabS!$G$8,G49*$E$100,IF(G$105&lt;=TabS!$G$9,G49*$E$101,IF(G$105&lt;=TabS!$G$10,G49*$E$102))))))</f>
        <v>0</v>
      </c>
      <c r="H148" s="151">
        <f>IF(H$105&lt;=TabS!$G$5,H49*$E$97,IF(H$105&lt;=TabS!$G$6,H49*$E$98,IF(H$105&lt;=TabS!$G$7,H49*$E$99,IF(H$105&lt;=TabS!$G$8,H49*$E$100,IF(H$105&lt;=TabS!$G$9,H49*$E$101,IF(H$105&lt;=TabS!$G$10,H49*$E$102))))))</f>
        <v>0</v>
      </c>
      <c r="I148" s="151">
        <f>IF(I$105&lt;=TabS!$G$5,I49*$E$97,IF(I$105&lt;=TabS!$G$6,I49*$E$98,IF(I$105&lt;=TabS!$G$7,I49*$E$99,IF(I$105&lt;=TabS!$G$8,I49*$E$100,IF(I$105&lt;=TabS!$G$9,I49*$E$101,IF(I$105&lt;=TabS!$G$10,I49*$E$102))))))</f>
        <v>0</v>
      </c>
      <c r="J148" s="151">
        <f>IF(J$105&lt;=TabS!$G$5,J49*$E$97,IF(J$105&lt;=TabS!$G$6,J49*$E$98,IF(J$105&lt;=TabS!$G$7,J49*$E$99,IF(J$105&lt;=TabS!$G$8,J49*$E$100,IF(J$105&lt;=TabS!$G$9,J49*$E$101,IF(J$105&lt;=TabS!$G$10,J49*$E$102))))))</f>
        <v>0</v>
      </c>
      <c r="K148" s="151">
        <f>IF(K$105&lt;=TabS!$G$5,K49*$E$97,IF(K$105&lt;=TabS!$G$6,K49*$E$98,IF(K$105&lt;=TabS!$G$7,K49*$E$99,IF(K$105&lt;=TabS!$G$8,K49*$E$100,IF(K$105&lt;=TabS!$G$9,K49*$E$101,IF(K$105&lt;=TabS!$G$10,K49*$E$102))))))</f>
        <v>0</v>
      </c>
      <c r="L148" s="151">
        <f>IF(L$105&lt;=TabS!$G$5,L49*$E$97,IF(L$105&lt;=TabS!$G$6,L49*$E$98,IF(L$105&lt;=TabS!$G$7,L49*$E$99,IF(L$105&lt;=TabS!$G$8,L49*$E$100,IF(L$105&lt;=TabS!$G$9,L49*$E$101,IF(L$105&lt;=TabS!$G$10,L49*$E$102))))))</f>
        <v>0</v>
      </c>
      <c r="M148" s="151">
        <f>IF(M$105&lt;=TabS!$G$5,M49*$E$97,IF(M$105&lt;=TabS!$G$6,M49*$E$98,IF(M$105&lt;=TabS!$G$7,M49*$E$99,IF(M$105&lt;=TabS!$G$8,M49*$E$100,IF(M$105&lt;=TabS!$G$9,M49*$E$101,IF(M$105&lt;=TabS!$G$10,M49*$E$102))))))</f>
        <v>0</v>
      </c>
      <c r="N148" s="151">
        <f>IF(N$105&lt;=TabS!$G$5,N49*$E$97,IF(N$105&lt;=TabS!$G$6,N49*$E$98,IF(N$105&lt;=TabS!$G$7,N49*$E$99,IF(N$105&lt;=TabS!$G$8,N49*$E$100,IF(N$105&lt;=TabS!$G$9,N49*$E$101,IF(N$105&lt;=TabS!$G$10,N49*$E$102))))))</f>
        <v>0</v>
      </c>
      <c r="O148" s="152">
        <f t="shared" si="56"/>
        <v>0</v>
      </c>
    </row>
    <row r="149" spans="2:15" ht="20.100000000000001" customHeight="1" x14ac:dyDescent="0.25">
      <c r="B149" s="167" t="s">
        <v>129</v>
      </c>
      <c r="C149" s="151">
        <f>IF(C$105&lt;=TabS!$G$5,C49*$F$97,IF(C$105&lt;=TabS!$G$6,C49*$F$98,IF(C$105&lt;=TabS!$G$7,C49*$F$99,IF(C$105&lt;=TabS!$G$8,C49*$F$100,IF(C$105&lt;=TabS!$G$9,C49*$F$101,IF(C$105&lt;=TabS!$G$10,C49*$F$102))))))</f>
        <v>0</v>
      </c>
      <c r="D149" s="151">
        <f>IF(D$105&lt;=TabS!$G$5,D49*$F$97,IF(D$105&lt;=TabS!$G$6,D49*$F$98,IF(D$105&lt;=TabS!$G$7,D49*$F$99,IF(D$105&lt;=TabS!$G$8,D49*$F$100,IF(D$105&lt;=TabS!$G$9,D49*$F$101,IF(D$105&lt;=TabS!$G$10,D49*$F$102))))))</f>
        <v>0</v>
      </c>
      <c r="E149" s="151">
        <f>IF(E$105&lt;=TabS!$G$5,E49*$F$97,IF(E$105&lt;=TabS!$G$6,E49*$F$98,IF(E$105&lt;=TabS!$G$7,E49*$F$99,IF(E$105&lt;=TabS!$G$8,E49*$F$100,IF(E$105&lt;=TabS!$G$9,E49*$F$101,IF(E$105&lt;=TabS!$G$10,E49*$F$102))))))</f>
        <v>0</v>
      </c>
      <c r="F149" s="151">
        <f>IF(F$105&lt;=TabS!$G$5,F49*$F$97,IF(F$105&lt;=TabS!$G$6,F49*$F$98,IF(F$105&lt;=TabS!$G$7,F49*$F$99,IF(F$105&lt;=TabS!$G$8,F49*$F$100,IF(F$105&lt;=TabS!$G$9,F49*$F$101,IF(F$105&lt;=TabS!$G$10,F49*$F$102))))))</f>
        <v>0</v>
      </c>
      <c r="G149" s="151">
        <f>IF(G$105&lt;=TabS!$G$5,G49*$F$97,IF(G$105&lt;=TabS!$G$6,G49*$F$98,IF(G$105&lt;=TabS!$G$7,G49*$F$99,IF(G$105&lt;=TabS!$G$8,G49*$F$100,IF(G$105&lt;=TabS!$G$9,G49*$F$101,IF(G$105&lt;=TabS!$G$10,G49*$F$102))))))</f>
        <v>0</v>
      </c>
      <c r="H149" s="151">
        <f>IF(H$105&lt;=TabS!$G$5,H49*$F$97,IF(H$105&lt;=TabS!$G$6,H49*$F$98,IF(H$105&lt;=TabS!$G$7,H49*$F$99,IF(H$105&lt;=TabS!$G$8,H49*$F$100,IF(H$105&lt;=TabS!$G$9,H49*$F$101,IF(H$105&lt;=TabS!$G$10,H49*$F$102))))))</f>
        <v>0</v>
      </c>
      <c r="I149" s="151">
        <f>IF(I$105&lt;=TabS!$G$5,I49*$F$97,IF(I$105&lt;=TabS!$G$6,I49*$F$98,IF(I$105&lt;=TabS!$G$7,I49*$F$99,IF(I$105&lt;=TabS!$G$8,I49*$F$100,IF(I$105&lt;=TabS!$G$9,I49*$F$101,IF(I$105&lt;=TabS!$G$10,I49*$F$102))))))</f>
        <v>0</v>
      </c>
      <c r="J149" s="151">
        <f>IF(J$105&lt;=TabS!$G$5,J49*$F$97,IF(J$105&lt;=TabS!$G$6,J49*$F$98,IF(J$105&lt;=TabS!$G$7,J49*$F$99,IF(J$105&lt;=TabS!$G$8,J49*$F$100,IF(J$105&lt;=TabS!$G$9,J49*$F$101,IF(J$105&lt;=TabS!$G$10,J49*$F$102))))))</f>
        <v>0</v>
      </c>
      <c r="K149" s="151">
        <f>IF(K$105&lt;=TabS!$G$5,K49*$F$97,IF(K$105&lt;=TabS!$G$6,K49*$F$98,IF(K$105&lt;=TabS!$G$7,K49*$F$99,IF(K$105&lt;=TabS!$G$8,K49*$F$100,IF(K$105&lt;=TabS!$G$9,K49*$F$101,IF(K$105&lt;=TabS!$G$10,K49*$F$102))))))</f>
        <v>0</v>
      </c>
      <c r="L149" s="151">
        <f>IF(L$105&lt;=TabS!$G$5,L49*$F$97,IF(L$105&lt;=TabS!$G$6,L49*$F$98,IF(L$105&lt;=TabS!$G$7,L49*$F$99,IF(L$105&lt;=TabS!$G$8,L49*$F$100,IF(L$105&lt;=TabS!$G$9,L49*$F$101,IF(L$105&lt;=TabS!$G$10,L49*$F$102))))))</f>
        <v>0</v>
      </c>
      <c r="M149" s="151">
        <f>IF(M$105&lt;=TabS!$G$5,M49*$F$97,IF(M$105&lt;=TabS!$G$6,M49*$F$98,IF(M$105&lt;=TabS!$G$7,M49*$F$99,IF(M$105&lt;=TabS!$G$8,M49*$F$100,IF(M$105&lt;=TabS!$G$9,M49*$F$101,IF(M$105&lt;=TabS!$G$10,M49*$F$102))))))</f>
        <v>0</v>
      </c>
      <c r="N149" s="151">
        <f>IF(N$105&lt;=TabS!$G$5,N49*$F$97,IF(N$105&lt;=TabS!$G$6,N49*$F$98,IF(N$105&lt;=TabS!$G$7,N49*$F$99,IF(N$105&lt;=TabS!$G$8,N49*$F$100,IF(N$105&lt;=TabS!$G$9,N49*$F$101,IF(N$105&lt;=TabS!$G$10,N49*$F$102))))))</f>
        <v>0</v>
      </c>
      <c r="O149" s="152">
        <f t="shared" si="56"/>
        <v>0</v>
      </c>
    </row>
    <row r="150" spans="2:15" ht="20.100000000000001" customHeight="1" x14ac:dyDescent="0.25">
      <c r="B150" s="167" t="s">
        <v>42</v>
      </c>
      <c r="C150" s="151">
        <f>IF(C$105&lt;=TabS!$G$5,C49*$G$97,IF(C$105&lt;=TabS!$G$6,C49*$G$98,IF(C$105&lt;=TabS!$G$7,C49*$G$99,IF(C$105&lt;=TabS!$G$8,C49*$G$100,IF(C$105&lt;=TabS!$G$9,C49*$G$101,IF(C$105&lt;=TabS!$G$10,C49*$G$102))))))</f>
        <v>0</v>
      </c>
      <c r="D150" s="151">
        <f>IF(D$105&lt;=TabS!$G$5,D49*$G$97,IF(D$105&lt;=TabS!$G$6,D49*$G$98,IF(D$105&lt;=TabS!$G$7,D49*$G$99,IF(D$105&lt;=TabS!$G$8,D49*$G$100,IF(D$105&lt;=TabS!$G$9,D49*$G$101,IF(D$105&lt;=TabS!$G$10,D49*$G$102))))))</f>
        <v>0</v>
      </c>
      <c r="E150" s="151">
        <f>IF(E$105&lt;=TabS!$G$5,E49*$G$97,IF(E$105&lt;=TabS!$G$6,E49*$G$98,IF(E$105&lt;=TabS!$G$7,E49*$G$99,IF(E$105&lt;=TabS!$G$8,E49*$G$100,IF(E$105&lt;=TabS!$G$9,E49*$G$101,IF(E$105&lt;=TabS!$G$10,E49*$G$102))))))</f>
        <v>0</v>
      </c>
      <c r="F150" s="151">
        <f>IF(F$105&lt;=TabS!$G$5,F49*$G$97,IF(F$105&lt;=TabS!$G$6,F49*$G$98,IF(F$105&lt;=TabS!$G$7,F49*$G$99,IF(F$105&lt;=TabS!$G$8,F49*$G$100,IF(F$105&lt;=TabS!$G$9,F49*$G$101,IF(F$105&lt;=TabS!$G$10,F49*$G$102))))))</f>
        <v>0</v>
      </c>
      <c r="G150" s="151">
        <f>IF(G$105&lt;=TabS!$G$5,G49*$G$97,IF(G$105&lt;=TabS!$G$6,G49*$G$98,IF(G$105&lt;=TabS!$G$7,G49*$G$99,IF(G$105&lt;=TabS!$G$8,G49*$G$100,IF(G$105&lt;=TabS!$G$9,G49*$G$101,IF(G$105&lt;=TabS!$G$10,G49*$G$102))))))</f>
        <v>0</v>
      </c>
      <c r="H150" s="151">
        <f>IF(H$105&lt;=TabS!$G$5,H49*$G$97,IF(H$105&lt;=TabS!$G$6,H49*$G$98,IF(H$105&lt;=TabS!$G$7,H49*$G$99,IF(H$105&lt;=TabS!$G$8,H49*$G$100,IF(H$105&lt;=TabS!$G$9,H49*$G$101,IF(H$105&lt;=TabS!$G$10,H49*$G$102))))))</f>
        <v>0</v>
      </c>
      <c r="I150" s="151">
        <f>IF(I$105&lt;=TabS!$G$5,I49*$G$97,IF(I$105&lt;=TabS!$G$6,I49*$G$98,IF(I$105&lt;=TabS!$G$7,I49*$G$99,IF(I$105&lt;=TabS!$G$8,I49*$G$100,IF(I$105&lt;=TabS!$G$9,I49*$G$101,IF(I$105&lt;=TabS!$G$10,I49*$G$102))))))</f>
        <v>0</v>
      </c>
      <c r="J150" s="151">
        <f>IF(J$105&lt;=TabS!$G$5,J49*$G$97,IF(J$105&lt;=TabS!$G$6,J49*$G$98,IF(J$105&lt;=TabS!$G$7,J49*$G$99,IF(J$105&lt;=TabS!$G$8,J49*$G$100,IF(J$105&lt;=TabS!$G$9,J49*$G$101,IF(J$105&lt;=TabS!$G$10,J49*$G$102))))))</f>
        <v>0</v>
      </c>
      <c r="K150" s="151">
        <f>IF(K$105&lt;=TabS!$G$5,K49*$G$97,IF(K$105&lt;=TabS!$G$6,K49*$G$98,IF(K$105&lt;=TabS!$G$7,K49*$G$99,IF(K$105&lt;=TabS!$G$8,K49*$G$100,IF(K$105&lt;=TabS!$G$9,K49*$G$101,IF(K$105&lt;=TabS!$G$10,K49*$G$102))))))</f>
        <v>0</v>
      </c>
      <c r="L150" s="151">
        <f>IF(L$105&lt;=TabS!$G$5,L49*$G$97,IF(L$105&lt;=TabS!$G$6,L49*$G$98,IF(L$105&lt;=TabS!$G$7,L49*$G$99,IF(L$105&lt;=TabS!$G$8,L49*$G$100,IF(L$105&lt;=TabS!$G$9,L49*$G$101,IF(L$105&lt;=TabS!$G$10,L49*$G$102))))))</f>
        <v>0</v>
      </c>
      <c r="M150" s="151">
        <f>IF(M$105&lt;=TabS!$G$5,M49*$G$97,IF(M$105&lt;=TabS!$G$6,M49*$G$98,IF(M$105&lt;=TabS!$G$7,M49*$G$99,IF(M$105&lt;=TabS!$G$8,M49*$G$100,IF(M$105&lt;=TabS!$G$9,M49*$G$101,IF(M$105&lt;=TabS!$G$10,M49*$G$102))))))</f>
        <v>0</v>
      </c>
      <c r="N150" s="151">
        <f>IF(N$105&lt;=TabS!$G$5,N49*$G$97,IF(N$105&lt;=TabS!$G$6,N49*$G$98,IF(N$105&lt;=TabS!$G$7,N49*$G$99,IF(N$105&lt;=TabS!$G$8,N49*$G$100,IF(N$105&lt;=TabS!$G$9,N49*$G$101,IF(N$105&lt;=TabS!$G$10,N49*$G$102))))))</f>
        <v>0</v>
      </c>
      <c r="O150" s="152">
        <f t="shared" si="56"/>
        <v>0</v>
      </c>
    </row>
    <row r="151" spans="2:15" ht="20.100000000000001" customHeight="1" x14ac:dyDescent="0.25">
      <c r="B151" s="167" t="s">
        <v>40</v>
      </c>
      <c r="C151" s="151">
        <f>IF(C$105&lt;=TabS!$G$5,C49*$H$97,IF(C$105&lt;=TabS!$G$6,C49*$H$98,IF(C$105&lt;=TabS!$G$7,C49*$H$99,IF(C$105&lt;=TabS!$G$8,C49*$H$100,IF(C$105&lt;=TabS!$G$9,C49*$H$101,IF(C$105&lt;=TabS!$G$10,C49*$H$102))))))</f>
        <v>0</v>
      </c>
      <c r="D151" s="151">
        <f>IF(D$105&lt;=TabS!$G$5,D49*$H$97,IF(D$105&lt;=TabS!$G$6,D49*$H$98,IF(D$105&lt;=TabS!$G$7,D49*$H$99,IF(D$105&lt;=TabS!$G$8,D49*$H$100,IF(D$105&lt;=TabS!$G$9,D49*$H$101,IF(D$105&lt;=TabS!$G$10,D49*$H$102))))))</f>
        <v>0</v>
      </c>
      <c r="E151" s="151">
        <f>IF(E$105&lt;=TabS!$G$5,E49*$H$97,IF(E$105&lt;=TabS!$G$6,E49*$H$98,IF(E$105&lt;=TabS!$G$7,E49*$H$99,IF(E$105&lt;=TabS!$G$8,E49*$H$100,IF(E$105&lt;=TabS!$G$9,E49*$H$101,IF(E$105&lt;=TabS!$G$10,E49*$H$102))))))</f>
        <v>0</v>
      </c>
      <c r="F151" s="151">
        <f>IF(F$105&lt;=TabS!$G$5,F49*$H$97,IF(F$105&lt;=TabS!$G$6,F49*$H$98,IF(F$105&lt;=TabS!$G$7,F49*$H$99,IF(F$105&lt;=TabS!$G$8,F49*$H$100,IF(F$105&lt;=TabS!$G$9,F49*$H$101,IF(F$105&lt;=TabS!$G$10,F49*$H$102))))))</f>
        <v>0</v>
      </c>
      <c r="G151" s="151">
        <f>IF(G$105&lt;=TabS!$G$5,G49*$H$97,IF(G$105&lt;=TabS!$G$6,G49*$H$98,IF(G$105&lt;=TabS!$G$7,G49*$H$99,IF(G$105&lt;=TabS!$G$8,G49*$H$100,IF(G$105&lt;=TabS!$G$9,G49*$H$101,IF(G$105&lt;=TabS!$G$10,G49*$H$102))))))</f>
        <v>0</v>
      </c>
      <c r="H151" s="151">
        <f>IF(H$105&lt;=TabS!$G$5,H49*$H$97,IF(H$105&lt;=TabS!$G$6,H49*$H$98,IF(H$105&lt;=TabS!$G$7,H49*$H$99,IF(H$105&lt;=TabS!$G$8,H49*$H$100,IF(H$105&lt;=TabS!$G$9,H49*$H$101,IF(H$105&lt;=TabS!$G$10,H49*$H$102))))))</f>
        <v>0</v>
      </c>
      <c r="I151" s="151">
        <f>IF(I$105&lt;=TabS!$G$5,I49*$H$97,IF(I$105&lt;=TabS!$G$6,I49*$H$98,IF(I$105&lt;=TabS!$G$7,I49*$H$99,IF(I$105&lt;=TabS!$G$8,I49*$H$100,IF(I$105&lt;=TabS!$G$9,I49*$H$101,IF(I$105&lt;=TabS!$G$10,I49*$H$102))))))</f>
        <v>0</v>
      </c>
      <c r="J151" s="151">
        <f>IF(J$105&lt;=TabS!$G$5,J49*$H$97,IF(J$105&lt;=TabS!$G$6,J49*$H$98,IF(J$105&lt;=TabS!$G$7,J49*$H$99,IF(J$105&lt;=TabS!$G$8,J49*$H$100,IF(J$105&lt;=TabS!$G$9,J49*$H$101,IF(J$105&lt;=TabS!$G$10,J49*$H$102))))))</f>
        <v>0</v>
      </c>
      <c r="K151" s="151">
        <f>IF(K$105&lt;=TabS!$G$5,K49*$H$97,IF(K$105&lt;=TabS!$G$6,K49*$H$98,IF(K$105&lt;=TabS!$G$7,K49*$H$99,IF(K$105&lt;=TabS!$G$8,K49*$H$100,IF(K$105&lt;=TabS!$G$9,K49*$H$101,IF(K$105&lt;=TabS!$G$10,K49*$H$102))))))</f>
        <v>0</v>
      </c>
      <c r="L151" s="151">
        <f>IF(L$105&lt;=TabS!$G$5,L49*$H$97,IF(L$105&lt;=TabS!$G$6,L49*$H$98,IF(L$105&lt;=TabS!$G$7,L49*$H$99,IF(L$105&lt;=TabS!$G$8,L49*$H$100,IF(L$105&lt;=TabS!$G$9,L49*$H$101,IF(L$105&lt;=TabS!$G$10,L49*$H$102))))))</f>
        <v>0</v>
      </c>
      <c r="M151" s="151">
        <f>IF(M$105&lt;=TabS!$G$5,M49*$H$97,IF(M$105&lt;=TabS!$G$6,M49*$H$98,IF(M$105&lt;=TabS!$G$7,M49*$H$99,IF(M$105&lt;=TabS!$G$8,M49*$H$100,IF(M$105&lt;=TabS!$G$9,M49*$H$101,IF(M$105&lt;=TabS!$G$10,M49*$H$102))))))</f>
        <v>0</v>
      </c>
      <c r="N151" s="151">
        <f>IF(N$105&lt;=TabS!$G$5,N49*$H$97,IF(N$105&lt;=TabS!$G$6,N49*$H$98,IF(N$105&lt;=TabS!$G$7,N49*$H$99,IF(N$105&lt;=TabS!$G$8,N49*$H$100,IF(N$105&lt;=TabS!$G$9,N49*$H$101,IF(N$105&lt;=TabS!$G$10,N49*$H$102))))))</f>
        <v>0</v>
      </c>
      <c r="O151" s="152">
        <f t="shared" si="56"/>
        <v>0</v>
      </c>
    </row>
    <row r="152" spans="2:15" ht="20.100000000000001" customHeight="1" x14ac:dyDescent="0.25">
      <c r="B152" s="168" t="s">
        <v>99</v>
      </c>
      <c r="C152" s="152">
        <f>SUM(C146:C151)</f>
        <v>0</v>
      </c>
      <c r="D152" s="152">
        <f t="shared" ref="D152:N152" si="57">SUM(D146:D151)</f>
        <v>0</v>
      </c>
      <c r="E152" s="152">
        <f t="shared" si="57"/>
        <v>0</v>
      </c>
      <c r="F152" s="152">
        <f t="shared" si="57"/>
        <v>0</v>
      </c>
      <c r="G152" s="152">
        <f t="shared" si="57"/>
        <v>0</v>
      </c>
      <c r="H152" s="152">
        <f t="shared" si="57"/>
        <v>0</v>
      </c>
      <c r="I152" s="152">
        <f t="shared" si="57"/>
        <v>0</v>
      </c>
      <c r="J152" s="152">
        <f t="shared" si="57"/>
        <v>0</v>
      </c>
      <c r="K152" s="152">
        <f t="shared" si="57"/>
        <v>0</v>
      </c>
      <c r="L152" s="152">
        <f t="shared" si="57"/>
        <v>0</v>
      </c>
      <c r="M152" s="152">
        <f t="shared" si="57"/>
        <v>0</v>
      </c>
      <c r="N152" s="152">
        <f t="shared" si="57"/>
        <v>0</v>
      </c>
      <c r="O152" s="152">
        <f>SUM(C152:N152)</f>
        <v>0</v>
      </c>
    </row>
    <row r="153" spans="2:15" ht="20.100000000000001" customHeight="1" x14ac:dyDescent="0.25">
      <c r="B153" s="278" t="s">
        <v>130</v>
      </c>
      <c r="C153" s="278"/>
      <c r="D153" s="278"/>
      <c r="E153" s="278"/>
      <c r="F153" s="278"/>
      <c r="G153" s="278"/>
      <c r="H153" s="278"/>
      <c r="I153" s="278"/>
      <c r="J153" s="278"/>
      <c r="K153" s="278"/>
      <c r="L153" s="278"/>
      <c r="M153" s="278"/>
      <c r="N153" s="278"/>
      <c r="O153" s="278"/>
    </row>
    <row r="154" spans="2:15" ht="20.100000000000001" customHeight="1" x14ac:dyDescent="0.25">
      <c r="B154" s="149" t="s">
        <v>82</v>
      </c>
      <c r="C154" s="149" t="s">
        <v>83</v>
      </c>
      <c r="D154" s="149" t="s">
        <v>84</v>
      </c>
      <c r="E154" s="149" t="s">
        <v>85</v>
      </c>
      <c r="F154" s="149" t="s">
        <v>86</v>
      </c>
      <c r="G154" s="149" t="s">
        <v>87</v>
      </c>
      <c r="H154" s="149" t="s">
        <v>88</v>
      </c>
      <c r="I154" s="149" t="s">
        <v>89</v>
      </c>
      <c r="J154" s="149" t="s">
        <v>90</v>
      </c>
      <c r="K154" s="149" t="s">
        <v>91</v>
      </c>
      <c r="L154" s="149" t="s">
        <v>92</v>
      </c>
      <c r="M154" s="149" t="s">
        <v>93</v>
      </c>
      <c r="N154" s="149" t="s">
        <v>94</v>
      </c>
      <c r="O154" s="149" t="s">
        <v>95</v>
      </c>
    </row>
    <row r="155" spans="2:15" ht="20.100000000000001" customHeight="1" x14ac:dyDescent="0.25">
      <c r="B155" s="167" t="s">
        <v>97</v>
      </c>
      <c r="C155" s="151">
        <f>C109+C118+C128+C137+C146</f>
        <v>0</v>
      </c>
      <c r="D155" s="151">
        <f t="shared" ref="D155:N156" si="58">D109+D118+D128+D137+D146</f>
        <v>0</v>
      </c>
      <c r="E155" s="151">
        <f t="shared" si="58"/>
        <v>0</v>
      </c>
      <c r="F155" s="151">
        <f t="shared" si="58"/>
        <v>0</v>
      </c>
      <c r="G155" s="151">
        <f t="shared" si="58"/>
        <v>0</v>
      </c>
      <c r="H155" s="151">
        <f t="shared" si="58"/>
        <v>0</v>
      </c>
      <c r="I155" s="151">
        <f t="shared" si="58"/>
        <v>0</v>
      </c>
      <c r="J155" s="151">
        <f t="shared" si="58"/>
        <v>0</v>
      </c>
      <c r="K155" s="151">
        <f t="shared" si="58"/>
        <v>0</v>
      </c>
      <c r="L155" s="151">
        <f t="shared" si="58"/>
        <v>0</v>
      </c>
      <c r="M155" s="151">
        <f t="shared" si="58"/>
        <v>0</v>
      </c>
      <c r="N155" s="151">
        <f t="shared" si="58"/>
        <v>0</v>
      </c>
      <c r="O155" s="152">
        <f>SUM(C155:N155)</f>
        <v>0</v>
      </c>
    </row>
    <row r="156" spans="2:15" ht="20.100000000000001" customHeight="1" x14ac:dyDescent="0.25">
      <c r="B156" s="167" t="s">
        <v>98</v>
      </c>
      <c r="C156" s="151">
        <f>C110+C119+C129+C138+C147</f>
        <v>0</v>
      </c>
      <c r="D156" s="151">
        <f t="shared" si="58"/>
        <v>0</v>
      </c>
      <c r="E156" s="151">
        <f t="shared" si="58"/>
        <v>0</v>
      </c>
      <c r="F156" s="151">
        <f t="shared" si="58"/>
        <v>0</v>
      </c>
      <c r="G156" s="151">
        <f t="shared" si="58"/>
        <v>0</v>
      </c>
      <c r="H156" s="151">
        <f t="shared" si="58"/>
        <v>0</v>
      </c>
      <c r="I156" s="151">
        <f t="shared" si="58"/>
        <v>0</v>
      </c>
      <c r="J156" s="151">
        <f t="shared" si="58"/>
        <v>0</v>
      </c>
      <c r="K156" s="151">
        <f t="shared" si="58"/>
        <v>0</v>
      </c>
      <c r="L156" s="151">
        <f t="shared" si="58"/>
        <v>0</v>
      </c>
      <c r="M156" s="151">
        <f t="shared" si="58"/>
        <v>0</v>
      </c>
      <c r="N156" s="151">
        <f t="shared" si="58"/>
        <v>0</v>
      </c>
      <c r="O156" s="152">
        <f>SUM(C156:N156)</f>
        <v>0</v>
      </c>
    </row>
    <row r="157" spans="2:15" ht="20.100000000000001" customHeight="1" x14ac:dyDescent="0.25">
      <c r="B157" s="167" t="s">
        <v>37</v>
      </c>
      <c r="C157" s="151">
        <f>C111+C120</f>
        <v>0</v>
      </c>
      <c r="D157" s="151">
        <f t="shared" ref="D157:N157" si="59">D111+D120</f>
        <v>0</v>
      </c>
      <c r="E157" s="151">
        <f t="shared" si="59"/>
        <v>0</v>
      </c>
      <c r="F157" s="151">
        <f t="shared" si="59"/>
        <v>0</v>
      </c>
      <c r="G157" s="151">
        <f t="shared" si="59"/>
        <v>0</v>
      </c>
      <c r="H157" s="151">
        <f t="shared" si="59"/>
        <v>0</v>
      </c>
      <c r="I157" s="151">
        <f t="shared" si="59"/>
        <v>0</v>
      </c>
      <c r="J157" s="151">
        <f t="shared" si="59"/>
        <v>0</v>
      </c>
      <c r="K157" s="151">
        <f t="shared" si="59"/>
        <v>0</v>
      </c>
      <c r="L157" s="151">
        <f t="shared" si="59"/>
        <v>0</v>
      </c>
      <c r="M157" s="151">
        <f t="shared" si="59"/>
        <v>0</v>
      </c>
      <c r="N157" s="151">
        <f t="shared" si="59"/>
        <v>0</v>
      </c>
      <c r="O157" s="152">
        <f t="shared" ref="O157:O162" si="60">SUM(C157:N157)</f>
        <v>0</v>
      </c>
    </row>
    <row r="158" spans="2:15" ht="20.100000000000001" customHeight="1" x14ac:dyDescent="0.25">
      <c r="B158" s="167" t="s">
        <v>38</v>
      </c>
      <c r="C158" s="151">
        <f>C124</f>
        <v>0</v>
      </c>
      <c r="D158" s="151">
        <f t="shared" ref="D158:N158" si="61">D124</f>
        <v>0</v>
      </c>
      <c r="E158" s="151">
        <f t="shared" si="61"/>
        <v>0</v>
      </c>
      <c r="F158" s="151">
        <f t="shared" si="61"/>
        <v>0</v>
      </c>
      <c r="G158" s="151">
        <f t="shared" si="61"/>
        <v>0</v>
      </c>
      <c r="H158" s="151">
        <f t="shared" si="61"/>
        <v>0</v>
      </c>
      <c r="I158" s="151">
        <f t="shared" si="61"/>
        <v>0</v>
      </c>
      <c r="J158" s="151">
        <f t="shared" si="61"/>
        <v>0</v>
      </c>
      <c r="K158" s="151">
        <f t="shared" si="61"/>
        <v>0</v>
      </c>
      <c r="L158" s="151">
        <f t="shared" si="61"/>
        <v>0</v>
      </c>
      <c r="M158" s="151">
        <f t="shared" si="61"/>
        <v>0</v>
      </c>
      <c r="N158" s="151">
        <f t="shared" si="61"/>
        <v>0</v>
      </c>
      <c r="O158" s="152">
        <f t="shared" si="60"/>
        <v>0</v>
      </c>
    </row>
    <row r="159" spans="2:15" ht="20.100000000000001" customHeight="1" x14ac:dyDescent="0.25">
      <c r="B159" s="167" t="s">
        <v>39</v>
      </c>
      <c r="C159" s="151">
        <f>C130+C139+C148</f>
        <v>0</v>
      </c>
      <c r="D159" s="151">
        <f t="shared" ref="D159:N159" si="62">D130+D139+D148</f>
        <v>0</v>
      </c>
      <c r="E159" s="151">
        <f t="shared" si="62"/>
        <v>0</v>
      </c>
      <c r="F159" s="151">
        <f t="shared" si="62"/>
        <v>0</v>
      </c>
      <c r="G159" s="151">
        <f t="shared" si="62"/>
        <v>0</v>
      </c>
      <c r="H159" s="151">
        <f t="shared" si="62"/>
        <v>0</v>
      </c>
      <c r="I159" s="151">
        <f t="shared" si="62"/>
        <v>0</v>
      </c>
      <c r="J159" s="151">
        <f t="shared" si="62"/>
        <v>0</v>
      </c>
      <c r="K159" s="151">
        <f t="shared" si="62"/>
        <v>0</v>
      </c>
      <c r="L159" s="151">
        <f t="shared" si="62"/>
        <v>0</v>
      </c>
      <c r="M159" s="151">
        <f t="shared" si="62"/>
        <v>0</v>
      </c>
      <c r="N159" s="151">
        <f t="shared" si="62"/>
        <v>0</v>
      </c>
      <c r="O159" s="152">
        <f t="shared" si="60"/>
        <v>0</v>
      </c>
    </row>
    <row r="160" spans="2:15" ht="20.100000000000001" customHeight="1" x14ac:dyDescent="0.25">
      <c r="B160" s="167" t="s">
        <v>129</v>
      </c>
      <c r="C160" s="151">
        <f>C121+C131+C140+C149+C112</f>
        <v>0</v>
      </c>
      <c r="D160" s="151">
        <f t="shared" ref="D160:N160" si="63">D121+D131+D140+D149+D112</f>
        <v>0</v>
      </c>
      <c r="E160" s="151">
        <f t="shared" si="63"/>
        <v>0</v>
      </c>
      <c r="F160" s="151">
        <f t="shared" si="63"/>
        <v>0</v>
      </c>
      <c r="G160" s="151">
        <f t="shared" si="63"/>
        <v>0</v>
      </c>
      <c r="H160" s="151">
        <f t="shared" si="63"/>
        <v>0</v>
      </c>
      <c r="I160" s="151">
        <f t="shared" si="63"/>
        <v>0</v>
      </c>
      <c r="J160" s="151">
        <f t="shared" si="63"/>
        <v>0</v>
      </c>
      <c r="K160" s="151">
        <f t="shared" si="63"/>
        <v>0</v>
      </c>
      <c r="L160" s="151">
        <f t="shared" si="63"/>
        <v>0</v>
      </c>
      <c r="M160" s="151">
        <f t="shared" si="63"/>
        <v>0</v>
      </c>
      <c r="N160" s="151">
        <f t="shared" si="63"/>
        <v>0</v>
      </c>
      <c r="O160" s="152">
        <f t="shared" si="60"/>
        <v>0</v>
      </c>
    </row>
    <row r="161" spans="1:15" ht="20.100000000000001" customHeight="1" x14ac:dyDescent="0.25">
      <c r="B161" s="167" t="s">
        <v>42</v>
      </c>
      <c r="C161" s="151">
        <f t="shared" ref="C161:N162" si="64">C122+C132+C141+C150+C113</f>
        <v>0</v>
      </c>
      <c r="D161" s="151">
        <f t="shared" si="64"/>
        <v>0</v>
      </c>
      <c r="E161" s="151">
        <f t="shared" si="64"/>
        <v>0</v>
      </c>
      <c r="F161" s="151">
        <f t="shared" si="64"/>
        <v>0</v>
      </c>
      <c r="G161" s="151">
        <f t="shared" si="64"/>
        <v>0</v>
      </c>
      <c r="H161" s="151">
        <f t="shared" si="64"/>
        <v>0</v>
      </c>
      <c r="I161" s="151">
        <f t="shared" si="64"/>
        <v>0</v>
      </c>
      <c r="J161" s="151">
        <f t="shared" si="64"/>
        <v>0</v>
      </c>
      <c r="K161" s="151">
        <f t="shared" si="64"/>
        <v>0</v>
      </c>
      <c r="L161" s="151">
        <f t="shared" si="64"/>
        <v>0</v>
      </c>
      <c r="M161" s="151">
        <f t="shared" si="64"/>
        <v>0</v>
      </c>
      <c r="N161" s="151">
        <f t="shared" si="64"/>
        <v>0</v>
      </c>
      <c r="O161" s="152">
        <f t="shared" si="60"/>
        <v>0</v>
      </c>
    </row>
    <row r="162" spans="1:15" ht="20.100000000000001" customHeight="1" x14ac:dyDescent="0.25">
      <c r="B162" s="167" t="s">
        <v>40</v>
      </c>
      <c r="C162" s="151">
        <f t="shared" si="64"/>
        <v>0</v>
      </c>
      <c r="D162" s="151">
        <f t="shared" si="64"/>
        <v>0</v>
      </c>
      <c r="E162" s="151">
        <f t="shared" si="64"/>
        <v>0</v>
      </c>
      <c r="F162" s="151">
        <f t="shared" si="64"/>
        <v>0</v>
      </c>
      <c r="G162" s="151">
        <f t="shared" si="64"/>
        <v>0</v>
      </c>
      <c r="H162" s="151">
        <f t="shared" si="64"/>
        <v>0</v>
      </c>
      <c r="I162" s="151">
        <f t="shared" si="64"/>
        <v>0</v>
      </c>
      <c r="J162" s="151">
        <f t="shared" si="64"/>
        <v>0</v>
      </c>
      <c r="K162" s="151">
        <f t="shared" si="64"/>
        <v>0</v>
      </c>
      <c r="L162" s="151">
        <f t="shared" si="64"/>
        <v>0</v>
      </c>
      <c r="M162" s="151">
        <f t="shared" si="64"/>
        <v>0</v>
      </c>
      <c r="N162" s="151">
        <f t="shared" si="64"/>
        <v>0</v>
      </c>
      <c r="O162" s="152">
        <f t="shared" si="60"/>
        <v>0</v>
      </c>
    </row>
    <row r="163" spans="1:15" ht="20.100000000000001" customHeight="1" x14ac:dyDescent="0.25">
      <c r="B163" s="168" t="s">
        <v>99</v>
      </c>
      <c r="C163" s="152">
        <f>SUM(C155:C162)</f>
        <v>0</v>
      </c>
      <c r="D163" s="152">
        <f t="shared" ref="D163:N163" si="65">SUM(D155:D162)</f>
        <v>0</v>
      </c>
      <c r="E163" s="152">
        <f t="shared" si="65"/>
        <v>0</v>
      </c>
      <c r="F163" s="152">
        <f t="shared" si="65"/>
        <v>0</v>
      </c>
      <c r="G163" s="152">
        <f t="shared" si="65"/>
        <v>0</v>
      </c>
      <c r="H163" s="152">
        <f t="shared" si="65"/>
        <v>0</v>
      </c>
      <c r="I163" s="152">
        <f t="shared" si="65"/>
        <v>0</v>
      </c>
      <c r="J163" s="152">
        <f t="shared" si="65"/>
        <v>0</v>
      </c>
      <c r="K163" s="152">
        <f t="shared" si="65"/>
        <v>0</v>
      </c>
      <c r="L163" s="152">
        <f t="shared" si="65"/>
        <v>0</v>
      </c>
      <c r="M163" s="152">
        <f t="shared" si="65"/>
        <v>0</v>
      </c>
      <c r="N163" s="152">
        <f t="shared" si="65"/>
        <v>0</v>
      </c>
      <c r="O163" s="152">
        <f>SUM(C163:N163)</f>
        <v>0</v>
      </c>
    </row>
    <row r="165" spans="1:15" ht="20.100000000000001" customHeight="1" x14ac:dyDescent="0.25">
      <c r="B165" s="162" t="s">
        <v>136</v>
      </c>
    </row>
    <row r="167" spans="1:15" ht="20.100000000000001" customHeight="1" x14ac:dyDescent="0.25">
      <c r="B167" s="169" t="s">
        <v>131</v>
      </c>
      <c r="C167" s="155">
        <f>IF(C5&gt;TabS!$G$9,C34+R34,C34)</f>
        <v>0</v>
      </c>
      <c r="D167" s="155">
        <f>IF(D5&gt;TabS!$G$9,D34+S34,D34)</f>
        <v>0</v>
      </c>
      <c r="E167" s="155">
        <f>IF(E5&gt;TabS!$G$9,E34+T34,E34)</f>
        <v>0</v>
      </c>
      <c r="F167" s="155">
        <f>IF(F5&gt;TabS!$G$9,F34+U34,F34)</f>
        <v>0</v>
      </c>
      <c r="G167" s="155">
        <f>IF(G5&gt;TabS!$G$9,G34+V34,G34)</f>
        <v>0</v>
      </c>
      <c r="H167" s="155">
        <f>IF(H5&gt;TabS!$G$9,H34+W34,H34)</f>
        <v>0</v>
      </c>
      <c r="I167" s="155">
        <f>IF(I5&gt;TabS!$G$9,I34+X34,I34)</f>
        <v>0</v>
      </c>
      <c r="J167" s="155">
        <f>IF(J5&gt;TabS!$G$9,J34+Y34,J34)</f>
        <v>0</v>
      </c>
      <c r="K167" s="155">
        <f>IF(K5&gt;TabS!$G$9,K34+Z34,K34)</f>
        <v>0</v>
      </c>
      <c r="L167" s="155">
        <f>IF(L5&gt;TabS!$G$9,L34+AA34,L34)</f>
        <v>0</v>
      </c>
      <c r="M167" s="155">
        <f>IF(M5&gt;TabS!$G$9,M34+AB34,M34)</f>
        <v>0</v>
      </c>
      <c r="N167" s="155">
        <f>IF(N5&gt;TabS!$G$9,N34+AC34,N34)</f>
        <v>0</v>
      </c>
      <c r="O167" s="133"/>
    </row>
    <row r="168" spans="1:15" ht="20.100000000000001" customHeight="1" x14ac:dyDescent="0.25">
      <c r="B168" s="19" t="s">
        <v>132</v>
      </c>
      <c r="C168" s="154">
        <v>0.14925369999999999</v>
      </c>
    </row>
    <row r="169" spans="1:15" ht="20.100000000000001" customHeight="1" x14ac:dyDescent="0.25">
      <c r="B169" s="169" t="s">
        <v>133</v>
      </c>
      <c r="C169" s="156">
        <f>C167-5%</f>
        <v>-0.05</v>
      </c>
      <c r="D169" s="156">
        <f t="shared" ref="D169:N169" si="66">D167-5%</f>
        <v>-0.05</v>
      </c>
      <c r="E169" s="156">
        <f t="shared" si="66"/>
        <v>-0.05</v>
      </c>
      <c r="F169" s="156">
        <f t="shared" si="66"/>
        <v>-0.05</v>
      </c>
      <c r="G169" s="156">
        <f t="shared" si="66"/>
        <v>-0.05</v>
      </c>
      <c r="H169" s="156">
        <f t="shared" si="66"/>
        <v>-0.05</v>
      </c>
      <c r="I169" s="156">
        <f t="shared" si="66"/>
        <v>-0.05</v>
      </c>
      <c r="J169" s="156">
        <f t="shared" si="66"/>
        <v>-0.05</v>
      </c>
      <c r="K169" s="156">
        <f t="shared" si="66"/>
        <v>-0.05</v>
      </c>
      <c r="L169" s="156">
        <f t="shared" si="66"/>
        <v>-0.05</v>
      </c>
      <c r="M169" s="156">
        <f t="shared" si="66"/>
        <v>-0.05</v>
      </c>
      <c r="N169" s="156">
        <f t="shared" si="66"/>
        <v>-0.05</v>
      </c>
    </row>
    <row r="171" spans="1:15" ht="20.100000000000001" customHeight="1" x14ac:dyDescent="0.25">
      <c r="B171" s="149" t="s">
        <v>82</v>
      </c>
      <c r="C171" s="149" t="s">
        <v>83</v>
      </c>
      <c r="D171" s="149" t="s">
        <v>84</v>
      </c>
      <c r="E171" s="149" t="s">
        <v>85</v>
      </c>
      <c r="F171" s="149" t="s">
        <v>86</v>
      </c>
      <c r="G171" s="149" t="s">
        <v>87</v>
      </c>
      <c r="H171" s="149" t="s">
        <v>88</v>
      </c>
      <c r="I171" s="149" t="s">
        <v>89</v>
      </c>
      <c r="J171" s="149" t="s">
        <v>90</v>
      </c>
      <c r="K171" s="149" t="s">
        <v>91</v>
      </c>
      <c r="L171" s="149" t="s">
        <v>92</v>
      </c>
      <c r="M171" s="149" t="s">
        <v>93</v>
      </c>
      <c r="N171" s="149" t="s">
        <v>94</v>
      </c>
      <c r="O171" s="149" t="s">
        <v>95</v>
      </c>
    </row>
    <row r="172" spans="1:15" ht="20.100000000000001" customHeight="1" x14ac:dyDescent="0.25">
      <c r="A172" s="157">
        <v>0</v>
      </c>
      <c r="B172" s="9" t="s">
        <v>35</v>
      </c>
      <c r="C172" s="158" t="b">
        <f>IF(C$167&gt;$C$168,C$169*$A172)</f>
        <v>0</v>
      </c>
      <c r="D172" s="158" t="b">
        <f t="shared" ref="D172:N172" si="67">IF(D$167&gt;$C$168,D$169*$A172)</f>
        <v>0</v>
      </c>
      <c r="E172" s="158" t="b">
        <f t="shared" si="67"/>
        <v>0</v>
      </c>
      <c r="F172" s="158" t="b">
        <f t="shared" si="67"/>
        <v>0</v>
      </c>
      <c r="G172" s="158" t="b">
        <f t="shared" si="67"/>
        <v>0</v>
      </c>
      <c r="H172" s="158" t="b">
        <f t="shared" si="67"/>
        <v>0</v>
      </c>
      <c r="I172" s="158" t="b">
        <f t="shared" si="67"/>
        <v>0</v>
      </c>
      <c r="J172" s="158" t="b">
        <f t="shared" si="67"/>
        <v>0</v>
      </c>
      <c r="K172" s="158" t="b">
        <f t="shared" si="67"/>
        <v>0</v>
      </c>
      <c r="L172" s="158" t="b">
        <f t="shared" si="67"/>
        <v>0</v>
      </c>
      <c r="M172" s="158" t="b">
        <f t="shared" si="67"/>
        <v>0</v>
      </c>
      <c r="N172" s="158" t="b">
        <f t="shared" si="67"/>
        <v>0</v>
      </c>
    </row>
    <row r="173" spans="1:15" ht="20.100000000000001" customHeight="1" x14ac:dyDescent="0.25">
      <c r="A173" s="157">
        <v>0</v>
      </c>
      <c r="B173" s="9" t="s">
        <v>36</v>
      </c>
      <c r="C173" s="158" t="b">
        <f t="shared" ref="C173:N177" si="68">IF(C$167&gt;$C$168,C$169*$A173)</f>
        <v>0</v>
      </c>
      <c r="D173" s="158" t="b">
        <f t="shared" si="68"/>
        <v>0</v>
      </c>
      <c r="E173" s="158" t="b">
        <f t="shared" si="68"/>
        <v>0</v>
      </c>
      <c r="F173" s="158" t="b">
        <f t="shared" si="68"/>
        <v>0</v>
      </c>
      <c r="G173" s="158" t="b">
        <f t="shared" si="68"/>
        <v>0</v>
      </c>
      <c r="H173" s="158" t="b">
        <f t="shared" si="68"/>
        <v>0</v>
      </c>
      <c r="I173" s="158" t="b">
        <f t="shared" si="68"/>
        <v>0</v>
      </c>
      <c r="J173" s="158" t="b">
        <f t="shared" si="68"/>
        <v>0</v>
      </c>
      <c r="K173" s="158" t="b">
        <f t="shared" si="68"/>
        <v>0</v>
      </c>
      <c r="L173" s="158" t="b">
        <f t="shared" si="68"/>
        <v>0</v>
      </c>
      <c r="M173" s="158" t="b">
        <f t="shared" si="68"/>
        <v>0</v>
      </c>
      <c r="N173" s="158" t="b">
        <f t="shared" si="68"/>
        <v>0</v>
      </c>
    </row>
    <row r="174" spans="1:15" ht="20.100000000000001" customHeight="1" x14ac:dyDescent="0.25">
      <c r="A174" s="157">
        <v>0</v>
      </c>
      <c r="B174" s="9" t="s">
        <v>39</v>
      </c>
      <c r="C174" s="158">
        <f>$A174</f>
        <v>0</v>
      </c>
      <c r="D174" s="158">
        <f t="shared" ref="D174:N174" si="69">$A174</f>
        <v>0</v>
      </c>
      <c r="E174" s="158">
        <f t="shared" si="69"/>
        <v>0</v>
      </c>
      <c r="F174" s="158">
        <f t="shared" si="69"/>
        <v>0</v>
      </c>
      <c r="G174" s="158">
        <f t="shared" si="69"/>
        <v>0</v>
      </c>
      <c r="H174" s="158">
        <f t="shared" si="69"/>
        <v>0</v>
      </c>
      <c r="I174" s="158">
        <f t="shared" si="69"/>
        <v>0</v>
      </c>
      <c r="J174" s="158">
        <f t="shared" si="69"/>
        <v>0</v>
      </c>
      <c r="K174" s="158">
        <f t="shared" si="69"/>
        <v>0</v>
      </c>
      <c r="L174" s="158">
        <f t="shared" si="69"/>
        <v>0</v>
      </c>
      <c r="M174" s="158">
        <f t="shared" si="69"/>
        <v>0</v>
      </c>
      <c r="N174" s="158">
        <f t="shared" si="69"/>
        <v>0</v>
      </c>
    </row>
    <row r="175" spans="1:15" ht="20.100000000000001" customHeight="1" x14ac:dyDescent="0.25">
      <c r="A175" s="157">
        <v>0</v>
      </c>
      <c r="B175" s="9" t="s">
        <v>129</v>
      </c>
      <c r="C175" s="158" t="b">
        <f t="shared" si="68"/>
        <v>0</v>
      </c>
      <c r="D175" s="158" t="b">
        <f t="shared" si="68"/>
        <v>0</v>
      </c>
      <c r="E175" s="158" t="b">
        <f t="shared" si="68"/>
        <v>0</v>
      </c>
      <c r="F175" s="158" t="b">
        <f t="shared" si="68"/>
        <v>0</v>
      </c>
      <c r="G175" s="158" t="b">
        <f t="shared" si="68"/>
        <v>0</v>
      </c>
      <c r="H175" s="158" t="b">
        <f t="shared" si="68"/>
        <v>0</v>
      </c>
      <c r="I175" s="158" t="b">
        <f t="shared" si="68"/>
        <v>0</v>
      </c>
      <c r="J175" s="158" t="b">
        <f t="shared" si="68"/>
        <v>0</v>
      </c>
      <c r="K175" s="158" t="b">
        <f t="shared" si="68"/>
        <v>0</v>
      </c>
      <c r="L175" s="158" t="b">
        <f t="shared" si="68"/>
        <v>0</v>
      </c>
      <c r="M175" s="158" t="b">
        <f t="shared" si="68"/>
        <v>0</v>
      </c>
      <c r="N175" s="158" t="b">
        <f t="shared" si="68"/>
        <v>0</v>
      </c>
    </row>
    <row r="176" spans="1:15" ht="20.100000000000001" customHeight="1" x14ac:dyDescent="0.25">
      <c r="A176" s="157">
        <v>0</v>
      </c>
      <c r="B176" s="9" t="s">
        <v>42</v>
      </c>
      <c r="C176" s="158" t="b">
        <f t="shared" si="68"/>
        <v>0</v>
      </c>
      <c r="D176" s="158" t="b">
        <f t="shared" si="68"/>
        <v>0</v>
      </c>
      <c r="E176" s="158" t="b">
        <f t="shared" si="68"/>
        <v>0</v>
      </c>
      <c r="F176" s="158" t="b">
        <f t="shared" si="68"/>
        <v>0</v>
      </c>
      <c r="G176" s="158" t="b">
        <f t="shared" si="68"/>
        <v>0</v>
      </c>
      <c r="H176" s="158" t="b">
        <f t="shared" si="68"/>
        <v>0</v>
      </c>
      <c r="I176" s="158" t="b">
        <f t="shared" si="68"/>
        <v>0</v>
      </c>
      <c r="J176" s="158" t="b">
        <f t="shared" si="68"/>
        <v>0</v>
      </c>
      <c r="K176" s="158" t="b">
        <f t="shared" si="68"/>
        <v>0</v>
      </c>
      <c r="L176" s="158" t="b">
        <f t="shared" si="68"/>
        <v>0</v>
      </c>
      <c r="M176" s="158" t="b">
        <f t="shared" si="68"/>
        <v>0</v>
      </c>
      <c r="N176" s="158" t="b">
        <f t="shared" si="68"/>
        <v>0</v>
      </c>
    </row>
    <row r="177" spans="1:15" ht="20.100000000000001" customHeight="1" x14ac:dyDescent="0.25">
      <c r="A177" s="157">
        <v>0</v>
      </c>
      <c r="B177" s="9" t="s">
        <v>134</v>
      </c>
      <c r="C177" s="158" t="b">
        <f t="shared" si="68"/>
        <v>0</v>
      </c>
      <c r="D177" s="158" t="b">
        <f t="shared" si="68"/>
        <v>0</v>
      </c>
      <c r="E177" s="158" t="b">
        <f t="shared" si="68"/>
        <v>0</v>
      </c>
      <c r="F177" s="158" t="b">
        <f t="shared" si="68"/>
        <v>0</v>
      </c>
      <c r="G177" s="158" t="b">
        <f t="shared" si="68"/>
        <v>0</v>
      </c>
      <c r="H177" s="158" t="b">
        <f t="shared" si="68"/>
        <v>0</v>
      </c>
      <c r="I177" s="158" t="b">
        <f t="shared" si="68"/>
        <v>0</v>
      </c>
      <c r="J177" s="158" t="b">
        <f t="shared" si="68"/>
        <v>0</v>
      </c>
      <c r="K177" s="158" t="b">
        <f t="shared" si="68"/>
        <v>0</v>
      </c>
      <c r="L177" s="158" t="b">
        <f t="shared" si="68"/>
        <v>0</v>
      </c>
      <c r="M177" s="158" t="b">
        <f t="shared" si="68"/>
        <v>0</v>
      </c>
      <c r="N177" s="158" t="b">
        <f t="shared" si="68"/>
        <v>0</v>
      </c>
    </row>
    <row r="179" spans="1:15" ht="20.100000000000001" customHeight="1" x14ac:dyDescent="0.25">
      <c r="B179" s="169" t="s">
        <v>135</v>
      </c>
      <c r="C179" s="159">
        <f>C31</f>
        <v>0</v>
      </c>
      <c r="D179" s="159">
        <f t="shared" ref="D179:N179" si="70">D31</f>
        <v>0</v>
      </c>
      <c r="E179" s="159">
        <f t="shared" si="70"/>
        <v>0</v>
      </c>
      <c r="F179" s="159">
        <f t="shared" si="70"/>
        <v>0</v>
      </c>
      <c r="G179" s="159">
        <f t="shared" si="70"/>
        <v>0</v>
      </c>
      <c r="H179" s="159">
        <f t="shared" si="70"/>
        <v>0</v>
      </c>
      <c r="I179" s="159">
        <f t="shared" si="70"/>
        <v>0</v>
      </c>
      <c r="J179" s="159">
        <f t="shared" si="70"/>
        <v>0</v>
      </c>
      <c r="K179" s="159">
        <f t="shared" si="70"/>
        <v>0</v>
      </c>
      <c r="L179" s="159">
        <f t="shared" si="70"/>
        <v>0</v>
      </c>
      <c r="M179" s="159">
        <f t="shared" si="70"/>
        <v>0</v>
      </c>
      <c r="N179" s="159">
        <f t="shared" si="70"/>
        <v>0</v>
      </c>
      <c r="O179" s="152">
        <f>SUM(C179:N179)</f>
        <v>0</v>
      </c>
    </row>
    <row r="180" spans="1:15" ht="20.100000000000001" customHeight="1" x14ac:dyDescent="0.25">
      <c r="B180" s="9" t="s">
        <v>35</v>
      </c>
      <c r="C180" s="151">
        <f>IFERROR(C$179*C172,0)</f>
        <v>0</v>
      </c>
      <c r="D180" s="151">
        <f t="shared" ref="D180:N180" si="71">IFERROR(D$179*D172,0)</f>
        <v>0</v>
      </c>
      <c r="E180" s="151">
        <f t="shared" si="71"/>
        <v>0</v>
      </c>
      <c r="F180" s="151">
        <f t="shared" si="71"/>
        <v>0</v>
      </c>
      <c r="G180" s="151">
        <f t="shared" si="71"/>
        <v>0</v>
      </c>
      <c r="H180" s="151">
        <f t="shared" si="71"/>
        <v>0</v>
      </c>
      <c r="I180" s="151">
        <f t="shared" si="71"/>
        <v>0</v>
      </c>
      <c r="J180" s="151">
        <f t="shared" si="71"/>
        <v>0</v>
      </c>
      <c r="K180" s="151">
        <f t="shared" si="71"/>
        <v>0</v>
      </c>
      <c r="L180" s="151">
        <f t="shared" si="71"/>
        <v>0</v>
      </c>
      <c r="M180" s="151">
        <f t="shared" si="71"/>
        <v>0</v>
      </c>
      <c r="N180" s="151">
        <f t="shared" si="71"/>
        <v>0</v>
      </c>
      <c r="O180" s="152">
        <f t="shared" ref="O180:O185" si="72">SUM(C180:N180)</f>
        <v>0</v>
      </c>
    </row>
    <row r="181" spans="1:15" ht="20.100000000000001" customHeight="1" x14ac:dyDescent="0.25">
      <c r="B181" s="9" t="s">
        <v>36</v>
      </c>
      <c r="C181" s="151">
        <f t="shared" ref="C181:N185" si="73">IFERROR(C$179*C173,0)</f>
        <v>0</v>
      </c>
      <c r="D181" s="151">
        <f t="shared" si="73"/>
        <v>0</v>
      </c>
      <c r="E181" s="151">
        <f t="shared" si="73"/>
        <v>0</v>
      </c>
      <c r="F181" s="151">
        <f t="shared" si="73"/>
        <v>0</v>
      </c>
      <c r="G181" s="151">
        <f t="shared" si="73"/>
        <v>0</v>
      </c>
      <c r="H181" s="151">
        <f t="shared" si="73"/>
        <v>0</v>
      </c>
      <c r="I181" s="151">
        <f t="shared" si="73"/>
        <v>0</v>
      </c>
      <c r="J181" s="151">
        <f t="shared" si="73"/>
        <v>0</v>
      </c>
      <c r="K181" s="151">
        <f t="shared" si="73"/>
        <v>0</v>
      </c>
      <c r="L181" s="151">
        <f t="shared" si="73"/>
        <v>0</v>
      </c>
      <c r="M181" s="151">
        <f t="shared" si="73"/>
        <v>0</v>
      </c>
      <c r="N181" s="151">
        <f t="shared" si="73"/>
        <v>0</v>
      </c>
      <c r="O181" s="152">
        <f t="shared" si="72"/>
        <v>0</v>
      </c>
    </row>
    <row r="182" spans="1:15" ht="20.100000000000001" customHeight="1" x14ac:dyDescent="0.25">
      <c r="B182" s="9" t="s">
        <v>39</v>
      </c>
      <c r="C182" s="151">
        <f t="shared" si="73"/>
        <v>0</v>
      </c>
      <c r="D182" s="151">
        <f t="shared" si="73"/>
        <v>0</v>
      </c>
      <c r="E182" s="151">
        <f t="shared" si="73"/>
        <v>0</v>
      </c>
      <c r="F182" s="151">
        <f t="shared" si="73"/>
        <v>0</v>
      </c>
      <c r="G182" s="151">
        <f t="shared" si="73"/>
        <v>0</v>
      </c>
      <c r="H182" s="151">
        <f t="shared" si="73"/>
        <v>0</v>
      </c>
      <c r="I182" s="151">
        <f t="shared" si="73"/>
        <v>0</v>
      </c>
      <c r="J182" s="151">
        <f t="shared" si="73"/>
        <v>0</v>
      </c>
      <c r="K182" s="151">
        <f t="shared" si="73"/>
        <v>0</v>
      </c>
      <c r="L182" s="151">
        <f t="shared" si="73"/>
        <v>0</v>
      </c>
      <c r="M182" s="151">
        <f t="shared" si="73"/>
        <v>0</v>
      </c>
      <c r="N182" s="151">
        <f t="shared" si="73"/>
        <v>0</v>
      </c>
      <c r="O182" s="152">
        <f t="shared" si="72"/>
        <v>0</v>
      </c>
    </row>
    <row r="183" spans="1:15" ht="20.100000000000001" customHeight="1" x14ac:dyDescent="0.25">
      <c r="B183" s="9" t="s">
        <v>129</v>
      </c>
      <c r="C183" s="151">
        <f t="shared" si="73"/>
        <v>0</v>
      </c>
      <c r="D183" s="151">
        <f t="shared" si="73"/>
        <v>0</v>
      </c>
      <c r="E183" s="151">
        <f t="shared" si="73"/>
        <v>0</v>
      </c>
      <c r="F183" s="151">
        <f t="shared" si="73"/>
        <v>0</v>
      </c>
      <c r="G183" s="151">
        <f t="shared" si="73"/>
        <v>0</v>
      </c>
      <c r="H183" s="151">
        <f t="shared" si="73"/>
        <v>0</v>
      </c>
      <c r="I183" s="151">
        <f t="shared" si="73"/>
        <v>0</v>
      </c>
      <c r="J183" s="151">
        <f t="shared" si="73"/>
        <v>0</v>
      </c>
      <c r="K183" s="151">
        <f t="shared" si="73"/>
        <v>0</v>
      </c>
      <c r="L183" s="151">
        <f t="shared" si="73"/>
        <v>0</v>
      </c>
      <c r="M183" s="151">
        <f t="shared" si="73"/>
        <v>0</v>
      </c>
      <c r="N183" s="151">
        <f t="shared" si="73"/>
        <v>0</v>
      </c>
      <c r="O183" s="152">
        <f t="shared" si="72"/>
        <v>0</v>
      </c>
    </row>
    <row r="184" spans="1:15" ht="20.100000000000001" customHeight="1" x14ac:dyDescent="0.25">
      <c r="B184" s="9" t="s">
        <v>42</v>
      </c>
      <c r="C184" s="151">
        <f t="shared" si="73"/>
        <v>0</v>
      </c>
      <c r="D184" s="151">
        <f t="shared" si="73"/>
        <v>0</v>
      </c>
      <c r="E184" s="151">
        <f t="shared" si="73"/>
        <v>0</v>
      </c>
      <c r="F184" s="151">
        <f t="shared" si="73"/>
        <v>0</v>
      </c>
      <c r="G184" s="151">
        <f t="shared" si="73"/>
        <v>0</v>
      </c>
      <c r="H184" s="151">
        <f t="shared" si="73"/>
        <v>0</v>
      </c>
      <c r="I184" s="151">
        <f t="shared" si="73"/>
        <v>0</v>
      </c>
      <c r="J184" s="151">
        <f t="shared" si="73"/>
        <v>0</v>
      </c>
      <c r="K184" s="151">
        <f t="shared" si="73"/>
        <v>0</v>
      </c>
      <c r="L184" s="151">
        <f t="shared" si="73"/>
        <v>0</v>
      </c>
      <c r="M184" s="151">
        <f t="shared" si="73"/>
        <v>0</v>
      </c>
      <c r="N184" s="151">
        <f t="shared" si="73"/>
        <v>0</v>
      </c>
      <c r="O184" s="152">
        <f t="shared" si="72"/>
        <v>0</v>
      </c>
    </row>
    <row r="185" spans="1:15" ht="20.100000000000001" customHeight="1" x14ac:dyDescent="0.25">
      <c r="B185" s="9" t="s">
        <v>134</v>
      </c>
      <c r="C185" s="151">
        <f t="shared" si="73"/>
        <v>0</v>
      </c>
      <c r="D185" s="151">
        <f t="shared" si="73"/>
        <v>0</v>
      </c>
      <c r="E185" s="151">
        <f t="shared" si="73"/>
        <v>0</v>
      </c>
      <c r="F185" s="151">
        <f t="shared" si="73"/>
        <v>0</v>
      </c>
      <c r="G185" s="151">
        <f t="shared" si="73"/>
        <v>0</v>
      </c>
      <c r="H185" s="151">
        <f t="shared" si="73"/>
        <v>0</v>
      </c>
      <c r="I185" s="151">
        <f t="shared" si="73"/>
        <v>0</v>
      </c>
      <c r="J185" s="151">
        <f t="shared" si="73"/>
        <v>0</v>
      </c>
      <c r="K185" s="151">
        <f t="shared" si="73"/>
        <v>0</v>
      </c>
      <c r="L185" s="151">
        <f t="shared" si="73"/>
        <v>0</v>
      </c>
      <c r="M185" s="151">
        <f t="shared" si="73"/>
        <v>0</v>
      </c>
      <c r="N185" s="151">
        <f t="shared" si="73"/>
        <v>0</v>
      </c>
      <c r="O185" s="152">
        <f t="shared" si="72"/>
        <v>0</v>
      </c>
    </row>
    <row r="186" spans="1:15" ht="20.100000000000001" customHeight="1" x14ac:dyDescent="0.25">
      <c r="B186" s="168" t="s">
        <v>99</v>
      </c>
      <c r="C186" s="152">
        <f>SUM(C180:C185)</f>
        <v>0</v>
      </c>
      <c r="D186" s="152">
        <f t="shared" ref="D186:N186" si="74">SUM(D180:D185)</f>
        <v>0</v>
      </c>
      <c r="E186" s="152">
        <f t="shared" si="74"/>
        <v>0</v>
      </c>
      <c r="F186" s="152">
        <f t="shared" si="74"/>
        <v>0</v>
      </c>
      <c r="G186" s="152">
        <f t="shared" si="74"/>
        <v>0</v>
      </c>
      <c r="H186" s="152">
        <f t="shared" si="74"/>
        <v>0</v>
      </c>
      <c r="I186" s="152">
        <f t="shared" si="74"/>
        <v>0</v>
      </c>
      <c r="J186" s="152">
        <f t="shared" si="74"/>
        <v>0</v>
      </c>
      <c r="K186" s="152">
        <f t="shared" si="74"/>
        <v>0</v>
      </c>
      <c r="L186" s="152">
        <f t="shared" si="74"/>
        <v>0</v>
      </c>
      <c r="M186" s="152">
        <f t="shared" si="74"/>
        <v>0</v>
      </c>
      <c r="N186" s="152">
        <f t="shared" si="74"/>
        <v>0</v>
      </c>
      <c r="O186" s="152">
        <f>SUM(C186:N186)</f>
        <v>0</v>
      </c>
    </row>
    <row r="188" spans="1:15" ht="20.100000000000001" customHeight="1" x14ac:dyDescent="0.25">
      <c r="B188" s="162" t="s">
        <v>137</v>
      </c>
    </row>
    <row r="190" spans="1:15" ht="20.100000000000001" customHeight="1" x14ac:dyDescent="0.25">
      <c r="B190" s="169" t="s">
        <v>131</v>
      </c>
      <c r="C190" s="155">
        <f>C41</f>
        <v>0</v>
      </c>
      <c r="D190" s="155">
        <f t="shared" ref="D190:N190" si="75">D41</f>
        <v>0</v>
      </c>
      <c r="E190" s="155">
        <f t="shared" si="75"/>
        <v>0</v>
      </c>
      <c r="F190" s="155">
        <f t="shared" si="75"/>
        <v>0</v>
      </c>
      <c r="G190" s="155">
        <f t="shared" si="75"/>
        <v>0</v>
      </c>
      <c r="H190" s="155">
        <f t="shared" si="75"/>
        <v>0</v>
      </c>
      <c r="I190" s="155">
        <f t="shared" si="75"/>
        <v>0</v>
      </c>
      <c r="J190" s="155">
        <f t="shared" si="75"/>
        <v>0</v>
      </c>
      <c r="K190" s="155">
        <f t="shared" si="75"/>
        <v>0</v>
      </c>
      <c r="L190" s="155">
        <f t="shared" si="75"/>
        <v>0</v>
      </c>
      <c r="M190" s="155">
        <f t="shared" si="75"/>
        <v>0</v>
      </c>
      <c r="N190" s="155">
        <f t="shared" si="75"/>
        <v>0</v>
      </c>
    </row>
    <row r="191" spans="1:15" ht="20.100000000000001" customHeight="1" x14ac:dyDescent="0.25">
      <c r="B191" s="19" t="s">
        <v>132</v>
      </c>
      <c r="C191" s="154">
        <v>0.125</v>
      </c>
    </row>
    <row r="192" spans="1:15" ht="20.100000000000001" customHeight="1" x14ac:dyDescent="0.25">
      <c r="B192" s="169" t="s">
        <v>133</v>
      </c>
      <c r="C192" s="156">
        <f>C190-5%</f>
        <v>-0.05</v>
      </c>
      <c r="D192" s="156">
        <f t="shared" ref="D192:N192" si="76">D190-5%</f>
        <v>-0.05</v>
      </c>
      <c r="E192" s="156">
        <f t="shared" si="76"/>
        <v>-0.05</v>
      </c>
      <c r="F192" s="156">
        <f t="shared" si="76"/>
        <v>-0.05</v>
      </c>
      <c r="G192" s="156">
        <f t="shared" si="76"/>
        <v>-0.05</v>
      </c>
      <c r="H192" s="156">
        <f t="shared" si="76"/>
        <v>-0.05</v>
      </c>
      <c r="I192" s="156">
        <f t="shared" si="76"/>
        <v>-0.05</v>
      </c>
      <c r="J192" s="156">
        <f t="shared" si="76"/>
        <v>-0.05</v>
      </c>
      <c r="K192" s="156">
        <f t="shared" si="76"/>
        <v>-0.05</v>
      </c>
      <c r="L192" s="156">
        <f t="shared" si="76"/>
        <v>-0.05</v>
      </c>
      <c r="M192" s="156">
        <f t="shared" si="76"/>
        <v>-0.05</v>
      </c>
      <c r="N192" s="156">
        <f t="shared" si="76"/>
        <v>-0.05</v>
      </c>
    </row>
    <row r="194" spans="1:15" ht="20.100000000000001" customHeight="1" x14ac:dyDescent="0.25">
      <c r="B194" s="149" t="s">
        <v>82</v>
      </c>
      <c r="C194" s="149" t="s">
        <v>83</v>
      </c>
      <c r="D194" s="149" t="s">
        <v>84</v>
      </c>
      <c r="E194" s="149" t="s">
        <v>85</v>
      </c>
      <c r="F194" s="149" t="s">
        <v>86</v>
      </c>
      <c r="G194" s="149" t="s">
        <v>87</v>
      </c>
      <c r="H194" s="149" t="s">
        <v>88</v>
      </c>
      <c r="I194" s="149" t="s">
        <v>89</v>
      </c>
      <c r="J194" s="149" t="s">
        <v>90</v>
      </c>
      <c r="K194" s="149" t="s">
        <v>91</v>
      </c>
      <c r="L194" s="149" t="s">
        <v>92</v>
      </c>
      <c r="M194" s="149" t="s">
        <v>93</v>
      </c>
      <c r="N194" s="149" t="s">
        <v>94</v>
      </c>
    </row>
    <row r="195" spans="1:15" ht="20.100000000000001" customHeight="1" x14ac:dyDescent="0.25">
      <c r="A195" s="157">
        <v>0</v>
      </c>
      <c r="B195" s="9" t="s">
        <v>35</v>
      </c>
      <c r="C195" s="158" t="b">
        <f>IF(C$190&gt;$C$191,C$192*$A195)</f>
        <v>0</v>
      </c>
      <c r="D195" s="158" t="b">
        <f t="shared" ref="D195:N195" si="77">IF(D$190&gt;$C$191,D$192*$A195)</f>
        <v>0</v>
      </c>
      <c r="E195" s="158" t="b">
        <f t="shared" si="77"/>
        <v>0</v>
      </c>
      <c r="F195" s="158" t="b">
        <f t="shared" si="77"/>
        <v>0</v>
      </c>
      <c r="G195" s="158" t="b">
        <f t="shared" si="77"/>
        <v>0</v>
      </c>
      <c r="H195" s="158" t="b">
        <f t="shared" si="77"/>
        <v>0</v>
      </c>
      <c r="I195" s="158" t="b">
        <f t="shared" si="77"/>
        <v>0</v>
      </c>
      <c r="J195" s="158" t="b">
        <f t="shared" si="77"/>
        <v>0</v>
      </c>
      <c r="K195" s="158" t="b">
        <f t="shared" si="77"/>
        <v>0</v>
      </c>
      <c r="L195" s="158" t="b">
        <f t="shared" si="77"/>
        <v>0</v>
      </c>
      <c r="M195" s="158" t="b">
        <f t="shared" si="77"/>
        <v>0</v>
      </c>
      <c r="N195" s="158" t="b">
        <f t="shared" si="77"/>
        <v>0</v>
      </c>
    </row>
    <row r="196" spans="1:15" ht="20.100000000000001" customHeight="1" x14ac:dyDescent="0.25">
      <c r="A196" s="157">
        <v>0</v>
      </c>
      <c r="B196" s="9" t="s">
        <v>36</v>
      </c>
      <c r="C196" s="158" t="b">
        <f t="shared" ref="C196:N200" si="78">IF(C$190&gt;$C$191,C$192*$A196)</f>
        <v>0</v>
      </c>
      <c r="D196" s="158" t="b">
        <f t="shared" si="78"/>
        <v>0</v>
      </c>
      <c r="E196" s="158" t="b">
        <f t="shared" si="78"/>
        <v>0</v>
      </c>
      <c r="F196" s="158" t="b">
        <f t="shared" si="78"/>
        <v>0</v>
      </c>
      <c r="G196" s="158" t="b">
        <f t="shared" si="78"/>
        <v>0</v>
      </c>
      <c r="H196" s="158" t="b">
        <f t="shared" si="78"/>
        <v>0</v>
      </c>
      <c r="I196" s="158" t="b">
        <f t="shared" si="78"/>
        <v>0</v>
      </c>
      <c r="J196" s="158" t="b">
        <f t="shared" si="78"/>
        <v>0</v>
      </c>
      <c r="K196" s="158" t="b">
        <f t="shared" si="78"/>
        <v>0</v>
      </c>
      <c r="L196" s="158" t="b">
        <f t="shared" si="78"/>
        <v>0</v>
      </c>
      <c r="M196" s="158" t="b">
        <f t="shared" si="78"/>
        <v>0</v>
      </c>
      <c r="N196" s="158" t="b">
        <f t="shared" si="78"/>
        <v>0</v>
      </c>
    </row>
    <row r="197" spans="1:15" ht="20.100000000000001" customHeight="1" x14ac:dyDescent="0.25">
      <c r="A197" s="157">
        <v>0</v>
      </c>
      <c r="B197" s="9" t="s">
        <v>39</v>
      </c>
      <c r="C197" s="158">
        <f>$A197</f>
        <v>0</v>
      </c>
      <c r="D197" s="158">
        <f t="shared" ref="D197:N197" si="79">$A197</f>
        <v>0</v>
      </c>
      <c r="E197" s="158">
        <f t="shared" si="79"/>
        <v>0</v>
      </c>
      <c r="F197" s="158">
        <f t="shared" si="79"/>
        <v>0</v>
      </c>
      <c r="G197" s="158">
        <f t="shared" si="79"/>
        <v>0</v>
      </c>
      <c r="H197" s="158">
        <f t="shared" si="79"/>
        <v>0</v>
      </c>
      <c r="I197" s="158">
        <f t="shared" si="79"/>
        <v>0</v>
      </c>
      <c r="J197" s="158">
        <f t="shared" si="79"/>
        <v>0</v>
      </c>
      <c r="K197" s="158">
        <f t="shared" si="79"/>
        <v>0</v>
      </c>
      <c r="L197" s="158">
        <f t="shared" si="79"/>
        <v>0</v>
      </c>
      <c r="M197" s="158">
        <f t="shared" si="79"/>
        <v>0</v>
      </c>
      <c r="N197" s="158">
        <f t="shared" si="79"/>
        <v>0</v>
      </c>
    </row>
    <row r="198" spans="1:15" ht="20.100000000000001" customHeight="1" x14ac:dyDescent="0.25">
      <c r="A198" s="157">
        <v>0</v>
      </c>
      <c r="B198" s="9" t="s">
        <v>129</v>
      </c>
      <c r="C198" s="158" t="b">
        <f t="shared" si="78"/>
        <v>0</v>
      </c>
      <c r="D198" s="158" t="b">
        <f t="shared" si="78"/>
        <v>0</v>
      </c>
      <c r="E198" s="158" t="b">
        <f t="shared" si="78"/>
        <v>0</v>
      </c>
      <c r="F198" s="158" t="b">
        <f t="shared" si="78"/>
        <v>0</v>
      </c>
      <c r="G198" s="158" t="b">
        <f t="shared" si="78"/>
        <v>0</v>
      </c>
      <c r="H198" s="158" t="b">
        <f t="shared" si="78"/>
        <v>0</v>
      </c>
      <c r="I198" s="158" t="b">
        <f t="shared" si="78"/>
        <v>0</v>
      </c>
      <c r="J198" s="158" t="b">
        <f t="shared" si="78"/>
        <v>0</v>
      </c>
      <c r="K198" s="158" t="b">
        <f t="shared" si="78"/>
        <v>0</v>
      </c>
      <c r="L198" s="158" t="b">
        <f t="shared" si="78"/>
        <v>0</v>
      </c>
      <c r="M198" s="158" t="b">
        <f t="shared" si="78"/>
        <v>0</v>
      </c>
      <c r="N198" s="158" t="b">
        <f t="shared" si="78"/>
        <v>0</v>
      </c>
    </row>
    <row r="199" spans="1:15" ht="20.100000000000001" customHeight="1" x14ac:dyDescent="0.25">
      <c r="A199" s="157">
        <v>0</v>
      </c>
      <c r="B199" s="9" t="s">
        <v>42</v>
      </c>
      <c r="C199" s="158" t="b">
        <f t="shared" si="78"/>
        <v>0</v>
      </c>
      <c r="D199" s="158" t="b">
        <f t="shared" si="78"/>
        <v>0</v>
      </c>
      <c r="E199" s="158" t="b">
        <f t="shared" si="78"/>
        <v>0</v>
      </c>
      <c r="F199" s="158" t="b">
        <f t="shared" si="78"/>
        <v>0</v>
      </c>
      <c r="G199" s="158" t="b">
        <f t="shared" si="78"/>
        <v>0</v>
      </c>
      <c r="H199" s="158" t="b">
        <f t="shared" si="78"/>
        <v>0</v>
      </c>
      <c r="I199" s="158" t="b">
        <f t="shared" si="78"/>
        <v>0</v>
      </c>
      <c r="J199" s="158" t="b">
        <f t="shared" si="78"/>
        <v>0</v>
      </c>
      <c r="K199" s="158" t="b">
        <f t="shared" si="78"/>
        <v>0</v>
      </c>
      <c r="L199" s="158" t="b">
        <f t="shared" si="78"/>
        <v>0</v>
      </c>
      <c r="M199" s="158" t="b">
        <f t="shared" si="78"/>
        <v>0</v>
      </c>
      <c r="N199" s="158" t="b">
        <f t="shared" si="78"/>
        <v>0</v>
      </c>
    </row>
    <row r="200" spans="1:15" ht="20.100000000000001" customHeight="1" x14ac:dyDescent="0.25">
      <c r="A200" s="157">
        <v>0</v>
      </c>
      <c r="B200" s="9" t="s">
        <v>134</v>
      </c>
      <c r="C200" s="158" t="b">
        <f t="shared" si="78"/>
        <v>0</v>
      </c>
      <c r="D200" s="158" t="b">
        <f t="shared" si="78"/>
        <v>0</v>
      </c>
      <c r="E200" s="158" t="b">
        <f t="shared" si="78"/>
        <v>0</v>
      </c>
      <c r="F200" s="158" t="b">
        <f t="shared" si="78"/>
        <v>0</v>
      </c>
      <c r="G200" s="158" t="b">
        <f t="shared" si="78"/>
        <v>0</v>
      </c>
      <c r="H200" s="158" t="b">
        <f t="shared" si="78"/>
        <v>0</v>
      </c>
      <c r="I200" s="158" t="b">
        <f t="shared" si="78"/>
        <v>0</v>
      </c>
      <c r="J200" s="158" t="b">
        <f t="shared" si="78"/>
        <v>0</v>
      </c>
      <c r="K200" s="158" t="b">
        <f t="shared" si="78"/>
        <v>0</v>
      </c>
      <c r="L200" s="158" t="b">
        <f t="shared" si="78"/>
        <v>0</v>
      </c>
      <c r="M200" s="158" t="b">
        <f t="shared" si="78"/>
        <v>0</v>
      </c>
      <c r="N200" s="158" t="b">
        <f t="shared" si="78"/>
        <v>0</v>
      </c>
    </row>
    <row r="202" spans="1:15" ht="20.100000000000001" customHeight="1" x14ac:dyDescent="0.25">
      <c r="B202" s="169" t="s">
        <v>135</v>
      </c>
      <c r="C202" s="159">
        <f>C38</f>
        <v>0</v>
      </c>
      <c r="D202" s="159">
        <f t="shared" ref="D202:N202" si="80">D38</f>
        <v>0</v>
      </c>
      <c r="E202" s="159">
        <f t="shared" si="80"/>
        <v>0</v>
      </c>
      <c r="F202" s="159">
        <f t="shared" si="80"/>
        <v>0</v>
      </c>
      <c r="G202" s="159">
        <f t="shared" si="80"/>
        <v>0</v>
      </c>
      <c r="H202" s="159">
        <f t="shared" si="80"/>
        <v>0</v>
      </c>
      <c r="I202" s="159">
        <f t="shared" si="80"/>
        <v>0</v>
      </c>
      <c r="J202" s="159">
        <f t="shared" si="80"/>
        <v>0</v>
      </c>
      <c r="K202" s="159">
        <f t="shared" si="80"/>
        <v>0</v>
      </c>
      <c r="L202" s="159">
        <f t="shared" si="80"/>
        <v>0</v>
      </c>
      <c r="M202" s="159">
        <f t="shared" si="80"/>
        <v>0</v>
      </c>
      <c r="N202" s="159">
        <f t="shared" si="80"/>
        <v>0</v>
      </c>
      <c r="O202" s="152">
        <f>SUM(C202:N202)</f>
        <v>0</v>
      </c>
    </row>
    <row r="203" spans="1:15" ht="20.100000000000001" customHeight="1" x14ac:dyDescent="0.25">
      <c r="B203" s="9" t="s">
        <v>35</v>
      </c>
      <c r="C203" s="151">
        <f>IFERROR(C$202*C195,0)</f>
        <v>0</v>
      </c>
      <c r="D203" s="151">
        <f t="shared" ref="D203:N203" si="81">IFERROR(D$202*D195,0)</f>
        <v>0</v>
      </c>
      <c r="E203" s="151">
        <f t="shared" si="81"/>
        <v>0</v>
      </c>
      <c r="F203" s="151">
        <f t="shared" si="81"/>
        <v>0</v>
      </c>
      <c r="G203" s="151">
        <f t="shared" si="81"/>
        <v>0</v>
      </c>
      <c r="H203" s="151">
        <f t="shared" si="81"/>
        <v>0</v>
      </c>
      <c r="I203" s="151">
        <f t="shared" si="81"/>
        <v>0</v>
      </c>
      <c r="J203" s="151">
        <f t="shared" si="81"/>
        <v>0</v>
      </c>
      <c r="K203" s="151">
        <f t="shared" si="81"/>
        <v>0</v>
      </c>
      <c r="L203" s="151">
        <f t="shared" si="81"/>
        <v>0</v>
      </c>
      <c r="M203" s="151">
        <f t="shared" si="81"/>
        <v>0</v>
      </c>
      <c r="N203" s="151">
        <f t="shared" si="81"/>
        <v>0</v>
      </c>
      <c r="O203" s="152">
        <f t="shared" ref="O203:O208" si="82">SUM(C203:N203)</f>
        <v>0</v>
      </c>
    </row>
    <row r="204" spans="1:15" ht="20.100000000000001" customHeight="1" x14ac:dyDescent="0.25">
      <c r="B204" s="9" t="s">
        <v>36</v>
      </c>
      <c r="C204" s="151">
        <f t="shared" ref="C204:N208" si="83">IFERROR(C$202*C196,0)</f>
        <v>0</v>
      </c>
      <c r="D204" s="151">
        <f t="shared" si="83"/>
        <v>0</v>
      </c>
      <c r="E204" s="151">
        <f t="shared" si="83"/>
        <v>0</v>
      </c>
      <c r="F204" s="151">
        <f t="shared" si="83"/>
        <v>0</v>
      </c>
      <c r="G204" s="151">
        <f t="shared" si="83"/>
        <v>0</v>
      </c>
      <c r="H204" s="151">
        <f t="shared" si="83"/>
        <v>0</v>
      </c>
      <c r="I204" s="151">
        <f t="shared" si="83"/>
        <v>0</v>
      </c>
      <c r="J204" s="151">
        <f t="shared" si="83"/>
        <v>0</v>
      </c>
      <c r="K204" s="151">
        <f t="shared" si="83"/>
        <v>0</v>
      </c>
      <c r="L204" s="151">
        <f t="shared" si="83"/>
        <v>0</v>
      </c>
      <c r="M204" s="151">
        <f t="shared" si="83"/>
        <v>0</v>
      </c>
      <c r="N204" s="151">
        <f t="shared" si="83"/>
        <v>0</v>
      </c>
      <c r="O204" s="152">
        <f t="shared" si="82"/>
        <v>0</v>
      </c>
    </row>
    <row r="205" spans="1:15" ht="20.100000000000001" customHeight="1" x14ac:dyDescent="0.25">
      <c r="B205" s="9" t="s">
        <v>39</v>
      </c>
      <c r="C205" s="151">
        <f t="shared" si="83"/>
        <v>0</v>
      </c>
      <c r="D205" s="151">
        <f t="shared" si="83"/>
        <v>0</v>
      </c>
      <c r="E205" s="151">
        <f t="shared" si="83"/>
        <v>0</v>
      </c>
      <c r="F205" s="151">
        <f t="shared" si="83"/>
        <v>0</v>
      </c>
      <c r="G205" s="151">
        <f t="shared" si="83"/>
        <v>0</v>
      </c>
      <c r="H205" s="151">
        <f t="shared" si="83"/>
        <v>0</v>
      </c>
      <c r="I205" s="151">
        <f t="shared" si="83"/>
        <v>0</v>
      </c>
      <c r="J205" s="151">
        <f t="shared" si="83"/>
        <v>0</v>
      </c>
      <c r="K205" s="151">
        <f t="shared" si="83"/>
        <v>0</v>
      </c>
      <c r="L205" s="151">
        <f t="shared" si="83"/>
        <v>0</v>
      </c>
      <c r="M205" s="151">
        <f t="shared" si="83"/>
        <v>0</v>
      </c>
      <c r="N205" s="151">
        <f t="shared" si="83"/>
        <v>0</v>
      </c>
      <c r="O205" s="152">
        <f t="shared" si="82"/>
        <v>0</v>
      </c>
    </row>
    <row r="206" spans="1:15" ht="20.100000000000001" customHeight="1" x14ac:dyDescent="0.25">
      <c r="B206" s="9" t="s">
        <v>129</v>
      </c>
      <c r="C206" s="151">
        <f t="shared" si="83"/>
        <v>0</v>
      </c>
      <c r="D206" s="151">
        <f t="shared" si="83"/>
        <v>0</v>
      </c>
      <c r="E206" s="151">
        <f t="shared" si="83"/>
        <v>0</v>
      </c>
      <c r="F206" s="151">
        <f t="shared" si="83"/>
        <v>0</v>
      </c>
      <c r="G206" s="151">
        <f t="shared" si="83"/>
        <v>0</v>
      </c>
      <c r="H206" s="151">
        <f t="shared" si="83"/>
        <v>0</v>
      </c>
      <c r="I206" s="151">
        <f t="shared" si="83"/>
        <v>0</v>
      </c>
      <c r="J206" s="151">
        <f t="shared" si="83"/>
        <v>0</v>
      </c>
      <c r="K206" s="151">
        <f t="shared" si="83"/>
        <v>0</v>
      </c>
      <c r="L206" s="151">
        <f t="shared" si="83"/>
        <v>0</v>
      </c>
      <c r="M206" s="151">
        <f t="shared" si="83"/>
        <v>0</v>
      </c>
      <c r="N206" s="151">
        <f t="shared" si="83"/>
        <v>0</v>
      </c>
      <c r="O206" s="152">
        <f t="shared" si="82"/>
        <v>0</v>
      </c>
    </row>
    <row r="207" spans="1:15" ht="20.100000000000001" customHeight="1" x14ac:dyDescent="0.25">
      <c r="B207" s="9" t="s">
        <v>42</v>
      </c>
      <c r="C207" s="151">
        <f t="shared" si="83"/>
        <v>0</v>
      </c>
      <c r="D207" s="151">
        <f t="shared" si="83"/>
        <v>0</v>
      </c>
      <c r="E207" s="151">
        <f t="shared" si="83"/>
        <v>0</v>
      </c>
      <c r="F207" s="151">
        <f t="shared" si="83"/>
        <v>0</v>
      </c>
      <c r="G207" s="151">
        <f t="shared" si="83"/>
        <v>0</v>
      </c>
      <c r="H207" s="151">
        <f t="shared" si="83"/>
        <v>0</v>
      </c>
      <c r="I207" s="151">
        <f t="shared" si="83"/>
        <v>0</v>
      </c>
      <c r="J207" s="151">
        <f t="shared" si="83"/>
        <v>0</v>
      </c>
      <c r="K207" s="151">
        <f t="shared" si="83"/>
        <v>0</v>
      </c>
      <c r="L207" s="151">
        <f t="shared" si="83"/>
        <v>0</v>
      </c>
      <c r="M207" s="151">
        <f t="shared" si="83"/>
        <v>0</v>
      </c>
      <c r="N207" s="151">
        <f t="shared" si="83"/>
        <v>0</v>
      </c>
      <c r="O207" s="152">
        <f t="shared" si="82"/>
        <v>0</v>
      </c>
    </row>
    <row r="208" spans="1:15" ht="20.100000000000001" customHeight="1" x14ac:dyDescent="0.25">
      <c r="B208" s="9" t="s">
        <v>134</v>
      </c>
      <c r="C208" s="151">
        <f t="shared" si="83"/>
        <v>0</v>
      </c>
      <c r="D208" s="151">
        <f t="shared" si="83"/>
        <v>0</v>
      </c>
      <c r="E208" s="151">
        <f t="shared" si="83"/>
        <v>0</v>
      </c>
      <c r="F208" s="151">
        <f t="shared" si="83"/>
        <v>0</v>
      </c>
      <c r="G208" s="151">
        <f t="shared" si="83"/>
        <v>0</v>
      </c>
      <c r="H208" s="151">
        <f t="shared" si="83"/>
        <v>0</v>
      </c>
      <c r="I208" s="151">
        <f t="shared" si="83"/>
        <v>0</v>
      </c>
      <c r="J208" s="151">
        <f t="shared" si="83"/>
        <v>0</v>
      </c>
      <c r="K208" s="151">
        <f t="shared" si="83"/>
        <v>0</v>
      </c>
      <c r="L208" s="151">
        <f t="shared" si="83"/>
        <v>0</v>
      </c>
      <c r="M208" s="151">
        <f t="shared" si="83"/>
        <v>0</v>
      </c>
      <c r="N208" s="151">
        <f t="shared" si="83"/>
        <v>0</v>
      </c>
      <c r="O208" s="152">
        <f t="shared" si="82"/>
        <v>0</v>
      </c>
    </row>
    <row r="209" spans="2:15" ht="20.100000000000001" customHeight="1" x14ac:dyDescent="0.25">
      <c r="B209" s="168" t="s">
        <v>99</v>
      </c>
      <c r="C209" s="152">
        <f>SUM(C203:C208)</f>
        <v>0</v>
      </c>
      <c r="D209" s="152">
        <f t="shared" ref="D209:N209" si="84">SUM(D203:D208)</f>
        <v>0</v>
      </c>
      <c r="E209" s="152">
        <f t="shared" si="84"/>
        <v>0</v>
      </c>
      <c r="F209" s="152">
        <f t="shared" si="84"/>
        <v>0</v>
      </c>
      <c r="G209" s="152">
        <f t="shared" si="84"/>
        <v>0</v>
      </c>
      <c r="H209" s="152">
        <f t="shared" si="84"/>
        <v>0</v>
      </c>
      <c r="I209" s="152">
        <f t="shared" si="84"/>
        <v>0</v>
      </c>
      <c r="J209" s="152">
        <f t="shared" si="84"/>
        <v>0</v>
      </c>
      <c r="K209" s="152">
        <f t="shared" si="84"/>
        <v>0</v>
      </c>
      <c r="L209" s="152">
        <f t="shared" si="84"/>
        <v>0</v>
      </c>
      <c r="M209" s="152">
        <f t="shared" si="84"/>
        <v>0</v>
      </c>
      <c r="N209" s="152">
        <f t="shared" si="84"/>
        <v>0</v>
      </c>
      <c r="O209" s="152">
        <f>SUM(C209:N209)</f>
        <v>0</v>
      </c>
    </row>
  </sheetData>
  <mergeCells count="2">
    <mergeCell ref="B2:E2"/>
    <mergeCell ref="B153:O15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4">
    <tabColor rgb="FF00C5C0"/>
  </sheetPr>
  <dimension ref="C1:V29"/>
  <sheetViews>
    <sheetView showGridLines="0" showRowColHeaders="0" workbookViewId="0">
      <pane ySplit="2" topLeftCell="A3" activePane="bottomLeft" state="frozen"/>
      <selection pane="bottomLeft"/>
    </sheetView>
  </sheetViews>
  <sheetFormatPr defaultRowHeight="15" customHeight="1" x14ac:dyDescent="0.25"/>
  <cols>
    <col min="1" max="1" width="2.7109375" style="4" customWidth="1"/>
    <col min="2" max="3" width="5.7109375" style="4" customWidth="1"/>
    <col min="4" max="4" width="9.140625" style="4"/>
    <col min="5" max="5" width="2.7109375" style="4" customWidth="1"/>
    <col min="6" max="6" width="9.140625" style="4" customWidth="1"/>
    <col min="7" max="16384" width="9.140625" style="4"/>
  </cols>
  <sheetData>
    <row r="1" spans="3:17" s="1" customFormat="1" ht="35.1" customHeight="1" x14ac:dyDescent="0.25"/>
    <row r="2" spans="3:17" s="3" customFormat="1" ht="30" customHeight="1" x14ac:dyDescent="0.25"/>
    <row r="5" spans="3:17" ht="15" customHeight="1" x14ac:dyDescent="0.25">
      <c r="C5" s="5" t="s">
        <v>1</v>
      </c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</row>
    <row r="6" spans="3:17" ht="15" customHeight="1" x14ac:dyDescent="0.25">
      <c r="C6" s="7" t="s">
        <v>2</v>
      </c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</row>
    <row r="7" spans="3:17" ht="15" customHeight="1" x14ac:dyDescent="0.25">
      <c r="P7" s="8"/>
      <c r="Q7" s="9"/>
    </row>
    <row r="8" spans="3:17" ht="15" customHeight="1" x14ac:dyDescent="0.2">
      <c r="D8" s="9"/>
      <c r="F8" s="9"/>
      <c r="G8" s="10"/>
      <c r="P8" s="8"/>
      <c r="Q8" s="17"/>
    </row>
    <row r="9" spans="3:17" ht="15" customHeight="1" x14ac:dyDescent="0.25">
      <c r="D9" s="9"/>
      <c r="F9" s="9"/>
      <c r="P9" s="8"/>
      <c r="Q9" s="9"/>
    </row>
    <row r="10" spans="3:17" ht="15" customHeight="1" x14ac:dyDescent="0.25">
      <c r="D10" s="9" t="s">
        <v>3</v>
      </c>
      <c r="F10" s="9"/>
      <c r="G10" s="16" t="s">
        <v>12</v>
      </c>
      <c r="P10" s="8"/>
      <c r="Q10" s="9"/>
    </row>
    <row r="11" spans="3:17" ht="15" customHeight="1" x14ac:dyDescent="0.2">
      <c r="F11" s="9"/>
      <c r="P11" s="8"/>
      <c r="Q11" s="17"/>
    </row>
    <row r="12" spans="3:17" ht="15" customHeight="1" x14ac:dyDescent="0.25">
      <c r="D12" s="9" t="s">
        <v>4</v>
      </c>
      <c r="F12" s="9"/>
      <c r="G12" s="11" t="s">
        <v>5</v>
      </c>
      <c r="P12" s="8"/>
      <c r="Q12" s="9"/>
    </row>
    <row r="13" spans="3:17" ht="15" customHeight="1" x14ac:dyDescent="0.25">
      <c r="F13" s="9"/>
      <c r="P13" s="8"/>
      <c r="Q13" s="9"/>
    </row>
    <row r="14" spans="3:17" ht="15" customHeight="1" x14ac:dyDescent="0.2">
      <c r="D14" s="9" t="s">
        <v>6</v>
      </c>
      <c r="F14" s="9"/>
      <c r="G14" s="17" t="s">
        <v>13</v>
      </c>
      <c r="P14" s="8"/>
      <c r="Q14" s="17"/>
    </row>
    <row r="15" spans="3:17" ht="15" customHeight="1" x14ac:dyDescent="0.25">
      <c r="F15" s="9"/>
      <c r="P15" s="8"/>
      <c r="Q15" s="9"/>
    </row>
    <row r="16" spans="3:17" ht="15" customHeight="1" x14ac:dyDescent="0.25">
      <c r="D16" s="9"/>
      <c r="F16" s="9"/>
      <c r="G16" s="12"/>
      <c r="P16" s="8"/>
      <c r="Q16" s="9"/>
    </row>
    <row r="17" spans="4:22" ht="15" customHeight="1" x14ac:dyDescent="0.2">
      <c r="P17" s="8"/>
      <c r="Q17" s="17"/>
    </row>
    <row r="18" spans="4:22" ht="15" customHeight="1" x14ac:dyDescent="0.25">
      <c r="Q18" s="9"/>
    </row>
    <row r="19" spans="4:22" ht="15" customHeight="1" x14ac:dyDescent="0.25">
      <c r="D19" s="9"/>
    </row>
    <row r="21" spans="4:22" ht="15" customHeight="1" x14ac:dyDescent="0.25">
      <c r="D21" s="9" t="s">
        <v>7</v>
      </c>
    </row>
    <row r="22" spans="4:22" ht="15" customHeight="1" x14ac:dyDescent="0.25">
      <c r="D22" s="9"/>
    </row>
    <row r="23" spans="4:22" ht="15" customHeight="1" x14ac:dyDescent="0.25">
      <c r="D23" s="9" t="s">
        <v>8</v>
      </c>
    </row>
    <row r="24" spans="4:22" ht="15" customHeight="1" x14ac:dyDescent="0.25">
      <c r="D24" s="9"/>
    </row>
    <row r="25" spans="4:22" ht="15" customHeight="1" x14ac:dyDescent="0.25">
      <c r="D25" s="9" t="s">
        <v>9</v>
      </c>
      <c r="L25" s="13"/>
    </row>
    <row r="26" spans="4:22" ht="15" customHeight="1" x14ac:dyDescent="0.25">
      <c r="D26" s="9"/>
    </row>
    <row r="27" spans="4:22" ht="15" customHeight="1" x14ac:dyDescent="0.25">
      <c r="D27" s="9" t="s">
        <v>10</v>
      </c>
    </row>
    <row r="28" spans="4:22" ht="15" customHeight="1" x14ac:dyDescent="0.25">
      <c r="V28" s="14" t="s">
        <v>326</v>
      </c>
    </row>
    <row r="29" spans="4:22" ht="15" customHeight="1" x14ac:dyDescent="0.25">
      <c r="V29" s="14" t="s">
        <v>11</v>
      </c>
    </row>
  </sheetData>
  <sheetProtection sheet="1" objects="1" scenarios="1" selectLockedCells="1" selectUnlockedCells="1"/>
  <conditionalFormatting sqref="B8">
    <cfRule type="iconSet" priority="11">
      <iconSet>
        <cfvo type="percent" val="0"/>
        <cfvo type="percent" val="33"/>
        <cfvo type="percent" val="67"/>
      </iconSet>
    </cfRule>
  </conditionalFormatting>
  <conditionalFormatting sqref="B10">
    <cfRule type="iconSet" priority="10">
      <iconSet>
        <cfvo type="percent" val="0"/>
        <cfvo type="percent" val="33"/>
        <cfvo type="percent" val="67"/>
      </iconSet>
    </cfRule>
  </conditionalFormatting>
  <conditionalFormatting sqref="B12">
    <cfRule type="iconSet" priority="9">
      <iconSet>
        <cfvo type="percent" val="0"/>
        <cfvo type="percent" val="33"/>
        <cfvo type="percent" val="67"/>
      </iconSet>
    </cfRule>
  </conditionalFormatting>
  <conditionalFormatting sqref="B14">
    <cfRule type="iconSet" priority="8">
      <iconSet>
        <cfvo type="percent" val="0"/>
        <cfvo type="percent" val="33"/>
        <cfvo type="percent" val="67"/>
      </iconSet>
    </cfRule>
  </conditionalFormatting>
  <conditionalFormatting sqref="B16">
    <cfRule type="iconSet" priority="7">
      <iconSet>
        <cfvo type="percent" val="0"/>
        <cfvo type="percent" val="33"/>
        <cfvo type="percent" val="67"/>
      </iconSet>
    </cfRule>
  </conditionalFormatting>
  <conditionalFormatting sqref="C8">
    <cfRule type="iconSet" priority="6">
      <iconSet>
        <cfvo type="percent" val="0"/>
        <cfvo type="percent" val="33"/>
        <cfvo type="percent" val="67"/>
      </iconSet>
    </cfRule>
  </conditionalFormatting>
  <conditionalFormatting sqref="C10">
    <cfRule type="iconSet" priority="5">
      <iconSet>
        <cfvo type="percent" val="0"/>
        <cfvo type="percent" val="33"/>
        <cfvo type="percent" val="67"/>
      </iconSet>
    </cfRule>
  </conditionalFormatting>
  <conditionalFormatting sqref="C12">
    <cfRule type="iconSet" priority="4">
      <iconSet>
        <cfvo type="percent" val="0"/>
        <cfvo type="percent" val="33"/>
        <cfvo type="percent" val="67"/>
      </iconSet>
    </cfRule>
  </conditionalFormatting>
  <conditionalFormatting sqref="C14">
    <cfRule type="iconSet" priority="1">
      <iconSet>
        <cfvo type="percent" val="0"/>
        <cfvo type="percent" val="33"/>
        <cfvo type="percent" val="67"/>
      </iconSet>
    </cfRule>
  </conditionalFormatting>
  <conditionalFormatting sqref="C16">
    <cfRule type="iconSet" priority="2">
      <iconSet>
        <cfvo type="percent" val="0"/>
        <cfvo type="percent" val="33"/>
        <cfvo type="percent" val="67"/>
      </iconSet>
    </cfRule>
  </conditionalFormatting>
  <hyperlinks>
    <hyperlink ref="G12" r:id="rId1" xr:uid="{00000000-0004-0000-0900-000000000000}"/>
    <hyperlink ref="G14" r:id="rId2" display="http://www.onsidecorporation.com.br/" xr:uid="{00000000-0004-0000-0900-000001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" name="Group Box 3">
              <controlPr defaultSize="0" autoFill="0" autoPict="0">
                <anchor moveWithCells="1">
                  <from>
                    <xdr:col>1</xdr:col>
                    <xdr:colOff>180975</xdr:colOff>
                    <xdr:row>18</xdr:row>
                    <xdr:rowOff>57150</xdr:rowOff>
                  </from>
                  <to>
                    <xdr:col>22</xdr:col>
                    <xdr:colOff>438150</xdr:colOff>
                    <xdr:row>30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5">
    <tabColor theme="1"/>
  </sheetPr>
  <dimension ref="B3:D9"/>
  <sheetViews>
    <sheetView showGridLines="0" showRowColHeaders="0" workbookViewId="0">
      <selection activeCell="I12" sqref="I12"/>
    </sheetView>
  </sheetViews>
  <sheetFormatPr defaultRowHeight="15" x14ac:dyDescent="0.25"/>
  <sheetData>
    <row r="3" spans="2:4" x14ac:dyDescent="0.25">
      <c r="B3" s="23"/>
      <c r="C3" s="18" t="s">
        <v>15</v>
      </c>
      <c r="D3" s="30"/>
    </row>
    <row r="4" spans="2:4" x14ac:dyDescent="0.25">
      <c r="B4" s="24"/>
      <c r="C4" s="18" t="s">
        <v>16</v>
      </c>
      <c r="D4" s="36"/>
    </row>
    <row r="5" spans="2:4" x14ac:dyDescent="0.25">
      <c r="B5" s="25"/>
      <c r="C5" s="18" t="s">
        <v>17</v>
      </c>
      <c r="D5" s="35"/>
    </row>
    <row r="6" spans="2:4" x14ac:dyDescent="0.25">
      <c r="B6" s="26"/>
      <c r="C6" s="18" t="s">
        <v>18</v>
      </c>
      <c r="D6" s="34"/>
    </row>
    <row r="7" spans="2:4" x14ac:dyDescent="0.25">
      <c r="B7" s="27"/>
      <c r="C7" s="18" t="s">
        <v>19</v>
      </c>
      <c r="D7" s="33"/>
    </row>
    <row r="8" spans="2:4" x14ac:dyDescent="0.25">
      <c r="B8" s="28"/>
      <c r="C8" s="18" t="s">
        <v>20</v>
      </c>
      <c r="D8" s="32"/>
    </row>
    <row r="9" spans="2:4" x14ac:dyDescent="0.25">
      <c r="B9" s="29"/>
      <c r="C9" s="18" t="s">
        <v>21</v>
      </c>
      <c r="D9" s="31"/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6">
    <tabColor rgb="FFFF2F2F"/>
  </sheetPr>
  <dimension ref="A1"/>
  <sheetViews>
    <sheetView showGridLines="0" showRowColHeaders="0" tabSelected="1" workbookViewId="0">
      <selection activeCell="B43" sqref="B43"/>
    </sheetView>
  </sheetViews>
  <sheetFormatPr defaultRowHeight="15" x14ac:dyDescent="0.25"/>
  <cols>
    <col min="1" max="16384" width="9.140625" style="15"/>
  </cols>
  <sheetData/>
  <sheetProtection sheet="1" objects="1" scenarios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7">
    <tabColor rgb="FF00C5C0"/>
  </sheetPr>
  <dimension ref="A1"/>
  <sheetViews>
    <sheetView showGridLines="0" showRowColHeaders="0" workbookViewId="0">
      <pane ySplit="41" topLeftCell="A42" activePane="bottomLeft" state="frozen"/>
      <selection pane="bottomLeft"/>
    </sheetView>
  </sheetViews>
  <sheetFormatPr defaultRowHeight="15" x14ac:dyDescent="0.25"/>
  <cols>
    <col min="1" max="16384" width="9.140625" style="15"/>
  </cols>
  <sheetData/>
  <sheetProtection sheet="1" objects="1" scenarios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8">
    <tabColor rgb="FF00C5C0"/>
  </sheetPr>
  <dimension ref="A1:Y33"/>
  <sheetViews>
    <sheetView showGridLines="0" showRowColHeaders="0" workbookViewId="0">
      <pane ySplit="2" topLeftCell="A3" activePane="bottomLeft" state="frozen"/>
      <selection pane="bottomLeft"/>
    </sheetView>
  </sheetViews>
  <sheetFormatPr defaultRowHeight="15" customHeight="1" x14ac:dyDescent="0.25"/>
  <cols>
    <col min="1" max="2" width="1.7109375" style="39" customWidth="1"/>
    <col min="3" max="3" width="2.7109375" style="39" customWidth="1"/>
    <col min="4" max="16384" width="9.140625" style="39"/>
  </cols>
  <sheetData>
    <row r="1" spans="2:25" s="1" customFormat="1" ht="35.1" customHeight="1" x14ac:dyDescent="0.25"/>
    <row r="2" spans="2:25" s="3" customFormat="1" ht="30" customHeight="1" x14ac:dyDescent="0.25"/>
    <row r="4" spans="2:25" ht="15" customHeight="1" x14ac:dyDescent="0.25"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</row>
    <row r="5" spans="2:25" ht="15" customHeight="1" x14ac:dyDescent="0.25"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</row>
    <row r="6" spans="2:25" ht="15" customHeight="1" x14ac:dyDescent="0.25"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</row>
    <row r="7" spans="2:25" ht="15" customHeight="1" x14ac:dyDescent="0.25"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</row>
    <row r="8" spans="2:25" ht="15" customHeight="1" x14ac:dyDescent="0.25"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</row>
    <row r="9" spans="2:25" ht="15" customHeight="1" x14ac:dyDescent="0.25"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</row>
    <row r="10" spans="2:25" ht="15" customHeight="1" x14ac:dyDescent="0.25"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</row>
    <row r="11" spans="2:25" ht="15" customHeight="1" x14ac:dyDescent="0.25"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</row>
    <row r="12" spans="2:25" ht="15" customHeight="1" x14ac:dyDescent="0.25"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</row>
    <row r="13" spans="2:25" ht="15" customHeight="1" x14ac:dyDescent="0.25"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</row>
    <row r="14" spans="2:25" ht="15" customHeight="1" x14ac:dyDescent="0.25"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</row>
    <row r="15" spans="2:25" ht="15" customHeight="1" x14ac:dyDescent="0.25"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</row>
    <row r="16" spans="2:25" ht="15" customHeight="1" x14ac:dyDescent="0.25">
      <c r="B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</row>
    <row r="17" spans="1:25" ht="15" customHeight="1" x14ac:dyDescent="0.25">
      <c r="B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</row>
    <row r="18" spans="1:25" ht="15" customHeight="1" x14ac:dyDescent="0.25">
      <c r="B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</row>
    <row r="19" spans="1:25" ht="15" customHeight="1" x14ac:dyDescent="0.25">
      <c r="B19" s="40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0"/>
      <c r="S19" s="40"/>
      <c r="T19" s="40"/>
      <c r="U19" s="40"/>
      <c r="V19" s="40"/>
      <c r="W19" s="40"/>
      <c r="X19" s="40"/>
      <c r="Y19" s="40"/>
    </row>
    <row r="20" spans="1:25" ht="15" customHeight="1" x14ac:dyDescent="0.25"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2"/>
      <c r="R20" s="40"/>
      <c r="S20" s="40"/>
      <c r="T20" s="40"/>
      <c r="U20" s="40"/>
      <c r="V20" s="40"/>
      <c r="W20" s="40"/>
      <c r="X20" s="40"/>
      <c r="Y20" s="40"/>
    </row>
    <row r="21" spans="1:25" ht="15" customHeight="1" x14ac:dyDescent="0.25">
      <c r="B21" s="40"/>
      <c r="C21" s="280" t="s">
        <v>24</v>
      </c>
      <c r="D21" s="280"/>
      <c r="E21" s="280"/>
      <c r="F21" s="280"/>
      <c r="G21" s="280"/>
      <c r="H21" s="280"/>
      <c r="I21" s="280"/>
      <c r="J21" s="280"/>
      <c r="K21" s="280"/>
      <c r="L21" s="280"/>
      <c r="M21" s="280"/>
      <c r="N21" s="280"/>
      <c r="O21" s="280"/>
      <c r="P21" s="280"/>
      <c r="Q21" s="280"/>
      <c r="R21" s="280"/>
      <c r="S21" s="280"/>
      <c r="T21" s="280"/>
      <c r="U21" s="280"/>
      <c r="V21" s="40"/>
      <c r="W21" s="40"/>
      <c r="X21" s="40"/>
      <c r="Y21" s="40"/>
    </row>
    <row r="22" spans="1:25" ht="15" customHeight="1" x14ac:dyDescent="0.25">
      <c r="B22" s="40"/>
      <c r="C22" s="280"/>
      <c r="D22" s="280"/>
      <c r="E22" s="280"/>
      <c r="F22" s="280"/>
      <c r="G22" s="280"/>
      <c r="H22" s="280"/>
      <c r="I22" s="280"/>
      <c r="J22" s="280"/>
      <c r="K22" s="280"/>
      <c r="L22" s="280"/>
      <c r="M22" s="280"/>
      <c r="N22" s="280"/>
      <c r="O22" s="280"/>
      <c r="P22" s="280"/>
      <c r="Q22" s="280"/>
      <c r="R22" s="280"/>
      <c r="S22" s="280"/>
      <c r="T22" s="280"/>
      <c r="U22" s="280"/>
      <c r="V22" s="40"/>
      <c r="W22" s="40"/>
      <c r="X22" s="40"/>
      <c r="Y22" s="40"/>
    </row>
    <row r="23" spans="1:25" ht="15" customHeight="1" x14ac:dyDescent="0.25"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</row>
    <row r="24" spans="1:25" ht="15" customHeight="1" x14ac:dyDescent="0.25">
      <c r="B24" s="40"/>
      <c r="C24" s="280" t="s">
        <v>25</v>
      </c>
      <c r="D24" s="280"/>
      <c r="E24" s="280"/>
      <c r="F24" s="280"/>
      <c r="G24" s="280"/>
      <c r="H24" s="280"/>
      <c r="I24" s="280"/>
      <c r="J24" s="280"/>
      <c r="K24" s="280"/>
      <c r="L24" s="280"/>
      <c r="M24" s="280"/>
      <c r="N24" s="280"/>
      <c r="O24" s="280"/>
      <c r="P24" s="280"/>
      <c r="Q24" s="280"/>
      <c r="R24" s="280"/>
      <c r="S24" s="280"/>
      <c r="T24" s="280"/>
      <c r="U24" s="280"/>
      <c r="V24" s="40"/>
      <c r="W24" s="40"/>
      <c r="X24" s="40"/>
      <c r="Y24" s="40"/>
    </row>
    <row r="25" spans="1:25" ht="15" customHeight="1" x14ac:dyDescent="0.25">
      <c r="B25" s="40"/>
      <c r="C25" s="280"/>
      <c r="D25" s="280"/>
      <c r="E25" s="280"/>
      <c r="F25" s="280"/>
      <c r="G25" s="280"/>
      <c r="H25" s="280"/>
      <c r="I25" s="280"/>
      <c r="J25" s="280"/>
      <c r="K25" s="280"/>
      <c r="L25" s="280"/>
      <c r="M25" s="280"/>
      <c r="N25" s="280"/>
      <c r="O25" s="280"/>
      <c r="P25" s="280"/>
      <c r="Q25" s="280"/>
      <c r="R25" s="280"/>
      <c r="S25" s="280"/>
      <c r="T25" s="280"/>
      <c r="U25" s="280"/>
      <c r="V25" s="40"/>
      <c r="W25" s="40"/>
      <c r="X25" s="40"/>
      <c r="Y25" s="40"/>
    </row>
    <row r="26" spans="1:25" ht="15" customHeight="1" x14ac:dyDescent="0.25"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</row>
    <row r="27" spans="1:25" ht="15" customHeight="1" x14ac:dyDescent="0.25">
      <c r="B27" s="40"/>
      <c r="C27" s="280" t="s">
        <v>26</v>
      </c>
      <c r="D27" s="280"/>
      <c r="E27" s="280"/>
      <c r="F27" s="280"/>
      <c r="G27" s="280"/>
      <c r="H27" s="280"/>
      <c r="I27" s="280"/>
      <c r="J27" s="280"/>
      <c r="K27" s="280"/>
      <c r="L27" s="280"/>
      <c r="M27" s="280"/>
      <c r="N27" s="280"/>
      <c r="O27" s="280"/>
      <c r="P27" s="280"/>
      <c r="Q27" s="280"/>
      <c r="R27" s="280"/>
      <c r="S27" s="280"/>
      <c r="T27" s="280"/>
      <c r="U27" s="280"/>
      <c r="V27" s="40"/>
      <c r="W27" s="40"/>
      <c r="X27" s="40"/>
      <c r="Y27" s="40"/>
    </row>
    <row r="28" spans="1:25" ht="15" customHeight="1" x14ac:dyDescent="0.25">
      <c r="B28" s="40"/>
      <c r="C28" s="280"/>
      <c r="D28" s="280"/>
      <c r="E28" s="280"/>
      <c r="F28" s="280"/>
      <c r="G28" s="280"/>
      <c r="H28" s="280"/>
      <c r="I28" s="280"/>
      <c r="J28" s="280"/>
      <c r="K28" s="280"/>
      <c r="L28" s="280"/>
      <c r="M28" s="280"/>
      <c r="N28" s="280"/>
      <c r="O28" s="280"/>
      <c r="P28" s="280"/>
      <c r="Q28" s="280"/>
      <c r="R28" s="280"/>
      <c r="S28" s="280"/>
      <c r="T28" s="280"/>
      <c r="U28" s="280"/>
      <c r="V28" s="40"/>
      <c r="W28" s="40"/>
      <c r="X28" s="40"/>
      <c r="Y28" s="40"/>
    </row>
    <row r="29" spans="1:25" ht="15" customHeight="1" x14ac:dyDescent="0.25"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</row>
    <row r="30" spans="1:25" ht="15" customHeight="1" x14ac:dyDescent="0.25"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</row>
    <row r="31" spans="1:25" ht="15" customHeight="1" x14ac:dyDescent="0.25">
      <c r="A31" s="40"/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</row>
    <row r="32" spans="1:25" ht="15" customHeight="1" x14ac:dyDescent="0.25">
      <c r="A32" s="40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</row>
    <row r="33" spans="1:25" ht="15" customHeight="1" x14ac:dyDescent="0.25">
      <c r="A33" s="40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</row>
  </sheetData>
  <sheetProtection sheet="1" objects="1" scenarios="1" selectLockedCells="1" selectUnlockedCells="1"/>
  <mergeCells count="3">
    <mergeCell ref="C21:U22"/>
    <mergeCell ref="C24:U25"/>
    <mergeCell ref="C27:U28"/>
  </mergeCells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0">
    <tabColor theme="1"/>
  </sheetPr>
  <dimension ref="A1:A4"/>
  <sheetViews>
    <sheetView showGridLines="0" showRowColHeaders="0" workbookViewId="0">
      <pane ySplit="4" topLeftCell="A5" activePane="bottomLeft" state="frozen"/>
      <selection activeCell="AF14" sqref="AF14"/>
      <selection pane="bottomLeft"/>
    </sheetView>
  </sheetViews>
  <sheetFormatPr defaultRowHeight="30" customHeight="1" x14ac:dyDescent="0.25"/>
  <cols>
    <col min="1" max="2" width="1.7109375" style="18" customWidth="1"/>
    <col min="3" max="3" width="12.7109375" style="18" customWidth="1"/>
    <col min="4" max="4" width="35.7109375" style="18" customWidth="1"/>
    <col min="5" max="5" width="15.7109375" style="18" customWidth="1"/>
    <col min="6" max="6" width="25.7109375" style="18" customWidth="1"/>
    <col min="7" max="16384" width="9.140625" style="18"/>
  </cols>
  <sheetData>
    <row r="1" s="1" customFormat="1" ht="35.1" customHeight="1" x14ac:dyDescent="0.25"/>
    <row r="2" s="3" customFormat="1" ht="30" customHeight="1" x14ac:dyDescent="0.25"/>
    <row r="4" ht="21.95" customHeight="1" x14ac:dyDescent="0.25"/>
  </sheetData>
  <sheetProtection sheet="1" objects="1" scenarios="1" selectLockedCells="1" selectUnlockedCells="1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EstaPastaDeTrabalho.lsLigarTelaCheia">
                <anchor>
                  <from>
                    <xdr:col>2</xdr:col>
                    <xdr:colOff>104775</xdr:colOff>
                    <xdr:row>2</xdr:row>
                    <xdr:rowOff>219075</xdr:rowOff>
                  </from>
                  <to>
                    <xdr:col>3</xdr:col>
                    <xdr:colOff>1781175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EstaPastaDeTrabalho.lsDesligarTelaCheia">
                <anchor>
                  <from>
                    <xdr:col>3</xdr:col>
                    <xdr:colOff>1857375</xdr:colOff>
                    <xdr:row>2</xdr:row>
                    <xdr:rowOff>219075</xdr:rowOff>
                  </from>
                  <to>
                    <xdr:col>5</xdr:col>
                    <xdr:colOff>952500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1">
    <tabColor theme="1"/>
  </sheetPr>
  <dimension ref="C1:D14"/>
  <sheetViews>
    <sheetView showGridLines="0" showRowColHeaders="0" workbookViewId="0">
      <pane ySplit="14" topLeftCell="A15" activePane="bottomLeft" state="frozen"/>
      <selection pane="bottomLeft" activeCell="D6" sqref="D6"/>
    </sheetView>
  </sheetViews>
  <sheetFormatPr defaultRowHeight="30" customHeight="1" x14ac:dyDescent="0.25"/>
  <cols>
    <col min="1" max="2" width="1.7109375" style="18" customWidth="1"/>
    <col min="3" max="3" width="37.140625" style="18" customWidth="1"/>
    <col min="4" max="4" width="50.7109375" style="18" customWidth="1"/>
    <col min="5" max="16384" width="9.140625" style="18"/>
  </cols>
  <sheetData>
    <row r="1" spans="3:4" s="1" customFormat="1" ht="35.1" customHeight="1" x14ac:dyDescent="0.25"/>
    <row r="2" spans="3:4" s="3" customFormat="1" ht="30" customHeight="1" x14ac:dyDescent="0.25"/>
    <row r="3" spans="3:4" ht="30" customHeight="1" thickBot="1" x14ac:dyDescent="0.3">
      <c r="C3" s="37"/>
      <c r="D3" s="37"/>
    </row>
    <row r="4" spans="3:4" ht="30" customHeight="1" x14ac:dyDescent="0.25">
      <c r="C4" s="47" t="s">
        <v>27</v>
      </c>
      <c r="D4" s="240" t="s">
        <v>28</v>
      </c>
    </row>
    <row r="5" spans="3:4" ht="30" customHeight="1" x14ac:dyDescent="0.25">
      <c r="C5" s="43" t="s">
        <v>29</v>
      </c>
      <c r="D5" s="45" t="s">
        <v>325</v>
      </c>
    </row>
    <row r="6" spans="3:4" ht="30" customHeight="1" x14ac:dyDescent="0.25">
      <c r="C6" s="44" t="s">
        <v>30</v>
      </c>
      <c r="D6" s="48">
        <v>46030</v>
      </c>
    </row>
    <row r="7" spans="3:4" ht="30" customHeight="1" x14ac:dyDescent="0.25">
      <c r="C7" s="44" t="s">
        <v>31</v>
      </c>
      <c r="D7" s="239"/>
    </row>
    <row r="8" spans="3:4" ht="30" customHeight="1" x14ac:dyDescent="0.25">
      <c r="C8" s="44" t="s">
        <v>142</v>
      </c>
      <c r="D8" s="239"/>
    </row>
    <row r="9" spans="3:4" ht="30" customHeight="1" x14ac:dyDescent="0.25">
      <c r="C9" s="44" t="s">
        <v>257</v>
      </c>
      <c r="D9" s="239"/>
    </row>
    <row r="10" spans="3:4" ht="30" customHeight="1" x14ac:dyDescent="0.25">
      <c r="C10" s="44" t="s">
        <v>280</v>
      </c>
      <c r="D10" s="239"/>
    </row>
    <row r="11" spans="3:4" ht="30" hidden="1" customHeight="1" x14ac:dyDescent="0.25">
      <c r="C11" s="44"/>
      <c r="D11" s="46"/>
    </row>
    <row r="12" spans="3:4" ht="30" hidden="1" customHeight="1" x14ac:dyDescent="0.25">
      <c r="C12" s="44"/>
      <c r="D12" s="46"/>
    </row>
    <row r="13" spans="3:4" ht="30" hidden="1" customHeight="1" x14ac:dyDescent="0.25">
      <c r="C13" s="44"/>
      <c r="D13" s="46"/>
    </row>
    <row r="14" spans="3:4" ht="30" hidden="1" customHeight="1" x14ac:dyDescent="0.25">
      <c r="C14" s="44"/>
      <c r="D14" s="46"/>
    </row>
  </sheetData>
  <sheetProtection sheet="1" objects="1" scenarios="1" selectLockedCells="1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3" name="Drop Down 2">
              <controlPr defaultSize="0" autoLine="0" autoPict="0">
                <anchor moveWithCells="1">
                  <from>
                    <xdr:col>3</xdr:col>
                    <xdr:colOff>0</xdr:colOff>
                    <xdr:row>5</xdr:row>
                    <xdr:rowOff>381000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4" name="Drop Down 4">
              <controlPr defaultSize="0" autoLine="0" autoPict="0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5" name="Drop Down 5">
              <controlPr defaultSize="0" autoLine="0" autoPict="0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6" name="Option Button 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76200</xdr:rowOff>
                  </from>
                  <to>
                    <xdr:col>3</xdr:col>
                    <xdr:colOff>790575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7" name="Option Button 7">
              <controlPr defaultSize="0" autoFill="0" autoLine="0" autoPict="0">
                <anchor moveWithCells="1">
                  <from>
                    <xdr:col>3</xdr:col>
                    <xdr:colOff>838200</xdr:colOff>
                    <xdr:row>9</xdr:row>
                    <xdr:rowOff>76200</xdr:rowOff>
                  </from>
                  <to>
                    <xdr:col>3</xdr:col>
                    <xdr:colOff>1543050</xdr:colOff>
                    <xdr:row>9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22">
    <tabColor rgb="FF0070C0"/>
  </sheetPr>
  <dimension ref="C1:Q17"/>
  <sheetViews>
    <sheetView showGridLines="0" showRowColHeaders="0" workbookViewId="0">
      <pane ySplit="4" topLeftCell="A5" activePane="bottomLeft" state="frozen"/>
      <selection activeCell="AF14" sqref="AF14"/>
      <selection pane="bottomLeft" activeCell="E16" sqref="E16"/>
    </sheetView>
  </sheetViews>
  <sheetFormatPr defaultRowHeight="30" customHeight="1" x14ac:dyDescent="0.25"/>
  <cols>
    <col min="1" max="2" width="1.7109375" style="18" customWidth="1"/>
    <col min="3" max="3" width="6.7109375" style="18" customWidth="1"/>
    <col min="4" max="4" width="34.28515625" style="18" customWidth="1"/>
    <col min="5" max="5" width="13.7109375" style="18" customWidth="1"/>
    <col min="6" max="6" width="5.7109375" style="18" customWidth="1"/>
    <col min="7" max="7" width="6.7109375" style="18" customWidth="1"/>
    <col min="8" max="8" width="15.7109375" style="18" customWidth="1"/>
    <col min="9" max="9" width="13.7109375" style="18" customWidth="1"/>
    <col min="10" max="10" width="5.7109375" style="18" customWidth="1"/>
    <col min="11" max="11" width="6.7109375" style="18" customWidth="1"/>
    <col min="12" max="12" width="15.7109375" style="18" customWidth="1"/>
    <col min="13" max="13" width="13.7109375" style="18" customWidth="1"/>
    <col min="14" max="14" width="5.7109375" style="18" customWidth="1"/>
    <col min="15" max="15" width="6.7109375" style="18" customWidth="1"/>
    <col min="16" max="16" width="15.7109375" style="18" customWidth="1"/>
    <col min="17" max="17" width="13.7109375" style="18" customWidth="1"/>
    <col min="18" max="16384" width="9.140625" style="18"/>
  </cols>
  <sheetData>
    <row r="1" spans="3:17" s="1" customFormat="1" ht="35.1" customHeight="1" x14ac:dyDescent="0.25"/>
    <row r="2" spans="3:17" s="3" customFormat="1" ht="30" customHeight="1" x14ac:dyDescent="0.25"/>
    <row r="3" spans="3:17" ht="69.95" customHeight="1" thickBot="1" x14ac:dyDescent="0.3">
      <c r="C3" s="37"/>
      <c r="D3" s="37"/>
      <c r="E3" s="37"/>
    </row>
    <row r="4" spans="3:17" ht="21.95" customHeight="1" x14ac:dyDescent="0.25">
      <c r="C4" s="101" t="s">
        <v>22</v>
      </c>
      <c r="D4" s="102" t="s">
        <v>23</v>
      </c>
      <c r="E4" s="104" t="s">
        <v>48</v>
      </c>
      <c r="G4" s="101" t="s">
        <v>22</v>
      </c>
      <c r="H4" s="102" t="s">
        <v>37</v>
      </c>
      <c r="I4" s="104" t="s">
        <v>48</v>
      </c>
      <c r="K4" s="101" t="s">
        <v>22</v>
      </c>
      <c r="L4" s="102" t="s">
        <v>38</v>
      </c>
      <c r="M4" s="104" t="s">
        <v>48</v>
      </c>
      <c r="O4" s="101" t="s">
        <v>22</v>
      </c>
      <c r="P4" s="102" t="s">
        <v>39</v>
      </c>
      <c r="Q4" s="104" t="s">
        <v>48</v>
      </c>
    </row>
    <row r="5" spans="3:17" ht="24.95" customHeight="1" x14ac:dyDescent="0.25">
      <c r="C5" s="105">
        <v>1</v>
      </c>
      <c r="D5" s="50" t="s">
        <v>35</v>
      </c>
      <c r="E5" s="52">
        <v>1.6500000000000001E-2</v>
      </c>
      <c r="G5" s="105">
        <v>1</v>
      </c>
      <c r="H5" s="50" t="s">
        <v>49</v>
      </c>
      <c r="I5" s="52">
        <v>0</v>
      </c>
      <c r="K5" s="105">
        <v>1</v>
      </c>
      <c r="L5" s="50" t="s">
        <v>49</v>
      </c>
      <c r="M5" s="52">
        <v>0</v>
      </c>
      <c r="O5" s="105">
        <v>1</v>
      </c>
      <c r="P5" s="50" t="s">
        <v>49</v>
      </c>
      <c r="Q5" s="52">
        <v>0</v>
      </c>
    </row>
    <row r="6" spans="3:17" ht="24.95" customHeight="1" x14ac:dyDescent="0.25">
      <c r="C6" s="38">
        <v>2</v>
      </c>
      <c r="D6" s="51" t="s">
        <v>36</v>
      </c>
      <c r="E6" s="53">
        <v>7.5999999999999998E-2</v>
      </c>
      <c r="G6" s="38">
        <v>2</v>
      </c>
      <c r="H6" s="50" t="s">
        <v>50</v>
      </c>
      <c r="I6" s="53">
        <v>0.04</v>
      </c>
      <c r="K6" s="38">
        <v>2</v>
      </c>
      <c r="L6" s="50" t="s">
        <v>50</v>
      </c>
      <c r="M6" s="53">
        <v>0.01</v>
      </c>
      <c r="O6" s="38">
        <v>2</v>
      </c>
      <c r="P6" s="50" t="s">
        <v>50</v>
      </c>
      <c r="Q6" s="53">
        <v>0.01</v>
      </c>
    </row>
    <row r="7" spans="3:17" ht="24.95" customHeight="1" x14ac:dyDescent="0.25">
      <c r="C7" s="38">
        <v>3</v>
      </c>
      <c r="D7" s="51" t="s">
        <v>37</v>
      </c>
      <c r="E7" s="53">
        <v>7.0000000000000007E-2</v>
      </c>
      <c r="G7" s="38">
        <v>3</v>
      </c>
      <c r="H7" s="50" t="s">
        <v>51</v>
      </c>
      <c r="I7" s="53">
        <v>7.0000000000000007E-2</v>
      </c>
      <c r="K7" s="38">
        <v>3</v>
      </c>
      <c r="L7" s="50" t="s">
        <v>51</v>
      </c>
      <c r="M7" s="53">
        <v>0.02</v>
      </c>
      <c r="O7" s="38">
        <v>3</v>
      </c>
      <c r="P7" s="50" t="s">
        <v>51</v>
      </c>
      <c r="Q7" s="53">
        <v>0.02</v>
      </c>
    </row>
    <row r="8" spans="3:17" ht="24.95" customHeight="1" x14ac:dyDescent="0.25">
      <c r="C8" s="38">
        <v>4</v>
      </c>
      <c r="D8" s="51" t="s">
        <v>38</v>
      </c>
      <c r="E8" s="53">
        <v>0.03</v>
      </c>
      <c r="G8" s="38">
        <v>4</v>
      </c>
      <c r="H8" s="50" t="s">
        <v>52</v>
      </c>
      <c r="I8" s="53">
        <v>0.12</v>
      </c>
      <c r="K8" s="38">
        <v>4</v>
      </c>
      <c r="L8" s="50" t="s">
        <v>52</v>
      </c>
      <c r="M8" s="53">
        <v>0.03</v>
      </c>
      <c r="O8" s="38">
        <v>4</v>
      </c>
      <c r="P8" s="50" t="s">
        <v>52</v>
      </c>
      <c r="Q8" s="53">
        <v>0.03</v>
      </c>
    </row>
    <row r="9" spans="3:17" ht="24.95" customHeight="1" x14ac:dyDescent="0.25">
      <c r="C9" s="38">
        <v>5</v>
      </c>
      <c r="D9" s="51" t="s">
        <v>39</v>
      </c>
      <c r="E9" s="53">
        <v>0.03</v>
      </c>
      <c r="G9" s="38">
        <v>5</v>
      </c>
      <c r="H9" s="50" t="s">
        <v>53</v>
      </c>
      <c r="I9" s="53">
        <v>0.15</v>
      </c>
      <c r="K9" s="38">
        <v>5</v>
      </c>
      <c r="L9" s="50" t="s">
        <v>53</v>
      </c>
      <c r="M9" s="53">
        <v>0.04</v>
      </c>
      <c r="O9" s="38">
        <v>5</v>
      </c>
      <c r="P9" s="50" t="s">
        <v>53</v>
      </c>
      <c r="Q9" s="53">
        <v>0.04</v>
      </c>
    </row>
    <row r="10" spans="3:17" ht="24.95" customHeight="1" x14ac:dyDescent="0.25">
      <c r="C10" s="38">
        <v>6</v>
      </c>
      <c r="D10" s="51" t="s">
        <v>40</v>
      </c>
      <c r="E10" s="53">
        <v>0.15</v>
      </c>
      <c r="G10" s="38">
        <v>6</v>
      </c>
      <c r="H10" s="50" t="s">
        <v>54</v>
      </c>
      <c r="I10" s="53">
        <v>0.18</v>
      </c>
      <c r="K10" s="38">
        <v>6</v>
      </c>
      <c r="L10" s="50" t="s">
        <v>54</v>
      </c>
      <c r="M10" s="53">
        <v>0.05</v>
      </c>
      <c r="O10" s="38">
        <v>6</v>
      </c>
      <c r="P10" s="50" t="s">
        <v>54</v>
      </c>
      <c r="Q10" s="53">
        <v>0.05</v>
      </c>
    </row>
    <row r="11" spans="3:17" ht="24.95" customHeight="1" x14ac:dyDescent="0.25">
      <c r="C11" s="38">
        <v>7</v>
      </c>
      <c r="D11" s="51" t="s">
        <v>41</v>
      </c>
      <c r="E11" s="53">
        <v>0.1</v>
      </c>
      <c r="G11" s="38">
        <v>7</v>
      </c>
      <c r="H11" s="50" t="s">
        <v>55</v>
      </c>
      <c r="I11" s="53"/>
      <c r="K11" s="38">
        <v>7</v>
      </c>
      <c r="L11" s="50" t="s">
        <v>55</v>
      </c>
      <c r="M11" s="53"/>
      <c r="O11" s="38">
        <v>7</v>
      </c>
      <c r="P11" s="50" t="s">
        <v>55</v>
      </c>
      <c r="Q11" s="53"/>
    </row>
    <row r="12" spans="3:17" ht="24.95" customHeight="1" x14ac:dyDescent="0.25">
      <c r="C12" s="38">
        <v>8</v>
      </c>
      <c r="D12" s="51" t="s">
        <v>42</v>
      </c>
      <c r="E12" s="53">
        <v>0.09</v>
      </c>
      <c r="G12" s="38">
        <v>8</v>
      </c>
      <c r="H12" s="50" t="s">
        <v>56</v>
      </c>
      <c r="I12" s="53"/>
      <c r="K12" s="38">
        <v>8</v>
      </c>
      <c r="L12" s="50" t="s">
        <v>56</v>
      </c>
      <c r="M12" s="53"/>
      <c r="O12" s="38">
        <v>8</v>
      </c>
      <c r="P12" s="50" t="s">
        <v>56</v>
      </c>
      <c r="Q12" s="53"/>
    </row>
    <row r="13" spans="3:17" ht="24.95" customHeight="1" x14ac:dyDescent="0.25">
      <c r="C13" s="38">
        <v>9</v>
      </c>
      <c r="D13" s="51" t="s">
        <v>43</v>
      </c>
      <c r="E13" s="53">
        <v>9.2100000000000001E-2</v>
      </c>
      <c r="G13" s="38">
        <v>9</v>
      </c>
      <c r="H13" s="50" t="s">
        <v>57</v>
      </c>
      <c r="I13" s="53"/>
      <c r="K13" s="38">
        <v>9</v>
      </c>
      <c r="L13" s="50" t="s">
        <v>57</v>
      </c>
      <c r="M13" s="53"/>
      <c r="O13" s="38">
        <v>9</v>
      </c>
      <c r="P13" s="50" t="s">
        <v>57</v>
      </c>
      <c r="Q13" s="53"/>
    </row>
    <row r="14" spans="3:17" ht="24.95" customHeight="1" x14ac:dyDescent="0.25">
      <c r="C14" s="38">
        <v>10</v>
      </c>
      <c r="D14" s="51" t="s">
        <v>44</v>
      </c>
      <c r="E14" s="53">
        <v>0.187</v>
      </c>
      <c r="G14" s="38">
        <v>10</v>
      </c>
      <c r="H14" s="50" t="s">
        <v>58</v>
      </c>
      <c r="I14" s="53"/>
      <c r="K14" s="38">
        <v>10</v>
      </c>
      <c r="L14" s="50" t="s">
        <v>58</v>
      </c>
      <c r="M14" s="53"/>
      <c r="O14" s="38">
        <v>10</v>
      </c>
      <c r="P14" s="50" t="s">
        <v>58</v>
      </c>
      <c r="Q14" s="53"/>
    </row>
    <row r="15" spans="3:17" ht="24.95" customHeight="1" x14ac:dyDescent="0.25">
      <c r="C15" s="38">
        <v>11</v>
      </c>
      <c r="D15" s="51" t="s">
        <v>45</v>
      </c>
      <c r="E15" s="53">
        <v>0.3</v>
      </c>
      <c r="G15" s="38">
        <v>11</v>
      </c>
      <c r="H15" s="50" t="s">
        <v>59</v>
      </c>
      <c r="I15" s="53"/>
      <c r="K15" s="38">
        <v>11</v>
      </c>
      <c r="L15" s="50" t="s">
        <v>59</v>
      </c>
      <c r="M15" s="53"/>
      <c r="O15" s="38">
        <v>11</v>
      </c>
      <c r="P15" s="50" t="s">
        <v>59</v>
      </c>
      <c r="Q15" s="53"/>
    </row>
    <row r="16" spans="3:17" ht="24.95" customHeight="1" x14ac:dyDescent="0.25">
      <c r="C16" s="38">
        <v>12</v>
      </c>
      <c r="D16" s="51" t="s">
        <v>46</v>
      </c>
      <c r="E16" s="53">
        <v>0.3</v>
      </c>
      <c r="G16" s="38">
        <v>12</v>
      </c>
      <c r="H16" s="50" t="s">
        <v>60</v>
      </c>
      <c r="I16" s="53"/>
      <c r="K16" s="38">
        <v>12</v>
      </c>
      <c r="L16" s="50" t="s">
        <v>60</v>
      </c>
      <c r="M16" s="53"/>
      <c r="O16" s="38">
        <v>12</v>
      </c>
      <c r="P16" s="50" t="s">
        <v>60</v>
      </c>
      <c r="Q16" s="53"/>
    </row>
    <row r="17" spans="3:17" ht="24.95" customHeight="1" x14ac:dyDescent="0.25">
      <c r="C17" s="38">
        <v>13</v>
      </c>
      <c r="D17" s="51" t="s">
        <v>47</v>
      </c>
      <c r="E17" s="53">
        <v>0</v>
      </c>
      <c r="G17" s="38">
        <v>13</v>
      </c>
      <c r="H17" s="50" t="s">
        <v>61</v>
      </c>
      <c r="I17" s="53"/>
      <c r="K17" s="38">
        <v>13</v>
      </c>
      <c r="L17" s="50" t="s">
        <v>61</v>
      </c>
      <c r="M17" s="53"/>
      <c r="O17" s="38">
        <v>13</v>
      </c>
      <c r="P17" s="50" t="s">
        <v>61</v>
      </c>
      <c r="Q17" s="53"/>
    </row>
  </sheetData>
  <sheetProtection sheet="1" objects="1" scenarios="1" selectLockedCells="1"/>
  <phoneticPr fontId="20" type="noConversion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Check Box 1">
              <controlPr defaultSize="0" autoFill="0" autoLine="0" autoPict="0">
                <anchor moveWithCells="1">
                  <from>
                    <xdr:col>8</xdr:col>
                    <xdr:colOff>485775</xdr:colOff>
                    <xdr:row>2</xdr:row>
                    <xdr:rowOff>314325</xdr:rowOff>
                  </from>
                  <to>
                    <xdr:col>15</xdr:col>
                    <xdr:colOff>371475</xdr:colOff>
                    <xdr:row>2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4AD34E6-BA38-4B87-8A83-F0C978F2F2CD}">
            <xm:f>'BH (1)'!$C$5=TRUE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E7:E9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23">
    <tabColor rgb="FF0070C0"/>
  </sheetPr>
  <dimension ref="C1:R23"/>
  <sheetViews>
    <sheetView showGridLines="0" showRowColHeaders="0" workbookViewId="0">
      <pane ySplit="4" topLeftCell="A11" activePane="bottomLeft" state="frozen"/>
      <selection activeCell="AF14" sqref="AF14"/>
      <selection pane="bottomLeft" activeCell="E12" sqref="E12"/>
    </sheetView>
  </sheetViews>
  <sheetFormatPr defaultRowHeight="30" customHeight="1" x14ac:dyDescent="0.25"/>
  <cols>
    <col min="1" max="2" width="1.7109375" style="18" customWidth="1"/>
    <col min="3" max="3" width="6.7109375" style="18" customWidth="1"/>
    <col min="4" max="4" width="20.7109375" style="18" customWidth="1"/>
    <col min="5" max="6" width="13.7109375" style="18" customWidth="1"/>
    <col min="7" max="7" width="5.7109375" style="18" customWidth="1"/>
    <col min="8" max="8" width="6.7109375" style="18" customWidth="1"/>
    <col min="9" max="9" width="15.7109375" style="18" customWidth="1"/>
    <col min="10" max="10" width="13.7109375" style="18" customWidth="1"/>
    <col min="11" max="11" width="5.7109375" style="18" customWidth="1"/>
    <col min="12" max="12" width="6.7109375" style="18" customWidth="1"/>
    <col min="13" max="13" width="15.7109375" style="18" customWidth="1"/>
    <col min="14" max="14" width="13.7109375" style="18" customWidth="1"/>
    <col min="15" max="15" width="5.7109375" style="18" customWidth="1"/>
    <col min="16" max="16" width="6.7109375" style="18" customWidth="1"/>
    <col min="17" max="17" width="15.7109375" style="18" customWidth="1"/>
    <col min="18" max="18" width="13.7109375" style="18" customWidth="1"/>
    <col min="19" max="16384" width="9.140625" style="18"/>
  </cols>
  <sheetData>
    <row r="1" spans="3:18" s="1" customFormat="1" ht="35.1" customHeight="1" x14ac:dyDescent="0.25"/>
    <row r="2" spans="3:18" s="3" customFormat="1" ht="30" customHeight="1" x14ac:dyDescent="0.25"/>
    <row r="3" spans="3:18" ht="69.95" customHeight="1" thickBot="1" x14ac:dyDescent="0.3">
      <c r="C3" s="37"/>
      <c r="D3" s="37"/>
      <c r="E3" s="37"/>
      <c r="F3" s="37"/>
    </row>
    <row r="4" spans="3:18" ht="21.95" customHeight="1" x14ac:dyDescent="0.25">
      <c r="C4" s="101" t="s">
        <v>22</v>
      </c>
      <c r="D4" s="102" t="s">
        <v>23</v>
      </c>
      <c r="E4" s="103" t="s">
        <v>62</v>
      </c>
      <c r="F4" s="104" t="s">
        <v>48</v>
      </c>
      <c r="H4" s="101" t="s">
        <v>22</v>
      </c>
      <c r="I4" s="102" t="s">
        <v>37</v>
      </c>
      <c r="J4" s="104" t="s">
        <v>48</v>
      </c>
      <c r="L4" s="101" t="s">
        <v>22</v>
      </c>
      <c r="M4" s="102" t="s">
        <v>38</v>
      </c>
      <c r="N4" s="104" t="s">
        <v>48</v>
      </c>
      <c r="P4" s="101" t="s">
        <v>22</v>
      </c>
      <c r="Q4" s="102" t="s">
        <v>39</v>
      </c>
      <c r="R4" s="104" t="s">
        <v>48</v>
      </c>
    </row>
    <row r="5" spans="3:18" ht="24.95" customHeight="1" x14ac:dyDescent="0.25">
      <c r="C5" s="105">
        <v>1</v>
      </c>
      <c r="D5" s="50" t="s">
        <v>35</v>
      </c>
      <c r="E5" s="106"/>
      <c r="F5" s="52">
        <v>6.4999999999999997E-3</v>
      </c>
      <c r="H5" s="105">
        <v>1</v>
      </c>
      <c r="I5" s="50" t="s">
        <v>49</v>
      </c>
      <c r="J5" s="107">
        <f>IF(TabR!I5="","",TabR!I5)</f>
        <v>0</v>
      </c>
      <c r="L5" s="105">
        <v>1</v>
      </c>
      <c r="M5" s="50" t="s">
        <v>49</v>
      </c>
      <c r="N5" s="107">
        <f>IF(TabR!M5="","",TabR!M5)</f>
        <v>0</v>
      </c>
      <c r="P5" s="105">
        <v>1</v>
      </c>
      <c r="Q5" s="50" t="s">
        <v>49</v>
      </c>
      <c r="R5" s="107">
        <f>IF(TabR!Q5="","",TabR!Q5)</f>
        <v>0</v>
      </c>
    </row>
    <row r="6" spans="3:18" ht="24.95" customHeight="1" x14ac:dyDescent="0.25">
      <c r="C6" s="38">
        <v>2</v>
      </c>
      <c r="D6" s="51" t="s">
        <v>36</v>
      </c>
      <c r="E6" s="106"/>
      <c r="F6" s="53">
        <v>0.03</v>
      </c>
      <c r="H6" s="38">
        <v>2</v>
      </c>
      <c r="I6" s="50" t="s">
        <v>50</v>
      </c>
      <c r="J6" s="107">
        <f>IF(TabR!I6="","",TabR!I6)</f>
        <v>0.04</v>
      </c>
      <c r="L6" s="38">
        <v>2</v>
      </c>
      <c r="M6" s="50" t="s">
        <v>50</v>
      </c>
      <c r="N6" s="107">
        <f>IF(TabR!M6="","",TabR!M6)</f>
        <v>0.01</v>
      </c>
      <c r="P6" s="38">
        <v>2</v>
      </c>
      <c r="Q6" s="50" t="s">
        <v>50</v>
      </c>
      <c r="R6" s="107">
        <f>IF(TabR!Q6="","",TabR!Q6)</f>
        <v>0.01</v>
      </c>
    </row>
    <row r="7" spans="3:18" ht="24.95" customHeight="1" x14ac:dyDescent="0.25">
      <c r="C7" s="38">
        <v>3</v>
      </c>
      <c r="D7" s="51" t="s">
        <v>37</v>
      </c>
      <c r="E7" s="106"/>
      <c r="F7" s="53">
        <v>0.12</v>
      </c>
      <c r="H7" s="38">
        <v>3</v>
      </c>
      <c r="I7" s="50" t="s">
        <v>51</v>
      </c>
      <c r="J7" s="107">
        <f>IF(TabR!I7="","",TabR!I7)</f>
        <v>7.0000000000000007E-2</v>
      </c>
      <c r="L7" s="38">
        <v>3</v>
      </c>
      <c r="M7" s="50" t="s">
        <v>51</v>
      </c>
      <c r="N7" s="107">
        <f>IF(TabR!M7="","",TabR!M7)</f>
        <v>0.02</v>
      </c>
      <c r="P7" s="38">
        <v>3</v>
      </c>
      <c r="Q7" s="50" t="s">
        <v>51</v>
      </c>
      <c r="R7" s="107">
        <f>IF(TabR!Q7="","",TabR!Q7)</f>
        <v>0.02</v>
      </c>
    </row>
    <row r="8" spans="3:18" ht="24.95" customHeight="1" x14ac:dyDescent="0.25">
      <c r="C8" s="38">
        <v>4</v>
      </c>
      <c r="D8" s="51" t="s">
        <v>38</v>
      </c>
      <c r="E8" s="106"/>
      <c r="F8" s="53">
        <v>0.03</v>
      </c>
      <c r="H8" s="38">
        <v>4</v>
      </c>
      <c r="I8" s="50" t="s">
        <v>52</v>
      </c>
      <c r="J8" s="107">
        <f>IF(TabR!I8="","",TabR!I8)</f>
        <v>0.12</v>
      </c>
      <c r="L8" s="38">
        <v>4</v>
      </c>
      <c r="M8" s="50" t="s">
        <v>52</v>
      </c>
      <c r="N8" s="107">
        <f>IF(TabR!M8="","",TabR!M8)</f>
        <v>0.03</v>
      </c>
      <c r="P8" s="38">
        <v>4</v>
      </c>
      <c r="Q8" s="50" t="s">
        <v>52</v>
      </c>
      <c r="R8" s="107">
        <f>IF(TabR!Q8="","",TabR!Q8)</f>
        <v>0.03</v>
      </c>
    </row>
    <row r="9" spans="3:18" ht="24.95" customHeight="1" x14ac:dyDescent="0.25">
      <c r="C9" s="38">
        <v>5</v>
      </c>
      <c r="D9" s="51" t="s">
        <v>39</v>
      </c>
      <c r="E9" s="106"/>
      <c r="F9" s="53">
        <v>0.03</v>
      </c>
      <c r="H9" s="38">
        <v>5</v>
      </c>
      <c r="I9" s="50" t="s">
        <v>53</v>
      </c>
      <c r="J9" s="107">
        <f>IF(TabR!I9="","",TabR!I9)</f>
        <v>0.15</v>
      </c>
      <c r="L9" s="38">
        <v>5</v>
      </c>
      <c r="M9" s="50" t="s">
        <v>53</v>
      </c>
      <c r="N9" s="107">
        <f>IF(TabR!M9="","",TabR!M9)</f>
        <v>0.04</v>
      </c>
      <c r="P9" s="38">
        <v>5</v>
      </c>
      <c r="Q9" s="50" t="s">
        <v>53</v>
      </c>
      <c r="R9" s="107">
        <f>IF(TabR!Q9="","",TabR!Q9)</f>
        <v>0.04</v>
      </c>
    </row>
    <row r="10" spans="3:18" ht="24.95" customHeight="1" x14ac:dyDescent="0.25">
      <c r="C10" s="38">
        <v>6</v>
      </c>
      <c r="D10" s="51" t="s">
        <v>328</v>
      </c>
      <c r="E10" s="54">
        <v>0.08</v>
      </c>
      <c r="F10" s="53">
        <v>0.15</v>
      </c>
      <c r="H10" s="38">
        <v>6</v>
      </c>
      <c r="I10" s="50" t="s">
        <v>54</v>
      </c>
      <c r="J10" s="107">
        <f>IF(TabR!I10="","",TabR!I10)</f>
        <v>0.18</v>
      </c>
      <c r="L10" s="38">
        <v>6</v>
      </c>
      <c r="M10" s="50" t="s">
        <v>54</v>
      </c>
      <c r="N10" s="107">
        <f>IF(TabR!M10="","",TabR!M10)</f>
        <v>0.05</v>
      </c>
      <c r="P10" s="38">
        <v>6</v>
      </c>
      <c r="Q10" s="50" t="s">
        <v>54</v>
      </c>
      <c r="R10" s="107">
        <f>IF(TabR!Q10="","",TabR!Q10)</f>
        <v>0.05</v>
      </c>
    </row>
    <row r="11" spans="3:18" ht="24.95" customHeight="1" x14ac:dyDescent="0.25">
      <c r="C11" s="38">
        <v>7</v>
      </c>
      <c r="D11" s="51" t="s">
        <v>41</v>
      </c>
      <c r="E11" s="106"/>
      <c r="F11" s="53">
        <v>0.1</v>
      </c>
      <c r="H11" s="38">
        <v>7</v>
      </c>
      <c r="I11" s="50" t="s">
        <v>55</v>
      </c>
      <c r="J11" s="107" t="str">
        <f>IF(TabR!I11="","",TabR!I11)</f>
        <v/>
      </c>
      <c r="L11" s="38">
        <v>7</v>
      </c>
      <c r="M11" s="50" t="s">
        <v>55</v>
      </c>
      <c r="N11" s="107" t="str">
        <f>IF(TabR!M11="","",TabR!M11)</f>
        <v/>
      </c>
      <c r="P11" s="38">
        <v>7</v>
      </c>
      <c r="Q11" s="50" t="s">
        <v>55</v>
      </c>
      <c r="R11" s="107" t="str">
        <f>IF(TabR!Q11="","",TabR!Q11)</f>
        <v/>
      </c>
    </row>
    <row r="12" spans="3:18" ht="24.95" customHeight="1" x14ac:dyDescent="0.25">
      <c r="C12" s="38">
        <v>8</v>
      </c>
      <c r="D12" s="51" t="s">
        <v>329</v>
      </c>
      <c r="E12" s="54">
        <v>0.12</v>
      </c>
      <c r="F12" s="53">
        <v>0.09</v>
      </c>
      <c r="H12" s="38">
        <v>8</v>
      </c>
      <c r="I12" s="50" t="s">
        <v>56</v>
      </c>
      <c r="J12" s="107" t="str">
        <f>IF(TabR!I12="","",TabR!I12)</f>
        <v/>
      </c>
      <c r="L12" s="38">
        <v>8</v>
      </c>
      <c r="M12" s="50" t="s">
        <v>56</v>
      </c>
      <c r="N12" s="107" t="str">
        <f>IF(TabR!M12="","",TabR!M12)</f>
        <v/>
      </c>
      <c r="P12" s="38">
        <v>8</v>
      </c>
      <c r="Q12" s="50" t="s">
        <v>56</v>
      </c>
      <c r="R12" s="107" t="str">
        <f>IF(TabR!Q12="","",TabR!Q12)</f>
        <v/>
      </c>
    </row>
    <row r="13" spans="3:18" ht="24.95" customHeight="1" x14ac:dyDescent="0.25">
      <c r="C13" s="38">
        <v>9</v>
      </c>
      <c r="D13" s="51" t="s">
        <v>43</v>
      </c>
      <c r="E13" s="106"/>
      <c r="F13" s="53">
        <v>9.2100000000000001E-2</v>
      </c>
      <c r="H13" s="38">
        <v>9</v>
      </c>
      <c r="I13" s="50" t="s">
        <v>57</v>
      </c>
      <c r="J13" s="107" t="str">
        <f>IF(TabR!I13="","",TabR!I13)</f>
        <v/>
      </c>
      <c r="L13" s="38">
        <v>9</v>
      </c>
      <c r="M13" s="50" t="s">
        <v>57</v>
      </c>
      <c r="N13" s="107" t="str">
        <f>IF(TabR!M13="","",TabR!M13)</f>
        <v/>
      </c>
      <c r="P13" s="38">
        <v>9</v>
      </c>
      <c r="Q13" s="50" t="s">
        <v>57</v>
      </c>
      <c r="R13" s="107" t="str">
        <f>IF(TabR!Q13="","",TabR!Q13)</f>
        <v/>
      </c>
    </row>
    <row r="14" spans="3:18" ht="24.95" customHeight="1" x14ac:dyDescent="0.25">
      <c r="C14" s="38">
        <v>10</v>
      </c>
      <c r="D14" s="51" t="s">
        <v>44</v>
      </c>
      <c r="E14" s="106"/>
      <c r="F14" s="53">
        <v>0.187</v>
      </c>
      <c r="H14" s="38">
        <v>10</v>
      </c>
      <c r="I14" s="50" t="s">
        <v>58</v>
      </c>
      <c r="J14" s="107" t="str">
        <f>IF(TabR!I14="","",TabR!I14)</f>
        <v/>
      </c>
      <c r="L14" s="38">
        <v>10</v>
      </c>
      <c r="M14" s="50" t="s">
        <v>58</v>
      </c>
      <c r="N14" s="107" t="str">
        <f>IF(TabR!M14="","",TabR!M14)</f>
        <v/>
      </c>
      <c r="P14" s="38">
        <v>10</v>
      </c>
      <c r="Q14" s="50" t="s">
        <v>58</v>
      </c>
      <c r="R14" s="107" t="str">
        <f>IF(TabR!Q14="","",TabR!Q14)</f>
        <v/>
      </c>
    </row>
    <row r="15" spans="3:18" ht="24.95" customHeight="1" x14ac:dyDescent="0.25">
      <c r="C15" s="38">
        <v>11</v>
      </c>
      <c r="D15" s="51" t="s">
        <v>45</v>
      </c>
      <c r="E15" s="106"/>
      <c r="F15" s="53">
        <v>0.6</v>
      </c>
      <c r="H15" s="38">
        <v>11</v>
      </c>
      <c r="I15" s="50" t="s">
        <v>59</v>
      </c>
      <c r="J15" s="107" t="str">
        <f>IF(TabR!I15="","",TabR!I15)</f>
        <v/>
      </c>
      <c r="L15" s="38">
        <v>11</v>
      </c>
      <c r="M15" s="50" t="s">
        <v>59</v>
      </c>
      <c r="N15" s="107" t="str">
        <f>IF(TabR!M15="","",TabR!M15)</f>
        <v/>
      </c>
      <c r="P15" s="38">
        <v>11</v>
      </c>
      <c r="Q15" s="50" t="s">
        <v>59</v>
      </c>
      <c r="R15" s="107" t="str">
        <f>IF(TabR!Q15="","",TabR!Q15)</f>
        <v/>
      </c>
    </row>
    <row r="16" spans="3:18" ht="24.95" customHeight="1" x14ac:dyDescent="0.25">
      <c r="C16" s="38">
        <v>12</v>
      </c>
      <c r="D16" s="51" t="s">
        <v>46</v>
      </c>
      <c r="E16" s="106"/>
      <c r="F16" s="53">
        <v>0.6</v>
      </c>
      <c r="H16" s="38">
        <v>12</v>
      </c>
      <c r="I16" s="50" t="s">
        <v>60</v>
      </c>
      <c r="J16" s="107" t="str">
        <f>IF(TabR!I16="","",TabR!I16)</f>
        <v/>
      </c>
      <c r="L16" s="38">
        <v>12</v>
      </c>
      <c r="M16" s="50" t="s">
        <v>60</v>
      </c>
      <c r="N16" s="107" t="str">
        <f>IF(TabR!M16="","",TabR!M16)</f>
        <v/>
      </c>
      <c r="P16" s="38">
        <v>12</v>
      </c>
      <c r="Q16" s="50" t="s">
        <v>60</v>
      </c>
      <c r="R16" s="107" t="str">
        <f>IF(TabR!Q16="","",TabR!Q16)</f>
        <v/>
      </c>
    </row>
    <row r="17" spans="3:18" ht="24.95" customHeight="1" x14ac:dyDescent="0.25">
      <c r="C17" s="38">
        <v>13</v>
      </c>
      <c r="D17" s="51" t="s">
        <v>47</v>
      </c>
      <c r="E17" s="106"/>
      <c r="F17" s="53">
        <v>1.5</v>
      </c>
      <c r="H17" s="38">
        <v>13</v>
      </c>
      <c r="I17" s="50" t="s">
        <v>61</v>
      </c>
      <c r="J17" s="107" t="str">
        <f>IF(TabR!I17="","",TabR!I17)</f>
        <v/>
      </c>
      <c r="L17" s="38">
        <v>13</v>
      </c>
      <c r="M17" s="50" t="s">
        <v>61</v>
      </c>
      <c r="N17" s="107" t="str">
        <f>IF(TabR!M17="","",TabR!M17)</f>
        <v/>
      </c>
      <c r="P17" s="38">
        <v>13</v>
      </c>
      <c r="Q17" s="50" t="s">
        <v>61</v>
      </c>
      <c r="R17" s="107" t="str">
        <f>IF(TabR!Q17="","",TabR!Q17)</f>
        <v/>
      </c>
    </row>
    <row r="18" spans="3:18" ht="30" customHeight="1" x14ac:dyDescent="0.25">
      <c r="C18" s="38">
        <v>14</v>
      </c>
      <c r="D18" s="51" t="s">
        <v>330</v>
      </c>
      <c r="E18" s="54">
        <v>0.08</v>
      </c>
      <c r="F18" s="53">
        <v>0.15</v>
      </c>
    </row>
    <row r="19" spans="3:18" ht="30" customHeight="1" x14ac:dyDescent="0.25">
      <c r="C19" s="38">
        <v>15</v>
      </c>
      <c r="D19" s="51" t="s">
        <v>41</v>
      </c>
      <c r="E19" s="106"/>
      <c r="F19" s="53">
        <v>0.1</v>
      </c>
    </row>
    <row r="20" spans="3:18" ht="30" customHeight="1" x14ac:dyDescent="0.25">
      <c r="C20" s="38">
        <v>16</v>
      </c>
      <c r="D20" s="51" t="s">
        <v>331</v>
      </c>
      <c r="E20" s="54">
        <v>0.12</v>
      </c>
      <c r="F20" s="53">
        <v>0.09</v>
      </c>
    </row>
    <row r="21" spans="3:18" ht="30" customHeight="1" x14ac:dyDescent="0.25">
      <c r="C21" s="38">
        <v>17</v>
      </c>
      <c r="D21" s="51" t="s">
        <v>332</v>
      </c>
      <c r="E21" s="54">
        <v>0.32</v>
      </c>
      <c r="F21" s="53">
        <v>0.15</v>
      </c>
    </row>
    <row r="22" spans="3:18" ht="30" customHeight="1" x14ac:dyDescent="0.25">
      <c r="C22" s="38">
        <v>18</v>
      </c>
      <c r="D22" s="51" t="s">
        <v>41</v>
      </c>
      <c r="E22" s="106"/>
      <c r="F22" s="53">
        <v>0.1</v>
      </c>
    </row>
    <row r="23" spans="3:18" ht="30" customHeight="1" x14ac:dyDescent="0.25">
      <c r="C23" s="38">
        <v>19</v>
      </c>
      <c r="D23" s="51" t="s">
        <v>333</v>
      </c>
      <c r="E23" s="54">
        <v>0.32</v>
      </c>
      <c r="F23" s="53">
        <v>0.09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Check Box 1">
              <controlPr defaultSize="0" autoFill="0" autoLine="0" autoPict="0">
                <anchor moveWithCells="1">
                  <from>
                    <xdr:col>9</xdr:col>
                    <xdr:colOff>485775</xdr:colOff>
                    <xdr:row>2</xdr:row>
                    <xdr:rowOff>314325</xdr:rowOff>
                  </from>
                  <to>
                    <xdr:col>16</xdr:col>
                    <xdr:colOff>371475</xdr:colOff>
                    <xdr:row>2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DFC7BFD8-FC8D-46A5-B12D-462DB886E90B}">
            <xm:f>'BH (1)'!$C$5=TRUE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F7:F9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24">
    <tabColor rgb="FF0070C0"/>
  </sheetPr>
  <dimension ref="C1:I39"/>
  <sheetViews>
    <sheetView showGridLines="0" showRowColHeaders="0" workbookViewId="0">
      <pane ySplit="4" topLeftCell="A29" activePane="bottomLeft" state="frozen"/>
      <selection activeCell="AF14" sqref="AF14"/>
      <selection pane="bottomLeft" activeCell="F29" sqref="F29"/>
    </sheetView>
  </sheetViews>
  <sheetFormatPr defaultRowHeight="30" customHeight="1" x14ac:dyDescent="0.25"/>
  <cols>
    <col min="1" max="2" width="1.7109375" style="18" customWidth="1"/>
    <col min="3" max="3" width="6.7109375" style="18" customWidth="1"/>
    <col min="4" max="5" width="20.7109375" style="18" customWidth="1"/>
    <col min="6" max="9" width="18.7109375" style="18" customWidth="1"/>
    <col min="10" max="16384" width="9.140625" style="18"/>
  </cols>
  <sheetData>
    <row r="1" spans="3:9" s="1" customFormat="1" ht="35.1" customHeight="1" x14ac:dyDescent="0.25"/>
    <row r="2" spans="3:9" s="3" customFormat="1" ht="30" customHeight="1" x14ac:dyDescent="0.25"/>
    <row r="3" spans="3:9" ht="69.95" customHeight="1" thickBot="1" x14ac:dyDescent="0.3">
      <c r="C3" s="37"/>
      <c r="D3" s="37"/>
      <c r="E3" s="37"/>
    </row>
    <row r="4" spans="3:9" ht="21.95" customHeight="1" x14ac:dyDescent="0.25">
      <c r="C4" s="66" t="s">
        <v>22</v>
      </c>
      <c r="D4" s="67" t="s">
        <v>63</v>
      </c>
      <c r="E4" s="55" t="s">
        <v>64</v>
      </c>
      <c r="F4" s="55" t="s">
        <v>65</v>
      </c>
      <c r="G4" s="55" t="s">
        <v>66</v>
      </c>
      <c r="H4" s="55" t="s">
        <v>67</v>
      </c>
      <c r="I4" s="56" t="s">
        <v>68</v>
      </c>
    </row>
    <row r="5" spans="3:9" ht="24.95" customHeight="1" x14ac:dyDescent="0.25">
      <c r="C5" s="38">
        <v>1</v>
      </c>
      <c r="D5" s="65" t="s">
        <v>80</v>
      </c>
      <c r="E5" s="57" t="s">
        <v>69</v>
      </c>
      <c r="F5" s="77">
        <v>0</v>
      </c>
      <c r="G5" s="77">
        <v>180000</v>
      </c>
      <c r="H5" s="58">
        <v>0.04</v>
      </c>
      <c r="I5" s="80">
        <v>0</v>
      </c>
    </row>
    <row r="6" spans="3:9" ht="24.95" customHeight="1" x14ac:dyDescent="0.25">
      <c r="C6" s="38">
        <v>2</v>
      </c>
      <c r="D6" s="65" t="s">
        <v>80</v>
      </c>
      <c r="E6" s="57" t="s">
        <v>70</v>
      </c>
      <c r="F6" s="77">
        <v>180000.01</v>
      </c>
      <c r="G6" s="77">
        <v>360000</v>
      </c>
      <c r="H6" s="58">
        <v>7.2999999999999995E-2</v>
      </c>
      <c r="I6" s="80">
        <v>5940</v>
      </c>
    </row>
    <row r="7" spans="3:9" ht="24.95" customHeight="1" x14ac:dyDescent="0.25">
      <c r="C7" s="38">
        <v>3</v>
      </c>
      <c r="D7" s="65" t="s">
        <v>80</v>
      </c>
      <c r="E7" s="57" t="s">
        <v>71</v>
      </c>
      <c r="F7" s="77">
        <v>360000.01</v>
      </c>
      <c r="G7" s="77">
        <v>720000</v>
      </c>
      <c r="H7" s="58">
        <v>9.5000000000000001E-2</v>
      </c>
      <c r="I7" s="80">
        <v>13860</v>
      </c>
    </row>
    <row r="8" spans="3:9" ht="24.95" customHeight="1" x14ac:dyDescent="0.25">
      <c r="C8" s="38">
        <v>4</v>
      </c>
      <c r="D8" s="65" t="s">
        <v>80</v>
      </c>
      <c r="E8" s="57" t="s">
        <v>72</v>
      </c>
      <c r="F8" s="77">
        <v>720000.01</v>
      </c>
      <c r="G8" s="77">
        <v>1800000</v>
      </c>
      <c r="H8" s="58">
        <v>0.107</v>
      </c>
      <c r="I8" s="80">
        <v>22500</v>
      </c>
    </row>
    <row r="9" spans="3:9" ht="24.95" customHeight="1" x14ac:dyDescent="0.25">
      <c r="C9" s="38">
        <v>5</v>
      </c>
      <c r="D9" s="65" t="s">
        <v>80</v>
      </c>
      <c r="E9" s="57" t="s">
        <v>73</v>
      </c>
      <c r="F9" s="77">
        <v>1800000.01</v>
      </c>
      <c r="G9" s="77">
        <v>3600000</v>
      </c>
      <c r="H9" s="58">
        <v>0.14299999999999999</v>
      </c>
      <c r="I9" s="80">
        <v>87300</v>
      </c>
    </row>
    <row r="10" spans="3:9" ht="24.95" customHeight="1" x14ac:dyDescent="0.25">
      <c r="C10" s="74">
        <v>6</v>
      </c>
      <c r="D10" s="68" t="s">
        <v>80</v>
      </c>
      <c r="E10" s="59" t="s">
        <v>74</v>
      </c>
      <c r="F10" s="78">
        <v>3600000.01</v>
      </c>
      <c r="G10" s="78">
        <v>4800000</v>
      </c>
      <c r="H10" s="60">
        <v>0.19</v>
      </c>
      <c r="I10" s="81">
        <v>378000</v>
      </c>
    </row>
    <row r="11" spans="3:9" ht="24.95" customHeight="1" x14ac:dyDescent="0.25">
      <c r="C11" s="73">
        <v>7</v>
      </c>
      <c r="D11" s="70" t="s">
        <v>81</v>
      </c>
      <c r="E11" s="57" t="s">
        <v>69</v>
      </c>
      <c r="F11" s="77">
        <v>0</v>
      </c>
      <c r="G11" s="77">
        <v>180000</v>
      </c>
      <c r="H11" s="58">
        <v>4.4999999999999998E-2</v>
      </c>
      <c r="I11" s="80">
        <v>0</v>
      </c>
    </row>
    <row r="12" spans="3:9" ht="24.95" customHeight="1" x14ac:dyDescent="0.25">
      <c r="C12" s="69">
        <v>8</v>
      </c>
      <c r="D12" s="71" t="s">
        <v>81</v>
      </c>
      <c r="E12" s="57" t="s">
        <v>70</v>
      </c>
      <c r="F12" s="77">
        <v>180000.01</v>
      </c>
      <c r="G12" s="77">
        <v>360000</v>
      </c>
      <c r="H12" s="58">
        <v>7.8E-2</v>
      </c>
      <c r="I12" s="80">
        <v>5940</v>
      </c>
    </row>
    <row r="13" spans="3:9" ht="24.95" customHeight="1" x14ac:dyDescent="0.25">
      <c r="C13" s="69">
        <v>9</v>
      </c>
      <c r="D13" s="71" t="s">
        <v>81</v>
      </c>
      <c r="E13" s="57" t="s">
        <v>71</v>
      </c>
      <c r="F13" s="77">
        <v>360000.01</v>
      </c>
      <c r="G13" s="77">
        <v>720000</v>
      </c>
      <c r="H13" s="58">
        <v>0.1</v>
      </c>
      <c r="I13" s="80">
        <v>13860</v>
      </c>
    </row>
    <row r="14" spans="3:9" ht="24.95" customHeight="1" x14ac:dyDescent="0.25">
      <c r="C14" s="69">
        <v>10</v>
      </c>
      <c r="D14" s="71" t="s">
        <v>81</v>
      </c>
      <c r="E14" s="57" t="s">
        <v>72</v>
      </c>
      <c r="F14" s="77">
        <v>720000.01</v>
      </c>
      <c r="G14" s="77">
        <v>1800000</v>
      </c>
      <c r="H14" s="58">
        <v>0.112</v>
      </c>
      <c r="I14" s="80">
        <v>22500</v>
      </c>
    </row>
    <row r="15" spans="3:9" ht="24.95" customHeight="1" x14ac:dyDescent="0.25">
      <c r="C15" s="69">
        <v>11</v>
      </c>
      <c r="D15" s="71" t="s">
        <v>81</v>
      </c>
      <c r="E15" s="57" t="s">
        <v>73</v>
      </c>
      <c r="F15" s="77">
        <v>1800000.01</v>
      </c>
      <c r="G15" s="77">
        <v>3600000</v>
      </c>
      <c r="H15" s="58">
        <v>0.14699999999999999</v>
      </c>
      <c r="I15" s="80">
        <v>85500</v>
      </c>
    </row>
    <row r="16" spans="3:9" ht="24.95" customHeight="1" x14ac:dyDescent="0.25">
      <c r="C16" s="74">
        <v>12</v>
      </c>
      <c r="D16" s="68" t="s">
        <v>81</v>
      </c>
      <c r="E16" s="59" t="s">
        <v>74</v>
      </c>
      <c r="F16" s="78">
        <v>3600000.01</v>
      </c>
      <c r="G16" s="78">
        <v>4800000</v>
      </c>
      <c r="H16" s="60">
        <v>0.3</v>
      </c>
      <c r="I16" s="81">
        <v>720000</v>
      </c>
    </row>
    <row r="17" spans="3:9" ht="24.95" customHeight="1" x14ac:dyDescent="0.25">
      <c r="C17" s="73">
        <v>13</v>
      </c>
      <c r="D17" s="71" t="s">
        <v>75</v>
      </c>
      <c r="E17" s="57" t="s">
        <v>69</v>
      </c>
      <c r="F17" s="77">
        <v>0</v>
      </c>
      <c r="G17" s="77">
        <v>180000</v>
      </c>
      <c r="H17" s="58">
        <v>0.06</v>
      </c>
      <c r="I17" s="80">
        <v>0</v>
      </c>
    </row>
    <row r="18" spans="3:9" ht="24.95" customHeight="1" x14ac:dyDescent="0.25">
      <c r="C18" s="69">
        <v>14</v>
      </c>
      <c r="D18" s="71" t="s">
        <v>75</v>
      </c>
      <c r="E18" s="57" t="s">
        <v>70</v>
      </c>
      <c r="F18" s="77">
        <v>180000.01</v>
      </c>
      <c r="G18" s="77">
        <v>360000</v>
      </c>
      <c r="H18" s="58">
        <v>0.112</v>
      </c>
      <c r="I18" s="80">
        <v>9360</v>
      </c>
    </row>
    <row r="19" spans="3:9" ht="24.95" customHeight="1" x14ac:dyDescent="0.25">
      <c r="C19" s="69">
        <v>15</v>
      </c>
      <c r="D19" s="71" t="s">
        <v>75</v>
      </c>
      <c r="E19" s="57" t="s">
        <v>71</v>
      </c>
      <c r="F19" s="77">
        <v>360000.01</v>
      </c>
      <c r="G19" s="77">
        <v>720000</v>
      </c>
      <c r="H19" s="58">
        <v>0.13500000000000001</v>
      </c>
      <c r="I19" s="80">
        <v>17640</v>
      </c>
    </row>
    <row r="20" spans="3:9" ht="24.95" customHeight="1" x14ac:dyDescent="0.25">
      <c r="C20" s="69">
        <v>16</v>
      </c>
      <c r="D20" s="71" t="s">
        <v>75</v>
      </c>
      <c r="E20" s="57" t="s">
        <v>72</v>
      </c>
      <c r="F20" s="77">
        <v>720000.01</v>
      </c>
      <c r="G20" s="77">
        <v>1800000</v>
      </c>
      <c r="H20" s="58">
        <v>0.16</v>
      </c>
      <c r="I20" s="80">
        <v>35640</v>
      </c>
    </row>
    <row r="21" spans="3:9" ht="24.95" customHeight="1" x14ac:dyDescent="0.25">
      <c r="C21" s="69">
        <v>17</v>
      </c>
      <c r="D21" s="71" t="s">
        <v>75</v>
      </c>
      <c r="E21" s="57" t="s">
        <v>73</v>
      </c>
      <c r="F21" s="77">
        <v>1800000.01</v>
      </c>
      <c r="G21" s="77">
        <v>3600000</v>
      </c>
      <c r="H21" s="58">
        <v>0.21</v>
      </c>
      <c r="I21" s="80">
        <v>125640</v>
      </c>
    </row>
    <row r="22" spans="3:9" ht="24.95" customHeight="1" x14ac:dyDescent="0.25">
      <c r="C22" s="74">
        <v>18</v>
      </c>
      <c r="D22" s="72" t="s">
        <v>75</v>
      </c>
      <c r="E22" s="59" t="s">
        <v>74</v>
      </c>
      <c r="F22" s="78">
        <v>3600000.01</v>
      </c>
      <c r="G22" s="78">
        <v>4800000</v>
      </c>
      <c r="H22" s="60">
        <v>0.33</v>
      </c>
      <c r="I22" s="81">
        <v>648000</v>
      </c>
    </row>
    <row r="23" spans="3:9" ht="24.95" customHeight="1" x14ac:dyDescent="0.25">
      <c r="C23" s="73">
        <v>19</v>
      </c>
      <c r="D23" s="71" t="s">
        <v>76</v>
      </c>
      <c r="E23" s="57" t="s">
        <v>69</v>
      </c>
      <c r="F23" s="77">
        <v>0</v>
      </c>
      <c r="G23" s="77">
        <v>180000</v>
      </c>
      <c r="H23" s="58">
        <v>4.4999999999999998E-2</v>
      </c>
      <c r="I23" s="80">
        <v>0</v>
      </c>
    </row>
    <row r="24" spans="3:9" ht="24.95" customHeight="1" x14ac:dyDescent="0.25">
      <c r="C24" s="69">
        <v>20</v>
      </c>
      <c r="D24" s="71" t="s">
        <v>76</v>
      </c>
      <c r="E24" s="57" t="s">
        <v>70</v>
      </c>
      <c r="F24" s="77">
        <v>180000.01</v>
      </c>
      <c r="G24" s="77">
        <v>360000</v>
      </c>
      <c r="H24" s="58">
        <v>0.09</v>
      </c>
      <c r="I24" s="80">
        <v>8100</v>
      </c>
    </row>
    <row r="25" spans="3:9" ht="24.95" customHeight="1" x14ac:dyDescent="0.25">
      <c r="C25" s="69">
        <v>21</v>
      </c>
      <c r="D25" s="71" t="s">
        <v>76</v>
      </c>
      <c r="E25" s="57" t="s">
        <v>71</v>
      </c>
      <c r="F25" s="77">
        <v>360000.01</v>
      </c>
      <c r="G25" s="77">
        <v>720000</v>
      </c>
      <c r="H25" s="58">
        <v>0.10199999999999999</v>
      </c>
      <c r="I25" s="80">
        <v>12420</v>
      </c>
    </row>
    <row r="26" spans="3:9" ht="24.95" customHeight="1" x14ac:dyDescent="0.25">
      <c r="C26" s="69">
        <v>22</v>
      </c>
      <c r="D26" s="71" t="s">
        <v>76</v>
      </c>
      <c r="E26" s="57" t="s">
        <v>72</v>
      </c>
      <c r="F26" s="77">
        <v>720000.01</v>
      </c>
      <c r="G26" s="77">
        <v>1800000</v>
      </c>
      <c r="H26" s="58">
        <v>0.14000000000000001</v>
      </c>
      <c r="I26" s="80">
        <v>39780</v>
      </c>
    </row>
    <row r="27" spans="3:9" ht="24.95" customHeight="1" x14ac:dyDescent="0.25">
      <c r="C27" s="69">
        <v>23</v>
      </c>
      <c r="D27" s="71" t="s">
        <v>76</v>
      </c>
      <c r="E27" s="57" t="s">
        <v>73</v>
      </c>
      <c r="F27" s="77">
        <v>1800000.01</v>
      </c>
      <c r="G27" s="77">
        <v>3600000</v>
      </c>
      <c r="H27" s="58">
        <v>0.22</v>
      </c>
      <c r="I27" s="80">
        <v>183780</v>
      </c>
    </row>
    <row r="28" spans="3:9" ht="24.95" customHeight="1" x14ac:dyDescent="0.25">
      <c r="C28" s="74">
        <v>24</v>
      </c>
      <c r="D28" s="72" t="s">
        <v>76</v>
      </c>
      <c r="E28" s="59" t="s">
        <v>74</v>
      </c>
      <c r="F28" s="78">
        <v>3600000.01</v>
      </c>
      <c r="G28" s="78">
        <v>4800000</v>
      </c>
      <c r="H28" s="60">
        <v>0.33</v>
      </c>
      <c r="I28" s="81">
        <v>828000</v>
      </c>
    </row>
    <row r="29" spans="3:9" ht="24.95" customHeight="1" x14ac:dyDescent="0.25">
      <c r="C29" s="73">
        <v>25</v>
      </c>
      <c r="D29" s="71" t="s">
        <v>77</v>
      </c>
      <c r="E29" s="57" t="s">
        <v>69</v>
      </c>
      <c r="F29" s="77">
        <v>0</v>
      </c>
      <c r="G29" s="77">
        <v>180000</v>
      </c>
      <c r="H29" s="58">
        <v>0.155</v>
      </c>
      <c r="I29" s="80">
        <v>0</v>
      </c>
    </row>
    <row r="30" spans="3:9" ht="24.95" customHeight="1" x14ac:dyDescent="0.25">
      <c r="C30" s="69">
        <v>26</v>
      </c>
      <c r="D30" s="71" t="s">
        <v>77</v>
      </c>
      <c r="E30" s="57" t="s">
        <v>70</v>
      </c>
      <c r="F30" s="77">
        <v>180000.01</v>
      </c>
      <c r="G30" s="77">
        <v>360000</v>
      </c>
      <c r="H30" s="58">
        <v>0.18</v>
      </c>
      <c r="I30" s="80">
        <v>4500</v>
      </c>
    </row>
    <row r="31" spans="3:9" ht="24.95" customHeight="1" x14ac:dyDescent="0.25">
      <c r="C31" s="69">
        <v>27</v>
      </c>
      <c r="D31" s="71" t="s">
        <v>77</v>
      </c>
      <c r="E31" s="57" t="s">
        <v>71</v>
      </c>
      <c r="F31" s="77">
        <v>360000.01</v>
      </c>
      <c r="G31" s="77">
        <v>720000</v>
      </c>
      <c r="H31" s="58">
        <v>0.19500000000000001</v>
      </c>
      <c r="I31" s="80">
        <v>9900</v>
      </c>
    </row>
    <row r="32" spans="3:9" ht="24.95" customHeight="1" x14ac:dyDescent="0.25">
      <c r="C32" s="69">
        <v>28</v>
      </c>
      <c r="D32" s="71" t="s">
        <v>77</v>
      </c>
      <c r="E32" s="57" t="s">
        <v>72</v>
      </c>
      <c r="F32" s="77">
        <v>720000.01</v>
      </c>
      <c r="G32" s="77">
        <v>1800000</v>
      </c>
      <c r="H32" s="58">
        <v>0.20499999999999999</v>
      </c>
      <c r="I32" s="80">
        <v>17100</v>
      </c>
    </row>
    <row r="33" spans="3:9" ht="24.95" customHeight="1" x14ac:dyDescent="0.25">
      <c r="C33" s="69">
        <v>29</v>
      </c>
      <c r="D33" s="71" t="s">
        <v>77</v>
      </c>
      <c r="E33" s="57" t="s">
        <v>73</v>
      </c>
      <c r="F33" s="77">
        <v>1800000.01</v>
      </c>
      <c r="G33" s="77">
        <v>3600000</v>
      </c>
      <c r="H33" s="58">
        <v>0.23</v>
      </c>
      <c r="I33" s="80">
        <v>62100</v>
      </c>
    </row>
    <row r="34" spans="3:9" ht="24.95" customHeight="1" x14ac:dyDescent="0.25">
      <c r="C34" s="74">
        <v>30</v>
      </c>
      <c r="D34" s="68" t="s">
        <v>77</v>
      </c>
      <c r="E34" s="61" t="s">
        <v>74</v>
      </c>
      <c r="F34" s="79">
        <v>3600000.01</v>
      </c>
      <c r="G34" s="79">
        <v>4800000</v>
      </c>
      <c r="H34" s="62">
        <v>0.30499999999999999</v>
      </c>
      <c r="I34" s="82">
        <v>540000</v>
      </c>
    </row>
    <row r="35" spans="3:9" ht="24.95" customHeight="1" x14ac:dyDescent="0.25">
      <c r="C35" s="73">
        <v>31</v>
      </c>
      <c r="D35" s="71" t="s">
        <v>78</v>
      </c>
      <c r="E35" s="57" t="s">
        <v>43</v>
      </c>
      <c r="F35" s="63"/>
      <c r="G35" s="63"/>
      <c r="H35" s="64">
        <v>9.2100000000000001E-2</v>
      </c>
      <c r="I35" s="63"/>
    </row>
    <row r="36" spans="3:9" ht="24.95" customHeight="1" x14ac:dyDescent="0.25">
      <c r="C36" s="69">
        <v>32</v>
      </c>
      <c r="D36" s="71" t="s">
        <v>78</v>
      </c>
      <c r="E36" s="57" t="s">
        <v>44</v>
      </c>
      <c r="F36" s="63"/>
      <c r="G36" s="63"/>
      <c r="H36" s="64">
        <v>0.187</v>
      </c>
      <c r="I36" s="63"/>
    </row>
    <row r="37" spans="3:9" ht="24.95" customHeight="1" x14ac:dyDescent="0.25">
      <c r="C37" s="69">
        <v>33</v>
      </c>
      <c r="D37" s="71" t="s">
        <v>78</v>
      </c>
      <c r="E37" s="51" t="s">
        <v>45</v>
      </c>
      <c r="F37" s="63"/>
      <c r="G37" s="63"/>
      <c r="H37" s="64">
        <v>0.6</v>
      </c>
      <c r="I37" s="63"/>
    </row>
    <row r="38" spans="3:9" ht="24.95" customHeight="1" x14ac:dyDescent="0.25">
      <c r="C38" s="69">
        <v>34</v>
      </c>
      <c r="D38" s="71" t="s">
        <v>79</v>
      </c>
      <c r="E38" s="51" t="s">
        <v>46</v>
      </c>
      <c r="F38" s="63"/>
      <c r="G38" s="63"/>
      <c r="H38" s="64">
        <v>0.6</v>
      </c>
      <c r="I38" s="63"/>
    </row>
    <row r="39" spans="3:9" ht="24.95" customHeight="1" x14ac:dyDescent="0.25">
      <c r="C39" s="69">
        <v>35</v>
      </c>
      <c r="D39" s="71" t="s">
        <v>79</v>
      </c>
      <c r="E39" s="51" t="s">
        <v>47</v>
      </c>
      <c r="F39" s="63"/>
      <c r="G39" s="63"/>
      <c r="H39" s="64">
        <v>1.5</v>
      </c>
      <c r="I39" s="63"/>
    </row>
  </sheetData>
  <sheetProtection sheet="1" objects="1" scenarios="1" selectLockedCells="1"/>
  <autoFilter ref="C4:I4" xr:uid="{00000000-0009-0000-0000-000012000000}"/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25">
    <tabColor theme="5"/>
  </sheetPr>
  <dimension ref="C1:Y20"/>
  <sheetViews>
    <sheetView showGridLines="0" showRowColHeaders="0" workbookViewId="0">
      <pane ySplit="6" topLeftCell="A7" activePane="bottomLeft" state="frozen"/>
      <selection activeCell="F20" sqref="F20"/>
      <selection pane="bottomLeft"/>
    </sheetView>
  </sheetViews>
  <sheetFormatPr defaultRowHeight="30" customHeight="1" x14ac:dyDescent="0.25"/>
  <cols>
    <col min="1" max="2" width="1.7109375" style="18" customWidth="1"/>
    <col min="3" max="4" width="10.7109375" style="18" customWidth="1"/>
    <col min="5" max="5" width="1.7109375" style="18" customWidth="1"/>
    <col min="6" max="7" width="10.7109375" style="18" customWidth="1"/>
    <col min="8" max="8" width="1.7109375" style="18" customWidth="1"/>
    <col min="9" max="10" width="10.7109375" style="18" customWidth="1"/>
    <col min="11" max="11" width="1.7109375" style="18" customWidth="1"/>
    <col min="12" max="13" width="10.7109375" style="18" customWidth="1"/>
    <col min="14" max="14" width="1.7109375" style="18" customWidth="1"/>
    <col min="15" max="16" width="10.7109375" style="18" customWidth="1"/>
    <col min="17" max="17" width="1.7109375" style="18" customWidth="1"/>
    <col min="18" max="19" width="10.7109375" style="18" customWidth="1"/>
    <col min="20" max="20" width="1.7109375" style="18" customWidth="1"/>
    <col min="21" max="22" width="10.7109375" style="18" customWidth="1"/>
    <col min="23" max="23" width="1.7109375" style="18" customWidth="1"/>
    <col min="24" max="25" width="10.7109375" style="18" customWidth="1"/>
    <col min="26" max="16384" width="9.140625" style="18"/>
  </cols>
  <sheetData>
    <row r="1" spans="3:25" s="1" customFormat="1" ht="35.1" customHeight="1" x14ac:dyDescent="0.25"/>
    <row r="2" spans="3:25" s="3" customFormat="1" ht="30" customHeight="1" x14ac:dyDescent="0.25"/>
    <row r="3" spans="3:25" ht="20.100000000000001" customHeight="1" x14ac:dyDescent="0.25">
      <c r="C3" s="181"/>
      <c r="D3" s="181"/>
      <c r="O3" s="181"/>
      <c r="P3" s="181"/>
    </row>
    <row r="4" spans="3:25" ht="20.100000000000001" customHeight="1" x14ac:dyDescent="0.25">
      <c r="C4" s="287">
        <v>2026</v>
      </c>
      <c r="D4" s="287"/>
      <c r="F4" s="287">
        <v>2027</v>
      </c>
      <c r="G4" s="287"/>
      <c r="I4" s="287">
        <v>2028</v>
      </c>
      <c r="J4" s="287"/>
      <c r="L4" s="287">
        <v>2029</v>
      </c>
      <c r="M4" s="287"/>
      <c r="O4" s="287">
        <v>2030</v>
      </c>
      <c r="P4" s="287"/>
      <c r="R4" s="287">
        <v>2031</v>
      </c>
      <c r="S4" s="287"/>
      <c r="U4" s="287">
        <v>2032</v>
      </c>
      <c r="V4" s="287"/>
      <c r="X4" s="287">
        <v>2033</v>
      </c>
      <c r="Y4" s="287"/>
    </row>
    <row r="5" spans="3:25" ht="9.9499999999999993" customHeight="1" thickBot="1" x14ac:dyDescent="0.3"/>
    <row r="6" spans="3:25" ht="21.95" customHeight="1" x14ac:dyDescent="0.25">
      <c r="C6" s="101" t="s">
        <v>23</v>
      </c>
      <c r="D6" s="104" t="s">
        <v>48</v>
      </c>
      <c r="F6" s="101" t="s">
        <v>23</v>
      </c>
      <c r="G6" s="104" t="s">
        <v>48</v>
      </c>
      <c r="I6" s="101" t="s">
        <v>23</v>
      </c>
      <c r="J6" s="104" t="s">
        <v>48</v>
      </c>
      <c r="L6" s="101" t="s">
        <v>23</v>
      </c>
      <c r="M6" s="104" t="s">
        <v>48</v>
      </c>
      <c r="O6" s="101" t="s">
        <v>23</v>
      </c>
      <c r="P6" s="104" t="s">
        <v>48</v>
      </c>
      <c r="R6" s="101" t="s">
        <v>23</v>
      </c>
      <c r="S6" s="104" t="s">
        <v>48</v>
      </c>
      <c r="U6" s="101" t="s">
        <v>23</v>
      </c>
      <c r="V6" s="104" t="s">
        <v>48</v>
      </c>
      <c r="X6" s="101" t="s">
        <v>23</v>
      </c>
      <c r="Y6" s="104" t="s">
        <v>48</v>
      </c>
    </row>
    <row r="7" spans="3:25" ht="24.95" customHeight="1" x14ac:dyDescent="0.25">
      <c r="C7" s="43" t="s">
        <v>168</v>
      </c>
      <c r="D7" s="185">
        <v>8.9999999999999993E-3</v>
      </c>
      <c r="F7" s="43" t="s">
        <v>166</v>
      </c>
      <c r="G7" s="185">
        <v>1</v>
      </c>
      <c r="I7" s="43" t="s">
        <v>169</v>
      </c>
      <c r="J7" s="185">
        <v>1</v>
      </c>
      <c r="L7" s="43" t="s">
        <v>166</v>
      </c>
      <c r="M7" s="185">
        <v>1</v>
      </c>
      <c r="O7" s="43" t="s">
        <v>166</v>
      </c>
      <c r="P7" s="185">
        <v>1</v>
      </c>
      <c r="R7" s="43" t="s">
        <v>166</v>
      </c>
      <c r="S7" s="185">
        <v>1</v>
      </c>
      <c r="U7" s="43" t="s">
        <v>166</v>
      </c>
      <c r="V7" s="185">
        <v>1</v>
      </c>
      <c r="X7" s="43" t="s">
        <v>166</v>
      </c>
      <c r="Y7" s="185">
        <v>1</v>
      </c>
    </row>
    <row r="8" spans="3:25" ht="24.95" customHeight="1" x14ac:dyDescent="0.25">
      <c r="C8" s="44" t="s">
        <v>167</v>
      </c>
      <c r="D8" s="184">
        <v>1E-3</v>
      </c>
      <c r="F8" s="44" t="s">
        <v>167</v>
      </c>
      <c r="G8" s="184">
        <v>1E-3</v>
      </c>
      <c r="I8" s="44" t="s">
        <v>167</v>
      </c>
      <c r="J8" s="184">
        <v>1E-3</v>
      </c>
      <c r="L8" s="44" t="s">
        <v>167</v>
      </c>
      <c r="M8" s="184">
        <v>0.1</v>
      </c>
      <c r="O8" s="44" t="s">
        <v>167</v>
      </c>
      <c r="P8" s="184">
        <v>0.2</v>
      </c>
      <c r="R8" s="44" t="s">
        <v>167</v>
      </c>
      <c r="S8" s="184">
        <v>0.3</v>
      </c>
      <c r="U8" s="44" t="s">
        <v>167</v>
      </c>
      <c r="V8" s="184">
        <v>0.4</v>
      </c>
      <c r="X8" s="44" t="s">
        <v>165</v>
      </c>
      <c r="Y8" s="184">
        <v>1</v>
      </c>
    </row>
    <row r="9" spans="3:25" ht="24.95" customHeight="1" x14ac:dyDescent="0.25">
      <c r="C9" s="44" t="s">
        <v>194</v>
      </c>
      <c r="D9" s="184">
        <v>1</v>
      </c>
      <c r="F9" s="44" t="s">
        <v>194</v>
      </c>
      <c r="G9" s="184">
        <v>0</v>
      </c>
      <c r="I9" s="44" t="s">
        <v>194</v>
      </c>
      <c r="J9" s="184">
        <v>0</v>
      </c>
      <c r="L9" s="44" t="s">
        <v>170</v>
      </c>
      <c r="M9" s="184">
        <v>0.9</v>
      </c>
      <c r="O9" s="44" t="s">
        <v>170</v>
      </c>
      <c r="P9" s="184">
        <v>0.8</v>
      </c>
      <c r="R9" s="44" t="s">
        <v>170</v>
      </c>
      <c r="S9" s="184">
        <v>0.7</v>
      </c>
      <c r="U9" s="44" t="s">
        <v>170</v>
      </c>
      <c r="V9" s="184">
        <v>0.6</v>
      </c>
      <c r="X9" s="44" t="s">
        <v>172</v>
      </c>
      <c r="Y9" s="184">
        <v>0</v>
      </c>
    </row>
    <row r="10" spans="3:25" ht="24.95" customHeight="1" x14ac:dyDescent="0.25">
      <c r="C10" s="44" t="s">
        <v>38</v>
      </c>
      <c r="D10" s="183">
        <v>1</v>
      </c>
      <c r="F10" s="44" t="s">
        <v>38</v>
      </c>
      <c r="G10" s="183">
        <v>0</v>
      </c>
      <c r="I10" s="44" t="s">
        <v>38</v>
      </c>
      <c r="J10" s="183">
        <v>0</v>
      </c>
      <c r="L10" s="44" t="s">
        <v>171</v>
      </c>
      <c r="M10" s="183">
        <v>0.9</v>
      </c>
      <c r="O10" s="44" t="s">
        <v>171</v>
      </c>
      <c r="P10" s="183">
        <v>0.8</v>
      </c>
      <c r="R10" s="44" t="s">
        <v>171</v>
      </c>
      <c r="S10" s="183">
        <v>0.7</v>
      </c>
      <c r="U10" s="44" t="s">
        <v>171</v>
      </c>
      <c r="V10" s="183">
        <v>0.6</v>
      </c>
      <c r="X10" s="44" t="s">
        <v>173</v>
      </c>
      <c r="Y10" s="183">
        <v>0</v>
      </c>
    </row>
    <row r="11" spans="3:25" ht="9.9499999999999993" customHeight="1" x14ac:dyDescent="0.25"/>
    <row r="12" spans="3:25" ht="24.95" customHeight="1" x14ac:dyDescent="0.25">
      <c r="C12" s="281" t="s">
        <v>174</v>
      </c>
      <c r="D12" s="282"/>
      <c r="E12" s="182"/>
      <c r="F12" s="281" t="s">
        <v>177</v>
      </c>
      <c r="G12" s="282"/>
      <c r="H12" s="182"/>
      <c r="I12" s="281" t="s">
        <v>180</v>
      </c>
      <c r="J12" s="282"/>
      <c r="K12" s="182"/>
      <c r="L12" s="281" t="s">
        <v>180</v>
      </c>
      <c r="M12" s="282"/>
      <c r="N12" s="182"/>
      <c r="O12" s="281" t="s">
        <v>180</v>
      </c>
      <c r="P12" s="282"/>
      <c r="Q12" s="182"/>
      <c r="R12" s="281" t="s">
        <v>180</v>
      </c>
      <c r="S12" s="282"/>
      <c r="T12" s="182"/>
      <c r="U12" s="281" t="s">
        <v>180</v>
      </c>
      <c r="V12" s="282"/>
      <c r="W12" s="182"/>
      <c r="X12" s="281" t="s">
        <v>181</v>
      </c>
      <c r="Y12" s="282"/>
    </row>
    <row r="13" spans="3:25" ht="24.95" customHeight="1" x14ac:dyDescent="0.25">
      <c r="C13" s="283"/>
      <c r="D13" s="284"/>
      <c r="E13" s="182"/>
      <c r="F13" s="283"/>
      <c r="G13" s="284"/>
      <c r="H13" s="182"/>
      <c r="I13" s="283"/>
      <c r="J13" s="284"/>
      <c r="K13" s="182"/>
      <c r="L13" s="283"/>
      <c r="M13" s="284"/>
      <c r="N13" s="182"/>
      <c r="O13" s="283"/>
      <c r="P13" s="284"/>
      <c r="Q13" s="182"/>
      <c r="R13" s="283"/>
      <c r="S13" s="284"/>
      <c r="T13" s="182"/>
      <c r="U13" s="283"/>
      <c r="V13" s="284"/>
      <c r="W13" s="182"/>
      <c r="X13" s="283"/>
      <c r="Y13" s="284"/>
    </row>
    <row r="14" spans="3:25" ht="24.95" customHeight="1" x14ac:dyDescent="0.25">
      <c r="C14" s="285"/>
      <c r="D14" s="286"/>
      <c r="E14" s="182"/>
      <c r="F14" s="285"/>
      <c r="G14" s="286"/>
      <c r="H14" s="182"/>
      <c r="I14" s="285"/>
      <c r="J14" s="286"/>
      <c r="K14" s="182"/>
      <c r="L14" s="285"/>
      <c r="M14" s="286"/>
      <c r="N14" s="182"/>
      <c r="O14" s="285"/>
      <c r="P14" s="286"/>
      <c r="Q14" s="182"/>
      <c r="R14" s="285"/>
      <c r="S14" s="286"/>
      <c r="T14" s="182"/>
      <c r="U14" s="285"/>
      <c r="V14" s="286"/>
      <c r="W14" s="182"/>
      <c r="X14" s="285"/>
      <c r="Y14" s="286"/>
    </row>
    <row r="15" spans="3:25" ht="24.95" customHeight="1" x14ac:dyDescent="0.25">
      <c r="C15" s="281" t="s">
        <v>175</v>
      </c>
      <c r="D15" s="282"/>
      <c r="E15" s="182"/>
      <c r="F15" s="281" t="s">
        <v>178</v>
      </c>
      <c r="G15" s="282"/>
      <c r="H15" s="182"/>
      <c r="I15" s="281" t="s">
        <v>182</v>
      </c>
      <c r="J15" s="282"/>
      <c r="K15" s="182"/>
      <c r="L15" s="281" t="s">
        <v>184</v>
      </c>
      <c r="M15" s="282"/>
      <c r="N15" s="182"/>
      <c r="O15" s="281" t="s">
        <v>185</v>
      </c>
      <c r="P15" s="282"/>
      <c r="Q15" s="182"/>
      <c r="R15" s="281" t="s">
        <v>186</v>
      </c>
      <c r="S15" s="282"/>
      <c r="T15" s="182"/>
      <c r="U15" s="281" t="s">
        <v>187</v>
      </c>
      <c r="V15" s="282"/>
      <c r="W15" s="182"/>
      <c r="X15" s="281" t="s">
        <v>192</v>
      </c>
      <c r="Y15" s="282"/>
    </row>
    <row r="16" spans="3:25" ht="24.95" customHeight="1" x14ac:dyDescent="0.25">
      <c r="C16" s="283"/>
      <c r="D16" s="284"/>
      <c r="E16" s="182"/>
      <c r="F16" s="283"/>
      <c r="G16" s="284"/>
      <c r="H16" s="182"/>
      <c r="I16" s="283"/>
      <c r="J16" s="284"/>
      <c r="K16" s="182"/>
      <c r="L16" s="283"/>
      <c r="M16" s="284"/>
      <c r="N16" s="182"/>
      <c r="O16" s="283"/>
      <c r="P16" s="284"/>
      <c r="Q16" s="182"/>
      <c r="R16" s="283"/>
      <c r="S16" s="284"/>
      <c r="T16" s="182"/>
      <c r="U16" s="283"/>
      <c r="V16" s="284"/>
      <c r="W16" s="182"/>
      <c r="X16" s="283"/>
      <c r="Y16" s="284"/>
    </row>
    <row r="17" spans="3:25" ht="24.95" customHeight="1" x14ac:dyDescent="0.25">
      <c r="C17" s="285"/>
      <c r="D17" s="286"/>
      <c r="E17" s="182"/>
      <c r="F17" s="285"/>
      <c r="G17" s="286"/>
      <c r="H17" s="182"/>
      <c r="I17" s="285"/>
      <c r="J17" s="286"/>
      <c r="K17" s="182"/>
      <c r="L17" s="285"/>
      <c r="M17" s="286"/>
      <c r="N17" s="182"/>
      <c r="O17" s="285"/>
      <c r="P17" s="286"/>
      <c r="Q17" s="182"/>
      <c r="R17" s="285"/>
      <c r="S17" s="286"/>
      <c r="T17" s="182"/>
      <c r="U17" s="285"/>
      <c r="V17" s="286"/>
      <c r="W17" s="182"/>
      <c r="X17" s="285"/>
      <c r="Y17" s="286"/>
    </row>
    <row r="18" spans="3:25" ht="24.95" customHeight="1" x14ac:dyDescent="0.25">
      <c r="C18" s="281" t="s">
        <v>176</v>
      </c>
      <c r="D18" s="282"/>
      <c r="E18" s="182"/>
      <c r="F18" s="281" t="s">
        <v>179</v>
      </c>
      <c r="G18" s="282"/>
      <c r="H18" s="182"/>
      <c r="I18" s="281" t="s">
        <v>183</v>
      </c>
      <c r="J18" s="282"/>
      <c r="K18" s="182"/>
      <c r="L18" s="281" t="s">
        <v>188</v>
      </c>
      <c r="M18" s="282"/>
      <c r="N18" s="182"/>
      <c r="O18" s="281" t="s">
        <v>189</v>
      </c>
      <c r="P18" s="282"/>
      <c r="Q18" s="182"/>
      <c r="R18" s="281" t="s">
        <v>190</v>
      </c>
      <c r="S18" s="282"/>
      <c r="T18" s="182"/>
      <c r="U18" s="281" t="s">
        <v>191</v>
      </c>
      <c r="V18" s="282"/>
      <c r="W18" s="182"/>
      <c r="X18" s="281" t="s">
        <v>193</v>
      </c>
      <c r="Y18" s="282"/>
    </row>
    <row r="19" spans="3:25" ht="24.95" customHeight="1" x14ac:dyDescent="0.25">
      <c r="C19" s="283"/>
      <c r="D19" s="284"/>
      <c r="E19" s="182"/>
      <c r="F19" s="283"/>
      <c r="G19" s="284"/>
      <c r="H19" s="182"/>
      <c r="I19" s="283"/>
      <c r="J19" s="284"/>
      <c r="K19" s="182"/>
      <c r="L19" s="283"/>
      <c r="M19" s="284"/>
      <c r="N19" s="182"/>
      <c r="O19" s="283"/>
      <c r="P19" s="284"/>
      <c r="Q19" s="182"/>
      <c r="R19" s="283"/>
      <c r="S19" s="284"/>
      <c r="T19" s="182"/>
      <c r="U19" s="283"/>
      <c r="V19" s="284"/>
      <c r="W19" s="182"/>
      <c r="X19" s="283"/>
      <c r="Y19" s="284"/>
    </row>
    <row r="20" spans="3:25" ht="24.95" customHeight="1" x14ac:dyDescent="0.25">
      <c r="C20" s="285"/>
      <c r="D20" s="286"/>
      <c r="E20" s="182"/>
      <c r="F20" s="285"/>
      <c r="G20" s="286"/>
      <c r="H20" s="182"/>
      <c r="I20" s="285"/>
      <c r="J20" s="286"/>
      <c r="K20" s="182"/>
      <c r="L20" s="285"/>
      <c r="M20" s="286"/>
      <c r="N20" s="182"/>
      <c r="O20" s="285"/>
      <c r="P20" s="286"/>
      <c r="Q20" s="182"/>
      <c r="R20" s="285"/>
      <c r="S20" s="286"/>
      <c r="T20" s="182"/>
      <c r="U20" s="285"/>
      <c r="V20" s="286"/>
      <c r="W20" s="182"/>
      <c r="X20" s="285"/>
      <c r="Y20" s="286"/>
    </row>
  </sheetData>
  <sheetProtection sheet="1" objects="1" scenarios="1" selectLockedCells="1" selectUnlockedCells="1"/>
  <mergeCells count="32">
    <mergeCell ref="O4:P4"/>
    <mergeCell ref="R4:S4"/>
    <mergeCell ref="U4:V4"/>
    <mergeCell ref="X4:Y4"/>
    <mergeCell ref="C4:D4"/>
    <mergeCell ref="F4:G4"/>
    <mergeCell ref="I4:J4"/>
    <mergeCell ref="L4:M4"/>
    <mergeCell ref="C12:D14"/>
    <mergeCell ref="C15:D17"/>
    <mergeCell ref="C18:D20"/>
    <mergeCell ref="F12:G14"/>
    <mergeCell ref="F15:G17"/>
    <mergeCell ref="F18:G20"/>
    <mergeCell ref="I12:J14"/>
    <mergeCell ref="I15:J17"/>
    <mergeCell ref="I18:J20"/>
    <mergeCell ref="L12:M14"/>
    <mergeCell ref="L15:M17"/>
    <mergeCell ref="L18:M20"/>
    <mergeCell ref="O12:P14"/>
    <mergeCell ref="O15:P17"/>
    <mergeCell ref="O18:P20"/>
    <mergeCell ref="R12:S14"/>
    <mergeCell ref="R15:S17"/>
    <mergeCell ref="R18:S20"/>
    <mergeCell ref="U12:V14"/>
    <mergeCell ref="U15:V17"/>
    <mergeCell ref="U18:V20"/>
    <mergeCell ref="X12:Y14"/>
    <mergeCell ref="X15:Y17"/>
    <mergeCell ref="X18:Y20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" id="{C6C01F5E-FA22-43C8-95A5-BE41B72C2D59}">
            <xm:f>'BH (1)'!$C$5=TRUE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D9:D10</xm:sqref>
        </x14:conditionalFormatting>
        <x14:conditionalFormatting xmlns:xm="http://schemas.microsoft.com/office/excel/2006/main">
          <x14:cfRule type="expression" priority="7" id="{A9C5F6D1-0E35-4288-A9EB-C02D492F2F11}">
            <xm:f>'BH (1)'!$C$5=TRUE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G9:G10</xm:sqref>
        </x14:conditionalFormatting>
        <x14:conditionalFormatting xmlns:xm="http://schemas.microsoft.com/office/excel/2006/main">
          <x14:cfRule type="expression" priority="6" id="{7EA9235A-9048-4BF3-A428-870A86BF0BC0}">
            <xm:f>'BH (1)'!$C$5=TRUE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J9:J10</xm:sqref>
        </x14:conditionalFormatting>
        <x14:conditionalFormatting xmlns:xm="http://schemas.microsoft.com/office/excel/2006/main">
          <x14:cfRule type="expression" priority="5" id="{A60E1354-51CE-43F2-98CC-6A0F952CF1B0}">
            <xm:f>'BH (1)'!$C$5=TRUE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M9:M10</xm:sqref>
        </x14:conditionalFormatting>
        <x14:conditionalFormatting xmlns:xm="http://schemas.microsoft.com/office/excel/2006/main">
          <x14:cfRule type="expression" priority="4" id="{B2A69813-E16A-43BE-A25A-59376D85A8E4}">
            <xm:f>'BH (1)'!$C$5=TRUE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P9:P10</xm:sqref>
        </x14:conditionalFormatting>
        <x14:conditionalFormatting xmlns:xm="http://schemas.microsoft.com/office/excel/2006/main">
          <x14:cfRule type="expression" priority="3" id="{0F833444-603F-4CA8-A5C5-5101B088F692}">
            <xm:f>'BH (1)'!$C$5=TRUE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S9:S10</xm:sqref>
        </x14:conditionalFormatting>
        <x14:conditionalFormatting xmlns:xm="http://schemas.microsoft.com/office/excel/2006/main">
          <x14:cfRule type="expression" priority="2" id="{9DEFA98E-793E-4E12-BA6E-43B036DD6F35}">
            <xm:f>'BH (1)'!$C$5=TRUE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V9:V10</xm:sqref>
        </x14:conditionalFormatting>
        <x14:conditionalFormatting xmlns:xm="http://schemas.microsoft.com/office/excel/2006/main">
          <x14:cfRule type="expression" priority="1" id="{8E82B99A-009D-47AA-AE02-51F5C3E75452}">
            <xm:f>'BH (1)'!$C$5=TRUE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</x14:dxf>
          </x14:cfRule>
          <xm:sqref>Y9:Y10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12">
    <tabColor rgb="FFFFC000"/>
  </sheetPr>
  <dimension ref="A1:P25"/>
  <sheetViews>
    <sheetView showGridLines="0" showRowColHeaders="0" workbookViewId="0">
      <pane ySplit="4" topLeftCell="A5" activePane="bottomLeft" state="frozen"/>
      <selection pane="bottomLeft" activeCell="D7" sqref="D7"/>
    </sheetView>
  </sheetViews>
  <sheetFormatPr defaultRowHeight="24.95" customHeight="1" x14ac:dyDescent="0.25"/>
  <cols>
    <col min="1" max="2" width="1.7109375" style="18" customWidth="1"/>
    <col min="3" max="3" width="13.7109375" style="18" customWidth="1"/>
    <col min="4" max="16" width="13.140625" style="18" customWidth="1"/>
    <col min="17" max="16384" width="9.140625" style="18"/>
  </cols>
  <sheetData>
    <row r="1" spans="1:16" s="1" customFormat="1" ht="35.1" customHeight="1" x14ac:dyDescent="0.25">
      <c r="A1" s="221"/>
    </row>
    <row r="2" spans="1:16" s="3" customFormat="1" ht="30" customHeight="1" x14ac:dyDescent="0.25"/>
    <row r="3" spans="1:16" ht="30" customHeight="1" thickBot="1" x14ac:dyDescent="0.25">
      <c r="C3" s="265" t="s">
        <v>354</v>
      </c>
    </row>
    <row r="4" spans="1:16" ht="21.95" customHeight="1" x14ac:dyDescent="0.25">
      <c r="C4" s="85" t="s">
        <v>82</v>
      </c>
      <c r="D4" s="55" t="s">
        <v>83</v>
      </c>
      <c r="E4" s="55" t="s">
        <v>84</v>
      </c>
      <c r="F4" s="55" t="s">
        <v>85</v>
      </c>
      <c r="G4" s="55" t="s">
        <v>86</v>
      </c>
      <c r="H4" s="55" t="s">
        <v>87</v>
      </c>
      <c r="I4" s="55" t="s">
        <v>88</v>
      </c>
      <c r="J4" s="55" t="s">
        <v>89</v>
      </c>
      <c r="K4" s="55" t="s">
        <v>90</v>
      </c>
      <c r="L4" s="55" t="s">
        <v>91</v>
      </c>
      <c r="M4" s="55" t="s">
        <v>92</v>
      </c>
      <c r="N4" s="55" t="s">
        <v>93</v>
      </c>
      <c r="O4" s="55" t="s">
        <v>94</v>
      </c>
      <c r="P4" s="56" t="s">
        <v>95</v>
      </c>
    </row>
    <row r="5" spans="1:16" ht="24.95" customHeight="1" x14ac:dyDescent="0.25">
      <c r="C5" s="86" t="s">
        <v>365</v>
      </c>
      <c r="D5" s="75">
        <v>35095.8125</v>
      </c>
      <c r="E5" s="75">
        <v>34139.15</v>
      </c>
      <c r="F5" s="75">
        <v>33509.862500000003</v>
      </c>
      <c r="G5" s="75">
        <v>33159.449999999997</v>
      </c>
      <c r="H5" s="75">
        <v>33452.875</v>
      </c>
      <c r="I5" s="75">
        <v>33507.4375</v>
      </c>
      <c r="J5" s="75">
        <v>30704.137500000001</v>
      </c>
      <c r="K5" s="75">
        <v>34928.487500000003</v>
      </c>
      <c r="L5" s="75">
        <v>30779.3125</v>
      </c>
      <c r="M5" s="75">
        <v>36525.35</v>
      </c>
      <c r="N5" s="75">
        <v>33266.15</v>
      </c>
      <c r="O5" s="75">
        <v>31263.1</v>
      </c>
      <c r="P5" s="87">
        <f>SUM(D5:O5)</f>
        <v>400331.125</v>
      </c>
    </row>
    <row r="6" spans="1:16" ht="24.95" customHeight="1" thickBot="1" x14ac:dyDescent="0.3">
      <c r="C6" s="88"/>
      <c r="D6" s="88"/>
      <c r="F6" s="88"/>
      <c r="G6" s="88"/>
      <c r="I6" s="88"/>
      <c r="J6" s="88"/>
      <c r="L6" s="88"/>
      <c r="M6" s="88"/>
      <c r="O6" s="88"/>
      <c r="P6" s="88"/>
    </row>
    <row r="7" spans="1:16" ht="24.95" customHeight="1" x14ac:dyDescent="0.25">
      <c r="C7" s="89" t="s">
        <v>97</v>
      </c>
      <c r="D7" s="58">
        <v>1.6500000000000001E-2</v>
      </c>
      <c r="F7" s="89" t="s">
        <v>98</v>
      </c>
      <c r="G7" s="58">
        <v>7.5999999999999998E-2</v>
      </c>
      <c r="I7" s="89" t="s">
        <v>37</v>
      </c>
      <c r="J7" s="58">
        <v>0.12</v>
      </c>
      <c r="L7" s="89" t="s">
        <v>38</v>
      </c>
      <c r="M7" s="58">
        <v>0</v>
      </c>
      <c r="O7" s="89" t="s">
        <v>39</v>
      </c>
      <c r="P7" s="58">
        <v>0</v>
      </c>
    </row>
    <row r="8" spans="1:16" ht="24.95" customHeight="1" thickBot="1" x14ac:dyDescent="0.3"/>
    <row r="9" spans="1:16" ht="21.95" customHeight="1" x14ac:dyDescent="0.25">
      <c r="C9" s="85" t="s">
        <v>82</v>
      </c>
      <c r="D9" s="55" t="s">
        <v>83</v>
      </c>
      <c r="E9" s="55" t="s">
        <v>84</v>
      </c>
      <c r="F9" s="55" t="s">
        <v>85</v>
      </c>
      <c r="G9" s="55" t="s">
        <v>86</v>
      </c>
      <c r="H9" s="55" t="s">
        <v>87</v>
      </c>
      <c r="I9" s="55" t="s">
        <v>88</v>
      </c>
      <c r="J9" s="55" t="s">
        <v>89</v>
      </c>
      <c r="K9" s="55" t="s">
        <v>90</v>
      </c>
      <c r="L9" s="55" t="s">
        <v>91</v>
      </c>
      <c r="M9" s="55" t="s">
        <v>92</v>
      </c>
      <c r="N9" s="55" t="s">
        <v>93</v>
      </c>
      <c r="O9" s="55" t="s">
        <v>94</v>
      </c>
      <c r="P9" s="56" t="s">
        <v>95</v>
      </c>
    </row>
    <row r="10" spans="1:16" ht="24.95" customHeight="1" x14ac:dyDescent="0.25">
      <c r="C10" s="86" t="s">
        <v>97</v>
      </c>
      <c r="D10" s="90">
        <f>IFERROR(D5*$D$7,0)</f>
        <v>579.08090625</v>
      </c>
      <c r="E10" s="90">
        <f t="shared" ref="E10:O10" si="0">IFERROR(E5*$D$7,0)</f>
        <v>563.295975</v>
      </c>
      <c r="F10" s="90">
        <f t="shared" si="0"/>
        <v>552.91273125000009</v>
      </c>
      <c r="G10" s="90">
        <f t="shared" si="0"/>
        <v>547.13092499999993</v>
      </c>
      <c r="H10" s="90">
        <f t="shared" si="0"/>
        <v>551.97243750000007</v>
      </c>
      <c r="I10" s="90">
        <f t="shared" si="0"/>
        <v>552.87271874999999</v>
      </c>
      <c r="J10" s="90">
        <f t="shared" si="0"/>
        <v>506.61826875000003</v>
      </c>
      <c r="K10" s="90">
        <f t="shared" si="0"/>
        <v>576.32004375000008</v>
      </c>
      <c r="L10" s="90">
        <f t="shared" si="0"/>
        <v>507.85865625000002</v>
      </c>
      <c r="M10" s="90">
        <f t="shared" si="0"/>
        <v>602.66827499999999</v>
      </c>
      <c r="N10" s="90">
        <f t="shared" si="0"/>
        <v>548.89147500000001</v>
      </c>
      <c r="O10" s="90">
        <f t="shared" si="0"/>
        <v>515.84114999999997</v>
      </c>
      <c r="P10" s="91">
        <f t="shared" ref="P10:P15" si="1">SUM(D10:O10)</f>
        <v>6605.463562500001</v>
      </c>
    </row>
    <row r="11" spans="1:16" ht="24.95" customHeight="1" x14ac:dyDescent="0.25">
      <c r="C11" s="92" t="s">
        <v>98</v>
      </c>
      <c r="D11" s="90">
        <f>IFERROR(D5*$G$7,0)</f>
        <v>2667.2817500000001</v>
      </c>
      <c r="E11" s="90">
        <f t="shared" ref="E11:O11" si="2">IFERROR(E5*$G$7,0)</f>
        <v>2594.5754000000002</v>
      </c>
      <c r="F11" s="90">
        <f t="shared" si="2"/>
        <v>2546.74955</v>
      </c>
      <c r="G11" s="90">
        <f t="shared" si="2"/>
        <v>2520.1181999999999</v>
      </c>
      <c r="H11" s="90">
        <f t="shared" si="2"/>
        <v>2542.4184999999998</v>
      </c>
      <c r="I11" s="90">
        <f t="shared" si="2"/>
        <v>2546.5652500000001</v>
      </c>
      <c r="J11" s="90">
        <f t="shared" si="2"/>
        <v>2333.5144500000001</v>
      </c>
      <c r="K11" s="90">
        <f t="shared" si="2"/>
        <v>2654.5650500000002</v>
      </c>
      <c r="L11" s="90">
        <f t="shared" si="2"/>
        <v>2339.22775</v>
      </c>
      <c r="M11" s="90">
        <f t="shared" si="2"/>
        <v>2775.9265999999998</v>
      </c>
      <c r="N11" s="90">
        <f t="shared" si="2"/>
        <v>2528.2274000000002</v>
      </c>
      <c r="O11" s="90">
        <f t="shared" si="2"/>
        <v>2375.9955999999997</v>
      </c>
      <c r="P11" s="93">
        <f t="shared" si="1"/>
        <v>30425.165499999996</v>
      </c>
    </row>
    <row r="12" spans="1:16" ht="24.95" customHeight="1" x14ac:dyDescent="0.25">
      <c r="C12" s="92" t="s">
        <v>37</v>
      </c>
      <c r="D12" s="90">
        <f>IFERROR(D5*$J$7,0)</f>
        <v>4211.4974999999995</v>
      </c>
      <c r="E12" s="90">
        <f t="shared" ref="E12:O12" si="3">IFERROR(E5*$J$7,0)</f>
        <v>4096.6980000000003</v>
      </c>
      <c r="F12" s="90">
        <f t="shared" si="3"/>
        <v>4021.1835000000001</v>
      </c>
      <c r="G12" s="90">
        <f t="shared" si="3"/>
        <v>3979.1339999999996</v>
      </c>
      <c r="H12" s="90">
        <f t="shared" si="3"/>
        <v>4014.3449999999998</v>
      </c>
      <c r="I12" s="90">
        <f t="shared" si="3"/>
        <v>4020.8924999999999</v>
      </c>
      <c r="J12" s="90">
        <f t="shared" si="3"/>
        <v>3684.4964999999997</v>
      </c>
      <c r="K12" s="90">
        <f t="shared" si="3"/>
        <v>4191.4184999999998</v>
      </c>
      <c r="L12" s="90">
        <f t="shared" si="3"/>
        <v>3693.5174999999999</v>
      </c>
      <c r="M12" s="90">
        <f t="shared" si="3"/>
        <v>4383.0419999999995</v>
      </c>
      <c r="N12" s="90">
        <f t="shared" si="3"/>
        <v>3991.9380000000001</v>
      </c>
      <c r="O12" s="90">
        <f t="shared" si="3"/>
        <v>3751.5719999999997</v>
      </c>
      <c r="P12" s="93">
        <f t="shared" si="1"/>
        <v>48039.735000000008</v>
      </c>
    </row>
    <row r="13" spans="1:16" ht="24.95" customHeight="1" x14ac:dyDescent="0.25">
      <c r="C13" s="92" t="s">
        <v>38</v>
      </c>
      <c r="D13" s="90">
        <f>IFERROR(D5*$M$7,0)</f>
        <v>0</v>
      </c>
      <c r="E13" s="90">
        <f t="shared" ref="E13:O13" si="4">IFERROR(E5*$M$7,0)</f>
        <v>0</v>
      </c>
      <c r="F13" s="90">
        <f t="shared" si="4"/>
        <v>0</v>
      </c>
      <c r="G13" s="90">
        <f t="shared" si="4"/>
        <v>0</v>
      </c>
      <c r="H13" s="90">
        <f t="shared" si="4"/>
        <v>0</v>
      </c>
      <c r="I13" s="90">
        <f t="shared" si="4"/>
        <v>0</v>
      </c>
      <c r="J13" s="90">
        <f t="shared" si="4"/>
        <v>0</v>
      </c>
      <c r="K13" s="90">
        <f t="shared" si="4"/>
        <v>0</v>
      </c>
      <c r="L13" s="90">
        <f t="shared" si="4"/>
        <v>0</v>
      </c>
      <c r="M13" s="90">
        <f t="shared" si="4"/>
        <v>0</v>
      </c>
      <c r="N13" s="90">
        <f t="shared" si="4"/>
        <v>0</v>
      </c>
      <c r="O13" s="90">
        <f t="shared" si="4"/>
        <v>0</v>
      </c>
      <c r="P13" s="93">
        <f t="shared" si="1"/>
        <v>0</v>
      </c>
    </row>
    <row r="14" spans="1:16" ht="24.95" customHeight="1" x14ac:dyDescent="0.25">
      <c r="C14" s="94" t="s">
        <v>39</v>
      </c>
      <c r="D14" s="99">
        <f>IFERROR(D5*$P$7,0)</f>
        <v>0</v>
      </c>
      <c r="E14" s="99">
        <f t="shared" ref="E14:O14" si="5">IFERROR(E5*$P$7,0)</f>
        <v>0</v>
      </c>
      <c r="F14" s="99">
        <f t="shared" si="5"/>
        <v>0</v>
      </c>
      <c r="G14" s="99">
        <f t="shared" si="5"/>
        <v>0</v>
      </c>
      <c r="H14" s="99">
        <f t="shared" si="5"/>
        <v>0</v>
      </c>
      <c r="I14" s="99">
        <f t="shared" si="5"/>
        <v>0</v>
      </c>
      <c r="J14" s="99">
        <f t="shared" si="5"/>
        <v>0</v>
      </c>
      <c r="K14" s="99">
        <f t="shared" si="5"/>
        <v>0</v>
      </c>
      <c r="L14" s="100">
        <f t="shared" si="5"/>
        <v>0</v>
      </c>
      <c r="M14" s="99">
        <f t="shared" si="5"/>
        <v>0</v>
      </c>
      <c r="N14" s="99">
        <f t="shared" si="5"/>
        <v>0</v>
      </c>
      <c r="O14" s="100">
        <f t="shared" si="5"/>
        <v>0</v>
      </c>
      <c r="P14" s="93">
        <f t="shared" si="1"/>
        <v>0</v>
      </c>
    </row>
    <row r="15" spans="1:16" ht="24.95" customHeight="1" x14ac:dyDescent="0.25">
      <c r="C15" s="96" t="s">
        <v>99</v>
      </c>
      <c r="D15" s="97">
        <f>SUM(D10:D14)</f>
        <v>7457.8601562499998</v>
      </c>
      <c r="E15" s="97">
        <f t="shared" ref="E15:O15" si="6">SUM(E10:E14)</f>
        <v>7254.5693750000009</v>
      </c>
      <c r="F15" s="97">
        <f t="shared" si="6"/>
        <v>7120.8457812500001</v>
      </c>
      <c r="G15" s="97">
        <f t="shared" si="6"/>
        <v>7046.3831249999994</v>
      </c>
      <c r="H15" s="97">
        <f t="shared" si="6"/>
        <v>7108.7359374999996</v>
      </c>
      <c r="I15" s="97">
        <f t="shared" si="6"/>
        <v>7120.3304687500004</v>
      </c>
      <c r="J15" s="97">
        <f t="shared" si="6"/>
        <v>6524.6292187500003</v>
      </c>
      <c r="K15" s="97">
        <f t="shared" si="6"/>
        <v>7422.3035937499999</v>
      </c>
      <c r="L15" s="97">
        <f t="shared" si="6"/>
        <v>6540.6039062500004</v>
      </c>
      <c r="M15" s="97">
        <f t="shared" si="6"/>
        <v>7761.6368749999992</v>
      </c>
      <c r="N15" s="97">
        <f t="shared" si="6"/>
        <v>7069.0568750000002</v>
      </c>
      <c r="O15" s="97">
        <f t="shared" si="6"/>
        <v>6643.4087499999987</v>
      </c>
      <c r="P15" s="98">
        <f t="shared" si="1"/>
        <v>85070.364062499997</v>
      </c>
    </row>
    <row r="16" spans="1:16" ht="24.95" customHeight="1" thickBot="1" x14ac:dyDescent="0.25">
      <c r="C16" s="266" t="s">
        <v>355</v>
      </c>
      <c r="D16" s="88"/>
      <c r="F16" s="88"/>
      <c r="G16" s="88"/>
    </row>
    <row r="17" spans="3:16" ht="20.100000000000001" customHeight="1" x14ac:dyDescent="0.25">
      <c r="C17" s="85" t="s">
        <v>82</v>
      </c>
      <c r="D17" s="55" t="s">
        <v>83</v>
      </c>
      <c r="E17" s="55" t="s">
        <v>84</v>
      </c>
      <c r="F17" s="55" t="s">
        <v>85</v>
      </c>
      <c r="G17" s="55" t="s">
        <v>86</v>
      </c>
      <c r="H17" s="55" t="s">
        <v>87</v>
      </c>
      <c r="I17" s="55" t="s">
        <v>88</v>
      </c>
      <c r="J17" s="55" t="s">
        <v>89</v>
      </c>
      <c r="K17" s="55" t="s">
        <v>90</v>
      </c>
      <c r="L17" s="55" t="s">
        <v>91</v>
      </c>
      <c r="M17" s="55" t="s">
        <v>92</v>
      </c>
      <c r="N17" s="55" t="s">
        <v>93</v>
      </c>
      <c r="O17" s="55" t="s">
        <v>94</v>
      </c>
      <c r="P17" s="56" t="s">
        <v>95</v>
      </c>
    </row>
    <row r="18" spans="3:16" ht="24.95" customHeight="1" x14ac:dyDescent="0.25">
      <c r="C18" s="86" t="s">
        <v>365</v>
      </c>
      <c r="D18" s="75">
        <v>28945</v>
      </c>
      <c r="E18" s="75">
        <v>28156</v>
      </c>
      <c r="F18" s="75">
        <v>27637</v>
      </c>
      <c r="G18" s="75">
        <v>27348</v>
      </c>
      <c r="H18" s="75">
        <v>27590</v>
      </c>
      <c r="I18" s="75">
        <v>27635</v>
      </c>
      <c r="J18" s="75">
        <v>25323</v>
      </c>
      <c r="K18" s="75">
        <v>28807</v>
      </c>
      <c r="L18" s="75">
        <v>25385</v>
      </c>
      <c r="M18" s="75">
        <v>30124</v>
      </c>
      <c r="N18" s="75">
        <v>27436</v>
      </c>
      <c r="O18" s="75">
        <v>25784</v>
      </c>
      <c r="P18" s="87">
        <f>SUM(D18:O18)</f>
        <v>330170</v>
      </c>
    </row>
    <row r="19" spans="3:16" ht="24.95" customHeight="1" thickBot="1" x14ac:dyDescent="0.25">
      <c r="C19" s="266"/>
      <c r="D19" s="88"/>
      <c r="F19" s="88"/>
      <c r="G19" s="88"/>
    </row>
    <row r="20" spans="3:16" ht="24.95" customHeight="1" x14ac:dyDescent="0.25">
      <c r="C20" s="89" t="s">
        <v>43</v>
      </c>
      <c r="D20" s="58">
        <v>9.2100000000000001E-2</v>
      </c>
      <c r="F20" s="89" t="s">
        <v>44</v>
      </c>
      <c r="G20" s="58">
        <v>0.187</v>
      </c>
    </row>
    <row r="21" spans="3:16" ht="24.95" customHeight="1" thickBot="1" x14ac:dyDescent="0.3"/>
    <row r="22" spans="3:16" ht="20.100000000000001" customHeight="1" x14ac:dyDescent="0.25">
      <c r="C22" s="85" t="s">
        <v>82</v>
      </c>
      <c r="D22" s="55" t="s">
        <v>83</v>
      </c>
      <c r="E22" s="55" t="s">
        <v>84</v>
      </c>
      <c r="F22" s="55" t="s">
        <v>85</v>
      </c>
      <c r="G22" s="55" t="s">
        <v>86</v>
      </c>
      <c r="H22" s="55" t="s">
        <v>87</v>
      </c>
      <c r="I22" s="55" t="s">
        <v>88</v>
      </c>
      <c r="J22" s="55" t="s">
        <v>89</v>
      </c>
      <c r="K22" s="55" t="s">
        <v>90</v>
      </c>
      <c r="L22" s="55" t="s">
        <v>91</v>
      </c>
      <c r="M22" s="55" t="s">
        <v>92</v>
      </c>
      <c r="N22" s="55" t="s">
        <v>93</v>
      </c>
      <c r="O22" s="55" t="s">
        <v>94</v>
      </c>
      <c r="P22" s="56" t="s">
        <v>95</v>
      </c>
    </row>
    <row r="23" spans="3:16" ht="24.95" customHeight="1" x14ac:dyDescent="0.25">
      <c r="C23" s="86" t="s">
        <v>43</v>
      </c>
      <c r="D23" s="90">
        <f>IFERROR(D18*$D$20,0)</f>
        <v>2665.8344999999999</v>
      </c>
      <c r="E23" s="90">
        <f t="shared" ref="E23:N23" si="7">IFERROR(E18*$D$20,0)</f>
        <v>2593.1676000000002</v>
      </c>
      <c r="F23" s="90">
        <f t="shared" si="7"/>
        <v>2545.3677000000002</v>
      </c>
      <c r="G23" s="90">
        <f>IFERROR(G18*$D$20,0)</f>
        <v>2518.7508000000003</v>
      </c>
      <c r="H23" s="90">
        <f t="shared" si="7"/>
        <v>2541.0390000000002</v>
      </c>
      <c r="I23" s="90">
        <f t="shared" si="7"/>
        <v>2545.1835000000001</v>
      </c>
      <c r="J23" s="90">
        <f t="shared" si="7"/>
        <v>2332.2483000000002</v>
      </c>
      <c r="K23" s="90">
        <f t="shared" si="7"/>
        <v>2653.1246999999998</v>
      </c>
      <c r="L23" s="90">
        <f t="shared" si="7"/>
        <v>2337.9585000000002</v>
      </c>
      <c r="M23" s="90">
        <f t="shared" si="7"/>
        <v>2774.4204</v>
      </c>
      <c r="N23" s="90">
        <f t="shared" si="7"/>
        <v>2526.8555999999999</v>
      </c>
      <c r="O23" s="90">
        <f>IFERROR(O18*$D$20,0)</f>
        <v>2374.7064</v>
      </c>
      <c r="P23" s="91">
        <f t="shared" ref="P23:P25" si="8">SUM(D23:O23)</f>
        <v>30408.656999999999</v>
      </c>
    </row>
    <row r="24" spans="3:16" ht="24.95" customHeight="1" x14ac:dyDescent="0.25">
      <c r="C24" s="94" t="s">
        <v>44</v>
      </c>
      <c r="D24" s="100">
        <f>IFERROR(D18*$G$20,0)</f>
        <v>5412.7150000000001</v>
      </c>
      <c r="E24" s="100">
        <f t="shared" ref="E24:O24" si="9">IFERROR(E18*$G$20,0)</f>
        <v>5265.1719999999996</v>
      </c>
      <c r="F24" s="100">
        <f t="shared" si="9"/>
        <v>5168.1189999999997</v>
      </c>
      <c r="G24" s="100">
        <f t="shared" si="9"/>
        <v>5114.076</v>
      </c>
      <c r="H24" s="100">
        <f t="shared" si="9"/>
        <v>5159.33</v>
      </c>
      <c r="I24" s="100">
        <f t="shared" si="9"/>
        <v>5167.7449999999999</v>
      </c>
      <c r="J24" s="100">
        <f t="shared" si="9"/>
        <v>4735.4009999999998</v>
      </c>
      <c r="K24" s="100">
        <f t="shared" si="9"/>
        <v>5386.9089999999997</v>
      </c>
      <c r="L24" s="100">
        <f t="shared" si="9"/>
        <v>4746.9949999999999</v>
      </c>
      <c r="M24" s="100">
        <f t="shared" si="9"/>
        <v>5633.1880000000001</v>
      </c>
      <c r="N24" s="100">
        <f t="shared" si="9"/>
        <v>5130.5320000000002</v>
      </c>
      <c r="O24" s="100">
        <f t="shared" si="9"/>
        <v>4821.6080000000002</v>
      </c>
      <c r="P24" s="93">
        <f t="shared" si="8"/>
        <v>61741.79</v>
      </c>
    </row>
    <row r="25" spans="3:16" ht="24.95" customHeight="1" x14ac:dyDescent="0.25">
      <c r="C25" s="96" t="s">
        <v>99</v>
      </c>
      <c r="D25" s="97">
        <f>SUM(D23:D24)</f>
        <v>8078.5495000000001</v>
      </c>
      <c r="E25" s="97">
        <f t="shared" ref="E25:O25" si="10">SUM(E23:E24)</f>
        <v>7858.3395999999993</v>
      </c>
      <c r="F25" s="97">
        <f t="shared" si="10"/>
        <v>7713.4866999999995</v>
      </c>
      <c r="G25" s="97">
        <f t="shared" si="10"/>
        <v>7632.8268000000007</v>
      </c>
      <c r="H25" s="97">
        <f t="shared" si="10"/>
        <v>7700.3690000000006</v>
      </c>
      <c r="I25" s="97">
        <f t="shared" si="10"/>
        <v>7712.9285</v>
      </c>
      <c r="J25" s="97">
        <f t="shared" si="10"/>
        <v>7067.6493</v>
      </c>
      <c r="K25" s="97">
        <f t="shared" si="10"/>
        <v>8040.0337</v>
      </c>
      <c r="L25" s="97">
        <f t="shared" si="10"/>
        <v>7084.9534999999996</v>
      </c>
      <c r="M25" s="97">
        <f t="shared" si="10"/>
        <v>8407.608400000001</v>
      </c>
      <c r="N25" s="97">
        <f t="shared" si="10"/>
        <v>7657.3876</v>
      </c>
      <c r="O25" s="97">
        <f t="shared" si="10"/>
        <v>7196.3144000000002</v>
      </c>
      <c r="P25" s="98">
        <f t="shared" si="8"/>
        <v>92150.447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26">
    <tabColor rgb="FF01B8AA"/>
  </sheetPr>
  <dimension ref="C1:P53"/>
  <sheetViews>
    <sheetView showGridLines="0" showRowColHeaders="0" workbookViewId="0">
      <pane ySplit="4" topLeftCell="A5" activePane="bottomLeft" state="frozen"/>
      <selection activeCell="V8" sqref="V8"/>
      <selection pane="bottomLeft" activeCell="D5" sqref="D5"/>
    </sheetView>
  </sheetViews>
  <sheetFormatPr defaultRowHeight="24.95" customHeight="1" x14ac:dyDescent="0.25"/>
  <cols>
    <col min="1" max="2" width="1.7109375" style="18" customWidth="1"/>
    <col min="3" max="3" width="13.7109375" style="18" customWidth="1"/>
    <col min="4" max="16" width="13.140625" style="18" customWidth="1"/>
    <col min="17" max="16384" width="9.140625" style="18"/>
  </cols>
  <sheetData>
    <row r="1" spans="3:16" s="1" customFormat="1" ht="35.1" customHeight="1" x14ac:dyDescent="0.25"/>
    <row r="2" spans="3:16" s="3" customFormat="1" ht="30" customHeight="1" x14ac:dyDescent="0.25"/>
    <row r="3" spans="3:16" ht="30" customHeight="1" thickBot="1" x14ac:dyDescent="0.25">
      <c r="C3" s="108" t="s">
        <v>105</v>
      </c>
    </row>
    <row r="4" spans="3:16" ht="21.95" customHeight="1" x14ac:dyDescent="0.25">
      <c r="C4" s="85" t="s">
        <v>82</v>
      </c>
      <c r="D4" s="55" t="s">
        <v>83</v>
      </c>
      <c r="E4" s="55" t="s">
        <v>84</v>
      </c>
      <c r="F4" s="55" t="s">
        <v>85</v>
      </c>
      <c r="G4" s="55" t="s">
        <v>86</v>
      </c>
      <c r="H4" s="55" t="s">
        <v>87</v>
      </c>
      <c r="I4" s="55" t="s">
        <v>88</v>
      </c>
      <c r="J4" s="55" t="s">
        <v>89</v>
      </c>
      <c r="K4" s="55" t="s">
        <v>90</v>
      </c>
      <c r="L4" s="55" t="s">
        <v>91</v>
      </c>
      <c r="M4" s="55" t="s">
        <v>92</v>
      </c>
      <c r="N4" s="55" t="s">
        <v>93</v>
      </c>
      <c r="O4" s="55" t="s">
        <v>94</v>
      </c>
      <c r="P4" s="56" t="s">
        <v>95</v>
      </c>
    </row>
    <row r="5" spans="3:16" ht="24.95" customHeight="1" x14ac:dyDescent="0.25">
      <c r="C5" s="86" t="s">
        <v>67</v>
      </c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91">
        <f>SUM(D5:O5)</f>
        <v>0</v>
      </c>
    </row>
    <row r="6" spans="3:16" ht="24.95" customHeight="1" thickBot="1" x14ac:dyDescent="0.25">
      <c r="C6" s="108" t="s">
        <v>106</v>
      </c>
      <c r="D6" s="88"/>
      <c r="F6" s="88"/>
      <c r="G6" s="88"/>
      <c r="I6" s="88"/>
      <c r="J6" s="88"/>
      <c r="L6" s="88"/>
      <c r="M6" s="88"/>
      <c r="O6" s="88"/>
      <c r="P6" s="88"/>
    </row>
    <row r="7" spans="3:16" ht="21.95" customHeight="1" x14ac:dyDescent="0.25">
      <c r="C7" s="85" t="s">
        <v>82</v>
      </c>
      <c r="D7" s="55" t="s">
        <v>83</v>
      </c>
      <c r="E7" s="55" t="s">
        <v>84</v>
      </c>
      <c r="F7" s="55" t="s">
        <v>85</v>
      </c>
      <c r="G7" s="55" t="s">
        <v>86</v>
      </c>
      <c r="H7" s="55" t="s">
        <v>87</v>
      </c>
      <c r="I7" s="55" t="s">
        <v>88</v>
      </c>
      <c r="J7" s="55" t="s">
        <v>89</v>
      </c>
      <c r="K7" s="55" t="s">
        <v>90</v>
      </c>
      <c r="L7" s="55" t="s">
        <v>91</v>
      </c>
      <c r="M7" s="55" t="s">
        <v>92</v>
      </c>
      <c r="N7" s="55" t="s">
        <v>93</v>
      </c>
      <c r="O7" s="55" t="s">
        <v>94</v>
      </c>
      <c r="P7" s="56" t="s">
        <v>95</v>
      </c>
    </row>
    <row r="8" spans="3:16" ht="24.95" customHeight="1" x14ac:dyDescent="0.25">
      <c r="C8" s="109">
        <f>IF(TabR!I5="","",TabR!I5)</f>
        <v>0</v>
      </c>
      <c r="D8" s="75"/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93">
        <f t="shared" ref="P8:P18" si="0">SUM(D8:O8)</f>
        <v>0</v>
      </c>
    </row>
    <row r="9" spans="3:16" ht="24.95" customHeight="1" x14ac:dyDescent="0.25">
      <c r="C9" s="110">
        <f>IF(TabR!I6="","",TabR!I6)</f>
        <v>0.04</v>
      </c>
      <c r="D9" s="75"/>
      <c r="E9" s="75"/>
      <c r="F9" s="75"/>
      <c r="G9" s="75"/>
      <c r="H9" s="75"/>
      <c r="I9" s="75"/>
      <c r="J9" s="75"/>
      <c r="K9" s="75"/>
      <c r="L9" s="75"/>
      <c r="M9" s="75"/>
      <c r="N9" s="75"/>
      <c r="O9" s="75"/>
      <c r="P9" s="93">
        <f t="shared" si="0"/>
        <v>0</v>
      </c>
    </row>
    <row r="10" spans="3:16" ht="24.95" customHeight="1" x14ac:dyDescent="0.25">
      <c r="C10" s="110">
        <f>IF(TabR!I7="","",TabR!I7)</f>
        <v>7.0000000000000007E-2</v>
      </c>
      <c r="D10" s="75"/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93">
        <f t="shared" si="0"/>
        <v>0</v>
      </c>
    </row>
    <row r="11" spans="3:16" ht="24.95" customHeight="1" x14ac:dyDescent="0.25">
      <c r="C11" s="110">
        <f>IF(TabR!I8="","",TabR!I8)</f>
        <v>0.12</v>
      </c>
      <c r="D11" s="75"/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93">
        <f t="shared" si="0"/>
        <v>0</v>
      </c>
    </row>
    <row r="12" spans="3:16" ht="24.95" customHeight="1" x14ac:dyDescent="0.25">
      <c r="C12" s="110">
        <f>IF(TabR!I9="","",TabR!I9)</f>
        <v>0.15</v>
      </c>
      <c r="D12" s="75"/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93">
        <f t="shared" si="0"/>
        <v>0</v>
      </c>
    </row>
    <row r="13" spans="3:16" ht="24.95" customHeight="1" x14ac:dyDescent="0.25">
      <c r="C13" s="110">
        <f>IF(TabR!I10="","",TabR!I10)</f>
        <v>0.18</v>
      </c>
      <c r="D13" s="75"/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93">
        <f t="shared" si="0"/>
        <v>0</v>
      </c>
    </row>
    <row r="14" spans="3:16" ht="24.95" customHeight="1" x14ac:dyDescent="0.25">
      <c r="C14" s="110" t="str">
        <f>IF(TabR!I11="","",TabR!I11)</f>
        <v/>
      </c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93">
        <f t="shared" si="0"/>
        <v>0</v>
      </c>
    </row>
    <row r="15" spans="3:16" ht="24.95" customHeight="1" x14ac:dyDescent="0.25">
      <c r="C15" s="110" t="str">
        <f>IF(TabR!I12="","",TabR!I12)</f>
        <v/>
      </c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93">
        <f t="shared" si="0"/>
        <v>0</v>
      </c>
    </row>
    <row r="16" spans="3:16" ht="24.95" customHeight="1" x14ac:dyDescent="0.25">
      <c r="C16" s="110" t="str">
        <f>IF(TabR!I13="","",TabR!I13)</f>
        <v/>
      </c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93">
        <f t="shared" si="0"/>
        <v>0</v>
      </c>
    </row>
    <row r="17" spans="3:16" ht="24.95" customHeight="1" x14ac:dyDescent="0.25">
      <c r="C17" s="110" t="str">
        <f>IF(TabR!I14="","",TabR!I14)</f>
        <v/>
      </c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93">
        <f t="shared" si="0"/>
        <v>0</v>
      </c>
    </row>
    <row r="18" spans="3:16" ht="24.95" customHeight="1" x14ac:dyDescent="0.25">
      <c r="C18" s="110" t="str">
        <f>IF(TabR!I15="","",TabR!I15)</f>
        <v/>
      </c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93">
        <f t="shared" si="0"/>
        <v>0</v>
      </c>
    </row>
    <row r="19" spans="3:16" ht="24.95" customHeight="1" x14ac:dyDescent="0.25">
      <c r="C19" s="110" t="str">
        <f>IF(TabR!I16="","",TabR!I16)</f>
        <v/>
      </c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93">
        <f>SUM(D19:O19)</f>
        <v>0</v>
      </c>
    </row>
    <row r="20" spans="3:16" ht="24.95" customHeight="1" x14ac:dyDescent="0.25">
      <c r="C20" s="111" t="str">
        <f>IF(TabR!I17="","",TabR!I17)</f>
        <v/>
      </c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76"/>
      <c r="P20" s="93">
        <f>SUM(D20:O20)</f>
        <v>0</v>
      </c>
    </row>
    <row r="21" spans="3:16" ht="24.95" customHeight="1" x14ac:dyDescent="0.25">
      <c r="C21" s="96" t="s">
        <v>99</v>
      </c>
      <c r="D21" s="97">
        <f t="shared" ref="D21:O21" si="1">SUM(D8:D20)</f>
        <v>0</v>
      </c>
      <c r="E21" s="97">
        <f t="shared" si="1"/>
        <v>0</v>
      </c>
      <c r="F21" s="97">
        <f t="shared" si="1"/>
        <v>0</v>
      </c>
      <c r="G21" s="97">
        <f t="shared" si="1"/>
        <v>0</v>
      </c>
      <c r="H21" s="97">
        <f t="shared" si="1"/>
        <v>0</v>
      </c>
      <c r="I21" s="97">
        <f t="shared" si="1"/>
        <v>0</v>
      </c>
      <c r="J21" s="97">
        <f t="shared" si="1"/>
        <v>0</v>
      </c>
      <c r="K21" s="97">
        <f t="shared" si="1"/>
        <v>0</v>
      </c>
      <c r="L21" s="97">
        <f t="shared" si="1"/>
        <v>0</v>
      </c>
      <c r="M21" s="97">
        <f t="shared" si="1"/>
        <v>0</v>
      </c>
      <c r="N21" s="97">
        <f t="shared" si="1"/>
        <v>0</v>
      </c>
      <c r="O21" s="97">
        <f t="shared" si="1"/>
        <v>0</v>
      </c>
      <c r="P21" s="98">
        <f>SUM(D21:O21)</f>
        <v>0</v>
      </c>
    </row>
    <row r="22" spans="3:16" ht="24.95" customHeight="1" thickBot="1" x14ac:dyDescent="0.25">
      <c r="C22" s="108" t="s">
        <v>107</v>
      </c>
    </row>
    <row r="23" spans="3:16" ht="21.95" customHeight="1" x14ac:dyDescent="0.25">
      <c r="C23" s="85" t="s">
        <v>82</v>
      </c>
      <c r="D23" s="55" t="s">
        <v>83</v>
      </c>
      <c r="E23" s="55" t="s">
        <v>84</v>
      </c>
      <c r="F23" s="55" t="s">
        <v>85</v>
      </c>
      <c r="G23" s="55" t="s">
        <v>86</v>
      </c>
      <c r="H23" s="55" t="s">
        <v>87</v>
      </c>
      <c r="I23" s="55" t="s">
        <v>88</v>
      </c>
      <c r="J23" s="55" t="s">
        <v>89</v>
      </c>
      <c r="K23" s="55" t="s">
        <v>90</v>
      </c>
      <c r="L23" s="55" t="s">
        <v>91</v>
      </c>
      <c r="M23" s="55" t="s">
        <v>92</v>
      </c>
      <c r="N23" s="55" t="s">
        <v>93</v>
      </c>
      <c r="O23" s="55" t="s">
        <v>94</v>
      </c>
      <c r="P23" s="56" t="s">
        <v>95</v>
      </c>
    </row>
    <row r="24" spans="3:16" ht="24.95" customHeight="1" x14ac:dyDescent="0.25">
      <c r="C24" s="109">
        <f>IF(TabR!M5="","",TabR!M5)</f>
        <v>0</v>
      </c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93">
        <f t="shared" ref="P24:P36" si="2">SUM(D24:O24)</f>
        <v>0</v>
      </c>
    </row>
    <row r="25" spans="3:16" ht="24.95" customHeight="1" x14ac:dyDescent="0.25">
      <c r="C25" s="110">
        <f>IF(TabR!M6="","",TabR!M6)</f>
        <v>0.01</v>
      </c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93">
        <f t="shared" si="2"/>
        <v>0</v>
      </c>
    </row>
    <row r="26" spans="3:16" ht="24.95" customHeight="1" x14ac:dyDescent="0.25">
      <c r="C26" s="110">
        <f>IF(TabR!M7="","",TabR!M7)</f>
        <v>0.02</v>
      </c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93">
        <f t="shared" si="2"/>
        <v>0</v>
      </c>
    </row>
    <row r="27" spans="3:16" ht="24.95" customHeight="1" x14ac:dyDescent="0.25">
      <c r="C27" s="110">
        <f>IF(TabR!M8="","",TabR!M8)</f>
        <v>0.03</v>
      </c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93">
        <f t="shared" si="2"/>
        <v>0</v>
      </c>
    </row>
    <row r="28" spans="3:16" ht="24.95" customHeight="1" x14ac:dyDescent="0.25">
      <c r="C28" s="110">
        <f>IF(TabR!M9="","",TabR!M9)</f>
        <v>0.04</v>
      </c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93">
        <f t="shared" si="2"/>
        <v>0</v>
      </c>
    </row>
    <row r="29" spans="3:16" ht="24.95" customHeight="1" x14ac:dyDescent="0.25">
      <c r="C29" s="110">
        <f>IF(TabR!M10="","",TabR!M10)</f>
        <v>0.05</v>
      </c>
      <c r="D29" s="75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93">
        <f t="shared" si="2"/>
        <v>0</v>
      </c>
    </row>
    <row r="30" spans="3:16" ht="24.95" customHeight="1" x14ac:dyDescent="0.25">
      <c r="C30" s="110" t="str">
        <f>IF(TabR!M11="","",TabR!M11)</f>
        <v/>
      </c>
      <c r="D30" s="75"/>
      <c r="E30" s="75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93">
        <f t="shared" si="2"/>
        <v>0</v>
      </c>
    </row>
    <row r="31" spans="3:16" ht="24.95" customHeight="1" x14ac:dyDescent="0.25">
      <c r="C31" s="110" t="str">
        <f>IF(TabR!M12="","",TabR!M12)</f>
        <v/>
      </c>
      <c r="D31" s="75"/>
      <c r="E31" s="75"/>
      <c r="F31" s="75"/>
      <c r="G31" s="75"/>
      <c r="H31" s="75"/>
      <c r="I31" s="75"/>
      <c r="J31" s="75"/>
      <c r="K31" s="75"/>
      <c r="L31" s="75"/>
      <c r="M31" s="75"/>
      <c r="N31" s="75"/>
      <c r="O31" s="75"/>
      <c r="P31" s="93">
        <f t="shared" si="2"/>
        <v>0</v>
      </c>
    </row>
    <row r="32" spans="3:16" ht="24.95" customHeight="1" x14ac:dyDescent="0.25">
      <c r="C32" s="110" t="str">
        <f>IF(TabR!M13="","",TabR!M13)</f>
        <v/>
      </c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93">
        <f t="shared" si="2"/>
        <v>0</v>
      </c>
    </row>
    <row r="33" spans="3:16" ht="24.95" customHeight="1" x14ac:dyDescent="0.25">
      <c r="C33" s="110" t="str">
        <f>IF(TabR!M14="","",TabR!M14)</f>
        <v/>
      </c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93">
        <f t="shared" si="2"/>
        <v>0</v>
      </c>
    </row>
    <row r="34" spans="3:16" ht="24.95" customHeight="1" x14ac:dyDescent="0.25">
      <c r="C34" s="110" t="str">
        <f>IF(TabR!M15="","",TabR!M15)</f>
        <v/>
      </c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93">
        <f t="shared" si="2"/>
        <v>0</v>
      </c>
    </row>
    <row r="35" spans="3:16" ht="24.95" customHeight="1" x14ac:dyDescent="0.25">
      <c r="C35" s="110" t="str">
        <f>IF(TabR!M16="","",TabR!M16)</f>
        <v/>
      </c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93">
        <f t="shared" si="2"/>
        <v>0</v>
      </c>
    </row>
    <row r="36" spans="3:16" ht="24.95" customHeight="1" x14ac:dyDescent="0.25">
      <c r="C36" s="111" t="str">
        <f>IF(TabR!M17="","",TabR!M17)</f>
        <v/>
      </c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76"/>
      <c r="P36" s="93">
        <f t="shared" si="2"/>
        <v>0</v>
      </c>
    </row>
    <row r="37" spans="3:16" ht="24.95" customHeight="1" x14ac:dyDescent="0.25">
      <c r="C37" s="96" t="s">
        <v>99</v>
      </c>
      <c r="D37" s="97">
        <f t="shared" ref="D37:O37" si="3">SUM(D24:D36)</f>
        <v>0</v>
      </c>
      <c r="E37" s="97">
        <f t="shared" si="3"/>
        <v>0</v>
      </c>
      <c r="F37" s="97">
        <f t="shared" si="3"/>
        <v>0</v>
      </c>
      <c r="G37" s="97">
        <f t="shared" si="3"/>
        <v>0</v>
      </c>
      <c r="H37" s="97">
        <f t="shared" si="3"/>
        <v>0</v>
      </c>
      <c r="I37" s="97">
        <f t="shared" si="3"/>
        <v>0</v>
      </c>
      <c r="J37" s="97">
        <f t="shared" si="3"/>
        <v>0</v>
      </c>
      <c r="K37" s="97">
        <f t="shared" si="3"/>
        <v>0</v>
      </c>
      <c r="L37" s="97">
        <f t="shared" si="3"/>
        <v>0</v>
      </c>
      <c r="M37" s="97">
        <f t="shared" si="3"/>
        <v>0</v>
      </c>
      <c r="N37" s="97">
        <f t="shared" si="3"/>
        <v>0</v>
      </c>
      <c r="O37" s="97">
        <f t="shared" si="3"/>
        <v>0</v>
      </c>
      <c r="P37" s="98">
        <f>SUM(D37:O37)</f>
        <v>0</v>
      </c>
    </row>
    <row r="38" spans="3:16" ht="24.95" customHeight="1" thickBot="1" x14ac:dyDescent="0.25">
      <c r="C38" s="108" t="s">
        <v>108</v>
      </c>
    </row>
    <row r="39" spans="3:16" ht="21.95" customHeight="1" x14ac:dyDescent="0.25">
      <c r="C39" s="85" t="s">
        <v>82</v>
      </c>
      <c r="D39" s="55" t="s">
        <v>83</v>
      </c>
      <c r="E39" s="55" t="s">
        <v>84</v>
      </c>
      <c r="F39" s="55" t="s">
        <v>85</v>
      </c>
      <c r="G39" s="55" t="s">
        <v>86</v>
      </c>
      <c r="H39" s="55" t="s">
        <v>87</v>
      </c>
      <c r="I39" s="55" t="s">
        <v>88</v>
      </c>
      <c r="J39" s="55" t="s">
        <v>89</v>
      </c>
      <c r="K39" s="55" t="s">
        <v>90</v>
      </c>
      <c r="L39" s="55" t="s">
        <v>91</v>
      </c>
      <c r="M39" s="55" t="s">
        <v>92</v>
      </c>
      <c r="N39" s="55" t="s">
        <v>93</v>
      </c>
      <c r="O39" s="55" t="s">
        <v>94</v>
      </c>
      <c r="P39" s="56" t="s">
        <v>95</v>
      </c>
    </row>
    <row r="40" spans="3:16" ht="24.95" customHeight="1" x14ac:dyDescent="0.25">
      <c r="C40" s="109">
        <f>IF(TabR!Q5="","",TabR!Q5)</f>
        <v>0</v>
      </c>
      <c r="D40" s="75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93">
        <f t="shared" ref="P40:P52" si="4">SUM(D40:O40)</f>
        <v>0</v>
      </c>
    </row>
    <row r="41" spans="3:16" ht="24.95" customHeight="1" x14ac:dyDescent="0.25">
      <c r="C41" s="110">
        <f>IF(TabR!Q6="","",TabR!Q6)</f>
        <v>0.01</v>
      </c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93">
        <f t="shared" si="4"/>
        <v>0</v>
      </c>
    </row>
    <row r="42" spans="3:16" ht="24.95" customHeight="1" x14ac:dyDescent="0.25">
      <c r="C42" s="110">
        <f>IF(TabR!Q7="","",TabR!Q7)</f>
        <v>0.02</v>
      </c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93">
        <f t="shared" si="4"/>
        <v>0</v>
      </c>
    </row>
    <row r="43" spans="3:16" ht="24.95" customHeight="1" x14ac:dyDescent="0.25">
      <c r="C43" s="110">
        <f>IF(TabR!Q8="","",TabR!Q8)</f>
        <v>0.03</v>
      </c>
      <c r="D43" s="75"/>
      <c r="E43" s="75"/>
      <c r="F43" s="75"/>
      <c r="G43" s="75"/>
      <c r="H43" s="75"/>
      <c r="I43" s="75"/>
      <c r="J43" s="75"/>
      <c r="K43" s="75"/>
      <c r="L43" s="75"/>
      <c r="M43" s="75"/>
      <c r="N43" s="75"/>
      <c r="O43" s="75"/>
      <c r="P43" s="93">
        <f t="shared" si="4"/>
        <v>0</v>
      </c>
    </row>
    <row r="44" spans="3:16" ht="24.95" customHeight="1" x14ac:dyDescent="0.25">
      <c r="C44" s="110">
        <f>IF(TabR!Q9="","",TabR!Q9)</f>
        <v>0.04</v>
      </c>
      <c r="D44" s="75"/>
      <c r="E44" s="75"/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93">
        <f t="shared" si="4"/>
        <v>0</v>
      </c>
    </row>
    <row r="45" spans="3:16" ht="24.95" customHeight="1" x14ac:dyDescent="0.25">
      <c r="C45" s="110">
        <f>IF(TabR!Q10="","",TabR!Q10)</f>
        <v>0.05</v>
      </c>
      <c r="D45" s="75"/>
      <c r="E45" s="75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93">
        <f t="shared" si="4"/>
        <v>0</v>
      </c>
    </row>
    <row r="46" spans="3:16" ht="24.95" customHeight="1" x14ac:dyDescent="0.25">
      <c r="C46" s="110" t="str">
        <f>IF(TabR!Q11="","",TabR!Q11)</f>
        <v/>
      </c>
      <c r="D46" s="75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93">
        <f t="shared" si="4"/>
        <v>0</v>
      </c>
    </row>
    <row r="47" spans="3:16" ht="24.95" customHeight="1" x14ac:dyDescent="0.25">
      <c r="C47" s="110" t="str">
        <f>IF(TabR!Q12="","",TabR!Q12)</f>
        <v/>
      </c>
      <c r="D47" s="75"/>
      <c r="E47" s="75"/>
      <c r="F47" s="75"/>
      <c r="G47" s="75"/>
      <c r="H47" s="75"/>
      <c r="I47" s="75"/>
      <c r="J47" s="75"/>
      <c r="K47" s="75"/>
      <c r="L47" s="75"/>
      <c r="M47" s="75"/>
      <c r="N47" s="75"/>
      <c r="O47" s="75"/>
      <c r="P47" s="93">
        <f t="shared" si="4"/>
        <v>0</v>
      </c>
    </row>
    <row r="48" spans="3:16" ht="24.95" customHeight="1" x14ac:dyDescent="0.25">
      <c r="C48" s="110" t="str">
        <f>IF(TabR!Q13="","",TabR!Q13)</f>
        <v/>
      </c>
      <c r="D48" s="75"/>
      <c r="E48" s="75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93">
        <f t="shared" si="4"/>
        <v>0</v>
      </c>
    </row>
    <row r="49" spans="3:16" ht="24.95" customHeight="1" x14ac:dyDescent="0.25">
      <c r="C49" s="110" t="str">
        <f>IF(TabR!Q14="","",TabR!Q14)</f>
        <v/>
      </c>
      <c r="D49" s="75"/>
      <c r="E49" s="75"/>
      <c r="F49" s="75"/>
      <c r="G49" s="75"/>
      <c r="H49" s="75"/>
      <c r="I49" s="75"/>
      <c r="J49" s="75"/>
      <c r="K49" s="75"/>
      <c r="L49" s="75"/>
      <c r="M49" s="75"/>
      <c r="N49" s="75"/>
      <c r="O49" s="75"/>
      <c r="P49" s="93">
        <f t="shared" si="4"/>
        <v>0</v>
      </c>
    </row>
    <row r="50" spans="3:16" ht="24.95" customHeight="1" x14ac:dyDescent="0.25">
      <c r="C50" s="110" t="str">
        <f>IF(TabR!Q15="","",TabR!Q15)</f>
        <v/>
      </c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  <c r="P50" s="93">
        <f t="shared" si="4"/>
        <v>0</v>
      </c>
    </row>
    <row r="51" spans="3:16" ht="24.95" customHeight="1" x14ac:dyDescent="0.25">
      <c r="C51" s="110" t="str">
        <f>IF(TabR!Q16="","",TabR!Q16)</f>
        <v/>
      </c>
      <c r="D51" s="75"/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93">
        <f t="shared" si="4"/>
        <v>0</v>
      </c>
    </row>
    <row r="52" spans="3:16" ht="24.95" customHeight="1" x14ac:dyDescent="0.25">
      <c r="C52" s="111" t="str">
        <f>IF(TabR!Q17="","",TabR!Q17)</f>
        <v/>
      </c>
      <c r="D52" s="76"/>
      <c r="E52" s="76"/>
      <c r="F52" s="76"/>
      <c r="G52" s="76"/>
      <c r="H52" s="76"/>
      <c r="I52" s="76"/>
      <c r="J52" s="76"/>
      <c r="K52" s="76"/>
      <c r="L52" s="76"/>
      <c r="M52" s="76"/>
      <c r="N52" s="76"/>
      <c r="O52" s="76"/>
      <c r="P52" s="93">
        <f t="shared" si="4"/>
        <v>0</v>
      </c>
    </row>
    <row r="53" spans="3:16" ht="24.95" customHeight="1" x14ac:dyDescent="0.25">
      <c r="C53" s="96" t="s">
        <v>99</v>
      </c>
      <c r="D53" s="97">
        <f t="shared" ref="D53:O53" si="5">SUM(D40:D52)</f>
        <v>0</v>
      </c>
      <c r="E53" s="97">
        <f t="shared" si="5"/>
        <v>0</v>
      </c>
      <c r="F53" s="97">
        <f t="shared" si="5"/>
        <v>0</v>
      </c>
      <c r="G53" s="97">
        <f t="shared" si="5"/>
        <v>0</v>
      </c>
      <c r="H53" s="97">
        <f t="shared" si="5"/>
        <v>0</v>
      </c>
      <c r="I53" s="97">
        <f t="shared" si="5"/>
        <v>0</v>
      </c>
      <c r="J53" s="97">
        <f t="shared" si="5"/>
        <v>0</v>
      </c>
      <c r="K53" s="97">
        <f t="shared" si="5"/>
        <v>0</v>
      </c>
      <c r="L53" s="97">
        <f t="shared" si="5"/>
        <v>0</v>
      </c>
      <c r="M53" s="97">
        <f t="shared" si="5"/>
        <v>0</v>
      </c>
      <c r="N53" s="97">
        <f t="shared" si="5"/>
        <v>0</v>
      </c>
      <c r="O53" s="97">
        <f t="shared" si="5"/>
        <v>0</v>
      </c>
      <c r="P53" s="98">
        <f>SUM(D53:O53)</f>
        <v>0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27">
    <tabColor rgb="FFFFC000"/>
  </sheetPr>
  <dimension ref="C1:P16"/>
  <sheetViews>
    <sheetView showGridLines="0" showRowColHeaders="0" workbookViewId="0">
      <pane ySplit="4" topLeftCell="A5" activePane="bottomLeft" state="frozen"/>
      <selection activeCell="W8" sqref="W8"/>
      <selection pane="bottomLeft" activeCell="D5" sqref="D5"/>
    </sheetView>
  </sheetViews>
  <sheetFormatPr defaultRowHeight="24.95" customHeight="1" x14ac:dyDescent="0.25"/>
  <cols>
    <col min="1" max="2" width="1.7109375" style="18" customWidth="1"/>
    <col min="3" max="3" width="13.7109375" style="18" customWidth="1"/>
    <col min="4" max="16" width="13.140625" style="18" customWidth="1"/>
    <col min="17" max="16384" width="9.140625" style="18"/>
  </cols>
  <sheetData>
    <row r="1" spans="3:16" s="1" customFormat="1" ht="35.1" customHeight="1" x14ac:dyDescent="0.25"/>
    <row r="2" spans="3:16" s="3" customFormat="1" ht="30" customHeight="1" x14ac:dyDescent="0.25"/>
    <row r="3" spans="3:16" ht="99.95" customHeight="1" thickBot="1" x14ac:dyDescent="0.3"/>
    <row r="4" spans="3:16" ht="21.95" customHeight="1" x14ac:dyDescent="0.25">
      <c r="C4" s="85" t="s">
        <v>82</v>
      </c>
      <c r="D4" s="55" t="s">
        <v>83</v>
      </c>
      <c r="E4" s="55" t="s">
        <v>84</v>
      </c>
      <c r="F4" s="55" t="s">
        <v>85</v>
      </c>
      <c r="G4" s="55" t="s">
        <v>86</v>
      </c>
      <c r="H4" s="55" t="s">
        <v>87</v>
      </c>
      <c r="I4" s="55" t="s">
        <v>88</v>
      </c>
      <c r="J4" s="55" t="s">
        <v>89</v>
      </c>
      <c r="K4" s="55" t="s">
        <v>90</v>
      </c>
      <c r="L4" s="55" t="s">
        <v>91</v>
      </c>
      <c r="M4" s="55" t="s">
        <v>92</v>
      </c>
      <c r="N4" s="55" t="s">
        <v>93</v>
      </c>
      <c r="O4" s="55" t="s">
        <v>94</v>
      </c>
      <c r="P4" s="56" t="s">
        <v>95</v>
      </c>
    </row>
    <row r="5" spans="3:16" ht="24.95" customHeight="1" x14ac:dyDescent="0.25">
      <c r="C5" s="86" t="s">
        <v>102</v>
      </c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91">
        <f>SUM(D5:O5)</f>
        <v>0</v>
      </c>
    </row>
    <row r="6" spans="3:16" ht="24.95" customHeight="1" x14ac:dyDescent="0.25">
      <c r="C6" s="92" t="s">
        <v>103</v>
      </c>
      <c r="D6" s="75">
        <v>134725</v>
      </c>
      <c r="E6" s="75">
        <v>108391</v>
      </c>
      <c r="F6" s="75">
        <v>133613</v>
      </c>
      <c r="G6" s="75">
        <v>120356</v>
      </c>
      <c r="H6" s="75">
        <v>119059</v>
      </c>
      <c r="I6" s="75">
        <v>104241</v>
      </c>
      <c r="J6" s="75">
        <v>123748</v>
      </c>
      <c r="K6" s="75">
        <v>102602</v>
      </c>
      <c r="L6" s="75">
        <v>109759</v>
      </c>
      <c r="M6" s="75">
        <v>115659</v>
      </c>
      <c r="N6" s="75">
        <v>110531</v>
      </c>
      <c r="O6" s="75">
        <v>109533</v>
      </c>
      <c r="P6" s="93">
        <f>SUM(D6:O6)</f>
        <v>1392217</v>
      </c>
    </row>
    <row r="7" spans="3:16" ht="24.95" customHeight="1" x14ac:dyDescent="0.25">
      <c r="C7" s="94" t="s">
        <v>104</v>
      </c>
      <c r="D7" s="179"/>
      <c r="E7" s="179"/>
      <c r="F7" s="179"/>
      <c r="G7" s="179"/>
      <c r="H7" s="179"/>
      <c r="I7" s="179"/>
      <c r="J7" s="179"/>
      <c r="K7" s="179"/>
      <c r="L7" s="179"/>
      <c r="M7" s="179"/>
      <c r="N7" s="179"/>
      <c r="O7" s="179"/>
      <c r="P7" s="93">
        <f>SUM(D7:O7)</f>
        <v>0</v>
      </c>
    </row>
    <row r="8" spans="3:16" ht="24.95" customHeight="1" x14ac:dyDescent="0.25">
      <c r="C8" s="96" t="s">
        <v>99</v>
      </c>
      <c r="D8" s="97">
        <f>SUM(D5:D7)</f>
        <v>134725</v>
      </c>
      <c r="E8" s="97">
        <f t="shared" ref="E8:O8" si="0">SUM(E5:E7)</f>
        <v>108391</v>
      </c>
      <c r="F8" s="97">
        <f t="shared" si="0"/>
        <v>133613</v>
      </c>
      <c r="G8" s="97">
        <f t="shared" si="0"/>
        <v>120356</v>
      </c>
      <c r="H8" s="97">
        <f t="shared" si="0"/>
        <v>119059</v>
      </c>
      <c r="I8" s="97">
        <f t="shared" si="0"/>
        <v>104241</v>
      </c>
      <c r="J8" s="97">
        <f t="shared" si="0"/>
        <v>123748</v>
      </c>
      <c r="K8" s="97">
        <f t="shared" si="0"/>
        <v>102602</v>
      </c>
      <c r="L8" s="97">
        <f t="shared" si="0"/>
        <v>109759</v>
      </c>
      <c r="M8" s="97">
        <f t="shared" si="0"/>
        <v>115659</v>
      </c>
      <c r="N8" s="97">
        <f t="shared" si="0"/>
        <v>110531</v>
      </c>
      <c r="O8" s="97">
        <f t="shared" si="0"/>
        <v>109533</v>
      </c>
      <c r="P8" s="98">
        <f>SUM(D8:O8)</f>
        <v>1392217</v>
      </c>
    </row>
    <row r="9" spans="3:16" ht="9.9499999999999993" customHeight="1" thickBot="1" x14ac:dyDescent="0.3">
      <c r="C9" s="88"/>
      <c r="D9" s="88"/>
      <c r="F9" s="88"/>
      <c r="G9" s="88"/>
      <c r="I9" s="88"/>
      <c r="J9" s="88"/>
      <c r="L9" s="88"/>
      <c r="M9" s="88"/>
      <c r="O9" s="88"/>
      <c r="P9" s="88"/>
    </row>
    <row r="10" spans="3:16" ht="21.95" customHeight="1" x14ac:dyDescent="0.25">
      <c r="C10" s="85" t="s">
        <v>82</v>
      </c>
      <c r="D10" s="55" t="s">
        <v>83</v>
      </c>
      <c r="E10" s="55" t="s">
        <v>84</v>
      </c>
      <c r="F10" s="55" t="s">
        <v>85</v>
      </c>
      <c r="G10" s="55" t="s">
        <v>86</v>
      </c>
      <c r="H10" s="55" t="s">
        <v>87</v>
      </c>
      <c r="I10" s="55" t="s">
        <v>88</v>
      </c>
      <c r="J10" s="55" t="s">
        <v>89</v>
      </c>
      <c r="K10" s="55" t="s">
        <v>90</v>
      </c>
      <c r="L10" s="55" t="s">
        <v>91</v>
      </c>
      <c r="M10" s="55" t="s">
        <v>92</v>
      </c>
      <c r="N10" s="55" t="s">
        <v>93</v>
      </c>
      <c r="O10" s="55" t="s">
        <v>94</v>
      </c>
      <c r="P10" s="56" t="s">
        <v>95</v>
      </c>
    </row>
    <row r="11" spans="3:16" ht="24.95" customHeight="1" x14ac:dyDescent="0.25">
      <c r="C11" s="86" t="s">
        <v>97</v>
      </c>
      <c r="D11" s="90">
        <f>IF(Real!$Q$3,Real!R5,Real!C11)</f>
        <v>770.62699999999995</v>
      </c>
      <c r="E11" s="90">
        <f>IF(Real!$Q$3,Real!S5,Real!D11)</f>
        <v>619.99652000000003</v>
      </c>
      <c r="F11" s="90">
        <f>IF(Real!$Q$3,Real!T5,Real!E11)</f>
        <v>764.26635999999996</v>
      </c>
      <c r="G11" s="90">
        <f>IF(Real!$Q$3,Real!U5,Real!F11)</f>
        <v>688.43631999999991</v>
      </c>
      <c r="H11" s="90">
        <f>IF(Real!$Q$3,Real!V5,Real!G11)</f>
        <v>681.01747999999998</v>
      </c>
      <c r="I11" s="90">
        <f>IF(Real!$Q$3,Real!W5,Real!H11)</f>
        <v>596.25851999999998</v>
      </c>
      <c r="J11" s="90">
        <f>IF(Real!$Q$3,Real!X5,Real!I11)</f>
        <v>707.83856000000003</v>
      </c>
      <c r="K11" s="90">
        <f>IF(Real!$Q$3,Real!Y5,Real!J11)</f>
        <v>586.88343999999995</v>
      </c>
      <c r="L11" s="90">
        <f>IF(Real!$Q$3,Real!Z5,Real!K11)</f>
        <v>627.82147999999995</v>
      </c>
      <c r="M11" s="90">
        <f>IF(Real!$Q$3,Real!AA5,Real!L11)</f>
        <v>661.56948</v>
      </c>
      <c r="N11" s="90">
        <f>IF(Real!$Q$3,Real!AB5,Real!M11)</f>
        <v>632.23731999999995</v>
      </c>
      <c r="O11" s="90">
        <f>IF(Real!$Q$3,Real!AC5,Real!N11)</f>
        <v>626.52876000000003</v>
      </c>
      <c r="P11" s="91">
        <f t="shared" ref="P11:P16" si="1">SUM(D11:O11)</f>
        <v>7963.4812400000001</v>
      </c>
    </row>
    <row r="12" spans="3:16" ht="24.95" customHeight="1" x14ac:dyDescent="0.25">
      <c r="C12" s="92" t="s">
        <v>98</v>
      </c>
      <c r="D12" s="90">
        <f>IF(Real!$Q$3,Real!R6,Real!C12)</f>
        <v>3556.74</v>
      </c>
      <c r="E12" s="90">
        <f>IF(Real!$Q$3,Real!S6,Real!D12)</f>
        <v>2861.5223999999998</v>
      </c>
      <c r="F12" s="90">
        <f>IF(Real!$Q$3,Real!T6,Real!E12)</f>
        <v>3527.3831999999998</v>
      </c>
      <c r="G12" s="90">
        <f>IF(Real!$Q$3,Real!U6,Real!F12)</f>
        <v>3177.3984</v>
      </c>
      <c r="H12" s="90">
        <f>IF(Real!$Q$3,Real!V6,Real!G12)</f>
        <v>3143.1576</v>
      </c>
      <c r="I12" s="90">
        <f>IF(Real!$Q$3,Real!W6,Real!H12)</f>
        <v>2751.9623999999999</v>
      </c>
      <c r="J12" s="90">
        <f>IF(Real!$Q$3,Real!X6,Real!I12)</f>
        <v>3266.9472000000001</v>
      </c>
      <c r="K12" s="90">
        <f>IF(Real!$Q$3,Real!Y6,Real!J12)</f>
        <v>2708.6927999999998</v>
      </c>
      <c r="L12" s="90">
        <f>IF(Real!$Q$3,Real!Z6,Real!K12)</f>
        <v>2897.6376</v>
      </c>
      <c r="M12" s="90">
        <f>IF(Real!$Q$3,Real!AA6,Real!L12)</f>
        <v>3053.3975999999998</v>
      </c>
      <c r="N12" s="90">
        <f>IF(Real!$Q$3,Real!AB6,Real!M12)</f>
        <v>2918.0183999999999</v>
      </c>
      <c r="O12" s="90">
        <f>IF(Real!$Q$3,Real!AC6,Real!N12)</f>
        <v>2891.6712000000002</v>
      </c>
      <c r="P12" s="93">
        <f t="shared" si="1"/>
        <v>36754.528799999993</v>
      </c>
    </row>
    <row r="13" spans="3:16" ht="24.95" customHeight="1" x14ac:dyDescent="0.25">
      <c r="C13" s="92" t="s">
        <v>37</v>
      </c>
      <c r="D13" s="90">
        <f>IF(Real!$Q$3,Real!R23,Real!C13)</f>
        <v>16167</v>
      </c>
      <c r="E13" s="90">
        <f>IF(Real!$Q$3,Real!S23,Real!D13)</f>
        <v>13006.92</v>
      </c>
      <c r="F13" s="90">
        <f>IF(Real!$Q$3,Real!T23,Real!E13)</f>
        <v>16033.56</v>
      </c>
      <c r="G13" s="90">
        <f>IF(Real!$Q$3,Real!U23,Real!F13)</f>
        <v>14442.72</v>
      </c>
      <c r="H13" s="90">
        <f>IF(Real!$Q$3,Real!V23,Real!G13)</f>
        <v>14287.08</v>
      </c>
      <c r="I13" s="90">
        <f>IF(Real!$Q$3,Real!W23,Real!H13)</f>
        <v>12508.92</v>
      </c>
      <c r="J13" s="90">
        <f>IF(Real!$Q$3,Real!X23,Real!I13)</f>
        <v>14849.76</v>
      </c>
      <c r="K13" s="90">
        <f>IF(Real!$Q$3,Real!Y23,Real!J13)</f>
        <v>12312.24</v>
      </c>
      <c r="L13" s="90">
        <f>IF(Real!$Q$3,Real!Z23,Real!K13)</f>
        <v>13171.08</v>
      </c>
      <c r="M13" s="90">
        <f>IF(Real!$Q$3,Real!AA23,Real!L13)</f>
        <v>13879.08</v>
      </c>
      <c r="N13" s="90">
        <f>IF(Real!$Q$3,Real!AB23,Real!M13)</f>
        <v>13263.72</v>
      </c>
      <c r="O13" s="90">
        <f>IF(Real!$Q$3,Real!AC23,Real!N13)</f>
        <v>13143.96</v>
      </c>
      <c r="P13" s="93">
        <f t="shared" si="1"/>
        <v>167066.03999999998</v>
      </c>
    </row>
    <row r="14" spans="3:16" ht="24.95" customHeight="1" x14ac:dyDescent="0.25">
      <c r="C14" s="92" t="s">
        <v>38</v>
      </c>
      <c r="D14" s="90">
        <f>IF(Real!$Q$3,Real!R39,Real!C14)</f>
        <v>0</v>
      </c>
      <c r="E14" s="90">
        <f>IF(Real!$Q$3,Real!S39,Real!D14)</f>
        <v>0</v>
      </c>
      <c r="F14" s="90">
        <f>IF(Real!$Q$3,Real!T39,Real!E14)</f>
        <v>0</v>
      </c>
      <c r="G14" s="90">
        <f>IF(Real!$Q$3,Real!U39,Real!F14)</f>
        <v>0</v>
      </c>
      <c r="H14" s="90">
        <f>IF(Real!$Q$3,Real!V39,Real!G14)</f>
        <v>0</v>
      </c>
      <c r="I14" s="90">
        <f>IF(Real!$Q$3,Real!W39,Real!H14)</f>
        <v>0</v>
      </c>
      <c r="J14" s="90">
        <f>IF(Real!$Q$3,Real!X39,Real!I14)</f>
        <v>0</v>
      </c>
      <c r="K14" s="90">
        <f>IF(Real!$Q$3,Real!Y39,Real!J14)</f>
        <v>0</v>
      </c>
      <c r="L14" s="90">
        <f>IF(Real!$Q$3,Real!Z39,Real!K14)</f>
        <v>0</v>
      </c>
      <c r="M14" s="90">
        <f>IF(Real!$Q$3,Real!AA39,Real!L14)</f>
        <v>0</v>
      </c>
      <c r="N14" s="90">
        <f>IF(Real!$Q$3,Real!AB39,Real!M14)</f>
        <v>0</v>
      </c>
      <c r="O14" s="90">
        <f>IF(Real!$Q$3,Real!AC39,Real!N14)</f>
        <v>0</v>
      </c>
      <c r="P14" s="93">
        <f t="shared" si="1"/>
        <v>0</v>
      </c>
    </row>
    <row r="15" spans="3:16" ht="24.95" customHeight="1" x14ac:dyDescent="0.25">
      <c r="C15" s="94" t="s">
        <v>39</v>
      </c>
      <c r="D15" s="95">
        <f>IF(Real!$Q$3,Real!R55,Real!C15)</f>
        <v>0</v>
      </c>
      <c r="E15" s="95">
        <f>IF(Real!$Q$3,Real!S55,Real!D15)</f>
        <v>0</v>
      </c>
      <c r="F15" s="95">
        <f>IF(Real!$Q$3,Real!T55,Real!E15)</f>
        <v>0</v>
      </c>
      <c r="G15" s="95">
        <f>IF(Real!$Q$3,Real!U55,Real!F15)</f>
        <v>0</v>
      </c>
      <c r="H15" s="95">
        <f>IF(Real!$Q$3,Real!V55,Real!G15)</f>
        <v>0</v>
      </c>
      <c r="I15" s="95">
        <f>IF(Real!$Q$3,Real!W55,Real!H15)</f>
        <v>0</v>
      </c>
      <c r="J15" s="95">
        <f>IF(Real!$Q$3,Real!X55,Real!I15)</f>
        <v>0</v>
      </c>
      <c r="K15" s="95">
        <f>IF(Real!$Q$3,Real!Y55,Real!J15)</f>
        <v>0</v>
      </c>
      <c r="L15" s="95">
        <f>IF(Real!$Q$3,Real!Z55,Real!K15)</f>
        <v>0</v>
      </c>
      <c r="M15" s="95">
        <f>IF(Real!$Q$3,Real!AA55,Real!L15)</f>
        <v>0</v>
      </c>
      <c r="N15" s="95">
        <f>IF(Real!$Q$3,Real!AB55,Real!M15)</f>
        <v>0</v>
      </c>
      <c r="O15" s="95">
        <f>IF(Real!$Q$3,Real!AC55,Real!N15)</f>
        <v>0</v>
      </c>
      <c r="P15" s="93">
        <f t="shared" si="1"/>
        <v>0</v>
      </c>
    </row>
    <row r="16" spans="3:16" ht="24.95" customHeight="1" x14ac:dyDescent="0.25">
      <c r="C16" s="96" t="s">
        <v>99</v>
      </c>
      <c r="D16" s="97">
        <f>SUM(D11:D15)</f>
        <v>20494.366999999998</v>
      </c>
      <c r="E16" s="97">
        <f t="shared" ref="E16:O16" si="2">SUM(E11:E15)</f>
        <v>16488.438920000001</v>
      </c>
      <c r="F16" s="97">
        <f t="shared" si="2"/>
        <v>20325.209559999999</v>
      </c>
      <c r="G16" s="97">
        <f t="shared" si="2"/>
        <v>18308.55472</v>
      </c>
      <c r="H16" s="97">
        <f t="shared" si="2"/>
        <v>18111.255079999999</v>
      </c>
      <c r="I16" s="97">
        <f t="shared" si="2"/>
        <v>15857.14092</v>
      </c>
      <c r="J16" s="97">
        <f t="shared" si="2"/>
        <v>18824.545760000001</v>
      </c>
      <c r="K16" s="97">
        <f t="shared" si="2"/>
        <v>15607.81624</v>
      </c>
      <c r="L16" s="97">
        <f t="shared" si="2"/>
        <v>16696.539079999999</v>
      </c>
      <c r="M16" s="97">
        <f t="shared" si="2"/>
        <v>17594.04708</v>
      </c>
      <c r="N16" s="97">
        <f t="shared" si="2"/>
        <v>16813.975719999999</v>
      </c>
      <c r="O16" s="97">
        <f t="shared" si="2"/>
        <v>16662.159960000001</v>
      </c>
      <c r="P16" s="98">
        <f t="shared" si="1"/>
        <v>211784.05003999994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28">
    <tabColor rgb="FFFFC000"/>
  </sheetPr>
  <dimension ref="C1:P16"/>
  <sheetViews>
    <sheetView showGridLines="0" showRowColHeaders="0" workbookViewId="0">
      <pane ySplit="4" topLeftCell="A5" activePane="bottomLeft" state="frozen"/>
      <selection activeCell="D11" sqref="D11"/>
      <selection pane="bottomLeft" activeCell="F6" sqref="F6"/>
    </sheetView>
  </sheetViews>
  <sheetFormatPr defaultRowHeight="24.95" customHeight="1" x14ac:dyDescent="0.25"/>
  <cols>
    <col min="1" max="2" width="1.7109375" style="18" customWidth="1"/>
    <col min="3" max="3" width="13.7109375" style="18" customWidth="1"/>
    <col min="4" max="16" width="13.140625" style="18" customWidth="1"/>
    <col min="17" max="16384" width="9.140625" style="18"/>
  </cols>
  <sheetData>
    <row r="1" spans="3:16" s="1" customFormat="1" ht="35.1" customHeight="1" x14ac:dyDescent="0.25"/>
    <row r="2" spans="3:16" s="3" customFormat="1" ht="30" customHeight="1" x14ac:dyDescent="0.25"/>
    <row r="3" spans="3:16" ht="99.95" customHeight="1" thickBot="1" x14ac:dyDescent="0.3"/>
    <row r="4" spans="3:16" ht="21.95" customHeight="1" x14ac:dyDescent="0.25">
      <c r="C4" s="85" t="s">
        <v>82</v>
      </c>
      <c r="D4" s="55" t="s">
        <v>83</v>
      </c>
      <c r="E4" s="55" t="s">
        <v>84</v>
      </c>
      <c r="F4" s="55" t="s">
        <v>85</v>
      </c>
      <c r="G4" s="55" t="s">
        <v>86</v>
      </c>
      <c r="H4" s="55" t="s">
        <v>87</v>
      </c>
      <c r="I4" s="55" t="s">
        <v>88</v>
      </c>
      <c r="J4" s="55" t="s">
        <v>89</v>
      </c>
      <c r="K4" s="55" t="s">
        <v>90</v>
      </c>
      <c r="L4" s="55" t="s">
        <v>91</v>
      </c>
      <c r="M4" s="55" t="s">
        <v>92</v>
      </c>
      <c r="N4" s="55" t="s">
        <v>93</v>
      </c>
      <c r="O4" s="55" t="s">
        <v>94</v>
      </c>
      <c r="P4" s="56" t="s">
        <v>95</v>
      </c>
    </row>
    <row r="5" spans="3:16" ht="24.95" customHeight="1" x14ac:dyDescent="0.25">
      <c r="C5" s="86" t="s">
        <v>102</v>
      </c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91">
        <f>SUM(D5:O5)</f>
        <v>0</v>
      </c>
    </row>
    <row r="6" spans="3:16" ht="24.95" customHeight="1" x14ac:dyDescent="0.25">
      <c r="C6" s="92" t="s">
        <v>103</v>
      </c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93">
        <f>SUM(D6:O6)</f>
        <v>0</v>
      </c>
    </row>
    <row r="7" spans="3:16" ht="24.95" customHeight="1" x14ac:dyDescent="0.25">
      <c r="C7" s="94" t="s">
        <v>104</v>
      </c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93">
        <f>SUM(D7:O7)</f>
        <v>0</v>
      </c>
    </row>
    <row r="8" spans="3:16" ht="24.95" customHeight="1" x14ac:dyDescent="0.25">
      <c r="C8" s="96" t="s">
        <v>99</v>
      </c>
      <c r="D8" s="97">
        <f>SUM(D5:D7)</f>
        <v>0</v>
      </c>
      <c r="E8" s="97">
        <f t="shared" ref="E8:O8" si="0">SUM(E5:E7)</f>
        <v>0</v>
      </c>
      <c r="F8" s="97">
        <f t="shared" si="0"/>
        <v>0</v>
      </c>
      <c r="G8" s="97">
        <f t="shared" si="0"/>
        <v>0</v>
      </c>
      <c r="H8" s="97">
        <f t="shared" si="0"/>
        <v>0</v>
      </c>
      <c r="I8" s="97">
        <f t="shared" si="0"/>
        <v>0</v>
      </c>
      <c r="J8" s="97">
        <f t="shared" si="0"/>
        <v>0</v>
      </c>
      <c r="K8" s="97">
        <f t="shared" si="0"/>
        <v>0</v>
      </c>
      <c r="L8" s="97">
        <f t="shared" si="0"/>
        <v>0</v>
      </c>
      <c r="M8" s="97">
        <f t="shared" si="0"/>
        <v>0</v>
      </c>
      <c r="N8" s="97">
        <f t="shared" si="0"/>
        <v>0</v>
      </c>
      <c r="O8" s="97">
        <f t="shared" si="0"/>
        <v>0</v>
      </c>
      <c r="P8" s="98">
        <f>SUM(D8:O8)</f>
        <v>0</v>
      </c>
    </row>
    <row r="9" spans="3:16" ht="9.9499999999999993" customHeight="1" thickBot="1" x14ac:dyDescent="0.3">
      <c r="C9" s="88"/>
      <c r="D9" s="88"/>
      <c r="F9" s="88"/>
      <c r="G9" s="88"/>
      <c r="I9" s="88"/>
      <c r="J9" s="88"/>
      <c r="L9" s="88"/>
      <c r="M9" s="88"/>
      <c r="O9" s="88"/>
      <c r="P9" s="88"/>
    </row>
    <row r="10" spans="3:16" ht="21.95" customHeight="1" x14ac:dyDescent="0.25">
      <c r="C10" s="85" t="s">
        <v>82</v>
      </c>
      <c r="D10" s="55" t="s">
        <v>83</v>
      </c>
      <c r="E10" s="55" t="s">
        <v>84</v>
      </c>
      <c r="F10" s="55" t="s">
        <v>85</v>
      </c>
      <c r="G10" s="55" t="s">
        <v>86</v>
      </c>
      <c r="H10" s="55" t="s">
        <v>87</v>
      </c>
      <c r="I10" s="55" t="s">
        <v>88</v>
      </c>
      <c r="J10" s="55" t="s">
        <v>89</v>
      </c>
      <c r="K10" s="55" t="s">
        <v>90</v>
      </c>
      <c r="L10" s="55" t="s">
        <v>91</v>
      </c>
      <c r="M10" s="55" t="s">
        <v>92</v>
      </c>
      <c r="N10" s="55" t="s">
        <v>93</v>
      </c>
      <c r="O10" s="55" t="s">
        <v>94</v>
      </c>
      <c r="P10" s="56" t="s">
        <v>95</v>
      </c>
    </row>
    <row r="11" spans="3:16" ht="24.95" customHeight="1" x14ac:dyDescent="0.25">
      <c r="C11" s="86" t="s">
        <v>97</v>
      </c>
      <c r="D11" s="90">
        <f>IF(Real!$Q$3,0,Real!C25)</f>
        <v>0</v>
      </c>
      <c r="E11" s="90">
        <f>IF(Real!$Q$3,0,Real!D25)</f>
        <v>0</v>
      </c>
      <c r="F11" s="90">
        <f>IF(Real!$Q$3,0,Real!E25)</f>
        <v>0</v>
      </c>
      <c r="G11" s="90">
        <f>IF(Real!$Q$3,0,Real!F25)</f>
        <v>0</v>
      </c>
      <c r="H11" s="90">
        <f>IF(Real!$Q$3,0,Real!G25)</f>
        <v>0</v>
      </c>
      <c r="I11" s="90">
        <f>IF(Real!$Q$3,0,Real!H25)</f>
        <v>0</v>
      </c>
      <c r="J11" s="90">
        <f>IF(Real!$Q$3,0,Real!I25)</f>
        <v>0</v>
      </c>
      <c r="K11" s="90">
        <f>IF(Real!$Q$3,0,Real!J25)</f>
        <v>0</v>
      </c>
      <c r="L11" s="90">
        <f>IF(Real!$Q$3,0,Real!K25)</f>
        <v>0</v>
      </c>
      <c r="M11" s="90">
        <f>IF(Real!$Q$3,0,Real!L25)</f>
        <v>0</v>
      </c>
      <c r="N11" s="90">
        <f>IF(Real!$Q$3,0,Real!M25)</f>
        <v>0</v>
      </c>
      <c r="O11" s="90">
        <f>IF(Real!$Q$3,0,Real!N25)</f>
        <v>0</v>
      </c>
      <c r="P11" s="91">
        <f t="shared" ref="P11:P16" si="1">SUM(D11:O11)</f>
        <v>0</v>
      </c>
    </row>
    <row r="12" spans="3:16" ht="24.95" customHeight="1" x14ac:dyDescent="0.25">
      <c r="C12" s="92" t="s">
        <v>98</v>
      </c>
      <c r="D12" s="90">
        <f>IF(Real!$Q$3,0,Real!C26)</f>
        <v>0</v>
      </c>
      <c r="E12" s="90">
        <f>IF(Real!$Q$3,0,Real!D26)</f>
        <v>0</v>
      </c>
      <c r="F12" s="90">
        <f>IF(Real!$Q$3,0,Real!E26)</f>
        <v>0</v>
      </c>
      <c r="G12" s="90">
        <f>IF(Real!$Q$3,0,Real!F26)</f>
        <v>0</v>
      </c>
      <c r="H12" s="90">
        <f>IF(Real!$Q$3,0,Real!G26)</f>
        <v>0</v>
      </c>
      <c r="I12" s="90">
        <f>IF(Real!$Q$3,0,Real!H26)</f>
        <v>0</v>
      </c>
      <c r="J12" s="90">
        <f>IF(Real!$Q$3,0,Real!I26)</f>
        <v>0</v>
      </c>
      <c r="K12" s="90">
        <f>IF(Real!$Q$3,0,Real!J26)</f>
        <v>0</v>
      </c>
      <c r="L12" s="90">
        <f>IF(Real!$Q$3,0,Real!K26)</f>
        <v>0</v>
      </c>
      <c r="M12" s="90">
        <f>IF(Real!$Q$3,0,Real!L26)</f>
        <v>0</v>
      </c>
      <c r="N12" s="90">
        <f>IF(Real!$Q$3,0,Real!M26)</f>
        <v>0</v>
      </c>
      <c r="O12" s="90">
        <f>IF(Real!$Q$3,0,Real!N26)</f>
        <v>0</v>
      </c>
      <c r="P12" s="93">
        <f t="shared" si="1"/>
        <v>0</v>
      </c>
    </row>
    <row r="13" spans="3:16" ht="24.95" customHeight="1" x14ac:dyDescent="0.25">
      <c r="C13" s="92" t="s">
        <v>37</v>
      </c>
      <c r="D13" s="90">
        <f>IF(Real!$Q$3,0,Real!C27)</f>
        <v>0</v>
      </c>
      <c r="E13" s="90">
        <f>IF(Real!$Q$3,0,Real!D27)</f>
        <v>0</v>
      </c>
      <c r="F13" s="90">
        <f>IF(Real!$Q$3,0,Real!E27)</f>
        <v>0</v>
      </c>
      <c r="G13" s="90">
        <f>IF(Real!$Q$3,0,Real!F27)</f>
        <v>0</v>
      </c>
      <c r="H13" s="90">
        <f>IF(Real!$Q$3,0,Real!G27)</f>
        <v>0</v>
      </c>
      <c r="I13" s="90">
        <f>IF(Real!$Q$3,0,Real!H27)</f>
        <v>0</v>
      </c>
      <c r="J13" s="90">
        <f>IF(Real!$Q$3,0,Real!I27)</f>
        <v>0</v>
      </c>
      <c r="K13" s="90">
        <f>IF(Real!$Q$3,0,Real!J27)</f>
        <v>0</v>
      </c>
      <c r="L13" s="90">
        <f>IF(Real!$Q$3,0,Real!K27)</f>
        <v>0</v>
      </c>
      <c r="M13" s="90">
        <f>IF(Real!$Q$3,0,Real!L27)</f>
        <v>0</v>
      </c>
      <c r="N13" s="90">
        <f>IF(Real!$Q$3,0,Real!M27)</f>
        <v>0</v>
      </c>
      <c r="O13" s="90">
        <f>IF(Real!$Q$3,0,Real!N27)</f>
        <v>0</v>
      </c>
      <c r="P13" s="93">
        <f t="shared" si="1"/>
        <v>0</v>
      </c>
    </row>
    <row r="14" spans="3:16" ht="24.95" customHeight="1" x14ac:dyDescent="0.25">
      <c r="C14" s="92" t="s">
        <v>38</v>
      </c>
      <c r="D14" s="90">
        <f>IF(Real!$Q$3,0,Real!C28)</f>
        <v>0</v>
      </c>
      <c r="E14" s="90">
        <f>IF(Real!$Q$3,0,Real!D28)</f>
        <v>0</v>
      </c>
      <c r="F14" s="90">
        <f>IF(Real!$Q$3,0,Real!E28)</f>
        <v>0</v>
      </c>
      <c r="G14" s="90">
        <f>IF(Real!$Q$3,0,Real!F28)</f>
        <v>0</v>
      </c>
      <c r="H14" s="90">
        <f>IF(Real!$Q$3,0,Real!G28)</f>
        <v>0</v>
      </c>
      <c r="I14" s="90">
        <f>IF(Real!$Q$3,0,Real!H28)</f>
        <v>0</v>
      </c>
      <c r="J14" s="90">
        <f>IF(Real!$Q$3,0,Real!I28)</f>
        <v>0</v>
      </c>
      <c r="K14" s="90">
        <f>IF(Real!$Q$3,0,Real!J28)</f>
        <v>0</v>
      </c>
      <c r="L14" s="90">
        <f>IF(Real!$Q$3,0,Real!K28)</f>
        <v>0</v>
      </c>
      <c r="M14" s="90">
        <f>IF(Real!$Q$3,0,Real!L28)</f>
        <v>0</v>
      </c>
      <c r="N14" s="90">
        <f>IF(Real!$Q$3,0,Real!M28)</f>
        <v>0</v>
      </c>
      <c r="O14" s="90">
        <f>IF(Real!$Q$3,0,Real!N28)</f>
        <v>0</v>
      </c>
      <c r="P14" s="93">
        <f t="shared" si="1"/>
        <v>0</v>
      </c>
    </row>
    <row r="15" spans="3:16" ht="24.95" customHeight="1" x14ac:dyDescent="0.25">
      <c r="C15" s="94" t="s">
        <v>39</v>
      </c>
      <c r="D15" s="100">
        <f>IF(Real!$Q$3,0,Real!C29)</f>
        <v>0</v>
      </c>
      <c r="E15" s="95">
        <f>IF(Real!$Q$3,0,Real!D29)</f>
        <v>0</v>
      </c>
      <c r="F15" s="95">
        <f>IF(Real!$Q$3,0,Real!E29)</f>
        <v>0</v>
      </c>
      <c r="G15" s="95">
        <f>IF(Real!$Q$3,0,Real!F29)</f>
        <v>0</v>
      </c>
      <c r="H15" s="95">
        <f>IF(Real!$Q$3,0,Real!G29)</f>
        <v>0</v>
      </c>
      <c r="I15" s="95">
        <f>IF(Real!$Q$3,0,Real!H29)</f>
        <v>0</v>
      </c>
      <c r="J15" s="95">
        <f>IF(Real!$Q$3,0,Real!I29)</f>
        <v>0</v>
      </c>
      <c r="K15" s="95">
        <f>IF(Real!$Q$3,0,Real!J29)</f>
        <v>0</v>
      </c>
      <c r="L15" s="95">
        <f>IF(Real!$Q$3,0,Real!K29)</f>
        <v>0</v>
      </c>
      <c r="M15" s="95">
        <f>IF(Real!$Q$3,0,Real!L29)</f>
        <v>0</v>
      </c>
      <c r="N15" s="95">
        <f>IF(Real!$Q$3,0,Real!M29)</f>
        <v>0</v>
      </c>
      <c r="O15" s="95">
        <f>IF(Real!$Q$3,0,Real!N29)</f>
        <v>0</v>
      </c>
      <c r="P15" s="93">
        <f t="shared" si="1"/>
        <v>0</v>
      </c>
    </row>
    <row r="16" spans="3:16" ht="24.95" customHeight="1" x14ac:dyDescent="0.25">
      <c r="C16" s="96" t="s">
        <v>99</v>
      </c>
      <c r="D16" s="97">
        <f>SUM(D11:D15)</f>
        <v>0</v>
      </c>
      <c r="E16" s="97">
        <f t="shared" ref="E16:O16" si="2">SUM(E11:E15)</f>
        <v>0</v>
      </c>
      <c r="F16" s="97">
        <f t="shared" si="2"/>
        <v>0</v>
      </c>
      <c r="G16" s="97">
        <f t="shared" si="2"/>
        <v>0</v>
      </c>
      <c r="H16" s="97">
        <f t="shared" si="2"/>
        <v>0</v>
      </c>
      <c r="I16" s="97">
        <f t="shared" si="2"/>
        <v>0</v>
      </c>
      <c r="J16" s="97">
        <f t="shared" si="2"/>
        <v>0</v>
      </c>
      <c r="K16" s="97">
        <f t="shared" si="2"/>
        <v>0</v>
      </c>
      <c r="L16" s="97">
        <f t="shared" si="2"/>
        <v>0</v>
      </c>
      <c r="M16" s="97">
        <f t="shared" si="2"/>
        <v>0</v>
      </c>
      <c r="N16" s="97">
        <f t="shared" si="2"/>
        <v>0</v>
      </c>
      <c r="O16" s="97">
        <f t="shared" si="2"/>
        <v>0</v>
      </c>
      <c r="P16" s="98">
        <f t="shared" si="1"/>
        <v>0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29">
    <tabColor rgb="FFFFC000"/>
  </sheetPr>
  <dimension ref="C1:P16"/>
  <sheetViews>
    <sheetView showGridLines="0" showRowColHeaders="0" workbookViewId="0">
      <pane ySplit="4" topLeftCell="A5" activePane="bottomLeft" state="frozen"/>
      <selection activeCell="D11" sqref="D11"/>
      <selection pane="bottomLeft" activeCell="D6" sqref="D6"/>
    </sheetView>
  </sheetViews>
  <sheetFormatPr defaultRowHeight="24.95" customHeight="1" x14ac:dyDescent="0.25"/>
  <cols>
    <col min="1" max="2" width="1.7109375" style="18" customWidth="1"/>
    <col min="3" max="3" width="13.7109375" style="18" customWidth="1"/>
    <col min="4" max="16" width="13.140625" style="18" customWidth="1"/>
    <col min="17" max="16384" width="9.140625" style="18"/>
  </cols>
  <sheetData>
    <row r="1" spans="3:16" s="1" customFormat="1" ht="35.1" customHeight="1" x14ac:dyDescent="0.25"/>
    <row r="2" spans="3:16" s="3" customFormat="1" ht="30" customHeight="1" x14ac:dyDescent="0.25"/>
    <row r="3" spans="3:16" ht="99.95" customHeight="1" thickBot="1" x14ac:dyDescent="0.3"/>
    <row r="4" spans="3:16" ht="21.95" customHeight="1" x14ac:dyDescent="0.25">
      <c r="C4" s="85" t="s">
        <v>82</v>
      </c>
      <c r="D4" s="55" t="s">
        <v>83</v>
      </c>
      <c r="E4" s="55" t="s">
        <v>84</v>
      </c>
      <c r="F4" s="55" t="s">
        <v>85</v>
      </c>
      <c r="G4" s="55" t="s">
        <v>86</v>
      </c>
      <c r="H4" s="55" t="s">
        <v>87</v>
      </c>
      <c r="I4" s="55" t="s">
        <v>88</v>
      </c>
      <c r="J4" s="55" t="s">
        <v>89</v>
      </c>
      <c r="K4" s="55" t="s">
        <v>90</v>
      </c>
      <c r="L4" s="55" t="s">
        <v>91</v>
      </c>
      <c r="M4" s="55" t="s">
        <v>92</v>
      </c>
      <c r="N4" s="55" t="s">
        <v>93</v>
      </c>
      <c r="O4" s="55" t="s">
        <v>94</v>
      </c>
      <c r="P4" s="56" t="s">
        <v>95</v>
      </c>
    </row>
    <row r="5" spans="3:16" ht="24.95" customHeight="1" x14ac:dyDescent="0.25">
      <c r="C5" s="86" t="s">
        <v>102</v>
      </c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91">
        <f>SUM(D5:O5)</f>
        <v>0</v>
      </c>
    </row>
    <row r="6" spans="3:16" ht="24.95" customHeight="1" x14ac:dyDescent="0.25">
      <c r="C6" s="92" t="s">
        <v>103</v>
      </c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93">
        <f>SUM(D6:O6)</f>
        <v>0</v>
      </c>
    </row>
    <row r="7" spans="3:16" ht="24.95" customHeight="1" x14ac:dyDescent="0.25">
      <c r="C7" s="94" t="s">
        <v>104</v>
      </c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93">
        <f>SUM(D7:O7)</f>
        <v>0</v>
      </c>
    </row>
    <row r="8" spans="3:16" ht="24.95" customHeight="1" x14ac:dyDescent="0.25">
      <c r="C8" s="96" t="s">
        <v>99</v>
      </c>
      <c r="D8" s="97">
        <f>SUM(D5:D7)</f>
        <v>0</v>
      </c>
      <c r="E8" s="97">
        <f t="shared" ref="E8:O8" si="0">SUM(E5:E7)</f>
        <v>0</v>
      </c>
      <c r="F8" s="97">
        <f t="shared" si="0"/>
        <v>0</v>
      </c>
      <c r="G8" s="97">
        <f t="shared" si="0"/>
        <v>0</v>
      </c>
      <c r="H8" s="97">
        <f t="shared" si="0"/>
        <v>0</v>
      </c>
      <c r="I8" s="97">
        <f t="shared" si="0"/>
        <v>0</v>
      </c>
      <c r="J8" s="97">
        <f t="shared" si="0"/>
        <v>0</v>
      </c>
      <c r="K8" s="97">
        <f t="shared" si="0"/>
        <v>0</v>
      </c>
      <c r="L8" s="97">
        <f t="shared" si="0"/>
        <v>0</v>
      </c>
      <c r="M8" s="97">
        <f t="shared" si="0"/>
        <v>0</v>
      </c>
      <c r="N8" s="97">
        <f t="shared" si="0"/>
        <v>0</v>
      </c>
      <c r="O8" s="97">
        <f t="shared" si="0"/>
        <v>0</v>
      </c>
      <c r="P8" s="98">
        <f>SUM(D8:O8)</f>
        <v>0</v>
      </c>
    </row>
    <row r="9" spans="3:16" ht="9.9499999999999993" customHeight="1" thickBot="1" x14ac:dyDescent="0.3">
      <c r="C9" s="88"/>
      <c r="D9" s="88"/>
      <c r="F9" s="88"/>
      <c r="G9" s="88"/>
      <c r="I9" s="88"/>
      <c r="J9" s="88"/>
      <c r="L9" s="88"/>
      <c r="M9" s="88"/>
      <c r="O9" s="88"/>
      <c r="P9" s="88"/>
    </row>
    <row r="10" spans="3:16" ht="21.95" customHeight="1" x14ac:dyDescent="0.25">
      <c r="C10" s="85" t="s">
        <v>82</v>
      </c>
      <c r="D10" s="55" t="s">
        <v>83</v>
      </c>
      <c r="E10" s="55" t="s">
        <v>84</v>
      </c>
      <c r="F10" s="55" t="s">
        <v>85</v>
      </c>
      <c r="G10" s="55" t="s">
        <v>86</v>
      </c>
      <c r="H10" s="55" t="s">
        <v>87</v>
      </c>
      <c r="I10" s="55" t="s">
        <v>88</v>
      </c>
      <c r="J10" s="55" t="s">
        <v>89</v>
      </c>
      <c r="K10" s="55" t="s">
        <v>90</v>
      </c>
      <c r="L10" s="55" t="s">
        <v>91</v>
      </c>
      <c r="M10" s="55" t="s">
        <v>92</v>
      </c>
      <c r="N10" s="55" t="s">
        <v>93</v>
      </c>
      <c r="O10" s="55" t="s">
        <v>94</v>
      </c>
      <c r="P10" s="56" t="s">
        <v>95</v>
      </c>
    </row>
    <row r="11" spans="3:16" ht="24.95" customHeight="1" x14ac:dyDescent="0.25">
      <c r="C11" s="86" t="s">
        <v>97</v>
      </c>
      <c r="D11" s="90">
        <f>IF(Real!$Q$3,0,Real!C39)</f>
        <v>0</v>
      </c>
      <c r="E11" s="90">
        <f>IF(Real!$Q$3,0,Real!D39)</f>
        <v>0</v>
      </c>
      <c r="F11" s="90">
        <f>IF(Real!$Q$3,0,Real!E39)</f>
        <v>0</v>
      </c>
      <c r="G11" s="90">
        <f>IF(Real!$Q$3,0,Real!F39)</f>
        <v>0</v>
      </c>
      <c r="H11" s="90">
        <f>IF(Real!$Q$3,0,Real!G39)</f>
        <v>0</v>
      </c>
      <c r="I11" s="90">
        <f>IF(Real!$Q$3,0,Real!H39)</f>
        <v>0</v>
      </c>
      <c r="J11" s="90">
        <f>IF(Real!$Q$3,0,Real!I39)</f>
        <v>0</v>
      </c>
      <c r="K11" s="90">
        <f>IF(Real!$Q$3,0,Real!J39)</f>
        <v>0</v>
      </c>
      <c r="L11" s="90">
        <f>IF(Real!$Q$3,0,Real!K39)</f>
        <v>0</v>
      </c>
      <c r="M11" s="90">
        <f>IF(Real!$Q$3,0,Real!L39)</f>
        <v>0</v>
      </c>
      <c r="N11" s="90">
        <f>IF(Real!$Q$3,0,Real!M39)</f>
        <v>0</v>
      </c>
      <c r="O11" s="90">
        <f>IF(Real!$Q$3,0,Real!N39)</f>
        <v>0</v>
      </c>
      <c r="P11" s="91">
        <f t="shared" ref="P11:P16" si="1">SUM(D11:O11)</f>
        <v>0</v>
      </c>
    </row>
    <row r="12" spans="3:16" ht="24.95" customHeight="1" x14ac:dyDescent="0.25">
      <c r="C12" s="92" t="s">
        <v>98</v>
      </c>
      <c r="D12" s="90">
        <f>IF(Real!$Q$3,0,Real!C40)</f>
        <v>0</v>
      </c>
      <c r="E12" s="90">
        <f>IF(Real!$Q$3,0,Real!D40)</f>
        <v>0</v>
      </c>
      <c r="F12" s="90">
        <f>IF(Real!$Q$3,0,Real!E40)</f>
        <v>0</v>
      </c>
      <c r="G12" s="90">
        <f>IF(Real!$Q$3,0,Real!F40)</f>
        <v>0</v>
      </c>
      <c r="H12" s="90">
        <f>IF(Real!$Q$3,0,Real!G40)</f>
        <v>0</v>
      </c>
      <c r="I12" s="90">
        <f>IF(Real!$Q$3,0,Real!H40)</f>
        <v>0</v>
      </c>
      <c r="J12" s="90">
        <f>IF(Real!$Q$3,0,Real!I40)</f>
        <v>0</v>
      </c>
      <c r="K12" s="90">
        <f>IF(Real!$Q$3,0,Real!J40)</f>
        <v>0</v>
      </c>
      <c r="L12" s="90">
        <f>IF(Real!$Q$3,0,Real!K40)</f>
        <v>0</v>
      </c>
      <c r="M12" s="90">
        <f>IF(Real!$Q$3,0,Real!L40)</f>
        <v>0</v>
      </c>
      <c r="N12" s="90">
        <f>IF(Real!$Q$3,0,Real!M40)</f>
        <v>0</v>
      </c>
      <c r="O12" s="90">
        <f>IF(Real!$Q$3,0,Real!N40)</f>
        <v>0</v>
      </c>
      <c r="P12" s="93">
        <f t="shared" si="1"/>
        <v>0</v>
      </c>
    </row>
    <row r="13" spans="3:16" ht="24.95" customHeight="1" x14ac:dyDescent="0.25">
      <c r="C13" s="92" t="s">
        <v>37</v>
      </c>
      <c r="D13" s="90">
        <f>IF(Real!$Q$3,0,Real!C41)</f>
        <v>0</v>
      </c>
      <c r="E13" s="90">
        <f>IF(Real!$Q$3,0,Real!D41)</f>
        <v>0</v>
      </c>
      <c r="F13" s="90">
        <f>IF(Real!$Q$3,0,Real!E41)</f>
        <v>0</v>
      </c>
      <c r="G13" s="90">
        <f>IF(Real!$Q$3,0,Real!F41)</f>
        <v>0</v>
      </c>
      <c r="H13" s="90">
        <f>IF(Real!$Q$3,0,Real!G41)</f>
        <v>0</v>
      </c>
      <c r="I13" s="90">
        <f>IF(Real!$Q$3,0,Real!H41)</f>
        <v>0</v>
      </c>
      <c r="J13" s="90">
        <f>IF(Real!$Q$3,0,Real!I41)</f>
        <v>0</v>
      </c>
      <c r="K13" s="90">
        <f>IF(Real!$Q$3,0,Real!J41)</f>
        <v>0</v>
      </c>
      <c r="L13" s="90">
        <f>IF(Real!$Q$3,0,Real!K41)</f>
        <v>0</v>
      </c>
      <c r="M13" s="90">
        <f>IF(Real!$Q$3,0,Real!L41)</f>
        <v>0</v>
      </c>
      <c r="N13" s="90">
        <f>IF(Real!$Q$3,0,Real!M41)</f>
        <v>0</v>
      </c>
      <c r="O13" s="90">
        <f>IF(Real!$Q$3,0,Real!N41)</f>
        <v>0</v>
      </c>
      <c r="P13" s="93">
        <f t="shared" si="1"/>
        <v>0</v>
      </c>
    </row>
    <row r="14" spans="3:16" ht="24.95" customHeight="1" x14ac:dyDescent="0.25">
      <c r="C14" s="92" t="s">
        <v>38</v>
      </c>
      <c r="D14" s="90">
        <f>IF(Real!$Q$3,0,Real!C42)</f>
        <v>0</v>
      </c>
      <c r="E14" s="90">
        <f>IF(Real!$Q$3,0,Real!D42)</f>
        <v>0</v>
      </c>
      <c r="F14" s="90">
        <f>IF(Real!$Q$3,0,Real!E42)</f>
        <v>0</v>
      </c>
      <c r="G14" s="90">
        <f>IF(Real!$Q$3,0,Real!F42)</f>
        <v>0</v>
      </c>
      <c r="H14" s="90">
        <f>IF(Real!$Q$3,0,Real!G42)</f>
        <v>0</v>
      </c>
      <c r="I14" s="90">
        <f>IF(Real!$Q$3,0,Real!H42)</f>
        <v>0</v>
      </c>
      <c r="J14" s="90">
        <f>IF(Real!$Q$3,0,Real!I42)</f>
        <v>0</v>
      </c>
      <c r="K14" s="90">
        <f>IF(Real!$Q$3,0,Real!J42)</f>
        <v>0</v>
      </c>
      <c r="L14" s="90">
        <f>IF(Real!$Q$3,0,Real!K42)</f>
        <v>0</v>
      </c>
      <c r="M14" s="90">
        <f>IF(Real!$Q$3,0,Real!L42)</f>
        <v>0</v>
      </c>
      <c r="N14" s="90">
        <f>IF(Real!$Q$3,0,Real!M42)</f>
        <v>0</v>
      </c>
      <c r="O14" s="90">
        <f>IF(Real!$Q$3,0,Real!N42)</f>
        <v>0</v>
      </c>
      <c r="P14" s="93">
        <f t="shared" si="1"/>
        <v>0</v>
      </c>
    </row>
    <row r="15" spans="3:16" ht="24.95" customHeight="1" x14ac:dyDescent="0.25">
      <c r="C15" s="94" t="s">
        <v>39</v>
      </c>
      <c r="D15" s="100">
        <f>IF(Real!$Q$3,0,Real!C43)</f>
        <v>0</v>
      </c>
      <c r="E15" s="95">
        <f>IF(Real!$Q$3,0,Real!D43)</f>
        <v>0</v>
      </c>
      <c r="F15" s="95">
        <f>IF(Real!$Q$3,0,Real!E43)</f>
        <v>0</v>
      </c>
      <c r="G15" s="95">
        <f>IF(Real!$Q$3,0,Real!F43)</f>
        <v>0</v>
      </c>
      <c r="H15" s="95">
        <f>IF(Real!$Q$3,0,Real!G43)</f>
        <v>0</v>
      </c>
      <c r="I15" s="95">
        <f>IF(Real!$Q$3,0,Real!H43)</f>
        <v>0</v>
      </c>
      <c r="J15" s="95">
        <f>IF(Real!$Q$3,0,Real!I43)</f>
        <v>0</v>
      </c>
      <c r="K15" s="95">
        <f>IF(Real!$Q$3,0,Real!J43)</f>
        <v>0</v>
      </c>
      <c r="L15" s="95">
        <f>IF(Real!$Q$3,0,Real!K43)</f>
        <v>0</v>
      </c>
      <c r="M15" s="95">
        <f>IF(Real!$Q$3,0,Real!L43)</f>
        <v>0</v>
      </c>
      <c r="N15" s="95">
        <f>IF(Real!$Q$3,0,Real!M43)</f>
        <v>0</v>
      </c>
      <c r="O15" s="95">
        <f>IF(Real!$Q$3,0,Real!N43)</f>
        <v>0</v>
      </c>
      <c r="P15" s="93">
        <f t="shared" si="1"/>
        <v>0</v>
      </c>
    </row>
    <row r="16" spans="3:16" ht="24.95" customHeight="1" x14ac:dyDescent="0.25">
      <c r="C16" s="96" t="s">
        <v>99</v>
      </c>
      <c r="D16" s="97">
        <f>SUM(D11:D15)</f>
        <v>0</v>
      </c>
      <c r="E16" s="97">
        <f t="shared" ref="E16:O16" si="2">SUM(E11:E15)</f>
        <v>0</v>
      </c>
      <c r="F16" s="97">
        <f t="shared" si="2"/>
        <v>0</v>
      </c>
      <c r="G16" s="97">
        <f t="shared" si="2"/>
        <v>0</v>
      </c>
      <c r="H16" s="97">
        <f t="shared" si="2"/>
        <v>0</v>
      </c>
      <c r="I16" s="97">
        <f t="shared" si="2"/>
        <v>0</v>
      </c>
      <c r="J16" s="97">
        <f t="shared" si="2"/>
        <v>0</v>
      </c>
      <c r="K16" s="97">
        <f t="shared" si="2"/>
        <v>0</v>
      </c>
      <c r="L16" s="97">
        <f t="shared" si="2"/>
        <v>0</v>
      </c>
      <c r="M16" s="97">
        <f t="shared" si="2"/>
        <v>0</v>
      </c>
      <c r="N16" s="97">
        <f t="shared" si="2"/>
        <v>0</v>
      </c>
      <c r="O16" s="97">
        <f t="shared" si="2"/>
        <v>0</v>
      </c>
      <c r="P16" s="98">
        <f t="shared" si="1"/>
        <v>0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30">
    <tabColor rgb="FFFFC000"/>
  </sheetPr>
  <dimension ref="C1:P16"/>
  <sheetViews>
    <sheetView showGridLines="0" showRowColHeaders="0" workbookViewId="0">
      <pane ySplit="4" topLeftCell="A5" activePane="bottomLeft" state="frozen"/>
      <selection activeCell="D11" sqref="D11"/>
      <selection pane="bottomLeft" activeCell="D6" sqref="D6"/>
    </sheetView>
  </sheetViews>
  <sheetFormatPr defaultRowHeight="24.95" customHeight="1" x14ac:dyDescent="0.25"/>
  <cols>
    <col min="1" max="2" width="1.7109375" style="18" customWidth="1"/>
    <col min="3" max="3" width="13.7109375" style="18" customWidth="1"/>
    <col min="4" max="16" width="13.140625" style="18" customWidth="1"/>
    <col min="17" max="16384" width="9.140625" style="18"/>
  </cols>
  <sheetData>
    <row r="1" spans="3:16" s="1" customFormat="1" ht="35.1" customHeight="1" x14ac:dyDescent="0.25"/>
    <row r="2" spans="3:16" s="3" customFormat="1" ht="30" customHeight="1" x14ac:dyDescent="0.25"/>
    <row r="3" spans="3:16" ht="99.95" customHeight="1" thickBot="1" x14ac:dyDescent="0.3"/>
    <row r="4" spans="3:16" ht="21.95" customHeight="1" x14ac:dyDescent="0.25">
      <c r="C4" s="85" t="s">
        <v>82</v>
      </c>
      <c r="D4" s="55" t="s">
        <v>83</v>
      </c>
      <c r="E4" s="55" t="s">
        <v>84</v>
      </c>
      <c r="F4" s="55" t="s">
        <v>85</v>
      </c>
      <c r="G4" s="55" t="s">
        <v>86</v>
      </c>
      <c r="H4" s="55" t="s">
        <v>87</v>
      </c>
      <c r="I4" s="55" t="s">
        <v>88</v>
      </c>
      <c r="J4" s="55" t="s">
        <v>89</v>
      </c>
      <c r="K4" s="55" t="s">
        <v>90</v>
      </c>
      <c r="L4" s="55" t="s">
        <v>91</v>
      </c>
      <c r="M4" s="55" t="s">
        <v>92</v>
      </c>
      <c r="N4" s="55" t="s">
        <v>93</v>
      </c>
      <c r="O4" s="55" t="s">
        <v>94</v>
      </c>
      <c r="P4" s="56" t="s">
        <v>95</v>
      </c>
    </row>
    <row r="5" spans="3:16" ht="24.95" customHeight="1" x14ac:dyDescent="0.25">
      <c r="C5" s="86" t="s">
        <v>102</v>
      </c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91">
        <f>SUM(D5:O5)</f>
        <v>0</v>
      </c>
    </row>
    <row r="6" spans="3:16" ht="24.95" customHeight="1" x14ac:dyDescent="0.25">
      <c r="C6" s="92" t="s">
        <v>103</v>
      </c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93">
        <f>SUM(D6:O6)</f>
        <v>0</v>
      </c>
    </row>
    <row r="7" spans="3:16" ht="24.95" customHeight="1" x14ac:dyDescent="0.25">
      <c r="C7" s="94" t="s">
        <v>104</v>
      </c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93">
        <f>SUM(D7:O7)</f>
        <v>0</v>
      </c>
    </row>
    <row r="8" spans="3:16" ht="24.95" customHeight="1" x14ac:dyDescent="0.25">
      <c r="C8" s="96" t="s">
        <v>99</v>
      </c>
      <c r="D8" s="97">
        <f>SUM(D5:D7)</f>
        <v>0</v>
      </c>
      <c r="E8" s="97">
        <f t="shared" ref="E8:O8" si="0">SUM(E5:E7)</f>
        <v>0</v>
      </c>
      <c r="F8" s="97">
        <f t="shared" si="0"/>
        <v>0</v>
      </c>
      <c r="G8" s="97">
        <f t="shared" si="0"/>
        <v>0</v>
      </c>
      <c r="H8" s="97">
        <f t="shared" si="0"/>
        <v>0</v>
      </c>
      <c r="I8" s="97">
        <f t="shared" si="0"/>
        <v>0</v>
      </c>
      <c r="J8" s="97">
        <f t="shared" si="0"/>
        <v>0</v>
      </c>
      <c r="K8" s="97">
        <f t="shared" si="0"/>
        <v>0</v>
      </c>
      <c r="L8" s="97">
        <f t="shared" si="0"/>
        <v>0</v>
      </c>
      <c r="M8" s="97">
        <f t="shared" si="0"/>
        <v>0</v>
      </c>
      <c r="N8" s="97">
        <f t="shared" si="0"/>
        <v>0</v>
      </c>
      <c r="O8" s="97">
        <f t="shared" si="0"/>
        <v>0</v>
      </c>
      <c r="P8" s="98">
        <f>SUM(D8:O8)</f>
        <v>0</v>
      </c>
    </row>
    <row r="9" spans="3:16" ht="9.9499999999999993" customHeight="1" thickBot="1" x14ac:dyDescent="0.3">
      <c r="C9" s="88"/>
      <c r="D9" s="88"/>
      <c r="F9" s="88"/>
      <c r="G9" s="88"/>
      <c r="I9" s="88"/>
      <c r="J9" s="88"/>
      <c r="L9" s="88"/>
      <c r="M9" s="88"/>
      <c r="O9" s="88"/>
      <c r="P9" s="88"/>
    </row>
    <row r="10" spans="3:16" ht="21.95" customHeight="1" x14ac:dyDescent="0.25">
      <c r="C10" s="85" t="s">
        <v>82</v>
      </c>
      <c r="D10" s="55" t="s">
        <v>83</v>
      </c>
      <c r="E10" s="55" t="s">
        <v>84</v>
      </c>
      <c r="F10" s="55" t="s">
        <v>85</v>
      </c>
      <c r="G10" s="55" t="s">
        <v>86</v>
      </c>
      <c r="H10" s="55" t="s">
        <v>87</v>
      </c>
      <c r="I10" s="55" t="s">
        <v>88</v>
      </c>
      <c r="J10" s="55" t="s">
        <v>89</v>
      </c>
      <c r="K10" s="55" t="s">
        <v>90</v>
      </c>
      <c r="L10" s="55" t="s">
        <v>91</v>
      </c>
      <c r="M10" s="55" t="s">
        <v>92</v>
      </c>
      <c r="N10" s="55" t="s">
        <v>93</v>
      </c>
      <c r="O10" s="55" t="s">
        <v>94</v>
      </c>
      <c r="P10" s="56" t="s">
        <v>95</v>
      </c>
    </row>
    <row r="11" spans="3:16" ht="24.95" customHeight="1" x14ac:dyDescent="0.25">
      <c r="C11" s="86" t="s">
        <v>97</v>
      </c>
      <c r="D11" s="90">
        <f>IF(Real!$Q$3,0,Real!C53)</f>
        <v>0</v>
      </c>
      <c r="E11" s="90">
        <f>IF(Real!$Q$3,0,Real!D53)</f>
        <v>0</v>
      </c>
      <c r="F11" s="90">
        <f>IF(Real!$Q$3,0,Real!E53)</f>
        <v>0</v>
      </c>
      <c r="G11" s="90">
        <f>IF(Real!$Q$3,0,Real!F53)</f>
        <v>0</v>
      </c>
      <c r="H11" s="90">
        <f>IF(Real!$Q$3,0,Real!G53)</f>
        <v>0</v>
      </c>
      <c r="I11" s="90">
        <f>IF(Real!$Q$3,0,Real!H53)</f>
        <v>0</v>
      </c>
      <c r="J11" s="90">
        <f>IF(Real!$Q$3,0,Real!I53)</f>
        <v>0</v>
      </c>
      <c r="K11" s="90">
        <f>IF(Real!$Q$3,0,Real!J53)</f>
        <v>0</v>
      </c>
      <c r="L11" s="90">
        <f>IF(Real!$Q$3,0,Real!K53)</f>
        <v>0</v>
      </c>
      <c r="M11" s="90">
        <f>IF(Real!$Q$3,0,Real!L53)</f>
        <v>0</v>
      </c>
      <c r="N11" s="90">
        <f>IF(Real!$Q$3,0,Real!M53)</f>
        <v>0</v>
      </c>
      <c r="O11" s="90">
        <f>IF(Real!$Q$3,0,Real!N53)</f>
        <v>0</v>
      </c>
      <c r="P11" s="91">
        <f t="shared" ref="P11:P16" si="1">SUM(D11:O11)</f>
        <v>0</v>
      </c>
    </row>
    <row r="12" spans="3:16" ht="24.95" customHeight="1" x14ac:dyDescent="0.25">
      <c r="C12" s="92" t="s">
        <v>98</v>
      </c>
      <c r="D12" s="90">
        <f>IF(Real!$Q$3,0,Real!C54)</f>
        <v>0</v>
      </c>
      <c r="E12" s="90">
        <f>IF(Real!$Q$3,0,Real!D54)</f>
        <v>0</v>
      </c>
      <c r="F12" s="90">
        <f>IF(Real!$Q$3,0,Real!E54)</f>
        <v>0</v>
      </c>
      <c r="G12" s="90">
        <f>IF(Real!$Q$3,0,Real!F54)</f>
        <v>0</v>
      </c>
      <c r="H12" s="90">
        <f>IF(Real!$Q$3,0,Real!G54)</f>
        <v>0</v>
      </c>
      <c r="I12" s="90">
        <f>IF(Real!$Q$3,0,Real!H54)</f>
        <v>0</v>
      </c>
      <c r="J12" s="90">
        <f>IF(Real!$Q$3,0,Real!I54)</f>
        <v>0</v>
      </c>
      <c r="K12" s="90">
        <f>IF(Real!$Q$3,0,Real!J54)</f>
        <v>0</v>
      </c>
      <c r="L12" s="90">
        <f>IF(Real!$Q$3,0,Real!K54)</f>
        <v>0</v>
      </c>
      <c r="M12" s="90">
        <f>IF(Real!$Q$3,0,Real!L54)</f>
        <v>0</v>
      </c>
      <c r="N12" s="90">
        <f>IF(Real!$Q$3,0,Real!M54)</f>
        <v>0</v>
      </c>
      <c r="O12" s="90">
        <f>IF(Real!$Q$3,0,Real!N54)</f>
        <v>0</v>
      </c>
      <c r="P12" s="93">
        <f t="shared" si="1"/>
        <v>0</v>
      </c>
    </row>
    <row r="13" spans="3:16" ht="24.95" customHeight="1" x14ac:dyDescent="0.25">
      <c r="C13" s="92" t="s">
        <v>37</v>
      </c>
      <c r="D13" s="90">
        <f>IF(Real!$Q$3,0,Real!C55)</f>
        <v>0</v>
      </c>
      <c r="E13" s="90">
        <f>IF(Real!$Q$3,0,Real!D55)</f>
        <v>0</v>
      </c>
      <c r="F13" s="90">
        <f>IF(Real!$Q$3,0,Real!E55)</f>
        <v>0</v>
      </c>
      <c r="G13" s="90">
        <f>IF(Real!$Q$3,0,Real!F55)</f>
        <v>0</v>
      </c>
      <c r="H13" s="90">
        <f>IF(Real!$Q$3,0,Real!G55)</f>
        <v>0</v>
      </c>
      <c r="I13" s="90">
        <f>IF(Real!$Q$3,0,Real!H55)</f>
        <v>0</v>
      </c>
      <c r="J13" s="90">
        <f>IF(Real!$Q$3,0,Real!I55)</f>
        <v>0</v>
      </c>
      <c r="K13" s="90">
        <f>IF(Real!$Q$3,0,Real!J55)</f>
        <v>0</v>
      </c>
      <c r="L13" s="90">
        <f>IF(Real!$Q$3,0,Real!K55)</f>
        <v>0</v>
      </c>
      <c r="M13" s="90">
        <f>IF(Real!$Q$3,0,Real!L55)</f>
        <v>0</v>
      </c>
      <c r="N13" s="90">
        <f>IF(Real!$Q$3,0,Real!M55)</f>
        <v>0</v>
      </c>
      <c r="O13" s="90">
        <f>IF(Real!$Q$3,0,Real!N55)</f>
        <v>0</v>
      </c>
      <c r="P13" s="93">
        <f t="shared" si="1"/>
        <v>0</v>
      </c>
    </row>
    <row r="14" spans="3:16" ht="24.95" customHeight="1" x14ac:dyDescent="0.25">
      <c r="C14" s="92" t="s">
        <v>38</v>
      </c>
      <c r="D14" s="90">
        <f>IF(Real!$Q$3,0,Real!C56)</f>
        <v>0</v>
      </c>
      <c r="E14" s="90">
        <f>IF(Real!$Q$3,0,Real!D56)</f>
        <v>0</v>
      </c>
      <c r="F14" s="90">
        <f>IF(Real!$Q$3,0,Real!E56)</f>
        <v>0</v>
      </c>
      <c r="G14" s="90">
        <f>IF(Real!$Q$3,0,Real!F56)</f>
        <v>0</v>
      </c>
      <c r="H14" s="90">
        <f>IF(Real!$Q$3,0,Real!G56)</f>
        <v>0</v>
      </c>
      <c r="I14" s="90">
        <f>IF(Real!$Q$3,0,Real!H56)</f>
        <v>0</v>
      </c>
      <c r="J14" s="90">
        <f>IF(Real!$Q$3,0,Real!I56)</f>
        <v>0</v>
      </c>
      <c r="K14" s="90">
        <f>IF(Real!$Q$3,0,Real!J56)</f>
        <v>0</v>
      </c>
      <c r="L14" s="90">
        <f>IF(Real!$Q$3,0,Real!K56)</f>
        <v>0</v>
      </c>
      <c r="M14" s="90">
        <f>IF(Real!$Q$3,0,Real!L56)</f>
        <v>0</v>
      </c>
      <c r="N14" s="90">
        <f>IF(Real!$Q$3,0,Real!M56)</f>
        <v>0</v>
      </c>
      <c r="O14" s="90">
        <f>IF(Real!$Q$3,0,Real!N56)</f>
        <v>0</v>
      </c>
      <c r="P14" s="93">
        <f t="shared" si="1"/>
        <v>0</v>
      </c>
    </row>
    <row r="15" spans="3:16" ht="24.95" customHeight="1" x14ac:dyDescent="0.25">
      <c r="C15" s="94" t="s">
        <v>39</v>
      </c>
      <c r="D15" s="100">
        <f>IF(Real!$Q$3,0,Real!C57)</f>
        <v>0</v>
      </c>
      <c r="E15" s="95">
        <f>IF(Real!$Q$3,0,Real!D57)</f>
        <v>0</v>
      </c>
      <c r="F15" s="95">
        <f>IF(Real!$Q$3,0,Real!E57)</f>
        <v>0</v>
      </c>
      <c r="G15" s="95">
        <f>IF(Real!$Q$3,0,Real!F57)</f>
        <v>0</v>
      </c>
      <c r="H15" s="95">
        <f>IF(Real!$Q$3,0,Real!G57)</f>
        <v>0</v>
      </c>
      <c r="I15" s="95">
        <f>IF(Real!$Q$3,0,Real!H57)</f>
        <v>0</v>
      </c>
      <c r="J15" s="95">
        <f>IF(Real!$Q$3,0,Real!I57)</f>
        <v>0</v>
      </c>
      <c r="K15" s="95">
        <f>IF(Real!$Q$3,0,Real!J57)</f>
        <v>0</v>
      </c>
      <c r="L15" s="95">
        <f>IF(Real!$Q$3,0,Real!K57)</f>
        <v>0</v>
      </c>
      <c r="M15" s="95">
        <f>IF(Real!$Q$3,0,Real!L57)</f>
        <v>0</v>
      </c>
      <c r="N15" s="95">
        <f>IF(Real!$Q$3,0,Real!M57)</f>
        <v>0</v>
      </c>
      <c r="O15" s="95">
        <f>IF(Real!$Q$3,0,Real!N57)</f>
        <v>0</v>
      </c>
      <c r="P15" s="93">
        <f t="shared" si="1"/>
        <v>0</v>
      </c>
    </row>
    <row r="16" spans="3:16" ht="24.95" customHeight="1" x14ac:dyDescent="0.25">
      <c r="C16" s="96" t="s">
        <v>99</v>
      </c>
      <c r="D16" s="97">
        <f>SUM(D11:D15)</f>
        <v>0</v>
      </c>
      <c r="E16" s="97">
        <f t="shared" ref="E16:O16" si="2">SUM(E11:E15)</f>
        <v>0</v>
      </c>
      <c r="F16" s="97">
        <f t="shared" si="2"/>
        <v>0</v>
      </c>
      <c r="G16" s="97">
        <f t="shared" si="2"/>
        <v>0</v>
      </c>
      <c r="H16" s="97">
        <f t="shared" si="2"/>
        <v>0</v>
      </c>
      <c r="I16" s="97">
        <f t="shared" si="2"/>
        <v>0</v>
      </c>
      <c r="J16" s="97">
        <f t="shared" si="2"/>
        <v>0</v>
      </c>
      <c r="K16" s="97">
        <f t="shared" si="2"/>
        <v>0</v>
      </c>
      <c r="L16" s="97">
        <f t="shared" si="2"/>
        <v>0</v>
      </c>
      <c r="M16" s="97">
        <f t="shared" si="2"/>
        <v>0</v>
      </c>
      <c r="N16" s="97">
        <f t="shared" si="2"/>
        <v>0</v>
      </c>
      <c r="O16" s="97">
        <f t="shared" si="2"/>
        <v>0</v>
      </c>
      <c r="P16" s="98">
        <f t="shared" si="1"/>
        <v>0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31">
    <tabColor rgb="FFFFC000"/>
  </sheetPr>
  <dimension ref="C1:P16"/>
  <sheetViews>
    <sheetView showGridLines="0" showRowColHeaders="0" workbookViewId="0">
      <pane ySplit="4" topLeftCell="A5" activePane="bottomLeft" state="frozen"/>
      <selection activeCell="D11" sqref="D11"/>
      <selection pane="bottomLeft" activeCell="H6" sqref="H6"/>
    </sheetView>
  </sheetViews>
  <sheetFormatPr defaultRowHeight="24.95" customHeight="1" x14ac:dyDescent="0.25"/>
  <cols>
    <col min="1" max="2" width="1.7109375" style="18" customWidth="1"/>
    <col min="3" max="3" width="13.7109375" style="18" customWidth="1"/>
    <col min="4" max="16" width="13.140625" style="18" customWidth="1"/>
    <col min="17" max="16384" width="9.140625" style="18"/>
  </cols>
  <sheetData>
    <row r="1" spans="3:16" s="1" customFormat="1" ht="35.1" customHeight="1" x14ac:dyDescent="0.25"/>
    <row r="2" spans="3:16" s="3" customFormat="1" ht="30" customHeight="1" x14ac:dyDescent="0.25"/>
    <row r="3" spans="3:16" ht="99.95" customHeight="1" thickBot="1" x14ac:dyDescent="0.3"/>
    <row r="4" spans="3:16" ht="21.95" customHeight="1" x14ac:dyDescent="0.25">
      <c r="C4" s="85" t="s">
        <v>82</v>
      </c>
      <c r="D4" s="55" t="s">
        <v>83</v>
      </c>
      <c r="E4" s="55" t="s">
        <v>84</v>
      </c>
      <c r="F4" s="55" t="s">
        <v>85</v>
      </c>
      <c r="G4" s="55" t="s">
        <v>86</v>
      </c>
      <c r="H4" s="55" t="s">
        <v>87</v>
      </c>
      <c r="I4" s="55" t="s">
        <v>88</v>
      </c>
      <c r="J4" s="55" t="s">
        <v>89</v>
      </c>
      <c r="K4" s="55" t="s">
        <v>90</v>
      </c>
      <c r="L4" s="55" t="s">
        <v>91</v>
      </c>
      <c r="M4" s="55" t="s">
        <v>92</v>
      </c>
      <c r="N4" s="55" t="s">
        <v>93</v>
      </c>
      <c r="O4" s="55" t="s">
        <v>94</v>
      </c>
      <c r="P4" s="56" t="s">
        <v>95</v>
      </c>
    </row>
    <row r="5" spans="3:16" ht="24.95" customHeight="1" x14ac:dyDescent="0.25">
      <c r="C5" s="86" t="s">
        <v>102</v>
      </c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91">
        <f>SUM(D5:O5)</f>
        <v>0</v>
      </c>
    </row>
    <row r="6" spans="3:16" ht="24.95" customHeight="1" x14ac:dyDescent="0.25">
      <c r="C6" s="92" t="s">
        <v>103</v>
      </c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93">
        <f>SUM(D6:O6)</f>
        <v>0</v>
      </c>
    </row>
    <row r="7" spans="3:16" ht="24.95" customHeight="1" x14ac:dyDescent="0.25">
      <c r="C7" s="94" t="s">
        <v>104</v>
      </c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93">
        <f>SUM(D7:O7)</f>
        <v>0</v>
      </c>
    </row>
    <row r="8" spans="3:16" ht="24.95" customHeight="1" x14ac:dyDescent="0.25">
      <c r="C8" s="96" t="s">
        <v>99</v>
      </c>
      <c r="D8" s="97">
        <f>SUM(D5:D7)</f>
        <v>0</v>
      </c>
      <c r="E8" s="97">
        <f t="shared" ref="E8:O8" si="0">SUM(E5:E7)</f>
        <v>0</v>
      </c>
      <c r="F8" s="97">
        <f t="shared" si="0"/>
        <v>0</v>
      </c>
      <c r="G8" s="97">
        <f t="shared" si="0"/>
        <v>0</v>
      </c>
      <c r="H8" s="97">
        <f t="shared" si="0"/>
        <v>0</v>
      </c>
      <c r="I8" s="97">
        <f t="shared" si="0"/>
        <v>0</v>
      </c>
      <c r="J8" s="97">
        <f t="shared" si="0"/>
        <v>0</v>
      </c>
      <c r="K8" s="97">
        <f t="shared" si="0"/>
        <v>0</v>
      </c>
      <c r="L8" s="97">
        <f t="shared" si="0"/>
        <v>0</v>
      </c>
      <c r="M8" s="97">
        <f t="shared" si="0"/>
        <v>0</v>
      </c>
      <c r="N8" s="97">
        <f t="shared" si="0"/>
        <v>0</v>
      </c>
      <c r="O8" s="97">
        <f t="shared" si="0"/>
        <v>0</v>
      </c>
      <c r="P8" s="98">
        <f>SUM(D8:O8)</f>
        <v>0</v>
      </c>
    </row>
    <row r="9" spans="3:16" ht="9.9499999999999993" customHeight="1" thickBot="1" x14ac:dyDescent="0.3">
      <c r="C9" s="88"/>
      <c r="D9" s="88"/>
      <c r="F9" s="88"/>
      <c r="G9" s="88"/>
      <c r="I9" s="88"/>
      <c r="J9" s="88"/>
      <c r="L9" s="88"/>
      <c r="M9" s="88"/>
      <c r="O9" s="88"/>
      <c r="P9" s="88"/>
    </row>
    <row r="10" spans="3:16" ht="21.95" customHeight="1" x14ac:dyDescent="0.25">
      <c r="C10" s="85" t="s">
        <v>82</v>
      </c>
      <c r="D10" s="55" t="s">
        <v>83</v>
      </c>
      <c r="E10" s="55" t="s">
        <v>84</v>
      </c>
      <c r="F10" s="55" t="s">
        <v>85</v>
      </c>
      <c r="G10" s="55" t="s">
        <v>86</v>
      </c>
      <c r="H10" s="55" t="s">
        <v>87</v>
      </c>
      <c r="I10" s="55" t="s">
        <v>88</v>
      </c>
      <c r="J10" s="55" t="s">
        <v>89</v>
      </c>
      <c r="K10" s="55" t="s">
        <v>90</v>
      </c>
      <c r="L10" s="55" t="s">
        <v>91</v>
      </c>
      <c r="M10" s="55" t="s">
        <v>92</v>
      </c>
      <c r="N10" s="55" t="s">
        <v>93</v>
      </c>
      <c r="O10" s="55" t="s">
        <v>94</v>
      </c>
      <c r="P10" s="56" t="s">
        <v>95</v>
      </c>
    </row>
    <row r="11" spans="3:16" ht="24.95" customHeight="1" x14ac:dyDescent="0.25">
      <c r="C11" s="86" t="s">
        <v>97</v>
      </c>
      <c r="D11" s="90">
        <f>IF(Real!$Q$3,0,Real!C67)</f>
        <v>0</v>
      </c>
      <c r="E11" s="90">
        <f>IF(Real!$Q$3,0,Real!D67)</f>
        <v>0</v>
      </c>
      <c r="F11" s="90">
        <f>IF(Real!$Q$3,0,Real!E67)</f>
        <v>0</v>
      </c>
      <c r="G11" s="90">
        <f>IF(Real!$Q$3,0,Real!F67)</f>
        <v>0</v>
      </c>
      <c r="H11" s="90">
        <f>IF(Real!$Q$3,0,Real!G67)</f>
        <v>0</v>
      </c>
      <c r="I11" s="90">
        <f>IF(Real!$Q$3,0,Real!H67)</f>
        <v>0</v>
      </c>
      <c r="J11" s="90">
        <f>IF(Real!$Q$3,0,Real!I67)</f>
        <v>0</v>
      </c>
      <c r="K11" s="90">
        <f>IF(Real!$Q$3,0,Real!J67)</f>
        <v>0</v>
      </c>
      <c r="L11" s="90">
        <f>IF(Real!$Q$3,0,Real!K67)</f>
        <v>0</v>
      </c>
      <c r="M11" s="90">
        <f>IF(Real!$Q$3,0,Real!L67)</f>
        <v>0</v>
      </c>
      <c r="N11" s="90">
        <f>IF(Real!$Q$3,0,Real!M67)</f>
        <v>0</v>
      </c>
      <c r="O11" s="90">
        <f>IF(Real!$Q$3,0,Real!N67)</f>
        <v>0</v>
      </c>
      <c r="P11" s="91">
        <f t="shared" ref="P11:P16" si="1">SUM(D11:O11)</f>
        <v>0</v>
      </c>
    </row>
    <row r="12" spans="3:16" ht="24.95" customHeight="1" x14ac:dyDescent="0.25">
      <c r="C12" s="92" t="s">
        <v>98</v>
      </c>
      <c r="D12" s="90">
        <f>IF(Real!$Q$3,0,Real!C68)</f>
        <v>0</v>
      </c>
      <c r="E12" s="90">
        <f>IF(Real!$Q$3,0,Real!D68)</f>
        <v>0</v>
      </c>
      <c r="F12" s="90">
        <f>IF(Real!$Q$3,0,Real!E68)</f>
        <v>0</v>
      </c>
      <c r="G12" s="90">
        <f>IF(Real!$Q$3,0,Real!F68)</f>
        <v>0</v>
      </c>
      <c r="H12" s="90">
        <f>IF(Real!$Q$3,0,Real!G68)</f>
        <v>0</v>
      </c>
      <c r="I12" s="90">
        <f>IF(Real!$Q$3,0,Real!H68)</f>
        <v>0</v>
      </c>
      <c r="J12" s="90">
        <f>IF(Real!$Q$3,0,Real!I68)</f>
        <v>0</v>
      </c>
      <c r="K12" s="90">
        <f>IF(Real!$Q$3,0,Real!J68)</f>
        <v>0</v>
      </c>
      <c r="L12" s="90">
        <f>IF(Real!$Q$3,0,Real!K68)</f>
        <v>0</v>
      </c>
      <c r="M12" s="90">
        <f>IF(Real!$Q$3,0,Real!L68)</f>
        <v>0</v>
      </c>
      <c r="N12" s="90">
        <f>IF(Real!$Q$3,0,Real!M68)</f>
        <v>0</v>
      </c>
      <c r="O12" s="90">
        <f>IF(Real!$Q$3,0,Real!N68)</f>
        <v>0</v>
      </c>
      <c r="P12" s="93">
        <f t="shared" si="1"/>
        <v>0</v>
      </c>
    </row>
    <row r="13" spans="3:16" ht="24.95" customHeight="1" x14ac:dyDescent="0.25">
      <c r="C13" s="92" t="s">
        <v>37</v>
      </c>
      <c r="D13" s="90">
        <f>IF(Real!$Q$3,0,Real!C69)</f>
        <v>0</v>
      </c>
      <c r="E13" s="90">
        <f>IF(Real!$Q$3,0,Real!D69)</f>
        <v>0</v>
      </c>
      <c r="F13" s="90">
        <f>IF(Real!$Q$3,0,Real!E69)</f>
        <v>0</v>
      </c>
      <c r="G13" s="90">
        <f>IF(Real!$Q$3,0,Real!F69)</f>
        <v>0</v>
      </c>
      <c r="H13" s="90">
        <f>IF(Real!$Q$3,0,Real!G69)</f>
        <v>0</v>
      </c>
      <c r="I13" s="90">
        <f>IF(Real!$Q$3,0,Real!H69)</f>
        <v>0</v>
      </c>
      <c r="J13" s="90">
        <f>IF(Real!$Q$3,0,Real!I69)</f>
        <v>0</v>
      </c>
      <c r="K13" s="90">
        <f>IF(Real!$Q$3,0,Real!J69)</f>
        <v>0</v>
      </c>
      <c r="L13" s="90">
        <f>IF(Real!$Q$3,0,Real!K69)</f>
        <v>0</v>
      </c>
      <c r="M13" s="90">
        <f>IF(Real!$Q$3,0,Real!L69)</f>
        <v>0</v>
      </c>
      <c r="N13" s="90">
        <f>IF(Real!$Q$3,0,Real!M69)</f>
        <v>0</v>
      </c>
      <c r="O13" s="90">
        <f>IF(Real!$Q$3,0,Real!N69)</f>
        <v>0</v>
      </c>
      <c r="P13" s="93">
        <f t="shared" si="1"/>
        <v>0</v>
      </c>
    </row>
    <row r="14" spans="3:16" ht="24.95" customHeight="1" x14ac:dyDescent="0.25">
      <c r="C14" s="92" t="s">
        <v>38</v>
      </c>
      <c r="D14" s="90">
        <f>IF(Real!$Q$3,0,Real!C70)</f>
        <v>0</v>
      </c>
      <c r="E14" s="90">
        <f>IF(Real!$Q$3,0,Real!D70)</f>
        <v>0</v>
      </c>
      <c r="F14" s="90">
        <f>IF(Real!$Q$3,0,Real!E70)</f>
        <v>0</v>
      </c>
      <c r="G14" s="90">
        <f>IF(Real!$Q$3,0,Real!F70)</f>
        <v>0</v>
      </c>
      <c r="H14" s="90">
        <f>IF(Real!$Q$3,0,Real!G70)</f>
        <v>0</v>
      </c>
      <c r="I14" s="90">
        <f>IF(Real!$Q$3,0,Real!H70)</f>
        <v>0</v>
      </c>
      <c r="J14" s="90">
        <f>IF(Real!$Q$3,0,Real!I70)</f>
        <v>0</v>
      </c>
      <c r="K14" s="90">
        <f>IF(Real!$Q$3,0,Real!J70)</f>
        <v>0</v>
      </c>
      <c r="L14" s="90">
        <f>IF(Real!$Q$3,0,Real!K70)</f>
        <v>0</v>
      </c>
      <c r="M14" s="90">
        <f>IF(Real!$Q$3,0,Real!L70)</f>
        <v>0</v>
      </c>
      <c r="N14" s="90">
        <f>IF(Real!$Q$3,0,Real!M70)</f>
        <v>0</v>
      </c>
      <c r="O14" s="90">
        <f>IF(Real!$Q$3,0,Real!N70)</f>
        <v>0</v>
      </c>
      <c r="P14" s="93">
        <f t="shared" si="1"/>
        <v>0</v>
      </c>
    </row>
    <row r="15" spans="3:16" ht="24.95" customHeight="1" x14ac:dyDescent="0.25">
      <c r="C15" s="94" t="s">
        <v>39</v>
      </c>
      <c r="D15" s="100">
        <f>IF(Real!$Q$3,0,Real!C71)</f>
        <v>0</v>
      </c>
      <c r="E15" s="95">
        <f>IF(Real!$Q$3,0,Real!D71)</f>
        <v>0</v>
      </c>
      <c r="F15" s="95">
        <f>IF(Real!$Q$3,0,Real!E71)</f>
        <v>0</v>
      </c>
      <c r="G15" s="95">
        <f>IF(Real!$Q$3,0,Real!F71)</f>
        <v>0</v>
      </c>
      <c r="H15" s="95">
        <f>IF(Real!$Q$3,0,Real!G71)</f>
        <v>0</v>
      </c>
      <c r="I15" s="95">
        <f>IF(Real!$Q$3,0,Real!H71)</f>
        <v>0</v>
      </c>
      <c r="J15" s="95">
        <f>IF(Real!$Q$3,0,Real!I71)</f>
        <v>0</v>
      </c>
      <c r="K15" s="95">
        <f>IF(Real!$Q$3,0,Real!J71)</f>
        <v>0</v>
      </c>
      <c r="L15" s="95">
        <f>IF(Real!$Q$3,0,Real!K71)</f>
        <v>0</v>
      </c>
      <c r="M15" s="95">
        <f>IF(Real!$Q$3,0,Real!L71)</f>
        <v>0</v>
      </c>
      <c r="N15" s="95">
        <f>IF(Real!$Q$3,0,Real!M71)</f>
        <v>0</v>
      </c>
      <c r="O15" s="95">
        <f>IF(Real!$Q$3,0,Real!N71)</f>
        <v>0</v>
      </c>
      <c r="P15" s="93">
        <f t="shared" si="1"/>
        <v>0</v>
      </c>
    </row>
    <row r="16" spans="3:16" ht="24.95" customHeight="1" x14ac:dyDescent="0.25">
      <c r="C16" s="96" t="s">
        <v>99</v>
      </c>
      <c r="D16" s="97">
        <f>SUM(D11:D15)</f>
        <v>0</v>
      </c>
      <c r="E16" s="97">
        <f t="shared" ref="E16:O16" si="2">SUM(E11:E15)</f>
        <v>0</v>
      </c>
      <c r="F16" s="97">
        <f t="shared" si="2"/>
        <v>0</v>
      </c>
      <c r="G16" s="97">
        <f t="shared" si="2"/>
        <v>0</v>
      </c>
      <c r="H16" s="97">
        <f t="shared" si="2"/>
        <v>0</v>
      </c>
      <c r="I16" s="97">
        <f t="shared" si="2"/>
        <v>0</v>
      </c>
      <c r="J16" s="97">
        <f t="shared" si="2"/>
        <v>0</v>
      </c>
      <c r="K16" s="97">
        <f t="shared" si="2"/>
        <v>0</v>
      </c>
      <c r="L16" s="97">
        <f t="shared" si="2"/>
        <v>0</v>
      </c>
      <c r="M16" s="97">
        <f t="shared" si="2"/>
        <v>0</v>
      </c>
      <c r="N16" s="97">
        <f t="shared" si="2"/>
        <v>0</v>
      </c>
      <c r="O16" s="97">
        <f t="shared" si="2"/>
        <v>0</v>
      </c>
      <c r="P16" s="98">
        <f t="shared" si="1"/>
        <v>0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32">
    <tabColor rgb="FFFFC000"/>
  </sheetPr>
  <dimension ref="C1:P16"/>
  <sheetViews>
    <sheetView showGridLines="0" showRowColHeaders="0" workbookViewId="0">
      <pane ySplit="4" topLeftCell="A5" activePane="bottomLeft" state="frozen"/>
      <selection activeCell="D11" sqref="D11"/>
      <selection pane="bottomLeft" activeCell="D11" sqref="D11"/>
    </sheetView>
  </sheetViews>
  <sheetFormatPr defaultRowHeight="24.95" customHeight="1" x14ac:dyDescent="0.25"/>
  <cols>
    <col min="1" max="2" width="1.7109375" style="18" customWidth="1"/>
    <col min="3" max="3" width="13.7109375" style="18" customWidth="1"/>
    <col min="4" max="16" width="13.140625" style="18" customWidth="1"/>
    <col min="17" max="16384" width="9.140625" style="18"/>
  </cols>
  <sheetData>
    <row r="1" spans="3:16" s="1" customFormat="1" ht="35.1" customHeight="1" x14ac:dyDescent="0.25"/>
    <row r="2" spans="3:16" s="3" customFormat="1" ht="30" customHeight="1" x14ac:dyDescent="0.25"/>
    <row r="3" spans="3:16" ht="99.95" customHeight="1" thickBot="1" x14ac:dyDescent="0.3"/>
    <row r="4" spans="3:16" ht="21.95" customHeight="1" x14ac:dyDescent="0.25">
      <c r="C4" s="85" t="s">
        <v>82</v>
      </c>
      <c r="D4" s="55" t="s">
        <v>83</v>
      </c>
      <c r="E4" s="55" t="s">
        <v>84</v>
      </c>
      <c r="F4" s="55" t="s">
        <v>85</v>
      </c>
      <c r="G4" s="55" t="s">
        <v>86</v>
      </c>
      <c r="H4" s="55" t="s">
        <v>87</v>
      </c>
      <c r="I4" s="55" t="s">
        <v>88</v>
      </c>
      <c r="J4" s="55" t="s">
        <v>89</v>
      </c>
      <c r="K4" s="55" t="s">
        <v>90</v>
      </c>
      <c r="L4" s="55" t="s">
        <v>91</v>
      </c>
      <c r="M4" s="55" t="s">
        <v>92</v>
      </c>
      <c r="N4" s="55" t="s">
        <v>93</v>
      </c>
      <c r="O4" s="55" t="s">
        <v>94</v>
      </c>
      <c r="P4" s="56" t="s">
        <v>95</v>
      </c>
    </row>
    <row r="5" spans="3:16" ht="24.95" customHeight="1" x14ac:dyDescent="0.25">
      <c r="C5" s="86" t="s">
        <v>102</v>
      </c>
      <c r="D5" s="90">
        <f>IFERROR('Fat1'!D5+'Fat2'!D5+'Fat3'!D5+'Fat4'!D5+'Fat5'!D5,0)</f>
        <v>0</v>
      </c>
      <c r="E5" s="90">
        <f>IFERROR('Fat1'!E5+'Fat2'!E5+'Fat3'!E5+'Fat4'!E5+'Fat5'!E5,0)</f>
        <v>0</v>
      </c>
      <c r="F5" s="90">
        <f>IFERROR('Fat1'!F5+'Fat2'!F5+'Fat3'!F5+'Fat4'!F5+'Fat5'!F5,0)</f>
        <v>0</v>
      </c>
      <c r="G5" s="90">
        <f>IFERROR('Fat1'!G5+'Fat2'!G5+'Fat3'!G5+'Fat4'!G5+'Fat5'!G5,0)</f>
        <v>0</v>
      </c>
      <c r="H5" s="90">
        <f>IFERROR('Fat1'!H5+'Fat2'!H5+'Fat3'!H5+'Fat4'!H5+'Fat5'!H5,0)</f>
        <v>0</v>
      </c>
      <c r="I5" s="90">
        <f>IFERROR('Fat1'!I5+'Fat2'!I5+'Fat3'!I5+'Fat4'!I5+'Fat5'!I5,0)</f>
        <v>0</v>
      </c>
      <c r="J5" s="90">
        <f>IFERROR('Fat1'!J5+'Fat2'!J5+'Fat3'!J5+'Fat4'!J5+'Fat5'!J5,0)</f>
        <v>0</v>
      </c>
      <c r="K5" s="90">
        <f>IFERROR('Fat1'!K5+'Fat2'!K5+'Fat3'!K5+'Fat4'!K5+'Fat5'!K5,0)</f>
        <v>0</v>
      </c>
      <c r="L5" s="90">
        <f>IFERROR('Fat1'!L5+'Fat2'!L5+'Fat3'!L5+'Fat4'!L5+'Fat5'!L5,0)</f>
        <v>0</v>
      </c>
      <c r="M5" s="90">
        <f>IFERROR('Fat1'!M5+'Fat2'!M5+'Fat3'!M5+'Fat4'!M5+'Fat5'!M5,0)</f>
        <v>0</v>
      </c>
      <c r="N5" s="90">
        <f>IFERROR('Fat1'!N5+'Fat2'!N5+'Fat3'!N5+'Fat4'!N5+'Fat5'!N5,0)</f>
        <v>0</v>
      </c>
      <c r="O5" s="90">
        <f>IFERROR('Fat1'!O5+'Fat2'!O5+'Fat3'!O5+'Fat4'!O5+'Fat5'!O5,0)</f>
        <v>0</v>
      </c>
      <c r="P5" s="91">
        <f>SUM(D5:O5)</f>
        <v>0</v>
      </c>
    </row>
    <row r="6" spans="3:16" ht="24.95" customHeight="1" x14ac:dyDescent="0.25">
      <c r="C6" s="92" t="s">
        <v>103</v>
      </c>
      <c r="D6" s="90">
        <f>IFERROR('Fat1'!D6+'Fat2'!D6+'Fat3'!D6+'Fat4'!D6+'Fat5'!D6,0)</f>
        <v>134725</v>
      </c>
      <c r="E6" s="90">
        <f>IFERROR('Fat1'!E6+'Fat2'!E6+'Fat3'!E6+'Fat4'!E6+'Fat5'!E6,0)</f>
        <v>108391</v>
      </c>
      <c r="F6" s="90">
        <f>IFERROR('Fat1'!F6+'Fat2'!F6+'Fat3'!F6+'Fat4'!F6+'Fat5'!F6,0)</f>
        <v>133613</v>
      </c>
      <c r="G6" s="90">
        <f>IFERROR('Fat1'!G6+'Fat2'!G6+'Fat3'!G6+'Fat4'!G6+'Fat5'!G6,0)</f>
        <v>120356</v>
      </c>
      <c r="H6" s="90">
        <f>IFERROR('Fat1'!H6+'Fat2'!H6+'Fat3'!H6+'Fat4'!H6+'Fat5'!H6,0)</f>
        <v>119059</v>
      </c>
      <c r="I6" s="90">
        <f>IFERROR('Fat1'!I6+'Fat2'!I6+'Fat3'!I6+'Fat4'!I6+'Fat5'!I6,0)</f>
        <v>104241</v>
      </c>
      <c r="J6" s="90">
        <f>IFERROR('Fat1'!J6+'Fat2'!J6+'Fat3'!J6+'Fat4'!J6+'Fat5'!J6,0)</f>
        <v>123748</v>
      </c>
      <c r="K6" s="90">
        <f>IFERROR('Fat1'!K6+'Fat2'!K6+'Fat3'!K6+'Fat4'!K6+'Fat5'!K6,0)</f>
        <v>102602</v>
      </c>
      <c r="L6" s="90">
        <f>IFERROR('Fat1'!L6+'Fat2'!L6+'Fat3'!L6+'Fat4'!L6+'Fat5'!L6,0)</f>
        <v>109759</v>
      </c>
      <c r="M6" s="90">
        <f>IFERROR('Fat1'!M6+'Fat2'!M6+'Fat3'!M6+'Fat4'!M6+'Fat5'!M6,0)</f>
        <v>115659</v>
      </c>
      <c r="N6" s="90">
        <f>IFERROR('Fat1'!N6+'Fat2'!N6+'Fat3'!N6+'Fat4'!N6+'Fat5'!N6,0)</f>
        <v>110531</v>
      </c>
      <c r="O6" s="90">
        <f>IFERROR('Fat1'!O6+'Fat2'!O6+'Fat3'!O6+'Fat4'!O6+'Fat5'!O6,0)</f>
        <v>109533</v>
      </c>
      <c r="P6" s="93">
        <f>SUM(D6:O6)</f>
        <v>1392217</v>
      </c>
    </row>
    <row r="7" spans="3:16" ht="24.95" customHeight="1" x14ac:dyDescent="0.25">
      <c r="C7" s="94" t="s">
        <v>104</v>
      </c>
      <c r="D7" s="100">
        <f>IFERROR('Fat1'!D7+'Fat2'!D7+'Fat3'!D7+'Fat4'!D7+'Fat5'!D7,0)</f>
        <v>0</v>
      </c>
      <c r="E7" s="95">
        <f>IFERROR('Fat1'!E7+'Fat2'!E7+'Fat3'!E7+'Fat4'!E7+'Fat5'!E7,0)</f>
        <v>0</v>
      </c>
      <c r="F7" s="95">
        <f>IFERROR('Fat1'!F7+'Fat2'!F7+'Fat3'!F7+'Fat4'!F7+'Fat5'!F7,0)</f>
        <v>0</v>
      </c>
      <c r="G7" s="95">
        <f>IFERROR('Fat1'!G7+'Fat2'!G7+'Fat3'!G7+'Fat4'!G7+'Fat5'!G7,0)</f>
        <v>0</v>
      </c>
      <c r="H7" s="95">
        <f>IFERROR('Fat1'!H7+'Fat2'!H7+'Fat3'!H7+'Fat4'!H7+'Fat5'!H7,0)</f>
        <v>0</v>
      </c>
      <c r="I7" s="95">
        <f>IFERROR('Fat1'!I7+'Fat2'!I7+'Fat3'!I7+'Fat4'!I7+'Fat5'!I7,0)</f>
        <v>0</v>
      </c>
      <c r="J7" s="95">
        <f>IFERROR('Fat1'!J7+'Fat2'!J7+'Fat3'!J7+'Fat4'!J7+'Fat5'!J7,0)</f>
        <v>0</v>
      </c>
      <c r="K7" s="95">
        <f>IFERROR('Fat1'!K7+'Fat2'!K7+'Fat3'!K7+'Fat4'!K7+'Fat5'!K7,0)</f>
        <v>0</v>
      </c>
      <c r="L7" s="95">
        <f>IFERROR('Fat1'!L7+'Fat2'!L7+'Fat3'!L7+'Fat4'!L7+'Fat5'!L7,0)</f>
        <v>0</v>
      </c>
      <c r="M7" s="95">
        <f>IFERROR('Fat1'!M7+'Fat2'!M7+'Fat3'!M7+'Fat4'!M7+'Fat5'!M7,0)</f>
        <v>0</v>
      </c>
      <c r="N7" s="95">
        <f>IFERROR('Fat1'!N7+'Fat2'!N7+'Fat3'!N7+'Fat4'!N7+'Fat5'!N7,0)</f>
        <v>0</v>
      </c>
      <c r="O7" s="95">
        <f>IFERROR('Fat1'!O7+'Fat2'!O7+'Fat3'!O7+'Fat4'!O7+'Fat5'!O7,0)</f>
        <v>0</v>
      </c>
      <c r="P7" s="93">
        <f>SUM(D7:O7)</f>
        <v>0</v>
      </c>
    </row>
    <row r="8" spans="3:16" ht="24.95" customHeight="1" x14ac:dyDescent="0.25">
      <c r="C8" s="96" t="s">
        <v>99</v>
      </c>
      <c r="D8" s="97">
        <f>SUM(D5:D7)</f>
        <v>134725</v>
      </c>
      <c r="E8" s="97">
        <f t="shared" ref="E8:O8" si="0">SUM(E5:E7)</f>
        <v>108391</v>
      </c>
      <c r="F8" s="97">
        <f t="shared" si="0"/>
        <v>133613</v>
      </c>
      <c r="G8" s="97">
        <f t="shared" si="0"/>
        <v>120356</v>
      </c>
      <c r="H8" s="97">
        <f t="shared" si="0"/>
        <v>119059</v>
      </c>
      <c r="I8" s="97">
        <f t="shared" si="0"/>
        <v>104241</v>
      </c>
      <c r="J8" s="97">
        <f t="shared" si="0"/>
        <v>123748</v>
      </c>
      <c r="K8" s="97">
        <f t="shared" si="0"/>
        <v>102602</v>
      </c>
      <c r="L8" s="97">
        <f t="shared" si="0"/>
        <v>109759</v>
      </c>
      <c r="M8" s="97">
        <f t="shared" si="0"/>
        <v>115659</v>
      </c>
      <c r="N8" s="97">
        <f t="shared" si="0"/>
        <v>110531</v>
      </c>
      <c r="O8" s="97">
        <f t="shared" si="0"/>
        <v>109533</v>
      </c>
      <c r="P8" s="98">
        <f>SUM(D8:O8)</f>
        <v>1392217</v>
      </c>
    </row>
    <row r="9" spans="3:16" ht="9.9499999999999993" customHeight="1" thickBot="1" x14ac:dyDescent="0.3">
      <c r="C9" s="88"/>
      <c r="D9" s="88"/>
      <c r="F9" s="88"/>
      <c r="G9" s="88"/>
      <c r="I9" s="88"/>
      <c r="J9" s="88"/>
      <c r="L9" s="88"/>
      <c r="M9" s="88"/>
      <c r="O9" s="88"/>
      <c r="P9" s="88"/>
    </row>
    <row r="10" spans="3:16" ht="21.95" customHeight="1" x14ac:dyDescent="0.25">
      <c r="C10" s="85" t="s">
        <v>82</v>
      </c>
      <c r="D10" s="55" t="s">
        <v>83</v>
      </c>
      <c r="E10" s="55" t="s">
        <v>84</v>
      </c>
      <c r="F10" s="55" t="s">
        <v>85</v>
      </c>
      <c r="G10" s="55" t="s">
        <v>86</v>
      </c>
      <c r="H10" s="55" t="s">
        <v>87</v>
      </c>
      <c r="I10" s="55" t="s">
        <v>88</v>
      </c>
      <c r="J10" s="55" t="s">
        <v>89</v>
      </c>
      <c r="K10" s="55" t="s">
        <v>90</v>
      </c>
      <c r="L10" s="55" t="s">
        <v>91</v>
      </c>
      <c r="M10" s="55" t="s">
        <v>92</v>
      </c>
      <c r="N10" s="55" t="s">
        <v>93</v>
      </c>
      <c r="O10" s="55" t="s">
        <v>94</v>
      </c>
      <c r="P10" s="56" t="s">
        <v>95</v>
      </c>
    </row>
    <row r="11" spans="3:16" ht="24.95" customHeight="1" x14ac:dyDescent="0.25">
      <c r="C11" s="86" t="s">
        <v>97</v>
      </c>
      <c r="D11" s="90">
        <f>IFERROR('Fat1'!D11+'Fat2'!D11+'Fat3'!D11+'Fat4'!D11+'Fat5'!D11,0)</f>
        <v>770.62699999999995</v>
      </c>
      <c r="E11" s="90">
        <f>IFERROR('Fat1'!E11+'Fat2'!E11+'Fat3'!E11+'Fat4'!E11+'Fat5'!E11,0)</f>
        <v>619.99652000000003</v>
      </c>
      <c r="F11" s="90">
        <f>IFERROR('Fat1'!F11+'Fat2'!F11+'Fat3'!F11+'Fat4'!F11+'Fat5'!F11,0)</f>
        <v>764.26635999999996</v>
      </c>
      <c r="G11" s="90">
        <f>IFERROR('Fat1'!G11+'Fat2'!G11+'Fat3'!G11+'Fat4'!G11+'Fat5'!G11,0)</f>
        <v>688.43631999999991</v>
      </c>
      <c r="H11" s="90">
        <f>IFERROR('Fat1'!H11+'Fat2'!H11+'Fat3'!H11+'Fat4'!H11+'Fat5'!H11,0)</f>
        <v>681.01747999999998</v>
      </c>
      <c r="I11" s="90">
        <f>IFERROR('Fat1'!I11+'Fat2'!I11+'Fat3'!I11+'Fat4'!I11+'Fat5'!I11,0)</f>
        <v>596.25851999999998</v>
      </c>
      <c r="J11" s="90">
        <f>IFERROR('Fat1'!J11+'Fat2'!J11+'Fat3'!J11+'Fat4'!J11+'Fat5'!J11,0)</f>
        <v>707.83856000000003</v>
      </c>
      <c r="K11" s="90">
        <f>IFERROR('Fat1'!K11+'Fat2'!K11+'Fat3'!K11+'Fat4'!K11+'Fat5'!K11,0)</f>
        <v>586.88343999999995</v>
      </c>
      <c r="L11" s="90">
        <f>IFERROR('Fat1'!L11+'Fat2'!L11+'Fat3'!L11+'Fat4'!L11+'Fat5'!L11,0)</f>
        <v>627.82147999999995</v>
      </c>
      <c r="M11" s="90">
        <f>IFERROR('Fat1'!M11+'Fat2'!M11+'Fat3'!M11+'Fat4'!M11+'Fat5'!M11,0)</f>
        <v>661.56948</v>
      </c>
      <c r="N11" s="90">
        <f>IFERROR('Fat1'!N11+'Fat2'!N11+'Fat3'!N11+'Fat4'!N11+'Fat5'!N11,0)</f>
        <v>632.23731999999995</v>
      </c>
      <c r="O11" s="90">
        <f>IFERROR('Fat1'!O11+'Fat2'!O11+'Fat3'!O11+'Fat4'!O11+'Fat5'!O11,0)</f>
        <v>626.52876000000003</v>
      </c>
      <c r="P11" s="91">
        <f t="shared" ref="P11:P16" si="1">SUM(D11:O11)</f>
        <v>7963.4812400000001</v>
      </c>
    </row>
    <row r="12" spans="3:16" ht="24.95" customHeight="1" x14ac:dyDescent="0.25">
      <c r="C12" s="92" t="s">
        <v>98</v>
      </c>
      <c r="D12" s="125">
        <f>IFERROR('Fat1'!D12+'Fat2'!D12+'Fat3'!D12+'Fat4'!D12+'Fat5'!D12,0)</f>
        <v>3556.74</v>
      </c>
      <c r="E12" s="125">
        <f>IFERROR('Fat1'!E12+'Fat2'!E12+'Fat3'!E12+'Fat4'!E12+'Fat5'!E12,0)</f>
        <v>2861.5223999999998</v>
      </c>
      <c r="F12" s="125">
        <f>IFERROR('Fat1'!F12+'Fat2'!F12+'Fat3'!F12+'Fat4'!F12+'Fat5'!F12,0)</f>
        <v>3527.3831999999998</v>
      </c>
      <c r="G12" s="125">
        <f>IFERROR('Fat1'!G12+'Fat2'!G12+'Fat3'!G12+'Fat4'!G12+'Fat5'!G12,0)</f>
        <v>3177.3984</v>
      </c>
      <c r="H12" s="125">
        <f>IFERROR('Fat1'!H12+'Fat2'!H12+'Fat3'!H12+'Fat4'!H12+'Fat5'!H12,0)</f>
        <v>3143.1576</v>
      </c>
      <c r="I12" s="125">
        <f>IFERROR('Fat1'!I12+'Fat2'!I12+'Fat3'!I12+'Fat4'!I12+'Fat5'!I12,0)</f>
        <v>2751.9623999999999</v>
      </c>
      <c r="J12" s="125">
        <f>IFERROR('Fat1'!J12+'Fat2'!J12+'Fat3'!J12+'Fat4'!J12+'Fat5'!J12,0)</f>
        <v>3266.9472000000001</v>
      </c>
      <c r="K12" s="125">
        <f>IFERROR('Fat1'!K12+'Fat2'!K12+'Fat3'!K12+'Fat4'!K12+'Fat5'!K12,0)</f>
        <v>2708.6927999999998</v>
      </c>
      <c r="L12" s="125">
        <f>IFERROR('Fat1'!L12+'Fat2'!L12+'Fat3'!L12+'Fat4'!L12+'Fat5'!L12,0)</f>
        <v>2897.6376</v>
      </c>
      <c r="M12" s="125">
        <f>IFERROR('Fat1'!M12+'Fat2'!M12+'Fat3'!M12+'Fat4'!M12+'Fat5'!M12,0)</f>
        <v>3053.3975999999998</v>
      </c>
      <c r="N12" s="125">
        <f>IFERROR('Fat1'!N12+'Fat2'!N12+'Fat3'!N12+'Fat4'!N12+'Fat5'!N12,0)</f>
        <v>2918.0183999999999</v>
      </c>
      <c r="O12" s="126">
        <f>IFERROR('Fat1'!O12+'Fat2'!O12+'Fat3'!O12+'Fat4'!O12+'Fat5'!O12,0)</f>
        <v>2891.6712000000002</v>
      </c>
      <c r="P12" s="93">
        <f t="shared" si="1"/>
        <v>36754.528799999993</v>
      </c>
    </row>
    <row r="13" spans="3:16" ht="24.95" customHeight="1" x14ac:dyDescent="0.25">
      <c r="C13" s="92" t="s">
        <v>37</v>
      </c>
      <c r="D13" s="90">
        <f>IFERROR('Fat1'!D13+'Fat2'!D13+'Fat3'!D13+'Fat4'!D13+'Fat5'!D13,0)</f>
        <v>16167</v>
      </c>
      <c r="E13" s="90">
        <f>IFERROR('Fat1'!E13+'Fat2'!E13+'Fat3'!E13+'Fat4'!E13+'Fat5'!E13,0)</f>
        <v>13006.92</v>
      </c>
      <c r="F13" s="90">
        <f>IFERROR('Fat1'!F13+'Fat2'!F13+'Fat3'!F13+'Fat4'!F13+'Fat5'!F13,0)</f>
        <v>16033.56</v>
      </c>
      <c r="G13" s="90">
        <f>IFERROR('Fat1'!G13+'Fat2'!G13+'Fat3'!G13+'Fat4'!G13+'Fat5'!G13,0)</f>
        <v>14442.72</v>
      </c>
      <c r="H13" s="90">
        <f>IFERROR('Fat1'!H13+'Fat2'!H13+'Fat3'!H13+'Fat4'!H13+'Fat5'!H13,0)</f>
        <v>14287.08</v>
      </c>
      <c r="I13" s="90">
        <f>IFERROR('Fat1'!I13+'Fat2'!I13+'Fat3'!I13+'Fat4'!I13+'Fat5'!I13,0)</f>
        <v>12508.92</v>
      </c>
      <c r="J13" s="90">
        <f>IFERROR('Fat1'!J13+'Fat2'!J13+'Fat3'!J13+'Fat4'!J13+'Fat5'!J13,0)</f>
        <v>14849.76</v>
      </c>
      <c r="K13" s="90">
        <f>IFERROR('Fat1'!K13+'Fat2'!K13+'Fat3'!K13+'Fat4'!K13+'Fat5'!K13,0)</f>
        <v>12312.24</v>
      </c>
      <c r="L13" s="90">
        <f>IFERROR('Fat1'!L13+'Fat2'!L13+'Fat3'!L13+'Fat4'!L13+'Fat5'!L13,0)</f>
        <v>13171.08</v>
      </c>
      <c r="M13" s="90">
        <f>IFERROR('Fat1'!M13+'Fat2'!M13+'Fat3'!M13+'Fat4'!M13+'Fat5'!M13,0)</f>
        <v>13879.08</v>
      </c>
      <c r="N13" s="90">
        <f>IFERROR('Fat1'!N13+'Fat2'!N13+'Fat3'!N13+'Fat4'!N13+'Fat5'!N13,0)</f>
        <v>13263.72</v>
      </c>
      <c r="O13" s="127">
        <f>IFERROR('Fat1'!O13+'Fat2'!O13+'Fat3'!O13+'Fat4'!O13+'Fat5'!O13,0)</f>
        <v>13143.96</v>
      </c>
      <c r="P13" s="93">
        <f t="shared" si="1"/>
        <v>167066.03999999998</v>
      </c>
    </row>
    <row r="14" spans="3:16" ht="24.95" customHeight="1" x14ac:dyDescent="0.25">
      <c r="C14" s="92" t="s">
        <v>38</v>
      </c>
      <c r="D14" s="90">
        <f>IFERROR('Fat1'!D14+'Fat2'!D14+'Fat3'!D14+'Fat4'!D14+'Fat5'!D14,0)</f>
        <v>0</v>
      </c>
      <c r="E14" s="90">
        <f>IFERROR('Fat1'!E14+'Fat2'!E14+'Fat3'!E14+'Fat4'!E14+'Fat5'!E14,0)</f>
        <v>0</v>
      </c>
      <c r="F14" s="90">
        <f>IFERROR('Fat1'!F14+'Fat2'!F14+'Fat3'!F14+'Fat4'!F14+'Fat5'!F14,0)</f>
        <v>0</v>
      </c>
      <c r="G14" s="90">
        <f>IFERROR('Fat1'!G14+'Fat2'!G14+'Fat3'!G14+'Fat4'!G14+'Fat5'!G14,0)</f>
        <v>0</v>
      </c>
      <c r="H14" s="90">
        <f>IFERROR('Fat1'!H14+'Fat2'!H14+'Fat3'!H14+'Fat4'!H14+'Fat5'!H14,0)</f>
        <v>0</v>
      </c>
      <c r="I14" s="90">
        <f>IFERROR('Fat1'!I14+'Fat2'!I14+'Fat3'!I14+'Fat4'!I14+'Fat5'!I14,0)</f>
        <v>0</v>
      </c>
      <c r="J14" s="90">
        <f>IFERROR('Fat1'!J14+'Fat2'!J14+'Fat3'!J14+'Fat4'!J14+'Fat5'!J14,0)</f>
        <v>0</v>
      </c>
      <c r="K14" s="90">
        <f>IFERROR('Fat1'!K14+'Fat2'!K14+'Fat3'!K14+'Fat4'!K14+'Fat5'!K14,0)</f>
        <v>0</v>
      </c>
      <c r="L14" s="90">
        <f>IFERROR('Fat1'!L14+'Fat2'!L14+'Fat3'!L14+'Fat4'!L14+'Fat5'!L14,0)</f>
        <v>0</v>
      </c>
      <c r="M14" s="90">
        <f>IFERROR('Fat1'!M14+'Fat2'!M14+'Fat3'!M14+'Fat4'!M14+'Fat5'!M14,0)</f>
        <v>0</v>
      </c>
      <c r="N14" s="90">
        <f>IFERROR('Fat1'!N14+'Fat2'!N14+'Fat3'!N14+'Fat4'!N14+'Fat5'!N14,0)</f>
        <v>0</v>
      </c>
      <c r="O14" s="127">
        <f>IFERROR('Fat1'!O14+'Fat2'!O14+'Fat3'!O14+'Fat4'!O14+'Fat5'!O14,0)</f>
        <v>0</v>
      </c>
      <c r="P14" s="93">
        <f t="shared" si="1"/>
        <v>0</v>
      </c>
    </row>
    <row r="15" spans="3:16" ht="24.95" customHeight="1" x14ac:dyDescent="0.25">
      <c r="C15" s="94" t="s">
        <v>39</v>
      </c>
      <c r="D15" s="100">
        <f>IFERROR('Fat1'!D15+'Fat2'!D15+'Fat3'!D15+'Fat4'!D15+'Fat5'!D15,0)</f>
        <v>0</v>
      </c>
      <c r="E15" s="95">
        <f>IFERROR('Fat1'!E15+'Fat2'!E15+'Fat3'!E15+'Fat4'!E15+'Fat5'!E15,0)</f>
        <v>0</v>
      </c>
      <c r="F15" s="95">
        <f>IFERROR('Fat1'!F15+'Fat2'!F15+'Fat3'!F15+'Fat4'!F15+'Fat5'!F15,0)</f>
        <v>0</v>
      </c>
      <c r="G15" s="95">
        <f>IFERROR('Fat1'!G15+'Fat2'!G15+'Fat3'!G15+'Fat4'!G15+'Fat5'!G15,0)</f>
        <v>0</v>
      </c>
      <c r="H15" s="95">
        <f>IFERROR('Fat1'!H15+'Fat2'!H15+'Fat3'!H15+'Fat4'!H15+'Fat5'!H15,0)</f>
        <v>0</v>
      </c>
      <c r="I15" s="95">
        <f>IFERROR('Fat1'!I15+'Fat2'!I15+'Fat3'!I15+'Fat4'!I15+'Fat5'!I15,0)</f>
        <v>0</v>
      </c>
      <c r="J15" s="95">
        <f>IFERROR('Fat1'!J15+'Fat2'!J15+'Fat3'!J15+'Fat4'!J15+'Fat5'!J15,0)</f>
        <v>0</v>
      </c>
      <c r="K15" s="95">
        <f>IFERROR('Fat1'!K15+'Fat2'!K15+'Fat3'!K15+'Fat4'!K15+'Fat5'!K15,0)</f>
        <v>0</v>
      </c>
      <c r="L15" s="95">
        <f>IFERROR('Fat1'!L15+'Fat2'!L15+'Fat3'!L15+'Fat4'!L15+'Fat5'!L15,0)</f>
        <v>0</v>
      </c>
      <c r="M15" s="95">
        <f>IFERROR('Fat1'!M15+'Fat2'!M15+'Fat3'!M15+'Fat4'!M15+'Fat5'!M15,0)</f>
        <v>0</v>
      </c>
      <c r="N15" s="95">
        <f>IFERROR('Fat1'!N15+'Fat2'!N15+'Fat3'!N15+'Fat4'!N15+'Fat5'!N15,0)</f>
        <v>0</v>
      </c>
      <c r="O15" s="128">
        <f>IFERROR('Fat1'!O15+'Fat2'!O15+'Fat3'!O15+'Fat4'!O15+'Fat5'!O15,0)</f>
        <v>0</v>
      </c>
      <c r="P15" s="93">
        <f t="shared" si="1"/>
        <v>0</v>
      </c>
    </row>
    <row r="16" spans="3:16" ht="24.95" customHeight="1" x14ac:dyDescent="0.25">
      <c r="C16" s="96" t="s">
        <v>99</v>
      </c>
      <c r="D16" s="97">
        <f>SUM(D11:D15)</f>
        <v>20494.366999999998</v>
      </c>
      <c r="E16" s="97">
        <f t="shared" ref="E16:O16" si="2">SUM(E11:E15)</f>
        <v>16488.438920000001</v>
      </c>
      <c r="F16" s="97">
        <f t="shared" si="2"/>
        <v>20325.209559999999</v>
      </c>
      <c r="G16" s="97">
        <f t="shared" si="2"/>
        <v>18308.55472</v>
      </c>
      <c r="H16" s="97">
        <f t="shared" si="2"/>
        <v>18111.255079999999</v>
      </c>
      <c r="I16" s="97">
        <f t="shared" si="2"/>
        <v>15857.14092</v>
      </c>
      <c r="J16" s="97">
        <f t="shared" si="2"/>
        <v>18824.545760000001</v>
      </c>
      <c r="K16" s="97">
        <f t="shared" si="2"/>
        <v>15607.81624</v>
      </c>
      <c r="L16" s="97">
        <f t="shared" si="2"/>
        <v>16696.539079999999</v>
      </c>
      <c r="M16" s="97">
        <f t="shared" si="2"/>
        <v>17594.04708</v>
      </c>
      <c r="N16" s="97">
        <f t="shared" si="2"/>
        <v>16813.975719999999</v>
      </c>
      <c r="O16" s="97">
        <f t="shared" si="2"/>
        <v>16662.159960000001</v>
      </c>
      <c r="P16" s="98">
        <f t="shared" si="1"/>
        <v>211784.05003999994</v>
      </c>
    </row>
  </sheetData>
  <sheetProtection sheet="1" objects="1" scenarios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ilha33">
    <tabColor rgb="FF0070C0"/>
  </sheetPr>
  <dimension ref="C1:P22"/>
  <sheetViews>
    <sheetView showGridLines="0" showRowColHeaders="0" workbookViewId="0">
      <pane ySplit="4" topLeftCell="A5" activePane="bottomLeft" state="frozen"/>
      <selection activeCell="U6" sqref="U6"/>
      <selection pane="bottomLeft" activeCell="D5" sqref="D5"/>
    </sheetView>
  </sheetViews>
  <sheetFormatPr defaultRowHeight="24.95" customHeight="1" x14ac:dyDescent="0.25"/>
  <cols>
    <col min="1" max="2" width="1.7109375" style="18" customWidth="1"/>
    <col min="3" max="3" width="13.7109375" style="18" customWidth="1"/>
    <col min="4" max="16" width="13.140625" style="18" customWidth="1"/>
    <col min="17" max="16384" width="9.140625" style="18"/>
  </cols>
  <sheetData>
    <row r="1" spans="3:16" s="1" customFormat="1" ht="35.1" customHeight="1" x14ac:dyDescent="0.25"/>
    <row r="2" spans="3:16" s="3" customFormat="1" ht="30" customHeight="1" x14ac:dyDescent="0.25"/>
    <row r="3" spans="3:16" ht="69.95" customHeight="1" thickBot="1" x14ac:dyDescent="0.3"/>
    <row r="4" spans="3:16" ht="21.95" customHeight="1" x14ac:dyDescent="0.25">
      <c r="C4" s="85" t="s">
        <v>82</v>
      </c>
      <c r="D4" s="55" t="s">
        <v>83</v>
      </c>
      <c r="E4" s="55" t="s">
        <v>84</v>
      </c>
      <c r="F4" s="55" t="s">
        <v>85</v>
      </c>
      <c r="G4" s="55" t="s">
        <v>86</v>
      </c>
      <c r="H4" s="55" t="s">
        <v>87</v>
      </c>
      <c r="I4" s="55" t="s">
        <v>88</v>
      </c>
      <c r="J4" s="55" t="s">
        <v>89</v>
      </c>
      <c r="K4" s="55" t="s">
        <v>90</v>
      </c>
      <c r="L4" s="55" t="s">
        <v>91</v>
      </c>
      <c r="M4" s="55" t="s">
        <v>92</v>
      </c>
      <c r="N4" s="55" t="s">
        <v>93</v>
      </c>
      <c r="O4" s="55" t="s">
        <v>94</v>
      </c>
      <c r="P4" s="56" t="s">
        <v>95</v>
      </c>
    </row>
    <row r="5" spans="3:16" ht="24.95" customHeight="1" x14ac:dyDescent="0.25">
      <c r="C5" s="86" t="s">
        <v>80</v>
      </c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91">
        <f t="shared" ref="P5:P10" si="0">SUM(D5:O5)</f>
        <v>0</v>
      </c>
    </row>
    <row r="6" spans="3:16" ht="24.95" customHeight="1" x14ac:dyDescent="0.25">
      <c r="C6" s="92" t="s">
        <v>81</v>
      </c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93">
        <f t="shared" si="0"/>
        <v>0</v>
      </c>
    </row>
    <row r="7" spans="3:16" ht="24.95" customHeight="1" x14ac:dyDescent="0.25">
      <c r="C7" s="92" t="s">
        <v>75</v>
      </c>
      <c r="D7" s="75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93">
        <f t="shared" si="0"/>
        <v>0</v>
      </c>
    </row>
    <row r="8" spans="3:16" ht="24.95" customHeight="1" x14ac:dyDescent="0.25">
      <c r="C8" s="92" t="s">
        <v>76</v>
      </c>
      <c r="D8" s="75"/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93">
        <f t="shared" si="0"/>
        <v>0</v>
      </c>
    </row>
    <row r="9" spans="3:16" ht="24.95" customHeight="1" x14ac:dyDescent="0.25">
      <c r="C9" s="94" t="s">
        <v>77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93">
        <f t="shared" si="0"/>
        <v>0</v>
      </c>
    </row>
    <row r="10" spans="3:16" ht="24.95" customHeight="1" x14ac:dyDescent="0.25">
      <c r="C10" s="224" t="s">
        <v>99</v>
      </c>
      <c r="D10" s="225">
        <f>SUM(D5:D9)</f>
        <v>0</v>
      </c>
      <c r="E10" s="225">
        <f t="shared" ref="E10:O10" si="1">SUM(E5:E9)</f>
        <v>0</v>
      </c>
      <c r="F10" s="225">
        <f t="shared" si="1"/>
        <v>0</v>
      </c>
      <c r="G10" s="225">
        <f t="shared" si="1"/>
        <v>0</v>
      </c>
      <c r="H10" s="225">
        <f t="shared" si="1"/>
        <v>0</v>
      </c>
      <c r="I10" s="225">
        <f t="shared" si="1"/>
        <v>0</v>
      </c>
      <c r="J10" s="225">
        <f t="shared" si="1"/>
        <v>0</v>
      </c>
      <c r="K10" s="225">
        <f t="shared" si="1"/>
        <v>0</v>
      </c>
      <c r="L10" s="225">
        <f t="shared" si="1"/>
        <v>0</v>
      </c>
      <c r="M10" s="225">
        <f t="shared" si="1"/>
        <v>0</v>
      </c>
      <c r="N10" s="225">
        <f t="shared" si="1"/>
        <v>0</v>
      </c>
      <c r="O10" s="225">
        <f t="shared" si="1"/>
        <v>0</v>
      </c>
      <c r="P10" s="93">
        <f t="shared" si="0"/>
        <v>0</v>
      </c>
    </row>
    <row r="11" spans="3:16" ht="24.95" customHeight="1" x14ac:dyDescent="0.25">
      <c r="C11" s="222" t="s">
        <v>120</v>
      </c>
      <c r="D11" s="160"/>
      <c r="E11" s="160"/>
      <c r="F11" s="160"/>
      <c r="G11" s="160"/>
      <c r="H11" s="160"/>
      <c r="I11" s="160"/>
      <c r="J11" s="160"/>
      <c r="K11" s="160"/>
      <c r="L11" s="160"/>
      <c r="M11" s="160"/>
      <c r="N11" s="160"/>
      <c r="O11" s="160"/>
      <c r="P11" s="223"/>
    </row>
    <row r="12" spans="3:16" ht="9.9499999999999993" customHeight="1" thickBot="1" x14ac:dyDescent="0.3">
      <c r="C12" s="88"/>
      <c r="D12" s="88"/>
      <c r="F12" s="88"/>
      <c r="G12" s="88"/>
      <c r="I12" s="88"/>
      <c r="J12" s="88"/>
      <c r="L12" s="88"/>
      <c r="M12" s="88"/>
      <c r="O12" s="88"/>
      <c r="P12" s="147"/>
    </row>
    <row r="13" spans="3:16" ht="21.95" customHeight="1" x14ac:dyDescent="0.25">
      <c r="C13" s="85" t="s">
        <v>82</v>
      </c>
      <c r="D13" s="55" t="s">
        <v>83</v>
      </c>
      <c r="E13" s="55" t="s">
        <v>84</v>
      </c>
      <c r="F13" s="55" t="s">
        <v>85</v>
      </c>
      <c r="G13" s="55" t="s">
        <v>86</v>
      </c>
      <c r="H13" s="55" t="s">
        <v>87</v>
      </c>
      <c r="I13" s="55" t="s">
        <v>88</v>
      </c>
      <c r="J13" s="55" t="s">
        <v>89</v>
      </c>
      <c r="K13" s="55" t="s">
        <v>90</v>
      </c>
      <c r="L13" s="55" t="s">
        <v>91</v>
      </c>
      <c r="M13" s="55" t="s">
        <v>92</v>
      </c>
      <c r="N13" s="55" t="s">
        <v>93</v>
      </c>
      <c r="O13" s="55" t="s">
        <v>94</v>
      </c>
      <c r="P13" s="56" t="s">
        <v>95</v>
      </c>
    </row>
    <row r="14" spans="3:16" ht="24.95" customHeight="1" x14ac:dyDescent="0.25">
      <c r="C14" s="86" t="s">
        <v>97</v>
      </c>
      <c r="D14" s="90">
        <f>IF('BH (1)'!$D$4&lt;&gt;"Simples Nacional",0,'Sim1'!C155)</f>
        <v>0</v>
      </c>
      <c r="E14" s="90">
        <f>IF('BH (1)'!$D$4&lt;&gt;"Simples Nacional",0,'Sim1'!D155)</f>
        <v>0</v>
      </c>
      <c r="F14" s="90">
        <f>IF('BH (1)'!$D$4&lt;&gt;"Simples Nacional",0,'Sim1'!E155)</f>
        <v>0</v>
      </c>
      <c r="G14" s="90">
        <f>IF('BH (1)'!$D$4&lt;&gt;"Simples Nacional",0,'Sim1'!F155)</f>
        <v>0</v>
      </c>
      <c r="H14" s="90">
        <f>IF('BH (1)'!$D$4&lt;&gt;"Simples Nacional",0,'Sim1'!G155)</f>
        <v>0</v>
      </c>
      <c r="I14" s="90">
        <f>IF('BH (1)'!$D$4&lt;&gt;"Simples Nacional",0,'Sim1'!H155)</f>
        <v>0</v>
      </c>
      <c r="J14" s="90">
        <f>IF('BH (1)'!$D$4&lt;&gt;"Simples Nacional",0,'Sim1'!I155)</f>
        <v>0</v>
      </c>
      <c r="K14" s="90">
        <f>IF('BH (1)'!$D$4&lt;&gt;"Simples Nacional",0,'Sim1'!J155)</f>
        <v>0</v>
      </c>
      <c r="L14" s="90">
        <f>IF('BH (1)'!$D$4&lt;&gt;"Simples Nacional",0,'Sim1'!K155)</f>
        <v>0</v>
      </c>
      <c r="M14" s="90">
        <f>IF('BH (1)'!$D$4&lt;&gt;"Simples Nacional",0,'Sim1'!L155)</f>
        <v>0</v>
      </c>
      <c r="N14" s="90">
        <f>IF('BH (1)'!$D$4&lt;&gt;"Simples Nacional",0,'Sim1'!M155)</f>
        <v>0</v>
      </c>
      <c r="O14" s="90">
        <f>IF('BH (1)'!$D$4&lt;&gt;"Simples Nacional",0,'Sim1'!N155)</f>
        <v>0</v>
      </c>
      <c r="P14" s="91">
        <f>SUM(D14:O14)</f>
        <v>0</v>
      </c>
    </row>
    <row r="15" spans="3:16" ht="24.95" customHeight="1" x14ac:dyDescent="0.25">
      <c r="C15" s="92" t="s">
        <v>98</v>
      </c>
      <c r="D15" s="90">
        <f>IF('BH (1)'!$D$4&lt;&gt;"Simples Nacional",0,'Sim1'!C156)</f>
        <v>0</v>
      </c>
      <c r="E15" s="90">
        <f>IF('BH (1)'!$D$4&lt;&gt;"Simples Nacional",0,'Sim1'!D156)</f>
        <v>0</v>
      </c>
      <c r="F15" s="90">
        <f>IF('BH (1)'!$D$4&lt;&gt;"Simples Nacional",0,'Sim1'!E156)</f>
        <v>0</v>
      </c>
      <c r="G15" s="90">
        <f>IF('BH (1)'!$D$4&lt;&gt;"Simples Nacional",0,'Sim1'!F156)</f>
        <v>0</v>
      </c>
      <c r="H15" s="90">
        <f>IF('BH (1)'!$D$4&lt;&gt;"Simples Nacional",0,'Sim1'!G156)</f>
        <v>0</v>
      </c>
      <c r="I15" s="90">
        <f>IF('BH (1)'!$D$4&lt;&gt;"Simples Nacional",0,'Sim1'!H156)</f>
        <v>0</v>
      </c>
      <c r="J15" s="90">
        <f>IF('BH (1)'!$D$4&lt;&gt;"Simples Nacional",0,'Sim1'!I156)</f>
        <v>0</v>
      </c>
      <c r="K15" s="90">
        <f>IF('BH (1)'!$D$4&lt;&gt;"Simples Nacional",0,'Sim1'!J156)</f>
        <v>0</v>
      </c>
      <c r="L15" s="90">
        <f>IF('BH (1)'!$D$4&lt;&gt;"Simples Nacional",0,'Sim1'!K156)</f>
        <v>0</v>
      </c>
      <c r="M15" s="90">
        <f>IF('BH (1)'!$D$4&lt;&gt;"Simples Nacional",0,'Sim1'!L156)</f>
        <v>0</v>
      </c>
      <c r="N15" s="90">
        <f>IF('BH (1)'!$D$4&lt;&gt;"Simples Nacional",0,'Sim1'!M156)</f>
        <v>0</v>
      </c>
      <c r="O15" s="90">
        <f>IF('BH (1)'!$D$4&lt;&gt;"Simples Nacional",0,'Sim1'!N156)</f>
        <v>0</v>
      </c>
      <c r="P15" s="93">
        <f>SUM(D15:O15)</f>
        <v>0</v>
      </c>
    </row>
    <row r="16" spans="3:16" ht="24.95" customHeight="1" x14ac:dyDescent="0.25">
      <c r="C16" s="92" t="s">
        <v>37</v>
      </c>
      <c r="D16" s="90">
        <f>IF('BH (1)'!$D$4&lt;&gt;"Simples Nacional",0,'Sim1'!C157)</f>
        <v>0</v>
      </c>
      <c r="E16" s="90">
        <f>IF('BH (1)'!$D$4&lt;&gt;"Simples Nacional",0,'Sim1'!D157)</f>
        <v>0</v>
      </c>
      <c r="F16" s="90">
        <f>IF('BH (1)'!$D$4&lt;&gt;"Simples Nacional",0,'Sim1'!E157)</f>
        <v>0</v>
      </c>
      <c r="G16" s="90">
        <f>IF('BH (1)'!$D$4&lt;&gt;"Simples Nacional",0,'Sim1'!F157)</f>
        <v>0</v>
      </c>
      <c r="H16" s="90">
        <f>IF('BH (1)'!$D$4&lt;&gt;"Simples Nacional",0,'Sim1'!G157)</f>
        <v>0</v>
      </c>
      <c r="I16" s="90">
        <f>IF('BH (1)'!$D$4&lt;&gt;"Simples Nacional",0,'Sim1'!H157)</f>
        <v>0</v>
      </c>
      <c r="J16" s="90">
        <f>IF('BH (1)'!$D$4&lt;&gt;"Simples Nacional",0,'Sim1'!I157)</f>
        <v>0</v>
      </c>
      <c r="K16" s="90">
        <f>IF('BH (1)'!$D$4&lt;&gt;"Simples Nacional",0,'Sim1'!J157)</f>
        <v>0</v>
      </c>
      <c r="L16" s="90">
        <f>IF('BH (1)'!$D$4&lt;&gt;"Simples Nacional",0,'Sim1'!K157)</f>
        <v>0</v>
      </c>
      <c r="M16" s="90">
        <f>IF('BH (1)'!$D$4&lt;&gt;"Simples Nacional",0,'Sim1'!L157)</f>
        <v>0</v>
      </c>
      <c r="N16" s="90">
        <f>IF('BH (1)'!$D$4&lt;&gt;"Simples Nacional",0,'Sim1'!M157)</f>
        <v>0</v>
      </c>
      <c r="O16" s="90">
        <f>IF('BH (1)'!$D$4&lt;&gt;"Simples Nacional",0,'Sim1'!N157)</f>
        <v>0</v>
      </c>
      <c r="P16" s="93">
        <f>SUM(D16:O16)</f>
        <v>0</v>
      </c>
    </row>
    <row r="17" spans="3:16" ht="24.95" customHeight="1" x14ac:dyDescent="0.25">
      <c r="C17" s="92" t="s">
        <v>38</v>
      </c>
      <c r="D17" s="90">
        <f>IF('BH (1)'!$D$4&lt;&gt;"Simples Nacional",0,'Sim1'!C158)</f>
        <v>0</v>
      </c>
      <c r="E17" s="90">
        <f>IF('BH (1)'!$D$4&lt;&gt;"Simples Nacional",0,'Sim1'!D158)</f>
        <v>0</v>
      </c>
      <c r="F17" s="90">
        <f>IF('BH (1)'!$D$4&lt;&gt;"Simples Nacional",0,'Sim1'!E158)</f>
        <v>0</v>
      </c>
      <c r="G17" s="90">
        <f>IF('BH (1)'!$D$4&lt;&gt;"Simples Nacional",0,'Sim1'!F158)</f>
        <v>0</v>
      </c>
      <c r="H17" s="90">
        <f>IF('BH (1)'!$D$4&lt;&gt;"Simples Nacional",0,'Sim1'!G158)</f>
        <v>0</v>
      </c>
      <c r="I17" s="90">
        <f>IF('BH (1)'!$D$4&lt;&gt;"Simples Nacional",0,'Sim1'!H158)</f>
        <v>0</v>
      </c>
      <c r="J17" s="90">
        <f>IF('BH (1)'!$D$4&lt;&gt;"Simples Nacional",0,'Sim1'!I158)</f>
        <v>0</v>
      </c>
      <c r="K17" s="90">
        <f>IF('BH (1)'!$D$4&lt;&gt;"Simples Nacional",0,'Sim1'!J158)</f>
        <v>0</v>
      </c>
      <c r="L17" s="90">
        <f>IF('BH (1)'!$D$4&lt;&gt;"Simples Nacional",0,'Sim1'!K158)</f>
        <v>0</v>
      </c>
      <c r="M17" s="90">
        <f>IF('BH (1)'!$D$4&lt;&gt;"Simples Nacional",0,'Sim1'!L158)</f>
        <v>0</v>
      </c>
      <c r="N17" s="90">
        <f>IF('BH (1)'!$D$4&lt;&gt;"Simples Nacional",0,'Sim1'!M158)</f>
        <v>0</v>
      </c>
      <c r="O17" s="90">
        <f>IF('BH (1)'!$D$4&lt;&gt;"Simples Nacional",0,'Sim1'!N158)</f>
        <v>0</v>
      </c>
      <c r="P17" s="93">
        <f t="shared" ref="P17:P22" si="2">SUM(D17:O17)</f>
        <v>0</v>
      </c>
    </row>
    <row r="18" spans="3:16" ht="24.95" customHeight="1" x14ac:dyDescent="0.25">
      <c r="C18" s="92" t="s">
        <v>39</v>
      </c>
      <c r="D18" s="90">
        <f>IF('BH (1)'!$D$4&lt;&gt;"Simples Nacional",0,'Sim1'!C159)</f>
        <v>0</v>
      </c>
      <c r="E18" s="90">
        <f>IF('BH (1)'!$D$4&lt;&gt;"Simples Nacional",0,'Sim1'!D159)</f>
        <v>0</v>
      </c>
      <c r="F18" s="90">
        <f>IF('BH (1)'!$D$4&lt;&gt;"Simples Nacional",0,'Sim1'!E159)</f>
        <v>0</v>
      </c>
      <c r="G18" s="90">
        <f>IF('BH (1)'!$D$4&lt;&gt;"Simples Nacional",0,'Sim1'!F159)</f>
        <v>0</v>
      </c>
      <c r="H18" s="90">
        <f>IF('BH (1)'!$D$4&lt;&gt;"Simples Nacional",0,'Sim1'!G159)</f>
        <v>0</v>
      </c>
      <c r="I18" s="90">
        <f>IF('BH (1)'!$D$4&lt;&gt;"Simples Nacional",0,'Sim1'!H159)</f>
        <v>0</v>
      </c>
      <c r="J18" s="90">
        <f>IF('BH (1)'!$D$4&lt;&gt;"Simples Nacional",0,'Sim1'!I159)</f>
        <v>0</v>
      </c>
      <c r="K18" s="90">
        <f>IF('BH (1)'!$D$4&lt;&gt;"Simples Nacional",0,'Sim1'!J159)</f>
        <v>0</v>
      </c>
      <c r="L18" s="90">
        <f>IF('BH (1)'!$D$4&lt;&gt;"Simples Nacional",0,'Sim1'!K159)</f>
        <v>0</v>
      </c>
      <c r="M18" s="90">
        <f>IF('BH (1)'!$D$4&lt;&gt;"Simples Nacional",0,'Sim1'!L159)</f>
        <v>0</v>
      </c>
      <c r="N18" s="90">
        <f>IF('BH (1)'!$D$4&lt;&gt;"Simples Nacional",0,'Sim1'!M159)</f>
        <v>0</v>
      </c>
      <c r="O18" s="90">
        <f>IF('BH (1)'!$D$4&lt;&gt;"Simples Nacional",0,'Sim1'!N159)</f>
        <v>0</v>
      </c>
      <c r="P18" s="93">
        <f t="shared" si="2"/>
        <v>0</v>
      </c>
    </row>
    <row r="19" spans="3:16" ht="24.95" customHeight="1" x14ac:dyDescent="0.25">
      <c r="C19" s="92" t="s">
        <v>129</v>
      </c>
      <c r="D19" s="90">
        <f>IF('BH (1)'!$D$4&lt;&gt;"Simples Nacional",0,'Sim1'!C160)</f>
        <v>0</v>
      </c>
      <c r="E19" s="90">
        <f>IF('BH (1)'!$D$4&lt;&gt;"Simples Nacional",0,'Sim1'!D160)</f>
        <v>0</v>
      </c>
      <c r="F19" s="90">
        <f>IF('BH (1)'!$D$4&lt;&gt;"Simples Nacional",0,'Sim1'!E160)</f>
        <v>0</v>
      </c>
      <c r="G19" s="90">
        <f>IF('BH (1)'!$D$4&lt;&gt;"Simples Nacional",0,'Sim1'!F160)</f>
        <v>0</v>
      </c>
      <c r="H19" s="90">
        <f>IF('BH (1)'!$D$4&lt;&gt;"Simples Nacional",0,'Sim1'!G160)</f>
        <v>0</v>
      </c>
      <c r="I19" s="90">
        <f>IF('BH (1)'!$D$4&lt;&gt;"Simples Nacional",0,'Sim1'!H160)</f>
        <v>0</v>
      </c>
      <c r="J19" s="90">
        <f>IF('BH (1)'!$D$4&lt;&gt;"Simples Nacional",0,'Sim1'!I160)</f>
        <v>0</v>
      </c>
      <c r="K19" s="90">
        <f>IF('BH (1)'!$D$4&lt;&gt;"Simples Nacional",0,'Sim1'!J160)</f>
        <v>0</v>
      </c>
      <c r="L19" s="90">
        <f>IF('BH (1)'!$D$4&lt;&gt;"Simples Nacional",0,'Sim1'!K160)</f>
        <v>0</v>
      </c>
      <c r="M19" s="90">
        <f>IF('BH (1)'!$D$4&lt;&gt;"Simples Nacional",0,'Sim1'!L160)</f>
        <v>0</v>
      </c>
      <c r="N19" s="90">
        <f>IF('BH (1)'!$D$4&lt;&gt;"Simples Nacional",0,'Sim1'!M160)</f>
        <v>0</v>
      </c>
      <c r="O19" s="90">
        <f>IF('BH (1)'!$D$4&lt;&gt;"Simples Nacional",0,'Sim1'!N160)</f>
        <v>0</v>
      </c>
      <c r="P19" s="93">
        <f t="shared" si="2"/>
        <v>0</v>
      </c>
    </row>
    <row r="20" spans="3:16" ht="24.95" customHeight="1" x14ac:dyDescent="0.25">
      <c r="C20" s="92" t="s">
        <v>42</v>
      </c>
      <c r="D20" s="90">
        <f>IF('BH (1)'!$D$4&lt;&gt;"Simples Nacional",0,'Sim1'!C161)</f>
        <v>0</v>
      </c>
      <c r="E20" s="90">
        <f>IF('BH (1)'!$D$4&lt;&gt;"Simples Nacional",0,'Sim1'!D161)</f>
        <v>0</v>
      </c>
      <c r="F20" s="90">
        <f>IF('BH (1)'!$D$4&lt;&gt;"Simples Nacional",0,'Sim1'!E161)</f>
        <v>0</v>
      </c>
      <c r="G20" s="90">
        <f>IF('BH (1)'!$D$4&lt;&gt;"Simples Nacional",0,'Sim1'!F161)</f>
        <v>0</v>
      </c>
      <c r="H20" s="90">
        <f>IF('BH (1)'!$D$4&lt;&gt;"Simples Nacional",0,'Sim1'!G161)</f>
        <v>0</v>
      </c>
      <c r="I20" s="90">
        <f>IF('BH (1)'!$D$4&lt;&gt;"Simples Nacional",0,'Sim1'!H161)</f>
        <v>0</v>
      </c>
      <c r="J20" s="90">
        <f>IF('BH (1)'!$D$4&lt;&gt;"Simples Nacional",0,'Sim1'!I161)</f>
        <v>0</v>
      </c>
      <c r="K20" s="90">
        <f>IF('BH (1)'!$D$4&lt;&gt;"Simples Nacional",0,'Sim1'!J161)</f>
        <v>0</v>
      </c>
      <c r="L20" s="90">
        <f>IF('BH (1)'!$D$4&lt;&gt;"Simples Nacional",0,'Sim1'!K161)</f>
        <v>0</v>
      </c>
      <c r="M20" s="90">
        <f>IF('BH (1)'!$D$4&lt;&gt;"Simples Nacional",0,'Sim1'!L161)</f>
        <v>0</v>
      </c>
      <c r="N20" s="90">
        <f>IF('BH (1)'!$D$4&lt;&gt;"Simples Nacional",0,'Sim1'!M161)</f>
        <v>0</v>
      </c>
      <c r="O20" s="90">
        <f>IF('BH (1)'!$D$4&lt;&gt;"Simples Nacional",0,'Sim1'!N161)</f>
        <v>0</v>
      </c>
      <c r="P20" s="93">
        <f t="shared" si="2"/>
        <v>0</v>
      </c>
    </row>
    <row r="21" spans="3:16" ht="24.95" customHeight="1" x14ac:dyDescent="0.25">
      <c r="C21" s="94" t="s">
        <v>40</v>
      </c>
      <c r="D21" s="100">
        <f>IF('BH (1)'!$D$4&lt;&gt;"Simples Nacional",0,'Sim1'!C162)</f>
        <v>0</v>
      </c>
      <c r="E21" s="99">
        <f>IF('BH (1)'!$D$4&lt;&gt;"Simples Nacional",0,'Sim1'!D162)</f>
        <v>0</v>
      </c>
      <c r="F21" s="99">
        <f>IF('BH (1)'!$D$4&lt;&gt;"Simples Nacional",0,'Sim1'!E162)</f>
        <v>0</v>
      </c>
      <c r="G21" s="99">
        <f>IF('BH (1)'!$D$4&lt;&gt;"Simples Nacional",0,'Sim1'!F162)</f>
        <v>0</v>
      </c>
      <c r="H21" s="99">
        <f>IF('BH (1)'!$D$4&lt;&gt;"Simples Nacional",0,'Sim1'!G162)</f>
        <v>0</v>
      </c>
      <c r="I21" s="99">
        <f>IF('BH (1)'!$D$4&lt;&gt;"Simples Nacional",0,'Sim1'!H162)</f>
        <v>0</v>
      </c>
      <c r="J21" s="99">
        <f>IF('BH (1)'!$D$4&lt;&gt;"Simples Nacional",0,'Sim1'!I162)</f>
        <v>0</v>
      </c>
      <c r="K21" s="99">
        <f>IF('BH (1)'!$D$4&lt;&gt;"Simples Nacional",0,'Sim1'!J162)</f>
        <v>0</v>
      </c>
      <c r="L21" s="99">
        <f>IF('BH (1)'!$D$4&lt;&gt;"Simples Nacional",0,'Sim1'!K162)</f>
        <v>0</v>
      </c>
      <c r="M21" s="99">
        <f>IF('BH (1)'!$D$4&lt;&gt;"Simples Nacional",0,'Sim1'!L162)</f>
        <v>0</v>
      </c>
      <c r="N21" s="99">
        <f>IF('BH (1)'!$D$4&lt;&gt;"Simples Nacional",0,'Sim1'!M162)</f>
        <v>0</v>
      </c>
      <c r="O21" s="100">
        <f>IF('BH (1)'!$D$4&lt;&gt;"Simples Nacional",0,'Sim1'!N162)</f>
        <v>0</v>
      </c>
      <c r="P21" s="93">
        <f t="shared" si="2"/>
        <v>0</v>
      </c>
    </row>
    <row r="22" spans="3:16" ht="24.95" customHeight="1" x14ac:dyDescent="0.25">
      <c r="C22" s="96" t="s">
        <v>99</v>
      </c>
      <c r="D22" s="97">
        <f>SUM(D14:D21)</f>
        <v>0</v>
      </c>
      <c r="E22" s="97">
        <f t="shared" ref="E22:O22" si="3">SUM(E14:E21)</f>
        <v>0</v>
      </c>
      <c r="F22" s="97">
        <f t="shared" si="3"/>
        <v>0</v>
      </c>
      <c r="G22" s="97">
        <f t="shared" si="3"/>
        <v>0</v>
      </c>
      <c r="H22" s="97">
        <f t="shared" si="3"/>
        <v>0</v>
      </c>
      <c r="I22" s="97">
        <f t="shared" si="3"/>
        <v>0</v>
      </c>
      <c r="J22" s="97">
        <f t="shared" si="3"/>
        <v>0</v>
      </c>
      <c r="K22" s="97">
        <f t="shared" si="3"/>
        <v>0</v>
      </c>
      <c r="L22" s="97">
        <f t="shared" si="3"/>
        <v>0</v>
      </c>
      <c r="M22" s="97">
        <f t="shared" si="3"/>
        <v>0</v>
      </c>
      <c r="N22" s="97">
        <f t="shared" si="3"/>
        <v>0</v>
      </c>
      <c r="O22" s="97">
        <f t="shared" si="3"/>
        <v>0</v>
      </c>
      <c r="P22" s="98">
        <f t="shared" si="2"/>
        <v>0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34">
    <tabColor rgb="FF0070C0"/>
  </sheetPr>
  <dimension ref="C1:P22"/>
  <sheetViews>
    <sheetView showGridLines="0" showRowColHeaders="0" workbookViewId="0">
      <pane ySplit="4" topLeftCell="A5" activePane="bottomLeft" state="frozen"/>
      <selection activeCell="X16" sqref="X16"/>
      <selection pane="bottomLeft" activeCell="D5" sqref="D5"/>
    </sheetView>
  </sheetViews>
  <sheetFormatPr defaultRowHeight="24.95" customHeight="1" x14ac:dyDescent="0.25"/>
  <cols>
    <col min="1" max="2" width="1.7109375" style="18" customWidth="1"/>
    <col min="3" max="3" width="13.7109375" style="18" customWidth="1"/>
    <col min="4" max="16" width="13.140625" style="18" customWidth="1"/>
    <col min="17" max="16384" width="9.140625" style="18"/>
  </cols>
  <sheetData>
    <row r="1" spans="3:16" s="1" customFormat="1" ht="35.1" customHeight="1" x14ac:dyDescent="0.25"/>
    <row r="2" spans="3:16" s="3" customFormat="1" ht="30" customHeight="1" x14ac:dyDescent="0.25"/>
    <row r="3" spans="3:16" ht="69.95" customHeight="1" thickBot="1" x14ac:dyDescent="0.3"/>
    <row r="4" spans="3:16" ht="21.95" customHeight="1" x14ac:dyDescent="0.25">
      <c r="C4" s="85" t="s">
        <v>82</v>
      </c>
      <c r="D4" s="55" t="s">
        <v>83</v>
      </c>
      <c r="E4" s="55" t="s">
        <v>84</v>
      </c>
      <c r="F4" s="55" t="s">
        <v>85</v>
      </c>
      <c r="G4" s="55" t="s">
        <v>86</v>
      </c>
      <c r="H4" s="55" t="s">
        <v>87</v>
      </c>
      <c r="I4" s="55" t="s">
        <v>88</v>
      </c>
      <c r="J4" s="55" t="s">
        <v>89</v>
      </c>
      <c r="K4" s="55" t="s">
        <v>90</v>
      </c>
      <c r="L4" s="55" t="s">
        <v>91</v>
      </c>
      <c r="M4" s="55" t="s">
        <v>92</v>
      </c>
      <c r="N4" s="55" t="s">
        <v>93</v>
      </c>
      <c r="O4" s="55" t="s">
        <v>94</v>
      </c>
      <c r="P4" s="56" t="s">
        <v>95</v>
      </c>
    </row>
    <row r="5" spans="3:16" ht="24.95" customHeight="1" x14ac:dyDescent="0.25">
      <c r="C5" s="86" t="s">
        <v>80</v>
      </c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91">
        <f t="shared" ref="P5:P10" si="0">SUM(D5:O5)</f>
        <v>0</v>
      </c>
    </row>
    <row r="6" spans="3:16" ht="24.95" customHeight="1" x14ac:dyDescent="0.25">
      <c r="C6" s="92" t="s">
        <v>81</v>
      </c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93">
        <f t="shared" si="0"/>
        <v>0</v>
      </c>
    </row>
    <row r="7" spans="3:16" ht="24.95" customHeight="1" x14ac:dyDescent="0.25">
      <c r="C7" s="92" t="s">
        <v>75</v>
      </c>
      <c r="D7" s="75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93">
        <f t="shared" si="0"/>
        <v>0</v>
      </c>
    </row>
    <row r="8" spans="3:16" ht="24.95" customHeight="1" x14ac:dyDescent="0.25">
      <c r="C8" s="92" t="s">
        <v>76</v>
      </c>
      <c r="D8" s="75"/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93">
        <f t="shared" si="0"/>
        <v>0</v>
      </c>
    </row>
    <row r="9" spans="3:16" ht="24.95" customHeight="1" x14ac:dyDescent="0.25">
      <c r="C9" s="94" t="s">
        <v>77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93">
        <f t="shared" si="0"/>
        <v>0</v>
      </c>
    </row>
    <row r="10" spans="3:16" ht="24.95" customHeight="1" x14ac:dyDescent="0.25">
      <c r="C10" s="224" t="s">
        <v>99</v>
      </c>
      <c r="D10" s="225">
        <f>SUM(D5:D9)</f>
        <v>0</v>
      </c>
      <c r="E10" s="225">
        <f t="shared" ref="E10:O10" si="1">SUM(E5:E9)</f>
        <v>0</v>
      </c>
      <c r="F10" s="225">
        <f t="shared" si="1"/>
        <v>0</v>
      </c>
      <c r="G10" s="225">
        <f t="shared" si="1"/>
        <v>0</v>
      </c>
      <c r="H10" s="225">
        <f t="shared" si="1"/>
        <v>0</v>
      </c>
      <c r="I10" s="225">
        <f t="shared" si="1"/>
        <v>0</v>
      </c>
      <c r="J10" s="225">
        <f t="shared" si="1"/>
        <v>0</v>
      </c>
      <c r="K10" s="225">
        <f t="shared" si="1"/>
        <v>0</v>
      </c>
      <c r="L10" s="225">
        <f t="shared" si="1"/>
        <v>0</v>
      </c>
      <c r="M10" s="225">
        <f t="shared" si="1"/>
        <v>0</v>
      </c>
      <c r="N10" s="225">
        <f t="shared" si="1"/>
        <v>0</v>
      </c>
      <c r="O10" s="225">
        <f t="shared" si="1"/>
        <v>0</v>
      </c>
      <c r="P10" s="93">
        <f t="shared" si="0"/>
        <v>0</v>
      </c>
    </row>
    <row r="11" spans="3:16" ht="24.95" customHeight="1" x14ac:dyDescent="0.25">
      <c r="C11" s="222" t="s">
        <v>120</v>
      </c>
      <c r="D11" s="174" t="str">
        <f>IF(Simp1!D11="","",Simp1!D11)</f>
        <v/>
      </c>
      <c r="E11" s="174" t="str">
        <f>IF(Simp1!E11="","",Simp1!E11)</f>
        <v/>
      </c>
      <c r="F11" s="174" t="str">
        <f>IF(Simp1!F11="","",Simp1!F11)</f>
        <v/>
      </c>
      <c r="G11" s="174" t="str">
        <f>IF(Simp1!G11="","",Simp1!G11)</f>
        <v/>
      </c>
      <c r="H11" s="174" t="str">
        <f>IF(Simp1!H11="","",Simp1!H11)</f>
        <v/>
      </c>
      <c r="I11" s="174" t="str">
        <f>IF(Simp1!I11="","",Simp1!I11)</f>
        <v/>
      </c>
      <c r="J11" s="174" t="str">
        <f>IF(Simp1!J11="","",Simp1!J11)</f>
        <v/>
      </c>
      <c r="K11" s="174" t="str">
        <f>IF(Simp1!K11="","",Simp1!K11)</f>
        <v/>
      </c>
      <c r="L11" s="174" t="str">
        <f>IF(Simp1!L11="","",Simp1!L11)</f>
        <v/>
      </c>
      <c r="M11" s="174" t="str">
        <f>IF(Simp1!M11="","",Simp1!M11)</f>
        <v/>
      </c>
      <c r="N11" s="174" t="str">
        <f>IF(Simp1!N11="","",Simp1!N11)</f>
        <v/>
      </c>
      <c r="O11" s="174" t="str">
        <f>IF(Simp1!O11="","",Simp1!O11)</f>
        <v/>
      </c>
      <c r="P11" s="223"/>
    </row>
    <row r="12" spans="3:16" ht="9.9499999999999993" customHeight="1" thickBot="1" x14ac:dyDescent="0.3">
      <c r="C12" s="88"/>
      <c r="D12" s="88"/>
      <c r="F12" s="88"/>
      <c r="G12" s="88"/>
      <c r="I12" s="88"/>
      <c r="J12" s="88"/>
      <c r="L12" s="88"/>
      <c r="M12" s="88"/>
      <c r="O12" s="88"/>
      <c r="P12" s="147"/>
    </row>
    <row r="13" spans="3:16" ht="21.95" customHeight="1" x14ac:dyDescent="0.25">
      <c r="C13" s="85" t="s">
        <v>82</v>
      </c>
      <c r="D13" s="55" t="s">
        <v>83</v>
      </c>
      <c r="E13" s="55" t="s">
        <v>84</v>
      </c>
      <c r="F13" s="55" t="s">
        <v>85</v>
      </c>
      <c r="G13" s="55" t="s">
        <v>86</v>
      </c>
      <c r="H13" s="55" t="s">
        <v>87</v>
      </c>
      <c r="I13" s="55" t="s">
        <v>88</v>
      </c>
      <c r="J13" s="55" t="s">
        <v>89</v>
      </c>
      <c r="K13" s="55" t="s">
        <v>90</v>
      </c>
      <c r="L13" s="55" t="s">
        <v>91</v>
      </c>
      <c r="M13" s="55" t="s">
        <v>92</v>
      </c>
      <c r="N13" s="55" t="s">
        <v>93</v>
      </c>
      <c r="O13" s="55" t="s">
        <v>94</v>
      </c>
      <c r="P13" s="56" t="s">
        <v>95</v>
      </c>
    </row>
    <row r="14" spans="3:16" ht="24.95" customHeight="1" x14ac:dyDescent="0.25">
      <c r="C14" s="86" t="s">
        <v>97</v>
      </c>
      <c r="D14" s="90">
        <f>IF('BH (1)'!$D$4&lt;&gt;"Simples Nacional",0,'Sim2'!C155)</f>
        <v>0</v>
      </c>
      <c r="E14" s="90">
        <f>IF('BH (1)'!$D$4&lt;&gt;"Simples Nacional",0,'Sim2'!D155)</f>
        <v>0</v>
      </c>
      <c r="F14" s="90">
        <f>IF('BH (1)'!$D$4&lt;&gt;"Simples Nacional",0,'Sim2'!E155)</f>
        <v>0</v>
      </c>
      <c r="G14" s="90">
        <f>IF('BH (1)'!$D$4&lt;&gt;"Simples Nacional",0,'Sim2'!F155)</f>
        <v>0</v>
      </c>
      <c r="H14" s="90">
        <f>IF('BH (1)'!$D$4&lt;&gt;"Simples Nacional",0,'Sim2'!G155)</f>
        <v>0</v>
      </c>
      <c r="I14" s="90">
        <f>IF('BH (1)'!$D$4&lt;&gt;"Simples Nacional",0,'Sim2'!H155)</f>
        <v>0</v>
      </c>
      <c r="J14" s="90">
        <f>IF('BH (1)'!$D$4&lt;&gt;"Simples Nacional",0,'Sim2'!I155)</f>
        <v>0</v>
      </c>
      <c r="K14" s="90">
        <f>IF('BH (1)'!$D$4&lt;&gt;"Simples Nacional",0,'Sim2'!J155)</f>
        <v>0</v>
      </c>
      <c r="L14" s="90">
        <f>IF('BH (1)'!$D$4&lt;&gt;"Simples Nacional",0,'Sim2'!K155)</f>
        <v>0</v>
      </c>
      <c r="M14" s="90">
        <f>IF('BH (1)'!$D$4&lt;&gt;"Simples Nacional",0,'Sim2'!L155)</f>
        <v>0</v>
      </c>
      <c r="N14" s="90">
        <f>IF('BH (1)'!$D$4&lt;&gt;"Simples Nacional",0,'Sim2'!M155)</f>
        <v>0</v>
      </c>
      <c r="O14" s="90">
        <f>IF('BH (1)'!$D$4&lt;&gt;"Simples Nacional",0,'Sim2'!N155)</f>
        <v>0</v>
      </c>
      <c r="P14" s="91">
        <f>SUM(D14:O14)</f>
        <v>0</v>
      </c>
    </row>
    <row r="15" spans="3:16" ht="24.95" customHeight="1" x14ac:dyDescent="0.25">
      <c r="C15" s="92" t="s">
        <v>98</v>
      </c>
      <c r="D15" s="90">
        <f>IF('BH (1)'!$D$4&lt;&gt;"Simples Nacional",0,'Sim2'!C156)</f>
        <v>0</v>
      </c>
      <c r="E15" s="90">
        <f>IF('BH (1)'!$D$4&lt;&gt;"Simples Nacional",0,'Sim2'!D156)</f>
        <v>0</v>
      </c>
      <c r="F15" s="90">
        <f>IF('BH (1)'!$D$4&lt;&gt;"Simples Nacional",0,'Sim2'!E156)</f>
        <v>0</v>
      </c>
      <c r="G15" s="90">
        <f>IF('BH (1)'!$D$4&lt;&gt;"Simples Nacional",0,'Sim2'!F156)</f>
        <v>0</v>
      </c>
      <c r="H15" s="90">
        <f>IF('BH (1)'!$D$4&lt;&gt;"Simples Nacional",0,'Sim2'!G156)</f>
        <v>0</v>
      </c>
      <c r="I15" s="90">
        <f>IF('BH (1)'!$D$4&lt;&gt;"Simples Nacional",0,'Sim2'!H156)</f>
        <v>0</v>
      </c>
      <c r="J15" s="90">
        <f>IF('BH (1)'!$D$4&lt;&gt;"Simples Nacional",0,'Sim2'!I156)</f>
        <v>0</v>
      </c>
      <c r="K15" s="90">
        <f>IF('BH (1)'!$D$4&lt;&gt;"Simples Nacional",0,'Sim2'!J156)</f>
        <v>0</v>
      </c>
      <c r="L15" s="90">
        <f>IF('BH (1)'!$D$4&lt;&gt;"Simples Nacional",0,'Sim2'!K156)</f>
        <v>0</v>
      </c>
      <c r="M15" s="90">
        <f>IF('BH (1)'!$D$4&lt;&gt;"Simples Nacional",0,'Sim2'!L156)</f>
        <v>0</v>
      </c>
      <c r="N15" s="90">
        <f>IF('BH (1)'!$D$4&lt;&gt;"Simples Nacional",0,'Sim2'!M156)</f>
        <v>0</v>
      </c>
      <c r="O15" s="90">
        <f>IF('BH (1)'!$D$4&lt;&gt;"Simples Nacional",0,'Sim2'!N156)</f>
        <v>0</v>
      </c>
      <c r="P15" s="93">
        <f>SUM(D15:O15)</f>
        <v>0</v>
      </c>
    </row>
    <row r="16" spans="3:16" ht="24.95" customHeight="1" x14ac:dyDescent="0.25">
      <c r="C16" s="92" t="s">
        <v>37</v>
      </c>
      <c r="D16" s="90">
        <f>IF('BH (1)'!$D$4&lt;&gt;"Simples Nacional",0,'Sim2'!C157)</f>
        <v>0</v>
      </c>
      <c r="E16" s="90">
        <f>IF('BH (1)'!$D$4&lt;&gt;"Simples Nacional",0,'Sim2'!D157)</f>
        <v>0</v>
      </c>
      <c r="F16" s="90">
        <f>IF('BH (1)'!$D$4&lt;&gt;"Simples Nacional",0,'Sim2'!E157)</f>
        <v>0</v>
      </c>
      <c r="G16" s="90">
        <f>IF('BH (1)'!$D$4&lt;&gt;"Simples Nacional",0,'Sim2'!F157)</f>
        <v>0</v>
      </c>
      <c r="H16" s="90">
        <f>IF('BH (1)'!$D$4&lt;&gt;"Simples Nacional",0,'Sim2'!G157)</f>
        <v>0</v>
      </c>
      <c r="I16" s="90">
        <f>IF('BH (1)'!$D$4&lt;&gt;"Simples Nacional",0,'Sim2'!H157)</f>
        <v>0</v>
      </c>
      <c r="J16" s="90">
        <f>IF('BH (1)'!$D$4&lt;&gt;"Simples Nacional",0,'Sim2'!I157)</f>
        <v>0</v>
      </c>
      <c r="K16" s="90">
        <f>IF('BH (1)'!$D$4&lt;&gt;"Simples Nacional",0,'Sim2'!J157)</f>
        <v>0</v>
      </c>
      <c r="L16" s="90">
        <f>IF('BH (1)'!$D$4&lt;&gt;"Simples Nacional",0,'Sim2'!K157)</f>
        <v>0</v>
      </c>
      <c r="M16" s="90">
        <f>IF('BH (1)'!$D$4&lt;&gt;"Simples Nacional",0,'Sim2'!L157)</f>
        <v>0</v>
      </c>
      <c r="N16" s="90">
        <f>IF('BH (1)'!$D$4&lt;&gt;"Simples Nacional",0,'Sim2'!M157)</f>
        <v>0</v>
      </c>
      <c r="O16" s="90">
        <f>IF('BH (1)'!$D$4&lt;&gt;"Simples Nacional",0,'Sim2'!N157)</f>
        <v>0</v>
      </c>
      <c r="P16" s="93">
        <f>SUM(D16:O16)</f>
        <v>0</v>
      </c>
    </row>
    <row r="17" spans="3:16" ht="24.95" customHeight="1" x14ac:dyDescent="0.25">
      <c r="C17" s="92" t="s">
        <v>38</v>
      </c>
      <c r="D17" s="90">
        <f>IF('BH (1)'!$D$4&lt;&gt;"Simples Nacional",0,'Sim2'!C158)</f>
        <v>0</v>
      </c>
      <c r="E17" s="90">
        <f>IF('BH (1)'!$D$4&lt;&gt;"Simples Nacional",0,'Sim2'!D158)</f>
        <v>0</v>
      </c>
      <c r="F17" s="90">
        <f>IF('BH (1)'!$D$4&lt;&gt;"Simples Nacional",0,'Sim2'!E158)</f>
        <v>0</v>
      </c>
      <c r="G17" s="90">
        <f>IF('BH (1)'!$D$4&lt;&gt;"Simples Nacional",0,'Sim2'!F158)</f>
        <v>0</v>
      </c>
      <c r="H17" s="90">
        <f>IF('BH (1)'!$D$4&lt;&gt;"Simples Nacional",0,'Sim2'!G158)</f>
        <v>0</v>
      </c>
      <c r="I17" s="90">
        <f>IF('BH (1)'!$D$4&lt;&gt;"Simples Nacional",0,'Sim2'!H158)</f>
        <v>0</v>
      </c>
      <c r="J17" s="90">
        <f>IF('BH (1)'!$D$4&lt;&gt;"Simples Nacional",0,'Sim2'!I158)</f>
        <v>0</v>
      </c>
      <c r="K17" s="90">
        <f>IF('BH (1)'!$D$4&lt;&gt;"Simples Nacional",0,'Sim2'!J158)</f>
        <v>0</v>
      </c>
      <c r="L17" s="90">
        <f>IF('BH (1)'!$D$4&lt;&gt;"Simples Nacional",0,'Sim2'!K158)</f>
        <v>0</v>
      </c>
      <c r="M17" s="90">
        <f>IF('BH (1)'!$D$4&lt;&gt;"Simples Nacional",0,'Sim2'!L158)</f>
        <v>0</v>
      </c>
      <c r="N17" s="90">
        <f>IF('BH (1)'!$D$4&lt;&gt;"Simples Nacional",0,'Sim2'!M158)</f>
        <v>0</v>
      </c>
      <c r="O17" s="90">
        <f>IF('BH (1)'!$D$4&lt;&gt;"Simples Nacional",0,'Sim2'!N158)</f>
        <v>0</v>
      </c>
      <c r="P17" s="93">
        <f t="shared" ref="P17:P22" si="2">SUM(D17:O17)</f>
        <v>0</v>
      </c>
    </row>
    <row r="18" spans="3:16" ht="24.95" customHeight="1" x14ac:dyDescent="0.25">
      <c r="C18" s="92" t="s">
        <v>39</v>
      </c>
      <c r="D18" s="90">
        <f>IF('BH (1)'!$D$4&lt;&gt;"Simples Nacional",0,'Sim2'!C159)</f>
        <v>0</v>
      </c>
      <c r="E18" s="90">
        <f>IF('BH (1)'!$D$4&lt;&gt;"Simples Nacional",0,'Sim2'!D159)</f>
        <v>0</v>
      </c>
      <c r="F18" s="90">
        <f>IF('BH (1)'!$D$4&lt;&gt;"Simples Nacional",0,'Sim2'!E159)</f>
        <v>0</v>
      </c>
      <c r="G18" s="90">
        <f>IF('BH (1)'!$D$4&lt;&gt;"Simples Nacional",0,'Sim2'!F159)</f>
        <v>0</v>
      </c>
      <c r="H18" s="90">
        <f>IF('BH (1)'!$D$4&lt;&gt;"Simples Nacional",0,'Sim2'!G159)</f>
        <v>0</v>
      </c>
      <c r="I18" s="90">
        <f>IF('BH (1)'!$D$4&lt;&gt;"Simples Nacional",0,'Sim2'!H159)</f>
        <v>0</v>
      </c>
      <c r="J18" s="90">
        <f>IF('BH (1)'!$D$4&lt;&gt;"Simples Nacional",0,'Sim2'!I159)</f>
        <v>0</v>
      </c>
      <c r="K18" s="90">
        <f>IF('BH (1)'!$D$4&lt;&gt;"Simples Nacional",0,'Sim2'!J159)</f>
        <v>0</v>
      </c>
      <c r="L18" s="90">
        <f>IF('BH (1)'!$D$4&lt;&gt;"Simples Nacional",0,'Sim2'!K159)</f>
        <v>0</v>
      </c>
      <c r="M18" s="90">
        <f>IF('BH (1)'!$D$4&lt;&gt;"Simples Nacional",0,'Sim2'!L159)</f>
        <v>0</v>
      </c>
      <c r="N18" s="90">
        <f>IF('BH (1)'!$D$4&lt;&gt;"Simples Nacional",0,'Sim2'!M159)</f>
        <v>0</v>
      </c>
      <c r="O18" s="90">
        <f>IF('BH (1)'!$D$4&lt;&gt;"Simples Nacional",0,'Sim2'!N159)</f>
        <v>0</v>
      </c>
      <c r="P18" s="93">
        <f t="shared" si="2"/>
        <v>0</v>
      </c>
    </row>
    <row r="19" spans="3:16" ht="24.95" customHeight="1" x14ac:dyDescent="0.25">
      <c r="C19" s="92" t="s">
        <v>129</v>
      </c>
      <c r="D19" s="90">
        <f>IF('BH (1)'!$D$4&lt;&gt;"Simples Nacional",0,'Sim2'!C160)</f>
        <v>0</v>
      </c>
      <c r="E19" s="90">
        <f>IF('BH (1)'!$D$4&lt;&gt;"Simples Nacional",0,'Sim2'!D160)</f>
        <v>0</v>
      </c>
      <c r="F19" s="90">
        <f>IF('BH (1)'!$D$4&lt;&gt;"Simples Nacional",0,'Sim2'!E160)</f>
        <v>0</v>
      </c>
      <c r="G19" s="90">
        <f>IF('BH (1)'!$D$4&lt;&gt;"Simples Nacional",0,'Sim2'!F160)</f>
        <v>0</v>
      </c>
      <c r="H19" s="90">
        <f>IF('BH (1)'!$D$4&lt;&gt;"Simples Nacional",0,'Sim2'!G160)</f>
        <v>0</v>
      </c>
      <c r="I19" s="90">
        <f>IF('BH (1)'!$D$4&lt;&gt;"Simples Nacional",0,'Sim2'!H160)</f>
        <v>0</v>
      </c>
      <c r="J19" s="90">
        <f>IF('BH (1)'!$D$4&lt;&gt;"Simples Nacional",0,'Sim2'!I160)</f>
        <v>0</v>
      </c>
      <c r="K19" s="90">
        <f>IF('BH (1)'!$D$4&lt;&gt;"Simples Nacional",0,'Sim2'!J160)</f>
        <v>0</v>
      </c>
      <c r="L19" s="90">
        <f>IF('BH (1)'!$D$4&lt;&gt;"Simples Nacional",0,'Sim2'!K160)</f>
        <v>0</v>
      </c>
      <c r="M19" s="90">
        <f>IF('BH (1)'!$D$4&lt;&gt;"Simples Nacional",0,'Sim2'!L160)</f>
        <v>0</v>
      </c>
      <c r="N19" s="90">
        <f>IF('BH (1)'!$D$4&lt;&gt;"Simples Nacional",0,'Sim2'!M160)</f>
        <v>0</v>
      </c>
      <c r="O19" s="90">
        <f>IF('BH (1)'!$D$4&lt;&gt;"Simples Nacional",0,'Sim2'!N160)</f>
        <v>0</v>
      </c>
      <c r="P19" s="93">
        <f t="shared" si="2"/>
        <v>0</v>
      </c>
    </row>
    <row r="20" spans="3:16" ht="24.95" customHeight="1" x14ac:dyDescent="0.25">
      <c r="C20" s="92" t="s">
        <v>42</v>
      </c>
      <c r="D20" s="90">
        <f>IF('BH (1)'!$D$4&lt;&gt;"Simples Nacional",0,'Sim2'!C161)</f>
        <v>0</v>
      </c>
      <c r="E20" s="90">
        <f>IF('BH (1)'!$D$4&lt;&gt;"Simples Nacional",0,'Sim2'!D161)</f>
        <v>0</v>
      </c>
      <c r="F20" s="90">
        <f>IF('BH (1)'!$D$4&lt;&gt;"Simples Nacional",0,'Sim2'!E161)</f>
        <v>0</v>
      </c>
      <c r="G20" s="90">
        <f>IF('BH (1)'!$D$4&lt;&gt;"Simples Nacional",0,'Sim2'!F161)</f>
        <v>0</v>
      </c>
      <c r="H20" s="90">
        <f>IF('BH (1)'!$D$4&lt;&gt;"Simples Nacional",0,'Sim2'!G161)</f>
        <v>0</v>
      </c>
      <c r="I20" s="90">
        <f>IF('BH (1)'!$D$4&lt;&gt;"Simples Nacional",0,'Sim2'!H161)</f>
        <v>0</v>
      </c>
      <c r="J20" s="90">
        <f>IF('BH (1)'!$D$4&lt;&gt;"Simples Nacional",0,'Sim2'!I161)</f>
        <v>0</v>
      </c>
      <c r="K20" s="90">
        <f>IF('BH (1)'!$D$4&lt;&gt;"Simples Nacional",0,'Sim2'!J161)</f>
        <v>0</v>
      </c>
      <c r="L20" s="90">
        <f>IF('BH (1)'!$D$4&lt;&gt;"Simples Nacional",0,'Sim2'!K161)</f>
        <v>0</v>
      </c>
      <c r="M20" s="90">
        <f>IF('BH (1)'!$D$4&lt;&gt;"Simples Nacional",0,'Sim2'!L161)</f>
        <v>0</v>
      </c>
      <c r="N20" s="90">
        <f>IF('BH (1)'!$D$4&lt;&gt;"Simples Nacional",0,'Sim2'!M161)</f>
        <v>0</v>
      </c>
      <c r="O20" s="90">
        <f>IF('BH (1)'!$D$4&lt;&gt;"Simples Nacional",0,'Sim2'!N161)</f>
        <v>0</v>
      </c>
      <c r="P20" s="93">
        <f t="shared" si="2"/>
        <v>0</v>
      </c>
    </row>
    <row r="21" spans="3:16" ht="24.95" customHeight="1" x14ac:dyDescent="0.25">
      <c r="C21" s="94" t="s">
        <v>40</v>
      </c>
      <c r="D21" s="100">
        <f>IF('BH (1)'!$D$4&lt;&gt;"Simples Nacional",0,'Sim2'!C162)</f>
        <v>0</v>
      </c>
      <c r="E21" s="99">
        <f>IF('BH (1)'!$D$4&lt;&gt;"Simples Nacional",0,'Sim2'!D162)</f>
        <v>0</v>
      </c>
      <c r="F21" s="99">
        <f>IF('BH (1)'!$D$4&lt;&gt;"Simples Nacional",0,'Sim2'!E162)</f>
        <v>0</v>
      </c>
      <c r="G21" s="99">
        <f>IF('BH (1)'!$D$4&lt;&gt;"Simples Nacional",0,'Sim2'!F162)</f>
        <v>0</v>
      </c>
      <c r="H21" s="99">
        <f>IF('BH (1)'!$D$4&lt;&gt;"Simples Nacional",0,'Sim2'!G162)</f>
        <v>0</v>
      </c>
      <c r="I21" s="99">
        <f>IF('BH (1)'!$D$4&lt;&gt;"Simples Nacional",0,'Sim2'!H162)</f>
        <v>0</v>
      </c>
      <c r="J21" s="99">
        <f>IF('BH (1)'!$D$4&lt;&gt;"Simples Nacional",0,'Sim2'!I162)</f>
        <v>0</v>
      </c>
      <c r="K21" s="99">
        <f>IF('BH (1)'!$D$4&lt;&gt;"Simples Nacional",0,'Sim2'!J162)</f>
        <v>0</v>
      </c>
      <c r="L21" s="99">
        <f>IF('BH (1)'!$D$4&lt;&gt;"Simples Nacional",0,'Sim2'!K162)</f>
        <v>0</v>
      </c>
      <c r="M21" s="99">
        <f>IF('BH (1)'!$D$4&lt;&gt;"Simples Nacional",0,'Sim2'!L162)</f>
        <v>0</v>
      </c>
      <c r="N21" s="99">
        <f>IF('BH (1)'!$D$4&lt;&gt;"Simples Nacional",0,'Sim2'!M162)</f>
        <v>0</v>
      </c>
      <c r="O21" s="100">
        <f>IF('BH (1)'!$D$4&lt;&gt;"Simples Nacional",0,'Sim2'!N162)</f>
        <v>0</v>
      </c>
      <c r="P21" s="93">
        <f t="shared" si="2"/>
        <v>0</v>
      </c>
    </row>
    <row r="22" spans="3:16" ht="24.95" customHeight="1" x14ac:dyDescent="0.25">
      <c r="C22" s="96" t="s">
        <v>99</v>
      </c>
      <c r="D22" s="97">
        <f>SUM(D14:D21)</f>
        <v>0</v>
      </c>
      <c r="E22" s="97">
        <f t="shared" ref="E22:O22" si="3">SUM(E14:E21)</f>
        <v>0</v>
      </c>
      <c r="F22" s="97">
        <f t="shared" si="3"/>
        <v>0</v>
      </c>
      <c r="G22" s="97">
        <f t="shared" si="3"/>
        <v>0</v>
      </c>
      <c r="H22" s="97">
        <f t="shared" si="3"/>
        <v>0</v>
      </c>
      <c r="I22" s="97">
        <f t="shared" si="3"/>
        <v>0</v>
      </c>
      <c r="J22" s="97">
        <f t="shared" si="3"/>
        <v>0</v>
      </c>
      <c r="K22" s="97">
        <f t="shared" si="3"/>
        <v>0</v>
      </c>
      <c r="L22" s="97">
        <f t="shared" si="3"/>
        <v>0</v>
      </c>
      <c r="M22" s="97">
        <f t="shared" si="3"/>
        <v>0</v>
      </c>
      <c r="N22" s="97">
        <f t="shared" si="3"/>
        <v>0</v>
      </c>
      <c r="O22" s="97">
        <f t="shared" si="3"/>
        <v>0</v>
      </c>
      <c r="P22" s="98">
        <f t="shared" si="2"/>
        <v>0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ilha35">
    <tabColor rgb="FF0070C0"/>
  </sheetPr>
  <dimension ref="C1:P22"/>
  <sheetViews>
    <sheetView showGridLines="0" showRowColHeaders="0" workbookViewId="0">
      <pane ySplit="4" topLeftCell="A5" activePane="bottomLeft" state="frozen"/>
      <selection activeCell="X16" sqref="X16"/>
      <selection pane="bottomLeft" activeCell="D5" sqref="D5"/>
    </sheetView>
  </sheetViews>
  <sheetFormatPr defaultRowHeight="24.95" customHeight="1" x14ac:dyDescent="0.25"/>
  <cols>
    <col min="1" max="2" width="1.7109375" style="18" customWidth="1"/>
    <col min="3" max="3" width="13.7109375" style="18" customWidth="1"/>
    <col min="4" max="16" width="13.140625" style="18" customWidth="1"/>
    <col min="17" max="16384" width="9.140625" style="18"/>
  </cols>
  <sheetData>
    <row r="1" spans="3:16" s="1" customFormat="1" ht="35.1" customHeight="1" x14ac:dyDescent="0.25"/>
    <row r="2" spans="3:16" s="3" customFormat="1" ht="30" customHeight="1" x14ac:dyDescent="0.25"/>
    <row r="3" spans="3:16" ht="69.95" customHeight="1" thickBot="1" x14ac:dyDescent="0.3"/>
    <row r="4" spans="3:16" ht="21.95" customHeight="1" x14ac:dyDescent="0.25">
      <c r="C4" s="85" t="s">
        <v>82</v>
      </c>
      <c r="D4" s="55" t="s">
        <v>83</v>
      </c>
      <c r="E4" s="55" t="s">
        <v>84</v>
      </c>
      <c r="F4" s="55" t="s">
        <v>85</v>
      </c>
      <c r="G4" s="55" t="s">
        <v>86</v>
      </c>
      <c r="H4" s="55" t="s">
        <v>87</v>
      </c>
      <c r="I4" s="55" t="s">
        <v>88</v>
      </c>
      <c r="J4" s="55" t="s">
        <v>89</v>
      </c>
      <c r="K4" s="55" t="s">
        <v>90</v>
      </c>
      <c r="L4" s="55" t="s">
        <v>91</v>
      </c>
      <c r="M4" s="55" t="s">
        <v>92</v>
      </c>
      <c r="N4" s="55" t="s">
        <v>93</v>
      </c>
      <c r="O4" s="55" t="s">
        <v>94</v>
      </c>
      <c r="P4" s="56" t="s">
        <v>95</v>
      </c>
    </row>
    <row r="5" spans="3:16" ht="24.95" customHeight="1" x14ac:dyDescent="0.25">
      <c r="C5" s="86" t="s">
        <v>80</v>
      </c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91">
        <f t="shared" ref="P5:P10" si="0">SUM(D5:O5)</f>
        <v>0</v>
      </c>
    </row>
    <row r="6" spans="3:16" ht="24.95" customHeight="1" x14ac:dyDescent="0.25">
      <c r="C6" s="92" t="s">
        <v>81</v>
      </c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93">
        <f t="shared" si="0"/>
        <v>0</v>
      </c>
    </row>
    <row r="7" spans="3:16" ht="24.95" customHeight="1" x14ac:dyDescent="0.25">
      <c r="C7" s="92" t="s">
        <v>75</v>
      </c>
      <c r="D7" s="75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93">
        <f t="shared" si="0"/>
        <v>0</v>
      </c>
    </row>
    <row r="8" spans="3:16" ht="24.95" customHeight="1" x14ac:dyDescent="0.25">
      <c r="C8" s="92" t="s">
        <v>76</v>
      </c>
      <c r="D8" s="75"/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93">
        <f t="shared" si="0"/>
        <v>0</v>
      </c>
    </row>
    <row r="9" spans="3:16" ht="24.95" customHeight="1" x14ac:dyDescent="0.25">
      <c r="C9" s="94" t="s">
        <v>77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93">
        <f t="shared" si="0"/>
        <v>0</v>
      </c>
    </row>
    <row r="10" spans="3:16" ht="24.95" customHeight="1" x14ac:dyDescent="0.25">
      <c r="C10" s="224" t="s">
        <v>99</v>
      </c>
      <c r="D10" s="225">
        <f>SUM(D5:D9)</f>
        <v>0</v>
      </c>
      <c r="E10" s="225">
        <f t="shared" ref="E10:O10" si="1">SUM(E5:E9)</f>
        <v>0</v>
      </c>
      <c r="F10" s="225">
        <f t="shared" si="1"/>
        <v>0</v>
      </c>
      <c r="G10" s="225">
        <f t="shared" si="1"/>
        <v>0</v>
      </c>
      <c r="H10" s="225">
        <f t="shared" si="1"/>
        <v>0</v>
      </c>
      <c r="I10" s="225">
        <f t="shared" si="1"/>
        <v>0</v>
      </c>
      <c r="J10" s="225">
        <f t="shared" si="1"/>
        <v>0</v>
      </c>
      <c r="K10" s="225">
        <f t="shared" si="1"/>
        <v>0</v>
      </c>
      <c r="L10" s="225">
        <f t="shared" si="1"/>
        <v>0</v>
      </c>
      <c r="M10" s="225">
        <f t="shared" si="1"/>
        <v>0</v>
      </c>
      <c r="N10" s="225">
        <f t="shared" si="1"/>
        <v>0</v>
      </c>
      <c r="O10" s="225">
        <f t="shared" si="1"/>
        <v>0</v>
      </c>
      <c r="P10" s="93">
        <f t="shared" si="0"/>
        <v>0</v>
      </c>
    </row>
    <row r="11" spans="3:16" ht="24.95" customHeight="1" x14ac:dyDescent="0.25">
      <c r="C11" s="222" t="s">
        <v>120</v>
      </c>
      <c r="D11" s="174" t="str">
        <f>IF(Simp1!D11="","",Simp1!D11)</f>
        <v/>
      </c>
      <c r="E11" s="174" t="str">
        <f>IF(Simp1!E11="","",Simp1!E11)</f>
        <v/>
      </c>
      <c r="F11" s="174" t="str">
        <f>IF(Simp1!F11="","",Simp1!F11)</f>
        <v/>
      </c>
      <c r="G11" s="174" t="str">
        <f>IF(Simp1!G11="","",Simp1!G11)</f>
        <v/>
      </c>
      <c r="H11" s="174" t="str">
        <f>IF(Simp1!H11="","",Simp1!H11)</f>
        <v/>
      </c>
      <c r="I11" s="174" t="str">
        <f>IF(Simp1!I11="","",Simp1!I11)</f>
        <v/>
      </c>
      <c r="J11" s="174" t="str">
        <f>IF(Simp1!J11="","",Simp1!J11)</f>
        <v/>
      </c>
      <c r="K11" s="174" t="str">
        <f>IF(Simp1!K11="","",Simp1!K11)</f>
        <v/>
      </c>
      <c r="L11" s="174" t="str">
        <f>IF(Simp1!L11="","",Simp1!L11)</f>
        <v/>
      </c>
      <c r="M11" s="174" t="str">
        <f>IF(Simp1!M11="","",Simp1!M11)</f>
        <v/>
      </c>
      <c r="N11" s="174" t="str">
        <f>IF(Simp1!N11="","",Simp1!N11)</f>
        <v/>
      </c>
      <c r="O11" s="174" t="str">
        <f>IF(Simp1!O11="","",Simp1!O11)</f>
        <v/>
      </c>
      <c r="P11" s="223"/>
    </row>
    <row r="12" spans="3:16" ht="9.9499999999999993" customHeight="1" thickBot="1" x14ac:dyDescent="0.3">
      <c r="C12" s="88"/>
      <c r="D12" s="88"/>
      <c r="F12" s="88"/>
      <c r="G12" s="88"/>
      <c r="I12" s="88"/>
      <c r="J12" s="88"/>
      <c r="L12" s="88"/>
      <c r="M12" s="88"/>
      <c r="O12" s="88"/>
      <c r="P12" s="147"/>
    </row>
    <row r="13" spans="3:16" ht="21.95" customHeight="1" x14ac:dyDescent="0.25">
      <c r="C13" s="85" t="s">
        <v>82</v>
      </c>
      <c r="D13" s="55" t="s">
        <v>83</v>
      </c>
      <c r="E13" s="55" t="s">
        <v>84</v>
      </c>
      <c r="F13" s="55" t="s">
        <v>85</v>
      </c>
      <c r="G13" s="55" t="s">
        <v>86</v>
      </c>
      <c r="H13" s="55" t="s">
        <v>87</v>
      </c>
      <c r="I13" s="55" t="s">
        <v>88</v>
      </c>
      <c r="J13" s="55" t="s">
        <v>89</v>
      </c>
      <c r="K13" s="55" t="s">
        <v>90</v>
      </c>
      <c r="L13" s="55" t="s">
        <v>91</v>
      </c>
      <c r="M13" s="55" t="s">
        <v>92</v>
      </c>
      <c r="N13" s="55" t="s">
        <v>93</v>
      </c>
      <c r="O13" s="55" t="s">
        <v>94</v>
      </c>
      <c r="P13" s="56" t="s">
        <v>95</v>
      </c>
    </row>
    <row r="14" spans="3:16" ht="24.95" customHeight="1" x14ac:dyDescent="0.25">
      <c r="C14" s="86" t="s">
        <v>97</v>
      </c>
      <c r="D14" s="90">
        <f>IF('BH (1)'!$D$4&lt;&gt;"Simples Nacional",0,'Sim3'!C155)</f>
        <v>0</v>
      </c>
      <c r="E14" s="90">
        <f>IF('BH (1)'!$D$4&lt;&gt;"Simples Nacional",0,'Sim3'!D155)</f>
        <v>0</v>
      </c>
      <c r="F14" s="90">
        <f>IF('BH (1)'!$D$4&lt;&gt;"Simples Nacional",0,'Sim3'!E155)</f>
        <v>0</v>
      </c>
      <c r="G14" s="90">
        <f>IF('BH (1)'!$D$4&lt;&gt;"Simples Nacional",0,'Sim3'!F155)</f>
        <v>0</v>
      </c>
      <c r="H14" s="90">
        <f>IF('BH (1)'!$D$4&lt;&gt;"Simples Nacional",0,'Sim3'!G155)</f>
        <v>0</v>
      </c>
      <c r="I14" s="90">
        <f>IF('BH (1)'!$D$4&lt;&gt;"Simples Nacional",0,'Sim3'!H155)</f>
        <v>0</v>
      </c>
      <c r="J14" s="90">
        <f>IF('BH (1)'!$D$4&lt;&gt;"Simples Nacional",0,'Sim3'!I155)</f>
        <v>0</v>
      </c>
      <c r="K14" s="90">
        <f>IF('BH (1)'!$D$4&lt;&gt;"Simples Nacional",0,'Sim3'!J155)</f>
        <v>0</v>
      </c>
      <c r="L14" s="90">
        <f>IF('BH (1)'!$D$4&lt;&gt;"Simples Nacional",0,'Sim3'!K155)</f>
        <v>0</v>
      </c>
      <c r="M14" s="90">
        <f>IF('BH (1)'!$D$4&lt;&gt;"Simples Nacional",0,'Sim3'!L155)</f>
        <v>0</v>
      </c>
      <c r="N14" s="90">
        <f>IF('BH (1)'!$D$4&lt;&gt;"Simples Nacional",0,'Sim3'!M155)</f>
        <v>0</v>
      </c>
      <c r="O14" s="90">
        <f>IF('BH (1)'!$D$4&lt;&gt;"Simples Nacional",0,'Sim3'!N155)</f>
        <v>0</v>
      </c>
      <c r="P14" s="91">
        <f>SUM(D14:O14)</f>
        <v>0</v>
      </c>
    </row>
    <row r="15" spans="3:16" ht="24.95" customHeight="1" x14ac:dyDescent="0.25">
      <c r="C15" s="92" t="s">
        <v>98</v>
      </c>
      <c r="D15" s="90">
        <f>IF('BH (1)'!$D$4&lt;&gt;"Simples Nacional",0,'Sim3'!C156)</f>
        <v>0</v>
      </c>
      <c r="E15" s="90">
        <f>IF('BH (1)'!$D$4&lt;&gt;"Simples Nacional",0,'Sim3'!D156)</f>
        <v>0</v>
      </c>
      <c r="F15" s="90">
        <f>IF('BH (1)'!$D$4&lt;&gt;"Simples Nacional",0,'Sim3'!E156)</f>
        <v>0</v>
      </c>
      <c r="G15" s="90">
        <f>IF('BH (1)'!$D$4&lt;&gt;"Simples Nacional",0,'Sim3'!F156)</f>
        <v>0</v>
      </c>
      <c r="H15" s="90">
        <f>IF('BH (1)'!$D$4&lt;&gt;"Simples Nacional",0,'Sim3'!G156)</f>
        <v>0</v>
      </c>
      <c r="I15" s="90">
        <f>IF('BH (1)'!$D$4&lt;&gt;"Simples Nacional",0,'Sim3'!H156)</f>
        <v>0</v>
      </c>
      <c r="J15" s="90">
        <f>IF('BH (1)'!$D$4&lt;&gt;"Simples Nacional",0,'Sim3'!I156)</f>
        <v>0</v>
      </c>
      <c r="K15" s="90">
        <f>IF('BH (1)'!$D$4&lt;&gt;"Simples Nacional",0,'Sim3'!J156)</f>
        <v>0</v>
      </c>
      <c r="L15" s="90">
        <f>IF('BH (1)'!$D$4&lt;&gt;"Simples Nacional",0,'Sim3'!K156)</f>
        <v>0</v>
      </c>
      <c r="M15" s="90">
        <f>IF('BH (1)'!$D$4&lt;&gt;"Simples Nacional",0,'Sim3'!L156)</f>
        <v>0</v>
      </c>
      <c r="N15" s="90">
        <f>IF('BH (1)'!$D$4&lt;&gt;"Simples Nacional",0,'Sim3'!M156)</f>
        <v>0</v>
      </c>
      <c r="O15" s="90">
        <f>IF('BH (1)'!$D$4&lt;&gt;"Simples Nacional",0,'Sim3'!N156)</f>
        <v>0</v>
      </c>
      <c r="P15" s="93">
        <f>SUM(D15:O15)</f>
        <v>0</v>
      </c>
    </row>
    <row r="16" spans="3:16" ht="24.95" customHeight="1" x14ac:dyDescent="0.25">
      <c r="C16" s="92" t="s">
        <v>37</v>
      </c>
      <c r="D16" s="90">
        <f>IF('BH (1)'!$D$4&lt;&gt;"Simples Nacional",0,'Sim3'!C157)</f>
        <v>0</v>
      </c>
      <c r="E16" s="90">
        <f>IF('BH (1)'!$D$4&lt;&gt;"Simples Nacional",0,'Sim3'!D157)</f>
        <v>0</v>
      </c>
      <c r="F16" s="90">
        <f>IF('BH (1)'!$D$4&lt;&gt;"Simples Nacional",0,'Sim3'!E157)</f>
        <v>0</v>
      </c>
      <c r="G16" s="90">
        <f>IF('BH (1)'!$D$4&lt;&gt;"Simples Nacional",0,'Sim3'!F157)</f>
        <v>0</v>
      </c>
      <c r="H16" s="90">
        <f>IF('BH (1)'!$D$4&lt;&gt;"Simples Nacional",0,'Sim3'!G157)</f>
        <v>0</v>
      </c>
      <c r="I16" s="90">
        <f>IF('BH (1)'!$D$4&lt;&gt;"Simples Nacional",0,'Sim3'!H157)</f>
        <v>0</v>
      </c>
      <c r="J16" s="90">
        <f>IF('BH (1)'!$D$4&lt;&gt;"Simples Nacional",0,'Sim3'!I157)</f>
        <v>0</v>
      </c>
      <c r="K16" s="90">
        <f>IF('BH (1)'!$D$4&lt;&gt;"Simples Nacional",0,'Sim3'!J157)</f>
        <v>0</v>
      </c>
      <c r="L16" s="90">
        <f>IF('BH (1)'!$D$4&lt;&gt;"Simples Nacional",0,'Sim3'!K157)</f>
        <v>0</v>
      </c>
      <c r="M16" s="90">
        <f>IF('BH (1)'!$D$4&lt;&gt;"Simples Nacional",0,'Sim3'!L157)</f>
        <v>0</v>
      </c>
      <c r="N16" s="90">
        <f>IF('BH (1)'!$D$4&lt;&gt;"Simples Nacional",0,'Sim3'!M157)</f>
        <v>0</v>
      </c>
      <c r="O16" s="90">
        <f>IF('BH (1)'!$D$4&lt;&gt;"Simples Nacional",0,'Sim3'!N157)</f>
        <v>0</v>
      </c>
      <c r="P16" s="93">
        <f>SUM(D16:O16)</f>
        <v>0</v>
      </c>
    </row>
    <row r="17" spans="3:16" ht="24.95" customHeight="1" x14ac:dyDescent="0.25">
      <c r="C17" s="92" t="s">
        <v>38</v>
      </c>
      <c r="D17" s="90">
        <f>IF('BH (1)'!$D$4&lt;&gt;"Simples Nacional",0,'Sim3'!C158)</f>
        <v>0</v>
      </c>
      <c r="E17" s="90">
        <f>IF('BH (1)'!$D$4&lt;&gt;"Simples Nacional",0,'Sim3'!D158)</f>
        <v>0</v>
      </c>
      <c r="F17" s="90">
        <f>IF('BH (1)'!$D$4&lt;&gt;"Simples Nacional",0,'Sim3'!E158)</f>
        <v>0</v>
      </c>
      <c r="G17" s="90">
        <f>IF('BH (1)'!$D$4&lt;&gt;"Simples Nacional",0,'Sim3'!F158)</f>
        <v>0</v>
      </c>
      <c r="H17" s="90">
        <f>IF('BH (1)'!$D$4&lt;&gt;"Simples Nacional",0,'Sim3'!G158)</f>
        <v>0</v>
      </c>
      <c r="I17" s="90">
        <f>IF('BH (1)'!$D$4&lt;&gt;"Simples Nacional",0,'Sim3'!H158)</f>
        <v>0</v>
      </c>
      <c r="J17" s="90">
        <f>IF('BH (1)'!$D$4&lt;&gt;"Simples Nacional",0,'Sim3'!I158)</f>
        <v>0</v>
      </c>
      <c r="K17" s="90">
        <f>IF('BH (1)'!$D$4&lt;&gt;"Simples Nacional",0,'Sim3'!J158)</f>
        <v>0</v>
      </c>
      <c r="L17" s="90">
        <f>IF('BH (1)'!$D$4&lt;&gt;"Simples Nacional",0,'Sim3'!K158)</f>
        <v>0</v>
      </c>
      <c r="M17" s="90">
        <f>IF('BH (1)'!$D$4&lt;&gt;"Simples Nacional",0,'Sim3'!L158)</f>
        <v>0</v>
      </c>
      <c r="N17" s="90">
        <f>IF('BH (1)'!$D$4&lt;&gt;"Simples Nacional",0,'Sim3'!M158)</f>
        <v>0</v>
      </c>
      <c r="O17" s="90">
        <f>IF('BH (1)'!$D$4&lt;&gt;"Simples Nacional",0,'Sim3'!N158)</f>
        <v>0</v>
      </c>
      <c r="P17" s="93">
        <f t="shared" ref="P17:P22" si="2">SUM(D17:O17)</f>
        <v>0</v>
      </c>
    </row>
    <row r="18" spans="3:16" ht="24.95" customHeight="1" x14ac:dyDescent="0.25">
      <c r="C18" s="92" t="s">
        <v>39</v>
      </c>
      <c r="D18" s="90">
        <f>IF('BH (1)'!$D$4&lt;&gt;"Simples Nacional",0,'Sim3'!C159)</f>
        <v>0</v>
      </c>
      <c r="E18" s="90">
        <f>IF('BH (1)'!$D$4&lt;&gt;"Simples Nacional",0,'Sim3'!D159)</f>
        <v>0</v>
      </c>
      <c r="F18" s="90">
        <f>IF('BH (1)'!$D$4&lt;&gt;"Simples Nacional",0,'Sim3'!E159)</f>
        <v>0</v>
      </c>
      <c r="G18" s="90">
        <f>IF('BH (1)'!$D$4&lt;&gt;"Simples Nacional",0,'Sim3'!F159)</f>
        <v>0</v>
      </c>
      <c r="H18" s="90">
        <f>IF('BH (1)'!$D$4&lt;&gt;"Simples Nacional",0,'Sim3'!G159)</f>
        <v>0</v>
      </c>
      <c r="I18" s="90">
        <f>IF('BH (1)'!$D$4&lt;&gt;"Simples Nacional",0,'Sim3'!H159)</f>
        <v>0</v>
      </c>
      <c r="J18" s="90">
        <f>IF('BH (1)'!$D$4&lt;&gt;"Simples Nacional",0,'Sim3'!I159)</f>
        <v>0</v>
      </c>
      <c r="K18" s="90">
        <f>IF('BH (1)'!$D$4&lt;&gt;"Simples Nacional",0,'Sim3'!J159)</f>
        <v>0</v>
      </c>
      <c r="L18" s="90">
        <f>IF('BH (1)'!$D$4&lt;&gt;"Simples Nacional",0,'Sim3'!K159)</f>
        <v>0</v>
      </c>
      <c r="M18" s="90">
        <f>IF('BH (1)'!$D$4&lt;&gt;"Simples Nacional",0,'Sim3'!L159)</f>
        <v>0</v>
      </c>
      <c r="N18" s="90">
        <f>IF('BH (1)'!$D$4&lt;&gt;"Simples Nacional",0,'Sim3'!M159)</f>
        <v>0</v>
      </c>
      <c r="O18" s="90">
        <f>IF('BH (1)'!$D$4&lt;&gt;"Simples Nacional",0,'Sim3'!N159)</f>
        <v>0</v>
      </c>
      <c r="P18" s="93">
        <f t="shared" si="2"/>
        <v>0</v>
      </c>
    </row>
    <row r="19" spans="3:16" ht="24.95" customHeight="1" x14ac:dyDescent="0.25">
      <c r="C19" s="92" t="s">
        <v>129</v>
      </c>
      <c r="D19" s="90">
        <f>IF('BH (1)'!$D$4&lt;&gt;"Simples Nacional",0,'Sim3'!C160)</f>
        <v>0</v>
      </c>
      <c r="E19" s="90">
        <f>IF('BH (1)'!$D$4&lt;&gt;"Simples Nacional",0,'Sim3'!D160)</f>
        <v>0</v>
      </c>
      <c r="F19" s="90">
        <f>IF('BH (1)'!$D$4&lt;&gt;"Simples Nacional",0,'Sim3'!E160)</f>
        <v>0</v>
      </c>
      <c r="G19" s="90">
        <f>IF('BH (1)'!$D$4&lt;&gt;"Simples Nacional",0,'Sim3'!F160)</f>
        <v>0</v>
      </c>
      <c r="H19" s="90">
        <f>IF('BH (1)'!$D$4&lt;&gt;"Simples Nacional",0,'Sim3'!G160)</f>
        <v>0</v>
      </c>
      <c r="I19" s="90">
        <f>IF('BH (1)'!$D$4&lt;&gt;"Simples Nacional",0,'Sim3'!H160)</f>
        <v>0</v>
      </c>
      <c r="J19" s="90">
        <f>IF('BH (1)'!$D$4&lt;&gt;"Simples Nacional",0,'Sim3'!I160)</f>
        <v>0</v>
      </c>
      <c r="K19" s="90">
        <f>IF('BH (1)'!$D$4&lt;&gt;"Simples Nacional",0,'Sim3'!J160)</f>
        <v>0</v>
      </c>
      <c r="L19" s="90">
        <f>IF('BH (1)'!$D$4&lt;&gt;"Simples Nacional",0,'Sim3'!K160)</f>
        <v>0</v>
      </c>
      <c r="M19" s="90">
        <f>IF('BH (1)'!$D$4&lt;&gt;"Simples Nacional",0,'Sim3'!L160)</f>
        <v>0</v>
      </c>
      <c r="N19" s="90">
        <f>IF('BH (1)'!$D$4&lt;&gt;"Simples Nacional",0,'Sim3'!M160)</f>
        <v>0</v>
      </c>
      <c r="O19" s="90">
        <f>IF('BH (1)'!$D$4&lt;&gt;"Simples Nacional",0,'Sim3'!N160)</f>
        <v>0</v>
      </c>
      <c r="P19" s="93">
        <f t="shared" si="2"/>
        <v>0</v>
      </c>
    </row>
    <row r="20" spans="3:16" ht="24.95" customHeight="1" x14ac:dyDescent="0.25">
      <c r="C20" s="92" t="s">
        <v>42</v>
      </c>
      <c r="D20" s="90">
        <f>IF('BH (1)'!$D$4&lt;&gt;"Simples Nacional",0,'Sim3'!C161)</f>
        <v>0</v>
      </c>
      <c r="E20" s="90">
        <f>IF('BH (1)'!$D$4&lt;&gt;"Simples Nacional",0,'Sim3'!D161)</f>
        <v>0</v>
      </c>
      <c r="F20" s="90">
        <f>IF('BH (1)'!$D$4&lt;&gt;"Simples Nacional",0,'Sim3'!E161)</f>
        <v>0</v>
      </c>
      <c r="G20" s="90">
        <f>IF('BH (1)'!$D$4&lt;&gt;"Simples Nacional",0,'Sim3'!F161)</f>
        <v>0</v>
      </c>
      <c r="H20" s="90">
        <f>IF('BH (1)'!$D$4&lt;&gt;"Simples Nacional",0,'Sim3'!G161)</f>
        <v>0</v>
      </c>
      <c r="I20" s="90">
        <f>IF('BH (1)'!$D$4&lt;&gt;"Simples Nacional",0,'Sim3'!H161)</f>
        <v>0</v>
      </c>
      <c r="J20" s="90">
        <f>IF('BH (1)'!$D$4&lt;&gt;"Simples Nacional",0,'Sim3'!I161)</f>
        <v>0</v>
      </c>
      <c r="K20" s="90">
        <f>IF('BH (1)'!$D$4&lt;&gt;"Simples Nacional",0,'Sim3'!J161)</f>
        <v>0</v>
      </c>
      <c r="L20" s="90">
        <f>IF('BH (1)'!$D$4&lt;&gt;"Simples Nacional",0,'Sim3'!K161)</f>
        <v>0</v>
      </c>
      <c r="M20" s="90">
        <f>IF('BH (1)'!$D$4&lt;&gt;"Simples Nacional",0,'Sim3'!L161)</f>
        <v>0</v>
      </c>
      <c r="N20" s="90">
        <f>IF('BH (1)'!$D$4&lt;&gt;"Simples Nacional",0,'Sim3'!M161)</f>
        <v>0</v>
      </c>
      <c r="O20" s="90">
        <f>IF('BH (1)'!$D$4&lt;&gt;"Simples Nacional",0,'Sim3'!N161)</f>
        <v>0</v>
      </c>
      <c r="P20" s="93">
        <f t="shared" si="2"/>
        <v>0</v>
      </c>
    </row>
    <row r="21" spans="3:16" ht="24.95" customHeight="1" x14ac:dyDescent="0.25">
      <c r="C21" s="94" t="s">
        <v>40</v>
      </c>
      <c r="D21" s="100">
        <f>IF('BH (1)'!$D$4&lt;&gt;"Simples Nacional",0,'Sim3'!C162)</f>
        <v>0</v>
      </c>
      <c r="E21" s="99">
        <f>IF('BH (1)'!$D$4&lt;&gt;"Simples Nacional",0,'Sim3'!D162)</f>
        <v>0</v>
      </c>
      <c r="F21" s="99">
        <f>IF('BH (1)'!$D$4&lt;&gt;"Simples Nacional",0,'Sim3'!E162)</f>
        <v>0</v>
      </c>
      <c r="G21" s="99">
        <f>IF('BH (1)'!$D$4&lt;&gt;"Simples Nacional",0,'Sim3'!F162)</f>
        <v>0</v>
      </c>
      <c r="H21" s="99">
        <f>IF('BH (1)'!$D$4&lt;&gt;"Simples Nacional",0,'Sim3'!G162)</f>
        <v>0</v>
      </c>
      <c r="I21" s="99">
        <f>IF('BH (1)'!$D$4&lt;&gt;"Simples Nacional",0,'Sim3'!H162)</f>
        <v>0</v>
      </c>
      <c r="J21" s="99">
        <f>IF('BH (1)'!$D$4&lt;&gt;"Simples Nacional",0,'Sim3'!I162)</f>
        <v>0</v>
      </c>
      <c r="K21" s="99">
        <f>IF('BH (1)'!$D$4&lt;&gt;"Simples Nacional",0,'Sim3'!J162)</f>
        <v>0</v>
      </c>
      <c r="L21" s="99">
        <f>IF('BH (1)'!$D$4&lt;&gt;"Simples Nacional",0,'Sim3'!K162)</f>
        <v>0</v>
      </c>
      <c r="M21" s="99">
        <f>IF('BH (1)'!$D$4&lt;&gt;"Simples Nacional",0,'Sim3'!L162)</f>
        <v>0</v>
      </c>
      <c r="N21" s="99">
        <f>IF('BH (1)'!$D$4&lt;&gt;"Simples Nacional",0,'Sim3'!M162)</f>
        <v>0</v>
      </c>
      <c r="O21" s="100">
        <f>IF('BH (1)'!$D$4&lt;&gt;"Simples Nacional",0,'Sim3'!N162)</f>
        <v>0</v>
      </c>
      <c r="P21" s="93">
        <f t="shared" si="2"/>
        <v>0</v>
      </c>
    </row>
    <row r="22" spans="3:16" ht="24.95" customHeight="1" x14ac:dyDescent="0.25">
      <c r="C22" s="96" t="s">
        <v>99</v>
      </c>
      <c r="D22" s="97">
        <f>SUM(D14:D21)</f>
        <v>0</v>
      </c>
      <c r="E22" s="97">
        <f t="shared" ref="E22:O22" si="3">SUM(E14:E21)</f>
        <v>0</v>
      </c>
      <c r="F22" s="97">
        <f t="shared" si="3"/>
        <v>0</v>
      </c>
      <c r="G22" s="97">
        <f t="shared" si="3"/>
        <v>0</v>
      </c>
      <c r="H22" s="97">
        <f t="shared" si="3"/>
        <v>0</v>
      </c>
      <c r="I22" s="97">
        <f t="shared" si="3"/>
        <v>0</v>
      </c>
      <c r="J22" s="97">
        <f t="shared" si="3"/>
        <v>0</v>
      </c>
      <c r="K22" s="97">
        <f t="shared" si="3"/>
        <v>0</v>
      </c>
      <c r="L22" s="97">
        <f t="shared" si="3"/>
        <v>0</v>
      </c>
      <c r="M22" s="97">
        <f t="shared" si="3"/>
        <v>0</v>
      </c>
      <c r="N22" s="97">
        <f t="shared" si="3"/>
        <v>0</v>
      </c>
      <c r="O22" s="97">
        <f t="shared" si="3"/>
        <v>0</v>
      </c>
      <c r="P22" s="98">
        <f t="shared" si="2"/>
        <v>0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ilha36">
    <tabColor rgb="FF0070C0"/>
  </sheetPr>
  <dimension ref="C1:P22"/>
  <sheetViews>
    <sheetView showGridLines="0" showRowColHeaders="0" workbookViewId="0">
      <pane ySplit="4" topLeftCell="A5" activePane="bottomLeft" state="frozen"/>
      <selection activeCell="X16" sqref="X16"/>
      <selection pane="bottomLeft" activeCell="D5" sqref="D5"/>
    </sheetView>
  </sheetViews>
  <sheetFormatPr defaultRowHeight="24.95" customHeight="1" x14ac:dyDescent="0.25"/>
  <cols>
    <col min="1" max="2" width="1.7109375" style="18" customWidth="1"/>
    <col min="3" max="3" width="13.7109375" style="18" customWidth="1"/>
    <col min="4" max="16" width="13.140625" style="18" customWidth="1"/>
    <col min="17" max="16384" width="9.140625" style="18"/>
  </cols>
  <sheetData>
    <row r="1" spans="3:16" s="1" customFormat="1" ht="35.1" customHeight="1" x14ac:dyDescent="0.25"/>
    <row r="2" spans="3:16" s="3" customFormat="1" ht="30" customHeight="1" x14ac:dyDescent="0.25"/>
    <row r="3" spans="3:16" ht="69.95" customHeight="1" thickBot="1" x14ac:dyDescent="0.3"/>
    <row r="4" spans="3:16" ht="21.95" customHeight="1" x14ac:dyDescent="0.25">
      <c r="C4" s="85" t="s">
        <v>82</v>
      </c>
      <c r="D4" s="55" t="s">
        <v>83</v>
      </c>
      <c r="E4" s="55" t="s">
        <v>84</v>
      </c>
      <c r="F4" s="55" t="s">
        <v>85</v>
      </c>
      <c r="G4" s="55" t="s">
        <v>86</v>
      </c>
      <c r="H4" s="55" t="s">
        <v>87</v>
      </c>
      <c r="I4" s="55" t="s">
        <v>88</v>
      </c>
      <c r="J4" s="55" t="s">
        <v>89</v>
      </c>
      <c r="K4" s="55" t="s">
        <v>90</v>
      </c>
      <c r="L4" s="55" t="s">
        <v>91</v>
      </c>
      <c r="M4" s="55" t="s">
        <v>92</v>
      </c>
      <c r="N4" s="55" t="s">
        <v>93</v>
      </c>
      <c r="O4" s="55" t="s">
        <v>94</v>
      </c>
      <c r="P4" s="56" t="s">
        <v>95</v>
      </c>
    </row>
    <row r="5" spans="3:16" ht="24.95" customHeight="1" x14ac:dyDescent="0.25">
      <c r="C5" s="86" t="s">
        <v>80</v>
      </c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91">
        <f t="shared" ref="P5:P10" si="0">SUM(D5:O5)</f>
        <v>0</v>
      </c>
    </row>
    <row r="6" spans="3:16" ht="24.95" customHeight="1" x14ac:dyDescent="0.25">
      <c r="C6" s="92" t="s">
        <v>81</v>
      </c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93">
        <f t="shared" si="0"/>
        <v>0</v>
      </c>
    </row>
    <row r="7" spans="3:16" ht="24.95" customHeight="1" x14ac:dyDescent="0.25">
      <c r="C7" s="92" t="s">
        <v>75</v>
      </c>
      <c r="D7" s="75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93">
        <f t="shared" si="0"/>
        <v>0</v>
      </c>
    </row>
    <row r="8" spans="3:16" ht="24.95" customHeight="1" x14ac:dyDescent="0.25">
      <c r="C8" s="92" t="s">
        <v>76</v>
      </c>
      <c r="D8" s="75"/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93">
        <f t="shared" si="0"/>
        <v>0</v>
      </c>
    </row>
    <row r="9" spans="3:16" ht="24.95" customHeight="1" x14ac:dyDescent="0.25">
      <c r="C9" s="94" t="s">
        <v>77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93">
        <f t="shared" si="0"/>
        <v>0</v>
      </c>
    </row>
    <row r="10" spans="3:16" ht="24.95" customHeight="1" x14ac:dyDescent="0.25">
      <c r="C10" s="224" t="s">
        <v>99</v>
      </c>
      <c r="D10" s="225">
        <f>SUM(D5:D9)</f>
        <v>0</v>
      </c>
      <c r="E10" s="225">
        <f t="shared" ref="E10:O10" si="1">SUM(E5:E9)</f>
        <v>0</v>
      </c>
      <c r="F10" s="225">
        <f t="shared" si="1"/>
        <v>0</v>
      </c>
      <c r="G10" s="225">
        <f t="shared" si="1"/>
        <v>0</v>
      </c>
      <c r="H10" s="225">
        <f t="shared" si="1"/>
        <v>0</v>
      </c>
      <c r="I10" s="225">
        <f t="shared" si="1"/>
        <v>0</v>
      </c>
      <c r="J10" s="225">
        <f t="shared" si="1"/>
        <v>0</v>
      </c>
      <c r="K10" s="225">
        <f t="shared" si="1"/>
        <v>0</v>
      </c>
      <c r="L10" s="225">
        <f t="shared" si="1"/>
        <v>0</v>
      </c>
      <c r="M10" s="225">
        <f t="shared" si="1"/>
        <v>0</v>
      </c>
      <c r="N10" s="225">
        <f t="shared" si="1"/>
        <v>0</v>
      </c>
      <c r="O10" s="225">
        <f t="shared" si="1"/>
        <v>0</v>
      </c>
      <c r="P10" s="93">
        <f t="shared" si="0"/>
        <v>0</v>
      </c>
    </row>
    <row r="11" spans="3:16" ht="24.95" customHeight="1" x14ac:dyDescent="0.25">
      <c r="C11" s="222" t="s">
        <v>120</v>
      </c>
      <c r="D11" s="174" t="str">
        <f>IF(Simp1!D11="","",Simp1!D11)</f>
        <v/>
      </c>
      <c r="E11" s="174" t="str">
        <f>IF(Simp1!E11="","",Simp1!E11)</f>
        <v/>
      </c>
      <c r="F11" s="174" t="str">
        <f>IF(Simp1!F11="","",Simp1!F11)</f>
        <v/>
      </c>
      <c r="G11" s="174" t="str">
        <f>IF(Simp1!G11="","",Simp1!G11)</f>
        <v/>
      </c>
      <c r="H11" s="174" t="str">
        <f>IF(Simp1!H11="","",Simp1!H11)</f>
        <v/>
      </c>
      <c r="I11" s="174" t="str">
        <f>IF(Simp1!I11="","",Simp1!I11)</f>
        <v/>
      </c>
      <c r="J11" s="174" t="str">
        <f>IF(Simp1!J11="","",Simp1!J11)</f>
        <v/>
      </c>
      <c r="K11" s="174" t="str">
        <f>IF(Simp1!K11="","",Simp1!K11)</f>
        <v/>
      </c>
      <c r="L11" s="174" t="str">
        <f>IF(Simp1!L11="","",Simp1!L11)</f>
        <v/>
      </c>
      <c r="M11" s="174" t="str">
        <f>IF(Simp1!M11="","",Simp1!M11)</f>
        <v/>
      </c>
      <c r="N11" s="174" t="str">
        <f>IF(Simp1!N11="","",Simp1!N11)</f>
        <v/>
      </c>
      <c r="O11" s="174" t="str">
        <f>IF(Simp1!O11="","",Simp1!O11)</f>
        <v/>
      </c>
      <c r="P11" s="223"/>
    </row>
    <row r="12" spans="3:16" ht="9.9499999999999993" customHeight="1" thickBot="1" x14ac:dyDescent="0.3">
      <c r="C12" s="88"/>
      <c r="D12" s="88"/>
      <c r="F12" s="88"/>
      <c r="G12" s="88"/>
      <c r="I12" s="88"/>
      <c r="J12" s="88"/>
      <c r="L12" s="88"/>
      <c r="M12" s="88"/>
      <c r="O12" s="88"/>
      <c r="P12" s="147"/>
    </row>
    <row r="13" spans="3:16" ht="21.95" customHeight="1" x14ac:dyDescent="0.25">
      <c r="C13" s="85" t="s">
        <v>82</v>
      </c>
      <c r="D13" s="55" t="s">
        <v>83</v>
      </c>
      <c r="E13" s="55" t="s">
        <v>84</v>
      </c>
      <c r="F13" s="55" t="s">
        <v>85</v>
      </c>
      <c r="G13" s="55" t="s">
        <v>86</v>
      </c>
      <c r="H13" s="55" t="s">
        <v>87</v>
      </c>
      <c r="I13" s="55" t="s">
        <v>88</v>
      </c>
      <c r="J13" s="55" t="s">
        <v>89</v>
      </c>
      <c r="K13" s="55" t="s">
        <v>90</v>
      </c>
      <c r="L13" s="55" t="s">
        <v>91</v>
      </c>
      <c r="M13" s="55" t="s">
        <v>92</v>
      </c>
      <c r="N13" s="55" t="s">
        <v>93</v>
      </c>
      <c r="O13" s="55" t="s">
        <v>94</v>
      </c>
      <c r="P13" s="56" t="s">
        <v>95</v>
      </c>
    </row>
    <row r="14" spans="3:16" ht="24.95" customHeight="1" x14ac:dyDescent="0.25">
      <c r="C14" s="86" t="s">
        <v>97</v>
      </c>
      <c r="D14" s="90">
        <f>IF('BH (1)'!$D$4&lt;&gt;"Simples Nacional",0,'Sim4'!C155)</f>
        <v>0</v>
      </c>
      <c r="E14" s="90">
        <f>IF('BH (1)'!$D$4&lt;&gt;"Simples Nacional",0,'Sim4'!D155)</f>
        <v>0</v>
      </c>
      <c r="F14" s="90">
        <f>IF('BH (1)'!$D$4&lt;&gt;"Simples Nacional",0,'Sim4'!E155)</f>
        <v>0</v>
      </c>
      <c r="G14" s="90">
        <f>IF('BH (1)'!$D$4&lt;&gt;"Simples Nacional",0,'Sim4'!F155)</f>
        <v>0</v>
      </c>
      <c r="H14" s="90">
        <f>IF('BH (1)'!$D$4&lt;&gt;"Simples Nacional",0,'Sim4'!G155)</f>
        <v>0</v>
      </c>
      <c r="I14" s="90">
        <f>IF('BH (1)'!$D$4&lt;&gt;"Simples Nacional",0,'Sim4'!H155)</f>
        <v>0</v>
      </c>
      <c r="J14" s="90">
        <f>IF('BH (1)'!$D$4&lt;&gt;"Simples Nacional",0,'Sim4'!I155)</f>
        <v>0</v>
      </c>
      <c r="K14" s="90">
        <f>IF('BH (1)'!$D$4&lt;&gt;"Simples Nacional",0,'Sim4'!J155)</f>
        <v>0</v>
      </c>
      <c r="L14" s="90">
        <f>IF('BH (1)'!$D$4&lt;&gt;"Simples Nacional",0,'Sim4'!K155)</f>
        <v>0</v>
      </c>
      <c r="M14" s="90">
        <f>IF('BH (1)'!$D$4&lt;&gt;"Simples Nacional",0,'Sim4'!L155)</f>
        <v>0</v>
      </c>
      <c r="N14" s="90">
        <f>IF('BH (1)'!$D$4&lt;&gt;"Simples Nacional",0,'Sim4'!M155)</f>
        <v>0</v>
      </c>
      <c r="O14" s="90">
        <f>IF('BH (1)'!$D$4&lt;&gt;"Simples Nacional",0,'Sim4'!N155)</f>
        <v>0</v>
      </c>
      <c r="P14" s="91">
        <f>SUM(D14:O14)</f>
        <v>0</v>
      </c>
    </row>
    <row r="15" spans="3:16" ht="24.95" customHeight="1" x14ac:dyDescent="0.25">
      <c r="C15" s="92" t="s">
        <v>98</v>
      </c>
      <c r="D15" s="90">
        <f>IF('BH (1)'!$D$4&lt;&gt;"Simples Nacional",0,'Sim4'!C156)</f>
        <v>0</v>
      </c>
      <c r="E15" s="90">
        <f>IF('BH (1)'!$D$4&lt;&gt;"Simples Nacional",0,'Sim4'!D156)</f>
        <v>0</v>
      </c>
      <c r="F15" s="90">
        <f>IF('BH (1)'!$D$4&lt;&gt;"Simples Nacional",0,'Sim4'!E156)</f>
        <v>0</v>
      </c>
      <c r="G15" s="90">
        <f>IF('BH (1)'!$D$4&lt;&gt;"Simples Nacional",0,'Sim4'!F156)</f>
        <v>0</v>
      </c>
      <c r="H15" s="90">
        <f>IF('BH (1)'!$D$4&lt;&gt;"Simples Nacional",0,'Sim4'!G156)</f>
        <v>0</v>
      </c>
      <c r="I15" s="90">
        <f>IF('BH (1)'!$D$4&lt;&gt;"Simples Nacional",0,'Sim4'!H156)</f>
        <v>0</v>
      </c>
      <c r="J15" s="90">
        <f>IF('BH (1)'!$D$4&lt;&gt;"Simples Nacional",0,'Sim4'!I156)</f>
        <v>0</v>
      </c>
      <c r="K15" s="90">
        <f>IF('BH (1)'!$D$4&lt;&gt;"Simples Nacional",0,'Sim4'!J156)</f>
        <v>0</v>
      </c>
      <c r="L15" s="90">
        <f>IF('BH (1)'!$D$4&lt;&gt;"Simples Nacional",0,'Sim4'!K156)</f>
        <v>0</v>
      </c>
      <c r="M15" s="90">
        <f>IF('BH (1)'!$D$4&lt;&gt;"Simples Nacional",0,'Sim4'!L156)</f>
        <v>0</v>
      </c>
      <c r="N15" s="90">
        <f>IF('BH (1)'!$D$4&lt;&gt;"Simples Nacional",0,'Sim4'!M156)</f>
        <v>0</v>
      </c>
      <c r="O15" s="90">
        <f>IF('BH (1)'!$D$4&lt;&gt;"Simples Nacional",0,'Sim4'!N156)</f>
        <v>0</v>
      </c>
      <c r="P15" s="93">
        <f>SUM(D15:O15)</f>
        <v>0</v>
      </c>
    </row>
    <row r="16" spans="3:16" ht="24.95" customHeight="1" x14ac:dyDescent="0.25">
      <c r="C16" s="92" t="s">
        <v>37</v>
      </c>
      <c r="D16" s="90">
        <f>IF('BH (1)'!$D$4&lt;&gt;"Simples Nacional",0,'Sim4'!C157)</f>
        <v>0</v>
      </c>
      <c r="E16" s="90">
        <f>IF('BH (1)'!$D$4&lt;&gt;"Simples Nacional",0,'Sim4'!D157)</f>
        <v>0</v>
      </c>
      <c r="F16" s="90">
        <f>IF('BH (1)'!$D$4&lt;&gt;"Simples Nacional",0,'Sim4'!E157)</f>
        <v>0</v>
      </c>
      <c r="G16" s="90">
        <f>IF('BH (1)'!$D$4&lt;&gt;"Simples Nacional",0,'Sim4'!F157)</f>
        <v>0</v>
      </c>
      <c r="H16" s="90">
        <f>IF('BH (1)'!$D$4&lt;&gt;"Simples Nacional",0,'Sim4'!G157)</f>
        <v>0</v>
      </c>
      <c r="I16" s="90">
        <f>IF('BH (1)'!$D$4&lt;&gt;"Simples Nacional",0,'Sim4'!H157)</f>
        <v>0</v>
      </c>
      <c r="J16" s="90">
        <f>IF('BH (1)'!$D$4&lt;&gt;"Simples Nacional",0,'Sim4'!I157)</f>
        <v>0</v>
      </c>
      <c r="K16" s="90">
        <f>IF('BH (1)'!$D$4&lt;&gt;"Simples Nacional",0,'Sim4'!J157)</f>
        <v>0</v>
      </c>
      <c r="L16" s="90">
        <f>IF('BH (1)'!$D$4&lt;&gt;"Simples Nacional",0,'Sim4'!K157)</f>
        <v>0</v>
      </c>
      <c r="M16" s="90">
        <f>IF('BH (1)'!$D$4&lt;&gt;"Simples Nacional",0,'Sim4'!L157)</f>
        <v>0</v>
      </c>
      <c r="N16" s="90">
        <f>IF('BH (1)'!$D$4&lt;&gt;"Simples Nacional",0,'Sim4'!M157)</f>
        <v>0</v>
      </c>
      <c r="O16" s="90">
        <f>IF('BH (1)'!$D$4&lt;&gt;"Simples Nacional",0,'Sim4'!N157)</f>
        <v>0</v>
      </c>
      <c r="P16" s="93">
        <f>SUM(D16:O16)</f>
        <v>0</v>
      </c>
    </row>
    <row r="17" spans="3:16" ht="24.95" customHeight="1" x14ac:dyDescent="0.25">
      <c r="C17" s="92" t="s">
        <v>38</v>
      </c>
      <c r="D17" s="90">
        <f>IF('BH (1)'!$D$4&lt;&gt;"Simples Nacional",0,'Sim4'!C158)</f>
        <v>0</v>
      </c>
      <c r="E17" s="90">
        <f>IF('BH (1)'!$D$4&lt;&gt;"Simples Nacional",0,'Sim4'!D158)</f>
        <v>0</v>
      </c>
      <c r="F17" s="90">
        <f>IF('BH (1)'!$D$4&lt;&gt;"Simples Nacional",0,'Sim4'!E158)</f>
        <v>0</v>
      </c>
      <c r="G17" s="90">
        <f>IF('BH (1)'!$D$4&lt;&gt;"Simples Nacional",0,'Sim4'!F158)</f>
        <v>0</v>
      </c>
      <c r="H17" s="90">
        <f>IF('BH (1)'!$D$4&lt;&gt;"Simples Nacional",0,'Sim4'!G158)</f>
        <v>0</v>
      </c>
      <c r="I17" s="90">
        <f>IF('BH (1)'!$D$4&lt;&gt;"Simples Nacional",0,'Sim4'!H158)</f>
        <v>0</v>
      </c>
      <c r="J17" s="90">
        <f>IF('BH (1)'!$D$4&lt;&gt;"Simples Nacional",0,'Sim4'!I158)</f>
        <v>0</v>
      </c>
      <c r="K17" s="90">
        <f>IF('BH (1)'!$D$4&lt;&gt;"Simples Nacional",0,'Sim4'!J158)</f>
        <v>0</v>
      </c>
      <c r="L17" s="90">
        <f>IF('BH (1)'!$D$4&lt;&gt;"Simples Nacional",0,'Sim4'!K158)</f>
        <v>0</v>
      </c>
      <c r="M17" s="90">
        <f>IF('BH (1)'!$D$4&lt;&gt;"Simples Nacional",0,'Sim4'!L158)</f>
        <v>0</v>
      </c>
      <c r="N17" s="90">
        <f>IF('BH (1)'!$D$4&lt;&gt;"Simples Nacional",0,'Sim4'!M158)</f>
        <v>0</v>
      </c>
      <c r="O17" s="90">
        <f>IF('BH (1)'!$D$4&lt;&gt;"Simples Nacional",0,'Sim4'!N158)</f>
        <v>0</v>
      </c>
      <c r="P17" s="93">
        <f t="shared" ref="P17:P22" si="2">SUM(D17:O17)</f>
        <v>0</v>
      </c>
    </row>
    <row r="18" spans="3:16" ht="24.95" customHeight="1" x14ac:dyDescent="0.25">
      <c r="C18" s="92" t="s">
        <v>39</v>
      </c>
      <c r="D18" s="90">
        <f>IF('BH (1)'!$D$4&lt;&gt;"Simples Nacional",0,'Sim4'!C159)</f>
        <v>0</v>
      </c>
      <c r="E18" s="90">
        <f>IF('BH (1)'!$D$4&lt;&gt;"Simples Nacional",0,'Sim4'!D159)</f>
        <v>0</v>
      </c>
      <c r="F18" s="90">
        <f>IF('BH (1)'!$D$4&lt;&gt;"Simples Nacional",0,'Sim4'!E159)</f>
        <v>0</v>
      </c>
      <c r="G18" s="90">
        <f>IF('BH (1)'!$D$4&lt;&gt;"Simples Nacional",0,'Sim4'!F159)</f>
        <v>0</v>
      </c>
      <c r="H18" s="90">
        <f>IF('BH (1)'!$D$4&lt;&gt;"Simples Nacional",0,'Sim4'!G159)</f>
        <v>0</v>
      </c>
      <c r="I18" s="90">
        <f>IF('BH (1)'!$D$4&lt;&gt;"Simples Nacional",0,'Sim4'!H159)</f>
        <v>0</v>
      </c>
      <c r="J18" s="90">
        <f>IF('BH (1)'!$D$4&lt;&gt;"Simples Nacional",0,'Sim4'!I159)</f>
        <v>0</v>
      </c>
      <c r="K18" s="90">
        <f>IF('BH (1)'!$D$4&lt;&gt;"Simples Nacional",0,'Sim4'!J159)</f>
        <v>0</v>
      </c>
      <c r="L18" s="90">
        <f>IF('BH (1)'!$D$4&lt;&gt;"Simples Nacional",0,'Sim4'!K159)</f>
        <v>0</v>
      </c>
      <c r="M18" s="90">
        <f>IF('BH (1)'!$D$4&lt;&gt;"Simples Nacional",0,'Sim4'!L159)</f>
        <v>0</v>
      </c>
      <c r="N18" s="90">
        <f>IF('BH (1)'!$D$4&lt;&gt;"Simples Nacional",0,'Sim4'!M159)</f>
        <v>0</v>
      </c>
      <c r="O18" s="90">
        <f>IF('BH (1)'!$D$4&lt;&gt;"Simples Nacional",0,'Sim4'!N159)</f>
        <v>0</v>
      </c>
      <c r="P18" s="93">
        <f t="shared" si="2"/>
        <v>0</v>
      </c>
    </row>
    <row r="19" spans="3:16" ht="24.95" customHeight="1" x14ac:dyDescent="0.25">
      <c r="C19" s="92" t="s">
        <v>129</v>
      </c>
      <c r="D19" s="90">
        <f>IF('BH (1)'!$D$4&lt;&gt;"Simples Nacional",0,'Sim4'!C160)</f>
        <v>0</v>
      </c>
      <c r="E19" s="90">
        <f>IF('BH (1)'!$D$4&lt;&gt;"Simples Nacional",0,'Sim4'!D160)</f>
        <v>0</v>
      </c>
      <c r="F19" s="90">
        <f>IF('BH (1)'!$D$4&lt;&gt;"Simples Nacional",0,'Sim4'!E160)</f>
        <v>0</v>
      </c>
      <c r="G19" s="90">
        <f>IF('BH (1)'!$D$4&lt;&gt;"Simples Nacional",0,'Sim4'!F160)</f>
        <v>0</v>
      </c>
      <c r="H19" s="90">
        <f>IF('BH (1)'!$D$4&lt;&gt;"Simples Nacional",0,'Sim4'!G160)</f>
        <v>0</v>
      </c>
      <c r="I19" s="90">
        <f>IF('BH (1)'!$D$4&lt;&gt;"Simples Nacional",0,'Sim4'!H160)</f>
        <v>0</v>
      </c>
      <c r="J19" s="90">
        <f>IF('BH (1)'!$D$4&lt;&gt;"Simples Nacional",0,'Sim4'!I160)</f>
        <v>0</v>
      </c>
      <c r="K19" s="90">
        <f>IF('BH (1)'!$D$4&lt;&gt;"Simples Nacional",0,'Sim4'!J160)</f>
        <v>0</v>
      </c>
      <c r="L19" s="90">
        <f>IF('BH (1)'!$D$4&lt;&gt;"Simples Nacional",0,'Sim4'!K160)</f>
        <v>0</v>
      </c>
      <c r="M19" s="90">
        <f>IF('BH (1)'!$D$4&lt;&gt;"Simples Nacional",0,'Sim4'!L160)</f>
        <v>0</v>
      </c>
      <c r="N19" s="90">
        <f>IF('BH (1)'!$D$4&lt;&gt;"Simples Nacional",0,'Sim4'!M160)</f>
        <v>0</v>
      </c>
      <c r="O19" s="90">
        <f>IF('BH (1)'!$D$4&lt;&gt;"Simples Nacional",0,'Sim4'!N160)</f>
        <v>0</v>
      </c>
      <c r="P19" s="93">
        <f t="shared" si="2"/>
        <v>0</v>
      </c>
    </row>
    <row r="20" spans="3:16" ht="24.95" customHeight="1" x14ac:dyDescent="0.25">
      <c r="C20" s="92" t="s">
        <v>42</v>
      </c>
      <c r="D20" s="90">
        <f>IF('BH (1)'!$D$4&lt;&gt;"Simples Nacional",0,'Sim4'!C161)</f>
        <v>0</v>
      </c>
      <c r="E20" s="90">
        <f>IF('BH (1)'!$D$4&lt;&gt;"Simples Nacional",0,'Sim4'!D161)</f>
        <v>0</v>
      </c>
      <c r="F20" s="90">
        <f>IF('BH (1)'!$D$4&lt;&gt;"Simples Nacional",0,'Sim4'!E161)</f>
        <v>0</v>
      </c>
      <c r="G20" s="90">
        <f>IF('BH (1)'!$D$4&lt;&gt;"Simples Nacional",0,'Sim4'!F161)</f>
        <v>0</v>
      </c>
      <c r="H20" s="90">
        <f>IF('BH (1)'!$D$4&lt;&gt;"Simples Nacional",0,'Sim4'!G161)</f>
        <v>0</v>
      </c>
      <c r="I20" s="90">
        <f>IF('BH (1)'!$D$4&lt;&gt;"Simples Nacional",0,'Sim4'!H161)</f>
        <v>0</v>
      </c>
      <c r="J20" s="90">
        <f>IF('BH (1)'!$D$4&lt;&gt;"Simples Nacional",0,'Sim4'!I161)</f>
        <v>0</v>
      </c>
      <c r="K20" s="90">
        <f>IF('BH (1)'!$D$4&lt;&gt;"Simples Nacional",0,'Sim4'!J161)</f>
        <v>0</v>
      </c>
      <c r="L20" s="90">
        <f>IF('BH (1)'!$D$4&lt;&gt;"Simples Nacional",0,'Sim4'!K161)</f>
        <v>0</v>
      </c>
      <c r="M20" s="90">
        <f>IF('BH (1)'!$D$4&lt;&gt;"Simples Nacional",0,'Sim4'!L161)</f>
        <v>0</v>
      </c>
      <c r="N20" s="90">
        <f>IF('BH (1)'!$D$4&lt;&gt;"Simples Nacional",0,'Sim4'!M161)</f>
        <v>0</v>
      </c>
      <c r="O20" s="90">
        <f>IF('BH (1)'!$D$4&lt;&gt;"Simples Nacional",0,'Sim4'!N161)</f>
        <v>0</v>
      </c>
      <c r="P20" s="93">
        <f t="shared" si="2"/>
        <v>0</v>
      </c>
    </row>
    <row r="21" spans="3:16" ht="24.95" customHeight="1" x14ac:dyDescent="0.25">
      <c r="C21" s="94" t="s">
        <v>40</v>
      </c>
      <c r="D21" s="100">
        <f>IF('BH (1)'!$D$4&lt;&gt;"Simples Nacional",0,'Sim4'!C162)</f>
        <v>0</v>
      </c>
      <c r="E21" s="99">
        <f>IF('BH (1)'!$D$4&lt;&gt;"Simples Nacional",0,'Sim4'!D162)</f>
        <v>0</v>
      </c>
      <c r="F21" s="99">
        <f>IF('BH (1)'!$D$4&lt;&gt;"Simples Nacional",0,'Sim4'!E162)</f>
        <v>0</v>
      </c>
      <c r="G21" s="99">
        <f>IF('BH (1)'!$D$4&lt;&gt;"Simples Nacional",0,'Sim4'!F162)</f>
        <v>0</v>
      </c>
      <c r="H21" s="99">
        <f>IF('BH (1)'!$D$4&lt;&gt;"Simples Nacional",0,'Sim4'!G162)</f>
        <v>0</v>
      </c>
      <c r="I21" s="99">
        <f>IF('BH (1)'!$D$4&lt;&gt;"Simples Nacional",0,'Sim4'!H162)</f>
        <v>0</v>
      </c>
      <c r="J21" s="99">
        <f>IF('BH (1)'!$D$4&lt;&gt;"Simples Nacional",0,'Sim4'!I162)</f>
        <v>0</v>
      </c>
      <c r="K21" s="99">
        <f>IF('BH (1)'!$D$4&lt;&gt;"Simples Nacional",0,'Sim4'!J162)</f>
        <v>0</v>
      </c>
      <c r="L21" s="99">
        <f>IF('BH (1)'!$D$4&lt;&gt;"Simples Nacional",0,'Sim4'!K162)</f>
        <v>0</v>
      </c>
      <c r="M21" s="99">
        <f>IF('BH (1)'!$D$4&lt;&gt;"Simples Nacional",0,'Sim4'!L162)</f>
        <v>0</v>
      </c>
      <c r="N21" s="99">
        <f>IF('BH (1)'!$D$4&lt;&gt;"Simples Nacional",0,'Sim4'!M162)</f>
        <v>0</v>
      </c>
      <c r="O21" s="100">
        <f>IF('BH (1)'!$D$4&lt;&gt;"Simples Nacional",0,'Sim4'!N162)</f>
        <v>0</v>
      </c>
      <c r="P21" s="93">
        <f t="shared" si="2"/>
        <v>0</v>
      </c>
    </row>
    <row r="22" spans="3:16" ht="24.95" customHeight="1" x14ac:dyDescent="0.25">
      <c r="C22" s="96" t="s">
        <v>99</v>
      </c>
      <c r="D22" s="97">
        <f>SUM(D14:D21)</f>
        <v>0</v>
      </c>
      <c r="E22" s="97">
        <f t="shared" ref="E22:O22" si="3">SUM(E14:E21)</f>
        <v>0</v>
      </c>
      <c r="F22" s="97">
        <f t="shared" si="3"/>
        <v>0</v>
      </c>
      <c r="G22" s="97">
        <f t="shared" si="3"/>
        <v>0</v>
      </c>
      <c r="H22" s="97">
        <f t="shared" si="3"/>
        <v>0</v>
      </c>
      <c r="I22" s="97">
        <f t="shared" si="3"/>
        <v>0</v>
      </c>
      <c r="J22" s="97">
        <f t="shared" si="3"/>
        <v>0</v>
      </c>
      <c r="K22" s="97">
        <f t="shared" si="3"/>
        <v>0</v>
      </c>
      <c r="L22" s="97">
        <f t="shared" si="3"/>
        <v>0</v>
      </c>
      <c r="M22" s="97">
        <f t="shared" si="3"/>
        <v>0</v>
      </c>
      <c r="N22" s="97">
        <f t="shared" si="3"/>
        <v>0</v>
      </c>
      <c r="O22" s="97">
        <f t="shared" si="3"/>
        <v>0</v>
      </c>
      <c r="P22" s="98">
        <f t="shared" si="2"/>
        <v>0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ilha37">
    <tabColor rgb="FF0070C0"/>
  </sheetPr>
  <dimension ref="C1:P22"/>
  <sheetViews>
    <sheetView showGridLines="0" showRowColHeaders="0" workbookViewId="0">
      <pane ySplit="4" topLeftCell="A5" activePane="bottomLeft" state="frozen"/>
      <selection activeCell="X16" sqref="X16"/>
      <selection pane="bottomLeft" activeCell="D5" sqref="D5"/>
    </sheetView>
  </sheetViews>
  <sheetFormatPr defaultRowHeight="24.95" customHeight="1" x14ac:dyDescent="0.25"/>
  <cols>
    <col min="1" max="2" width="1.7109375" style="18" customWidth="1"/>
    <col min="3" max="3" width="13.7109375" style="18" customWidth="1"/>
    <col min="4" max="16" width="13.140625" style="18" customWidth="1"/>
    <col min="17" max="16384" width="9.140625" style="18"/>
  </cols>
  <sheetData>
    <row r="1" spans="3:16" s="1" customFormat="1" ht="35.1" customHeight="1" x14ac:dyDescent="0.25"/>
    <row r="2" spans="3:16" s="3" customFormat="1" ht="30" customHeight="1" x14ac:dyDescent="0.25"/>
    <row r="3" spans="3:16" ht="69.95" customHeight="1" thickBot="1" x14ac:dyDescent="0.3"/>
    <row r="4" spans="3:16" ht="21.95" customHeight="1" x14ac:dyDescent="0.25">
      <c r="C4" s="85" t="s">
        <v>82</v>
      </c>
      <c r="D4" s="55" t="s">
        <v>83</v>
      </c>
      <c r="E4" s="55" t="s">
        <v>84</v>
      </c>
      <c r="F4" s="55" t="s">
        <v>85</v>
      </c>
      <c r="G4" s="55" t="s">
        <v>86</v>
      </c>
      <c r="H4" s="55" t="s">
        <v>87</v>
      </c>
      <c r="I4" s="55" t="s">
        <v>88</v>
      </c>
      <c r="J4" s="55" t="s">
        <v>89</v>
      </c>
      <c r="K4" s="55" t="s">
        <v>90</v>
      </c>
      <c r="L4" s="55" t="s">
        <v>91</v>
      </c>
      <c r="M4" s="55" t="s">
        <v>92</v>
      </c>
      <c r="N4" s="55" t="s">
        <v>93</v>
      </c>
      <c r="O4" s="55" t="s">
        <v>94</v>
      </c>
      <c r="P4" s="56" t="s">
        <v>95</v>
      </c>
    </row>
    <row r="5" spans="3:16" ht="24.95" customHeight="1" x14ac:dyDescent="0.25">
      <c r="C5" s="86" t="s">
        <v>80</v>
      </c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91">
        <f t="shared" ref="P5:P10" si="0">SUM(D5:O5)</f>
        <v>0</v>
      </c>
    </row>
    <row r="6" spans="3:16" ht="24.95" customHeight="1" x14ac:dyDescent="0.25">
      <c r="C6" s="92" t="s">
        <v>81</v>
      </c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93">
        <f t="shared" si="0"/>
        <v>0</v>
      </c>
    </row>
    <row r="7" spans="3:16" ht="24.95" customHeight="1" x14ac:dyDescent="0.25">
      <c r="C7" s="92" t="s">
        <v>75</v>
      </c>
      <c r="D7" s="75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93">
        <f t="shared" si="0"/>
        <v>0</v>
      </c>
    </row>
    <row r="8" spans="3:16" ht="24.95" customHeight="1" x14ac:dyDescent="0.25">
      <c r="C8" s="92" t="s">
        <v>76</v>
      </c>
      <c r="D8" s="75"/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93">
        <f t="shared" si="0"/>
        <v>0</v>
      </c>
    </row>
    <row r="9" spans="3:16" ht="24.95" customHeight="1" x14ac:dyDescent="0.25">
      <c r="C9" s="94" t="s">
        <v>77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93">
        <f t="shared" si="0"/>
        <v>0</v>
      </c>
    </row>
    <row r="10" spans="3:16" ht="24.95" customHeight="1" x14ac:dyDescent="0.25">
      <c r="C10" s="224" t="s">
        <v>99</v>
      </c>
      <c r="D10" s="225">
        <f>SUM(D5:D9)</f>
        <v>0</v>
      </c>
      <c r="E10" s="225">
        <f t="shared" ref="E10:O10" si="1">SUM(E5:E9)</f>
        <v>0</v>
      </c>
      <c r="F10" s="225">
        <f t="shared" si="1"/>
        <v>0</v>
      </c>
      <c r="G10" s="225">
        <f t="shared" si="1"/>
        <v>0</v>
      </c>
      <c r="H10" s="225">
        <f t="shared" si="1"/>
        <v>0</v>
      </c>
      <c r="I10" s="225">
        <f t="shared" si="1"/>
        <v>0</v>
      </c>
      <c r="J10" s="225">
        <f t="shared" si="1"/>
        <v>0</v>
      </c>
      <c r="K10" s="225">
        <f t="shared" si="1"/>
        <v>0</v>
      </c>
      <c r="L10" s="225">
        <f t="shared" si="1"/>
        <v>0</v>
      </c>
      <c r="M10" s="225">
        <f t="shared" si="1"/>
        <v>0</v>
      </c>
      <c r="N10" s="225">
        <f t="shared" si="1"/>
        <v>0</v>
      </c>
      <c r="O10" s="225">
        <f t="shared" si="1"/>
        <v>0</v>
      </c>
      <c r="P10" s="93">
        <f t="shared" si="0"/>
        <v>0</v>
      </c>
    </row>
    <row r="11" spans="3:16" ht="24.95" customHeight="1" x14ac:dyDescent="0.25">
      <c r="C11" s="222" t="s">
        <v>120</v>
      </c>
      <c r="D11" s="174" t="str">
        <f>IF(Simp1!D11="","",Simp1!D11)</f>
        <v/>
      </c>
      <c r="E11" s="174" t="str">
        <f>IF(Simp1!E11="","",Simp1!E11)</f>
        <v/>
      </c>
      <c r="F11" s="174" t="str">
        <f>IF(Simp1!F11="","",Simp1!F11)</f>
        <v/>
      </c>
      <c r="G11" s="174" t="str">
        <f>IF(Simp1!G11="","",Simp1!G11)</f>
        <v/>
      </c>
      <c r="H11" s="174" t="str">
        <f>IF(Simp1!H11="","",Simp1!H11)</f>
        <v/>
      </c>
      <c r="I11" s="174" t="str">
        <f>IF(Simp1!I11="","",Simp1!I11)</f>
        <v/>
      </c>
      <c r="J11" s="174" t="str">
        <f>IF(Simp1!J11="","",Simp1!J11)</f>
        <v/>
      </c>
      <c r="K11" s="174" t="str">
        <f>IF(Simp1!K11="","",Simp1!K11)</f>
        <v/>
      </c>
      <c r="L11" s="174" t="str">
        <f>IF(Simp1!L11="","",Simp1!L11)</f>
        <v/>
      </c>
      <c r="M11" s="174" t="str">
        <f>IF(Simp1!M11="","",Simp1!M11)</f>
        <v/>
      </c>
      <c r="N11" s="174" t="str">
        <f>IF(Simp1!N11="","",Simp1!N11)</f>
        <v/>
      </c>
      <c r="O11" s="174" t="str">
        <f>IF(Simp1!O11="","",Simp1!O11)</f>
        <v/>
      </c>
      <c r="P11" s="223"/>
    </row>
    <row r="12" spans="3:16" ht="9.9499999999999993" customHeight="1" thickBot="1" x14ac:dyDescent="0.3">
      <c r="C12" s="88"/>
      <c r="D12" s="88"/>
      <c r="F12" s="88"/>
      <c r="G12" s="88"/>
      <c r="I12" s="88"/>
      <c r="J12" s="88"/>
      <c r="L12" s="88"/>
      <c r="M12" s="88"/>
      <c r="O12" s="88"/>
      <c r="P12" s="147"/>
    </row>
    <row r="13" spans="3:16" ht="21.95" customHeight="1" x14ac:dyDescent="0.25">
      <c r="C13" s="85" t="s">
        <v>82</v>
      </c>
      <c r="D13" s="55" t="s">
        <v>83</v>
      </c>
      <c r="E13" s="55" t="s">
        <v>84</v>
      </c>
      <c r="F13" s="55" t="s">
        <v>85</v>
      </c>
      <c r="G13" s="55" t="s">
        <v>86</v>
      </c>
      <c r="H13" s="55" t="s">
        <v>87</v>
      </c>
      <c r="I13" s="55" t="s">
        <v>88</v>
      </c>
      <c r="J13" s="55" t="s">
        <v>89</v>
      </c>
      <c r="K13" s="55" t="s">
        <v>90</v>
      </c>
      <c r="L13" s="55" t="s">
        <v>91</v>
      </c>
      <c r="M13" s="55" t="s">
        <v>92</v>
      </c>
      <c r="N13" s="55" t="s">
        <v>93</v>
      </c>
      <c r="O13" s="55" t="s">
        <v>94</v>
      </c>
      <c r="P13" s="56" t="s">
        <v>95</v>
      </c>
    </row>
    <row r="14" spans="3:16" ht="24.95" customHeight="1" x14ac:dyDescent="0.25">
      <c r="C14" s="86" t="s">
        <v>97</v>
      </c>
      <c r="D14" s="90">
        <f>IF('BH (1)'!$D$4&lt;&gt;"Simples Nacional",0,'Sim5'!C155)</f>
        <v>0</v>
      </c>
      <c r="E14" s="90">
        <f>IF('BH (1)'!$D$4&lt;&gt;"Simples Nacional",0,'Sim5'!D155)</f>
        <v>0</v>
      </c>
      <c r="F14" s="90">
        <f>IF('BH (1)'!$D$4&lt;&gt;"Simples Nacional",0,'Sim5'!E155)</f>
        <v>0</v>
      </c>
      <c r="G14" s="90">
        <f>IF('BH (1)'!$D$4&lt;&gt;"Simples Nacional",0,'Sim5'!F155)</f>
        <v>0</v>
      </c>
      <c r="H14" s="90">
        <f>IF('BH (1)'!$D$4&lt;&gt;"Simples Nacional",0,'Sim5'!G155)</f>
        <v>0</v>
      </c>
      <c r="I14" s="90">
        <f>IF('BH (1)'!$D$4&lt;&gt;"Simples Nacional",0,'Sim5'!H155)</f>
        <v>0</v>
      </c>
      <c r="J14" s="90">
        <f>IF('BH (1)'!$D$4&lt;&gt;"Simples Nacional",0,'Sim5'!I155)</f>
        <v>0</v>
      </c>
      <c r="K14" s="90">
        <f>IF('BH (1)'!$D$4&lt;&gt;"Simples Nacional",0,'Sim5'!J155)</f>
        <v>0</v>
      </c>
      <c r="L14" s="90">
        <f>IF('BH (1)'!$D$4&lt;&gt;"Simples Nacional",0,'Sim5'!K155)</f>
        <v>0</v>
      </c>
      <c r="M14" s="90">
        <f>IF('BH (1)'!$D$4&lt;&gt;"Simples Nacional",0,'Sim5'!L155)</f>
        <v>0</v>
      </c>
      <c r="N14" s="90">
        <f>IF('BH (1)'!$D$4&lt;&gt;"Simples Nacional",0,'Sim5'!M155)</f>
        <v>0</v>
      </c>
      <c r="O14" s="90">
        <f>IF('BH (1)'!$D$4&lt;&gt;"Simples Nacional",0,'Sim5'!N155)</f>
        <v>0</v>
      </c>
      <c r="P14" s="91">
        <f>SUM(D14:O14)</f>
        <v>0</v>
      </c>
    </row>
    <row r="15" spans="3:16" ht="24.95" customHeight="1" x14ac:dyDescent="0.25">
      <c r="C15" s="92" t="s">
        <v>98</v>
      </c>
      <c r="D15" s="90">
        <f>IF('BH (1)'!$D$4&lt;&gt;"Simples Nacional",0,'Sim5'!C156)</f>
        <v>0</v>
      </c>
      <c r="E15" s="90">
        <f>IF('BH (1)'!$D$4&lt;&gt;"Simples Nacional",0,'Sim5'!D156)</f>
        <v>0</v>
      </c>
      <c r="F15" s="90">
        <f>IF('BH (1)'!$D$4&lt;&gt;"Simples Nacional",0,'Sim5'!E156)</f>
        <v>0</v>
      </c>
      <c r="G15" s="90">
        <f>IF('BH (1)'!$D$4&lt;&gt;"Simples Nacional",0,'Sim5'!F156)</f>
        <v>0</v>
      </c>
      <c r="H15" s="90">
        <f>IF('BH (1)'!$D$4&lt;&gt;"Simples Nacional",0,'Sim5'!G156)</f>
        <v>0</v>
      </c>
      <c r="I15" s="90">
        <f>IF('BH (1)'!$D$4&lt;&gt;"Simples Nacional",0,'Sim5'!H156)</f>
        <v>0</v>
      </c>
      <c r="J15" s="90">
        <f>IF('BH (1)'!$D$4&lt;&gt;"Simples Nacional",0,'Sim5'!I156)</f>
        <v>0</v>
      </c>
      <c r="K15" s="90">
        <f>IF('BH (1)'!$D$4&lt;&gt;"Simples Nacional",0,'Sim5'!J156)</f>
        <v>0</v>
      </c>
      <c r="L15" s="90">
        <f>IF('BH (1)'!$D$4&lt;&gt;"Simples Nacional",0,'Sim5'!K156)</f>
        <v>0</v>
      </c>
      <c r="M15" s="90">
        <f>IF('BH (1)'!$D$4&lt;&gt;"Simples Nacional",0,'Sim5'!L156)</f>
        <v>0</v>
      </c>
      <c r="N15" s="90">
        <f>IF('BH (1)'!$D$4&lt;&gt;"Simples Nacional",0,'Sim5'!M156)</f>
        <v>0</v>
      </c>
      <c r="O15" s="90">
        <f>IF('BH (1)'!$D$4&lt;&gt;"Simples Nacional",0,'Sim5'!N156)</f>
        <v>0</v>
      </c>
      <c r="P15" s="93">
        <f>SUM(D15:O15)</f>
        <v>0</v>
      </c>
    </row>
    <row r="16" spans="3:16" ht="24.95" customHeight="1" x14ac:dyDescent="0.25">
      <c r="C16" s="92" t="s">
        <v>37</v>
      </c>
      <c r="D16" s="90">
        <f>IF('BH (1)'!$D$4&lt;&gt;"Simples Nacional",0,'Sim5'!C157)</f>
        <v>0</v>
      </c>
      <c r="E16" s="90">
        <f>IF('BH (1)'!$D$4&lt;&gt;"Simples Nacional",0,'Sim5'!D157)</f>
        <v>0</v>
      </c>
      <c r="F16" s="90">
        <f>IF('BH (1)'!$D$4&lt;&gt;"Simples Nacional",0,'Sim5'!E157)</f>
        <v>0</v>
      </c>
      <c r="G16" s="90">
        <f>IF('BH (1)'!$D$4&lt;&gt;"Simples Nacional",0,'Sim5'!F157)</f>
        <v>0</v>
      </c>
      <c r="H16" s="90">
        <f>IF('BH (1)'!$D$4&lt;&gt;"Simples Nacional",0,'Sim5'!G157)</f>
        <v>0</v>
      </c>
      <c r="I16" s="90">
        <f>IF('BH (1)'!$D$4&lt;&gt;"Simples Nacional",0,'Sim5'!H157)</f>
        <v>0</v>
      </c>
      <c r="J16" s="90">
        <f>IF('BH (1)'!$D$4&lt;&gt;"Simples Nacional",0,'Sim5'!I157)</f>
        <v>0</v>
      </c>
      <c r="K16" s="90">
        <f>IF('BH (1)'!$D$4&lt;&gt;"Simples Nacional",0,'Sim5'!J157)</f>
        <v>0</v>
      </c>
      <c r="L16" s="90">
        <f>IF('BH (1)'!$D$4&lt;&gt;"Simples Nacional",0,'Sim5'!K157)</f>
        <v>0</v>
      </c>
      <c r="M16" s="90">
        <f>IF('BH (1)'!$D$4&lt;&gt;"Simples Nacional",0,'Sim5'!L157)</f>
        <v>0</v>
      </c>
      <c r="N16" s="90">
        <f>IF('BH (1)'!$D$4&lt;&gt;"Simples Nacional",0,'Sim5'!M157)</f>
        <v>0</v>
      </c>
      <c r="O16" s="90">
        <f>IF('BH (1)'!$D$4&lt;&gt;"Simples Nacional",0,'Sim5'!N157)</f>
        <v>0</v>
      </c>
      <c r="P16" s="93">
        <f>SUM(D16:O16)</f>
        <v>0</v>
      </c>
    </row>
    <row r="17" spans="3:16" ht="24.95" customHeight="1" x14ac:dyDescent="0.25">
      <c r="C17" s="92" t="s">
        <v>38</v>
      </c>
      <c r="D17" s="90">
        <f>IF('BH (1)'!$D$4&lt;&gt;"Simples Nacional",0,'Sim5'!C158)</f>
        <v>0</v>
      </c>
      <c r="E17" s="90">
        <f>IF('BH (1)'!$D$4&lt;&gt;"Simples Nacional",0,'Sim5'!D158)</f>
        <v>0</v>
      </c>
      <c r="F17" s="90">
        <f>IF('BH (1)'!$D$4&lt;&gt;"Simples Nacional",0,'Sim5'!E158)</f>
        <v>0</v>
      </c>
      <c r="G17" s="90">
        <f>IF('BH (1)'!$D$4&lt;&gt;"Simples Nacional",0,'Sim5'!F158)</f>
        <v>0</v>
      </c>
      <c r="H17" s="90">
        <f>IF('BH (1)'!$D$4&lt;&gt;"Simples Nacional",0,'Sim5'!G158)</f>
        <v>0</v>
      </c>
      <c r="I17" s="90">
        <f>IF('BH (1)'!$D$4&lt;&gt;"Simples Nacional",0,'Sim5'!H158)</f>
        <v>0</v>
      </c>
      <c r="J17" s="90">
        <f>IF('BH (1)'!$D$4&lt;&gt;"Simples Nacional",0,'Sim5'!I158)</f>
        <v>0</v>
      </c>
      <c r="K17" s="90">
        <f>IF('BH (1)'!$D$4&lt;&gt;"Simples Nacional",0,'Sim5'!J158)</f>
        <v>0</v>
      </c>
      <c r="L17" s="90">
        <f>IF('BH (1)'!$D$4&lt;&gt;"Simples Nacional",0,'Sim5'!K158)</f>
        <v>0</v>
      </c>
      <c r="M17" s="90">
        <f>IF('BH (1)'!$D$4&lt;&gt;"Simples Nacional",0,'Sim5'!L158)</f>
        <v>0</v>
      </c>
      <c r="N17" s="90">
        <f>IF('BH (1)'!$D$4&lt;&gt;"Simples Nacional",0,'Sim5'!M158)</f>
        <v>0</v>
      </c>
      <c r="O17" s="90">
        <f>IF('BH (1)'!$D$4&lt;&gt;"Simples Nacional",0,'Sim5'!N158)</f>
        <v>0</v>
      </c>
      <c r="P17" s="93">
        <f t="shared" ref="P17:P22" si="2">SUM(D17:O17)</f>
        <v>0</v>
      </c>
    </row>
    <row r="18" spans="3:16" ht="24.95" customHeight="1" x14ac:dyDescent="0.25">
      <c r="C18" s="92" t="s">
        <v>39</v>
      </c>
      <c r="D18" s="90">
        <f>IF('BH (1)'!$D$4&lt;&gt;"Simples Nacional",0,'Sim5'!C159)</f>
        <v>0</v>
      </c>
      <c r="E18" s="90">
        <f>IF('BH (1)'!$D$4&lt;&gt;"Simples Nacional",0,'Sim5'!D159)</f>
        <v>0</v>
      </c>
      <c r="F18" s="90">
        <f>IF('BH (1)'!$D$4&lt;&gt;"Simples Nacional",0,'Sim5'!E159)</f>
        <v>0</v>
      </c>
      <c r="G18" s="90">
        <f>IF('BH (1)'!$D$4&lt;&gt;"Simples Nacional",0,'Sim5'!F159)</f>
        <v>0</v>
      </c>
      <c r="H18" s="90">
        <f>IF('BH (1)'!$D$4&lt;&gt;"Simples Nacional",0,'Sim5'!G159)</f>
        <v>0</v>
      </c>
      <c r="I18" s="90">
        <f>IF('BH (1)'!$D$4&lt;&gt;"Simples Nacional",0,'Sim5'!H159)</f>
        <v>0</v>
      </c>
      <c r="J18" s="90">
        <f>IF('BH (1)'!$D$4&lt;&gt;"Simples Nacional",0,'Sim5'!I159)</f>
        <v>0</v>
      </c>
      <c r="K18" s="90">
        <f>IF('BH (1)'!$D$4&lt;&gt;"Simples Nacional",0,'Sim5'!J159)</f>
        <v>0</v>
      </c>
      <c r="L18" s="90">
        <f>IF('BH (1)'!$D$4&lt;&gt;"Simples Nacional",0,'Sim5'!K159)</f>
        <v>0</v>
      </c>
      <c r="M18" s="90">
        <f>IF('BH (1)'!$D$4&lt;&gt;"Simples Nacional",0,'Sim5'!L159)</f>
        <v>0</v>
      </c>
      <c r="N18" s="90">
        <f>IF('BH (1)'!$D$4&lt;&gt;"Simples Nacional",0,'Sim5'!M159)</f>
        <v>0</v>
      </c>
      <c r="O18" s="90">
        <f>IF('BH (1)'!$D$4&lt;&gt;"Simples Nacional",0,'Sim5'!N159)</f>
        <v>0</v>
      </c>
      <c r="P18" s="93">
        <f t="shared" si="2"/>
        <v>0</v>
      </c>
    </row>
    <row r="19" spans="3:16" ht="24.95" customHeight="1" x14ac:dyDescent="0.25">
      <c r="C19" s="92" t="s">
        <v>129</v>
      </c>
      <c r="D19" s="90">
        <f>IF('BH (1)'!$D$4&lt;&gt;"Simples Nacional",0,'Sim5'!C160)</f>
        <v>0</v>
      </c>
      <c r="E19" s="90">
        <f>IF('BH (1)'!$D$4&lt;&gt;"Simples Nacional",0,'Sim5'!D160)</f>
        <v>0</v>
      </c>
      <c r="F19" s="90">
        <f>IF('BH (1)'!$D$4&lt;&gt;"Simples Nacional",0,'Sim5'!E160)</f>
        <v>0</v>
      </c>
      <c r="G19" s="90">
        <f>IF('BH (1)'!$D$4&lt;&gt;"Simples Nacional",0,'Sim5'!F160)</f>
        <v>0</v>
      </c>
      <c r="H19" s="90">
        <f>IF('BH (1)'!$D$4&lt;&gt;"Simples Nacional",0,'Sim5'!G160)</f>
        <v>0</v>
      </c>
      <c r="I19" s="90">
        <f>IF('BH (1)'!$D$4&lt;&gt;"Simples Nacional",0,'Sim5'!H160)</f>
        <v>0</v>
      </c>
      <c r="J19" s="90">
        <f>IF('BH (1)'!$D$4&lt;&gt;"Simples Nacional",0,'Sim5'!I160)</f>
        <v>0</v>
      </c>
      <c r="K19" s="90">
        <f>IF('BH (1)'!$D$4&lt;&gt;"Simples Nacional",0,'Sim5'!J160)</f>
        <v>0</v>
      </c>
      <c r="L19" s="90">
        <f>IF('BH (1)'!$D$4&lt;&gt;"Simples Nacional",0,'Sim5'!K160)</f>
        <v>0</v>
      </c>
      <c r="M19" s="90">
        <f>IF('BH (1)'!$D$4&lt;&gt;"Simples Nacional",0,'Sim5'!L160)</f>
        <v>0</v>
      </c>
      <c r="N19" s="90">
        <f>IF('BH (1)'!$D$4&lt;&gt;"Simples Nacional",0,'Sim5'!M160)</f>
        <v>0</v>
      </c>
      <c r="O19" s="90">
        <f>IF('BH (1)'!$D$4&lt;&gt;"Simples Nacional",0,'Sim5'!N160)</f>
        <v>0</v>
      </c>
      <c r="P19" s="93">
        <f t="shared" si="2"/>
        <v>0</v>
      </c>
    </row>
    <row r="20" spans="3:16" ht="24.95" customHeight="1" x14ac:dyDescent="0.25">
      <c r="C20" s="92" t="s">
        <v>42</v>
      </c>
      <c r="D20" s="90">
        <f>IF('BH (1)'!$D$4&lt;&gt;"Simples Nacional",0,'Sim5'!C161)</f>
        <v>0</v>
      </c>
      <c r="E20" s="90">
        <f>IF('BH (1)'!$D$4&lt;&gt;"Simples Nacional",0,'Sim5'!D161)</f>
        <v>0</v>
      </c>
      <c r="F20" s="90">
        <f>IF('BH (1)'!$D$4&lt;&gt;"Simples Nacional",0,'Sim5'!E161)</f>
        <v>0</v>
      </c>
      <c r="G20" s="90">
        <f>IF('BH (1)'!$D$4&lt;&gt;"Simples Nacional",0,'Sim5'!F161)</f>
        <v>0</v>
      </c>
      <c r="H20" s="90">
        <f>IF('BH (1)'!$D$4&lt;&gt;"Simples Nacional",0,'Sim5'!G161)</f>
        <v>0</v>
      </c>
      <c r="I20" s="90">
        <f>IF('BH (1)'!$D$4&lt;&gt;"Simples Nacional",0,'Sim5'!H161)</f>
        <v>0</v>
      </c>
      <c r="J20" s="90">
        <f>IF('BH (1)'!$D$4&lt;&gt;"Simples Nacional",0,'Sim5'!I161)</f>
        <v>0</v>
      </c>
      <c r="K20" s="90">
        <f>IF('BH (1)'!$D$4&lt;&gt;"Simples Nacional",0,'Sim5'!J161)</f>
        <v>0</v>
      </c>
      <c r="L20" s="90">
        <f>IF('BH (1)'!$D$4&lt;&gt;"Simples Nacional",0,'Sim5'!K161)</f>
        <v>0</v>
      </c>
      <c r="M20" s="90">
        <f>IF('BH (1)'!$D$4&lt;&gt;"Simples Nacional",0,'Sim5'!L161)</f>
        <v>0</v>
      </c>
      <c r="N20" s="90">
        <f>IF('BH (1)'!$D$4&lt;&gt;"Simples Nacional",0,'Sim5'!M161)</f>
        <v>0</v>
      </c>
      <c r="O20" s="90">
        <f>IF('BH (1)'!$D$4&lt;&gt;"Simples Nacional",0,'Sim5'!N161)</f>
        <v>0</v>
      </c>
      <c r="P20" s="93">
        <f t="shared" si="2"/>
        <v>0</v>
      </c>
    </row>
    <row r="21" spans="3:16" ht="24.95" customHeight="1" x14ac:dyDescent="0.25">
      <c r="C21" s="94" t="s">
        <v>40</v>
      </c>
      <c r="D21" s="100">
        <f>IF('BH (1)'!$D$4&lt;&gt;"Simples Nacional",0,'Sim5'!C162)</f>
        <v>0</v>
      </c>
      <c r="E21" s="99">
        <f>IF('BH (1)'!$D$4&lt;&gt;"Simples Nacional",0,'Sim5'!D162)</f>
        <v>0</v>
      </c>
      <c r="F21" s="99">
        <f>IF('BH (1)'!$D$4&lt;&gt;"Simples Nacional",0,'Sim5'!E162)</f>
        <v>0</v>
      </c>
      <c r="G21" s="99">
        <f>IF('BH (1)'!$D$4&lt;&gt;"Simples Nacional",0,'Sim5'!F162)</f>
        <v>0</v>
      </c>
      <c r="H21" s="99">
        <f>IF('BH (1)'!$D$4&lt;&gt;"Simples Nacional",0,'Sim5'!G162)</f>
        <v>0</v>
      </c>
      <c r="I21" s="99">
        <f>IF('BH (1)'!$D$4&lt;&gt;"Simples Nacional",0,'Sim5'!H162)</f>
        <v>0</v>
      </c>
      <c r="J21" s="99">
        <f>IF('BH (1)'!$D$4&lt;&gt;"Simples Nacional",0,'Sim5'!I162)</f>
        <v>0</v>
      </c>
      <c r="K21" s="99">
        <f>IF('BH (1)'!$D$4&lt;&gt;"Simples Nacional",0,'Sim5'!J162)</f>
        <v>0</v>
      </c>
      <c r="L21" s="99">
        <f>IF('BH (1)'!$D$4&lt;&gt;"Simples Nacional",0,'Sim5'!K162)</f>
        <v>0</v>
      </c>
      <c r="M21" s="99">
        <f>IF('BH (1)'!$D$4&lt;&gt;"Simples Nacional",0,'Sim5'!L162)</f>
        <v>0</v>
      </c>
      <c r="N21" s="99">
        <f>IF('BH (1)'!$D$4&lt;&gt;"Simples Nacional",0,'Sim5'!M162)</f>
        <v>0</v>
      </c>
      <c r="O21" s="100">
        <f>IF('BH (1)'!$D$4&lt;&gt;"Simples Nacional",0,'Sim5'!N162)</f>
        <v>0</v>
      </c>
      <c r="P21" s="93">
        <f t="shared" si="2"/>
        <v>0</v>
      </c>
    </row>
    <row r="22" spans="3:16" ht="24.95" customHeight="1" x14ac:dyDescent="0.25">
      <c r="C22" s="96" t="s">
        <v>99</v>
      </c>
      <c r="D22" s="97">
        <f>SUM(D14:D21)</f>
        <v>0</v>
      </c>
      <c r="E22" s="97">
        <f t="shared" ref="E22:O22" si="3">SUM(E14:E21)</f>
        <v>0</v>
      </c>
      <c r="F22" s="97">
        <f t="shared" si="3"/>
        <v>0</v>
      </c>
      <c r="G22" s="97">
        <f t="shared" si="3"/>
        <v>0</v>
      </c>
      <c r="H22" s="97">
        <f t="shared" si="3"/>
        <v>0</v>
      </c>
      <c r="I22" s="97">
        <f t="shared" si="3"/>
        <v>0</v>
      </c>
      <c r="J22" s="97">
        <f t="shared" si="3"/>
        <v>0</v>
      </c>
      <c r="K22" s="97">
        <f t="shared" si="3"/>
        <v>0</v>
      </c>
      <c r="L22" s="97">
        <f t="shared" si="3"/>
        <v>0</v>
      </c>
      <c r="M22" s="97">
        <f t="shared" si="3"/>
        <v>0</v>
      </c>
      <c r="N22" s="97">
        <f t="shared" si="3"/>
        <v>0</v>
      </c>
      <c r="O22" s="97">
        <f t="shared" si="3"/>
        <v>0</v>
      </c>
      <c r="P22" s="98">
        <f t="shared" si="2"/>
        <v>0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Planilha38">
    <tabColor rgb="FF0070C0"/>
  </sheetPr>
  <dimension ref="C1:P22"/>
  <sheetViews>
    <sheetView showGridLines="0" showRowColHeaders="0" workbookViewId="0">
      <pane ySplit="4" topLeftCell="A5" activePane="bottomLeft" state="frozen"/>
      <selection activeCell="X16" sqref="X16"/>
      <selection pane="bottomLeft"/>
    </sheetView>
  </sheetViews>
  <sheetFormatPr defaultRowHeight="24.95" customHeight="1" x14ac:dyDescent="0.25"/>
  <cols>
    <col min="1" max="2" width="1.7109375" style="18" customWidth="1"/>
    <col min="3" max="3" width="13.7109375" style="18" customWidth="1"/>
    <col min="4" max="16" width="13.140625" style="18" customWidth="1"/>
    <col min="17" max="16384" width="9.140625" style="18"/>
  </cols>
  <sheetData>
    <row r="1" spans="3:16" s="1" customFormat="1" ht="35.1" customHeight="1" x14ac:dyDescent="0.25"/>
    <row r="2" spans="3:16" s="3" customFormat="1" ht="30" customHeight="1" x14ac:dyDescent="0.25"/>
    <row r="3" spans="3:16" ht="69.95" customHeight="1" thickBot="1" x14ac:dyDescent="0.3"/>
    <row r="4" spans="3:16" ht="21.95" customHeight="1" x14ac:dyDescent="0.25">
      <c r="C4" s="85" t="s">
        <v>82</v>
      </c>
      <c r="D4" s="55" t="s">
        <v>83</v>
      </c>
      <c r="E4" s="55" t="s">
        <v>84</v>
      </c>
      <c r="F4" s="55" t="s">
        <v>85</v>
      </c>
      <c r="G4" s="55" t="s">
        <v>86</v>
      </c>
      <c r="H4" s="55" t="s">
        <v>87</v>
      </c>
      <c r="I4" s="55" t="s">
        <v>88</v>
      </c>
      <c r="J4" s="55" t="s">
        <v>89</v>
      </c>
      <c r="K4" s="55" t="s">
        <v>90</v>
      </c>
      <c r="L4" s="55" t="s">
        <v>91</v>
      </c>
      <c r="M4" s="55" t="s">
        <v>92</v>
      </c>
      <c r="N4" s="55" t="s">
        <v>93</v>
      </c>
      <c r="O4" s="55" t="s">
        <v>94</v>
      </c>
      <c r="P4" s="56" t="s">
        <v>95</v>
      </c>
    </row>
    <row r="5" spans="3:16" ht="24.95" customHeight="1" x14ac:dyDescent="0.25">
      <c r="C5" s="86" t="s">
        <v>80</v>
      </c>
      <c r="D5" s="90">
        <f>IFERROR(Simp1!D5+Simp2!D5+Simp3!D5+Simp4!D5+Simp5!D5,0)</f>
        <v>0</v>
      </c>
      <c r="E5" s="90">
        <f>IFERROR(Simp1!E5+Simp2!E5+Simp3!E5+Simp4!E5+Simp5!E5,0)</f>
        <v>0</v>
      </c>
      <c r="F5" s="90">
        <f>IFERROR(Simp1!F5+Simp2!F5+Simp3!F5+Simp4!F5+Simp5!F5,0)</f>
        <v>0</v>
      </c>
      <c r="G5" s="90">
        <f>IFERROR(Simp1!G5+Simp2!G5+Simp3!G5+Simp4!G5+Simp5!G5,0)</f>
        <v>0</v>
      </c>
      <c r="H5" s="90">
        <f>IFERROR(Simp1!H5+Simp2!H5+Simp3!H5+Simp4!H5+Simp5!H5,0)</f>
        <v>0</v>
      </c>
      <c r="I5" s="90">
        <f>IFERROR(Simp1!I5+Simp2!I5+Simp3!I5+Simp4!I5+Simp5!I5,0)</f>
        <v>0</v>
      </c>
      <c r="J5" s="90">
        <f>IFERROR(Simp1!J5+Simp2!J5+Simp3!J5+Simp4!J5+Simp5!J5,0)</f>
        <v>0</v>
      </c>
      <c r="K5" s="90">
        <f>IFERROR(Simp1!K5+Simp2!K5+Simp3!K5+Simp4!K5+Simp5!K5,0)</f>
        <v>0</v>
      </c>
      <c r="L5" s="90">
        <f>IFERROR(Simp1!L5+Simp2!L5+Simp3!L5+Simp4!L5+Simp5!L5,0)</f>
        <v>0</v>
      </c>
      <c r="M5" s="90">
        <f>IFERROR(Simp1!M5+Simp2!M5+Simp3!M5+Simp4!M5+Simp5!M5,0)</f>
        <v>0</v>
      </c>
      <c r="N5" s="90">
        <f>IFERROR(Simp1!N5+Simp2!N5+Simp3!N5+Simp4!N5+Simp5!N5,0)</f>
        <v>0</v>
      </c>
      <c r="O5" s="90">
        <f>IFERROR(Simp1!O5+Simp2!O5+Simp3!O5+Simp4!O5+Simp5!O5,0)</f>
        <v>0</v>
      </c>
      <c r="P5" s="91">
        <f t="shared" ref="P5:P10" si="0">SUM(D5:O5)</f>
        <v>0</v>
      </c>
    </row>
    <row r="6" spans="3:16" ht="24.95" customHeight="1" x14ac:dyDescent="0.25">
      <c r="C6" s="92" t="s">
        <v>81</v>
      </c>
      <c r="D6" s="90">
        <f>IFERROR(Simp1!D6+Simp2!D6+Simp3!D6+Simp4!D6+Simp5!D6,0)</f>
        <v>0</v>
      </c>
      <c r="E6" s="90">
        <f>IFERROR(Simp1!E6+Simp2!E6+Simp3!E6+Simp4!E6+Simp5!E6,0)</f>
        <v>0</v>
      </c>
      <c r="F6" s="90">
        <f>IFERROR(Simp1!F6+Simp2!F6+Simp3!F6+Simp4!F6+Simp5!F6,0)</f>
        <v>0</v>
      </c>
      <c r="G6" s="90">
        <f>IFERROR(Simp1!G6+Simp2!G6+Simp3!G6+Simp4!G6+Simp5!G6,0)</f>
        <v>0</v>
      </c>
      <c r="H6" s="90">
        <f>IFERROR(Simp1!H6+Simp2!H6+Simp3!H6+Simp4!H6+Simp5!H6,0)</f>
        <v>0</v>
      </c>
      <c r="I6" s="90">
        <f>IFERROR(Simp1!I6+Simp2!I6+Simp3!I6+Simp4!I6+Simp5!I6,0)</f>
        <v>0</v>
      </c>
      <c r="J6" s="90">
        <f>IFERROR(Simp1!J6+Simp2!J6+Simp3!J6+Simp4!J6+Simp5!J6,0)</f>
        <v>0</v>
      </c>
      <c r="K6" s="90">
        <f>IFERROR(Simp1!K6+Simp2!K6+Simp3!K6+Simp4!K6+Simp5!K6,0)</f>
        <v>0</v>
      </c>
      <c r="L6" s="90">
        <f>IFERROR(Simp1!L6+Simp2!L6+Simp3!L6+Simp4!L6+Simp5!L6,0)</f>
        <v>0</v>
      </c>
      <c r="M6" s="90">
        <f>IFERROR(Simp1!M6+Simp2!M6+Simp3!M6+Simp4!M6+Simp5!M6,0)</f>
        <v>0</v>
      </c>
      <c r="N6" s="90">
        <f>IFERROR(Simp1!N6+Simp2!N6+Simp3!N6+Simp4!N6+Simp5!N6,0)</f>
        <v>0</v>
      </c>
      <c r="O6" s="90">
        <f>IFERROR(Simp1!O6+Simp2!O6+Simp3!O6+Simp4!O6+Simp5!O6,0)</f>
        <v>0</v>
      </c>
      <c r="P6" s="93">
        <f t="shared" si="0"/>
        <v>0</v>
      </c>
    </row>
    <row r="7" spans="3:16" ht="24.95" customHeight="1" x14ac:dyDescent="0.25">
      <c r="C7" s="92" t="s">
        <v>75</v>
      </c>
      <c r="D7" s="90">
        <f>IFERROR(Simp1!D7+Simp2!D7+Simp3!D7+Simp4!D7+Simp5!D7,0)</f>
        <v>0</v>
      </c>
      <c r="E7" s="90">
        <f>IFERROR(Simp1!E7+Simp2!E7+Simp3!E7+Simp4!E7+Simp5!E7,0)</f>
        <v>0</v>
      </c>
      <c r="F7" s="90">
        <f>IFERROR(Simp1!F7+Simp2!F7+Simp3!F7+Simp4!F7+Simp5!F7,0)</f>
        <v>0</v>
      </c>
      <c r="G7" s="90">
        <f>IFERROR(Simp1!G7+Simp2!G7+Simp3!G7+Simp4!G7+Simp5!G7,0)</f>
        <v>0</v>
      </c>
      <c r="H7" s="90">
        <f>IFERROR(Simp1!H7+Simp2!H7+Simp3!H7+Simp4!H7+Simp5!H7,0)</f>
        <v>0</v>
      </c>
      <c r="I7" s="90">
        <f>IFERROR(Simp1!I7+Simp2!I7+Simp3!I7+Simp4!I7+Simp5!I7,0)</f>
        <v>0</v>
      </c>
      <c r="J7" s="90">
        <f>IFERROR(Simp1!J7+Simp2!J7+Simp3!J7+Simp4!J7+Simp5!J7,0)</f>
        <v>0</v>
      </c>
      <c r="K7" s="90">
        <f>IFERROR(Simp1!K7+Simp2!K7+Simp3!K7+Simp4!K7+Simp5!K7,0)</f>
        <v>0</v>
      </c>
      <c r="L7" s="90">
        <f>IFERROR(Simp1!L7+Simp2!L7+Simp3!L7+Simp4!L7+Simp5!L7,0)</f>
        <v>0</v>
      </c>
      <c r="M7" s="90">
        <f>IFERROR(Simp1!M7+Simp2!M7+Simp3!M7+Simp4!M7+Simp5!M7,0)</f>
        <v>0</v>
      </c>
      <c r="N7" s="90">
        <f>IFERROR(Simp1!N7+Simp2!N7+Simp3!N7+Simp4!N7+Simp5!N7,0)</f>
        <v>0</v>
      </c>
      <c r="O7" s="90">
        <f>IFERROR(Simp1!O7+Simp2!O7+Simp3!O7+Simp4!O7+Simp5!O7,0)</f>
        <v>0</v>
      </c>
      <c r="P7" s="93">
        <f t="shared" si="0"/>
        <v>0</v>
      </c>
    </row>
    <row r="8" spans="3:16" ht="24.95" customHeight="1" x14ac:dyDescent="0.25">
      <c r="C8" s="92" t="s">
        <v>76</v>
      </c>
      <c r="D8" s="90">
        <f>IFERROR(Simp1!D8+Simp2!D8+Simp3!D8+Simp4!D8+Simp5!D8,0)</f>
        <v>0</v>
      </c>
      <c r="E8" s="90">
        <f>IFERROR(Simp1!E8+Simp2!E8+Simp3!E8+Simp4!E8+Simp5!E8,0)</f>
        <v>0</v>
      </c>
      <c r="F8" s="90">
        <f>IFERROR(Simp1!F8+Simp2!F8+Simp3!F8+Simp4!F8+Simp5!F8,0)</f>
        <v>0</v>
      </c>
      <c r="G8" s="90">
        <f>IFERROR(Simp1!G8+Simp2!G8+Simp3!G8+Simp4!G8+Simp5!G8,0)</f>
        <v>0</v>
      </c>
      <c r="H8" s="90">
        <f>IFERROR(Simp1!H8+Simp2!H8+Simp3!H8+Simp4!H8+Simp5!H8,0)</f>
        <v>0</v>
      </c>
      <c r="I8" s="90">
        <f>IFERROR(Simp1!I8+Simp2!I8+Simp3!I8+Simp4!I8+Simp5!I8,0)</f>
        <v>0</v>
      </c>
      <c r="J8" s="90">
        <f>IFERROR(Simp1!J8+Simp2!J8+Simp3!J8+Simp4!J8+Simp5!J8,0)</f>
        <v>0</v>
      </c>
      <c r="K8" s="90">
        <f>IFERROR(Simp1!K8+Simp2!K8+Simp3!K8+Simp4!K8+Simp5!K8,0)</f>
        <v>0</v>
      </c>
      <c r="L8" s="90">
        <f>IFERROR(Simp1!L8+Simp2!L8+Simp3!L8+Simp4!L8+Simp5!L8,0)</f>
        <v>0</v>
      </c>
      <c r="M8" s="90">
        <f>IFERROR(Simp1!M8+Simp2!M8+Simp3!M8+Simp4!M8+Simp5!M8,0)</f>
        <v>0</v>
      </c>
      <c r="N8" s="90">
        <f>IFERROR(Simp1!N8+Simp2!N8+Simp3!N8+Simp4!N8+Simp5!N8,0)</f>
        <v>0</v>
      </c>
      <c r="O8" s="90">
        <f>IFERROR(Simp1!O8+Simp2!O8+Simp3!O8+Simp4!O8+Simp5!O8,0)</f>
        <v>0</v>
      </c>
      <c r="P8" s="93">
        <f t="shared" si="0"/>
        <v>0</v>
      </c>
    </row>
    <row r="9" spans="3:16" ht="24.95" customHeight="1" x14ac:dyDescent="0.25">
      <c r="C9" s="94" t="s">
        <v>77</v>
      </c>
      <c r="D9" s="99">
        <f>IFERROR(Simp1!D9+Simp2!D9+Simp3!D9+Simp4!D9+Simp5!D9,0)</f>
        <v>0</v>
      </c>
      <c r="E9" s="99">
        <f>IFERROR(Simp1!E9+Simp2!E9+Simp3!E9+Simp4!E9+Simp5!E9,0)</f>
        <v>0</v>
      </c>
      <c r="F9" s="99">
        <f>IFERROR(Simp1!F9+Simp2!F9+Simp3!F9+Simp4!F9+Simp5!F9,0)</f>
        <v>0</v>
      </c>
      <c r="G9" s="99">
        <f>IFERROR(Simp1!G9+Simp2!G9+Simp3!G9+Simp4!G9+Simp5!G9,0)</f>
        <v>0</v>
      </c>
      <c r="H9" s="99">
        <f>IFERROR(Simp1!H9+Simp2!H9+Simp3!H9+Simp4!H9+Simp5!H9,0)</f>
        <v>0</v>
      </c>
      <c r="I9" s="99">
        <f>IFERROR(Simp1!I9+Simp2!I9+Simp3!I9+Simp4!I9+Simp5!I9,0)</f>
        <v>0</v>
      </c>
      <c r="J9" s="99">
        <f>IFERROR(Simp1!J9+Simp2!J9+Simp3!J9+Simp4!J9+Simp5!J9,0)</f>
        <v>0</v>
      </c>
      <c r="K9" s="99">
        <f>IFERROR(Simp1!K9+Simp2!K9+Simp3!K9+Simp4!K9+Simp5!K9,0)</f>
        <v>0</v>
      </c>
      <c r="L9" s="99">
        <f>IFERROR(Simp1!L9+Simp2!L9+Simp3!L9+Simp4!L9+Simp5!L9,0)</f>
        <v>0</v>
      </c>
      <c r="M9" s="99">
        <f>IFERROR(Simp1!M9+Simp2!M9+Simp3!M9+Simp4!M9+Simp5!M9,0)</f>
        <v>0</v>
      </c>
      <c r="N9" s="99">
        <f>IFERROR(Simp1!N9+Simp2!N9+Simp3!N9+Simp4!N9+Simp5!N9,0)</f>
        <v>0</v>
      </c>
      <c r="O9" s="100">
        <f>IFERROR(Simp1!O9+Simp2!O9+Simp3!O9+Simp4!O9+Simp5!O9,0)</f>
        <v>0</v>
      </c>
      <c r="P9" s="93">
        <f t="shared" si="0"/>
        <v>0</v>
      </c>
    </row>
    <row r="10" spans="3:16" ht="24.95" customHeight="1" x14ac:dyDescent="0.25">
      <c r="C10" s="224" t="s">
        <v>99</v>
      </c>
      <c r="D10" s="225">
        <f>SUM(D5:D9)</f>
        <v>0</v>
      </c>
      <c r="E10" s="225">
        <f t="shared" ref="E10:O10" si="1">SUM(E5:E9)</f>
        <v>0</v>
      </c>
      <c r="F10" s="225">
        <f t="shared" si="1"/>
        <v>0</v>
      </c>
      <c r="G10" s="225">
        <f t="shared" si="1"/>
        <v>0</v>
      </c>
      <c r="H10" s="225">
        <f t="shared" si="1"/>
        <v>0</v>
      </c>
      <c r="I10" s="225">
        <f t="shared" si="1"/>
        <v>0</v>
      </c>
      <c r="J10" s="225">
        <f t="shared" si="1"/>
        <v>0</v>
      </c>
      <c r="K10" s="225">
        <f t="shared" si="1"/>
        <v>0</v>
      </c>
      <c r="L10" s="225">
        <f t="shared" si="1"/>
        <v>0</v>
      </c>
      <c r="M10" s="225">
        <f t="shared" si="1"/>
        <v>0</v>
      </c>
      <c r="N10" s="225">
        <f t="shared" si="1"/>
        <v>0</v>
      </c>
      <c r="O10" s="225">
        <f t="shared" si="1"/>
        <v>0</v>
      </c>
      <c r="P10" s="93">
        <f t="shared" si="0"/>
        <v>0</v>
      </c>
    </row>
    <row r="11" spans="3:16" ht="24.95" customHeight="1" x14ac:dyDescent="0.25">
      <c r="C11" s="222" t="s">
        <v>120</v>
      </c>
      <c r="D11" s="174" t="str">
        <f>IF(Simp1!D11="","",Simp1!D11)</f>
        <v/>
      </c>
      <c r="E11" s="174" t="str">
        <f>IF(Simp1!E11="","",Simp1!E11)</f>
        <v/>
      </c>
      <c r="F11" s="174" t="str">
        <f>IF(Simp1!F11="","",Simp1!F11)</f>
        <v/>
      </c>
      <c r="G11" s="174" t="str">
        <f>IF(Simp1!G11="","",Simp1!G11)</f>
        <v/>
      </c>
      <c r="H11" s="174" t="str">
        <f>IF(Simp1!H11="","",Simp1!H11)</f>
        <v/>
      </c>
      <c r="I11" s="174" t="str">
        <f>IF(Simp1!I11="","",Simp1!I11)</f>
        <v/>
      </c>
      <c r="J11" s="174" t="str">
        <f>IF(Simp1!J11="","",Simp1!J11)</f>
        <v/>
      </c>
      <c r="K11" s="174" t="str">
        <f>IF(Simp1!K11="","",Simp1!K11)</f>
        <v/>
      </c>
      <c r="L11" s="174" t="str">
        <f>IF(Simp1!L11="","",Simp1!L11)</f>
        <v/>
      </c>
      <c r="M11" s="174" t="str">
        <f>IF(Simp1!M11="","",Simp1!M11)</f>
        <v/>
      </c>
      <c r="N11" s="174" t="str">
        <f>IF(Simp1!N11="","",Simp1!N11)</f>
        <v/>
      </c>
      <c r="O11" s="174" t="str">
        <f>IF(Simp1!O11="","",Simp1!O11)</f>
        <v/>
      </c>
      <c r="P11" s="223"/>
    </row>
    <row r="12" spans="3:16" ht="9.9499999999999993" customHeight="1" thickBot="1" x14ac:dyDescent="0.3">
      <c r="C12" s="88"/>
      <c r="D12" s="88"/>
      <c r="F12" s="88"/>
      <c r="G12" s="88"/>
      <c r="I12" s="88"/>
      <c r="J12" s="88"/>
      <c r="L12" s="88"/>
      <c r="M12" s="88"/>
      <c r="O12" s="88"/>
      <c r="P12" s="147"/>
    </row>
    <row r="13" spans="3:16" ht="21.95" customHeight="1" x14ac:dyDescent="0.25">
      <c r="C13" s="85" t="s">
        <v>82</v>
      </c>
      <c r="D13" s="55" t="s">
        <v>83</v>
      </c>
      <c r="E13" s="55" t="s">
        <v>84</v>
      </c>
      <c r="F13" s="55" t="s">
        <v>85</v>
      </c>
      <c r="G13" s="55" t="s">
        <v>86</v>
      </c>
      <c r="H13" s="55" t="s">
        <v>87</v>
      </c>
      <c r="I13" s="55" t="s">
        <v>88</v>
      </c>
      <c r="J13" s="55" t="s">
        <v>89</v>
      </c>
      <c r="K13" s="55" t="s">
        <v>90</v>
      </c>
      <c r="L13" s="55" t="s">
        <v>91</v>
      </c>
      <c r="M13" s="55" t="s">
        <v>92</v>
      </c>
      <c r="N13" s="55" t="s">
        <v>93</v>
      </c>
      <c r="O13" s="55" t="s">
        <v>94</v>
      </c>
      <c r="P13" s="56" t="s">
        <v>95</v>
      </c>
    </row>
    <row r="14" spans="3:16" ht="24.95" customHeight="1" x14ac:dyDescent="0.25">
      <c r="C14" s="86" t="s">
        <v>97</v>
      </c>
      <c r="D14" s="90">
        <f>IFERROR(Simp1!D14+Simp2!D14+Simp3!D14+Simp4!D14+Simp5!D14,0)</f>
        <v>0</v>
      </c>
      <c r="E14" s="90">
        <f>IFERROR(Simp1!E14+Simp2!E14+Simp3!E14+Simp4!E14+Simp5!E14,0)</f>
        <v>0</v>
      </c>
      <c r="F14" s="90">
        <f>IFERROR(Simp1!F14+Simp2!F14+Simp3!F14+Simp4!F14+Simp5!F14,0)</f>
        <v>0</v>
      </c>
      <c r="G14" s="90">
        <f>IFERROR(Simp1!G14+Simp2!G14+Simp3!G14+Simp4!G14+Simp5!G14,0)</f>
        <v>0</v>
      </c>
      <c r="H14" s="90">
        <f>IFERROR(Simp1!H14+Simp2!H14+Simp3!H14+Simp4!H14+Simp5!H14,0)</f>
        <v>0</v>
      </c>
      <c r="I14" s="90">
        <f>IFERROR(Simp1!I14+Simp2!I14+Simp3!I14+Simp4!I14+Simp5!I14,0)</f>
        <v>0</v>
      </c>
      <c r="J14" s="90">
        <f>IFERROR(Simp1!J14+Simp2!J14+Simp3!J14+Simp4!J14+Simp5!J14,0)</f>
        <v>0</v>
      </c>
      <c r="K14" s="90">
        <f>IFERROR(Simp1!K14+Simp2!K14+Simp3!K14+Simp4!K14+Simp5!K14,0)</f>
        <v>0</v>
      </c>
      <c r="L14" s="90">
        <f>IFERROR(Simp1!L14+Simp2!L14+Simp3!L14+Simp4!L14+Simp5!L14,0)</f>
        <v>0</v>
      </c>
      <c r="M14" s="90">
        <f>IFERROR(Simp1!M14+Simp2!M14+Simp3!M14+Simp4!M14+Simp5!M14,0)</f>
        <v>0</v>
      </c>
      <c r="N14" s="90">
        <f>IFERROR(Simp1!N14+Simp2!N14+Simp3!N14+Simp4!N14+Simp5!N14,0)</f>
        <v>0</v>
      </c>
      <c r="O14" s="90">
        <f>IFERROR(Simp1!O14+Simp2!O14+Simp3!O14+Simp4!O14+Simp5!O14,0)</f>
        <v>0</v>
      </c>
      <c r="P14" s="91">
        <f t="shared" ref="P14:P22" si="2">SUM(D14:O14)</f>
        <v>0</v>
      </c>
    </row>
    <row r="15" spans="3:16" ht="24.95" customHeight="1" x14ac:dyDescent="0.25">
      <c r="C15" s="92" t="s">
        <v>98</v>
      </c>
      <c r="D15" s="90">
        <f>IFERROR(Simp1!D15+Simp2!D15+Simp3!D15+Simp4!D15+Simp5!D15,0)</f>
        <v>0</v>
      </c>
      <c r="E15" s="90">
        <f>IFERROR(Simp1!E15+Simp2!E15+Simp3!E15+Simp4!E15+Simp5!E15,0)</f>
        <v>0</v>
      </c>
      <c r="F15" s="90">
        <f>IFERROR(Simp1!F15+Simp2!F15+Simp3!F15+Simp4!F15+Simp5!F15,0)</f>
        <v>0</v>
      </c>
      <c r="G15" s="90">
        <f>IFERROR(Simp1!G15+Simp2!G15+Simp3!G15+Simp4!G15+Simp5!G15,0)</f>
        <v>0</v>
      </c>
      <c r="H15" s="90">
        <f>IFERROR(Simp1!H15+Simp2!H15+Simp3!H15+Simp4!H15+Simp5!H15,0)</f>
        <v>0</v>
      </c>
      <c r="I15" s="90">
        <f>IFERROR(Simp1!I15+Simp2!I15+Simp3!I15+Simp4!I15+Simp5!I15,0)</f>
        <v>0</v>
      </c>
      <c r="J15" s="90">
        <f>IFERROR(Simp1!J15+Simp2!J15+Simp3!J15+Simp4!J15+Simp5!J15,0)</f>
        <v>0</v>
      </c>
      <c r="K15" s="90">
        <f>IFERROR(Simp1!K15+Simp2!K15+Simp3!K15+Simp4!K15+Simp5!K15,0)</f>
        <v>0</v>
      </c>
      <c r="L15" s="90">
        <f>IFERROR(Simp1!L15+Simp2!L15+Simp3!L15+Simp4!L15+Simp5!L15,0)</f>
        <v>0</v>
      </c>
      <c r="M15" s="90">
        <f>IFERROR(Simp1!M15+Simp2!M15+Simp3!M15+Simp4!M15+Simp5!M15,0)</f>
        <v>0</v>
      </c>
      <c r="N15" s="90">
        <f>IFERROR(Simp1!N15+Simp2!N15+Simp3!N15+Simp4!N15+Simp5!N15,0)</f>
        <v>0</v>
      </c>
      <c r="O15" s="90">
        <f>IFERROR(Simp1!O15+Simp2!O15+Simp3!O15+Simp4!O15+Simp5!O15,0)</f>
        <v>0</v>
      </c>
      <c r="P15" s="93">
        <f t="shared" si="2"/>
        <v>0</v>
      </c>
    </row>
    <row r="16" spans="3:16" ht="24.95" customHeight="1" x14ac:dyDescent="0.25">
      <c r="C16" s="92" t="s">
        <v>37</v>
      </c>
      <c r="D16" s="90">
        <f>IFERROR(Simp1!D16+Simp2!D16+Simp3!D16+Simp4!D16+Simp5!D16,0)</f>
        <v>0</v>
      </c>
      <c r="E16" s="90">
        <f>IFERROR(Simp1!E16+Simp2!E16+Simp3!E16+Simp4!E16+Simp5!E16,0)</f>
        <v>0</v>
      </c>
      <c r="F16" s="90">
        <f>IFERROR(Simp1!F16+Simp2!F16+Simp3!F16+Simp4!F16+Simp5!F16,0)</f>
        <v>0</v>
      </c>
      <c r="G16" s="90">
        <f>IFERROR(Simp1!G16+Simp2!G16+Simp3!G16+Simp4!G16+Simp5!G16,0)</f>
        <v>0</v>
      </c>
      <c r="H16" s="90">
        <f>IFERROR(Simp1!H16+Simp2!H16+Simp3!H16+Simp4!H16+Simp5!H16,0)</f>
        <v>0</v>
      </c>
      <c r="I16" s="90">
        <f>IFERROR(Simp1!I16+Simp2!I16+Simp3!I16+Simp4!I16+Simp5!I16,0)</f>
        <v>0</v>
      </c>
      <c r="J16" s="90">
        <f>IFERROR(Simp1!J16+Simp2!J16+Simp3!J16+Simp4!J16+Simp5!J16,0)</f>
        <v>0</v>
      </c>
      <c r="K16" s="90">
        <f>IFERROR(Simp1!K16+Simp2!K16+Simp3!K16+Simp4!K16+Simp5!K16,0)</f>
        <v>0</v>
      </c>
      <c r="L16" s="90">
        <f>IFERROR(Simp1!L16+Simp2!L16+Simp3!L16+Simp4!L16+Simp5!L16,0)</f>
        <v>0</v>
      </c>
      <c r="M16" s="90">
        <f>IFERROR(Simp1!M16+Simp2!M16+Simp3!M16+Simp4!M16+Simp5!M16,0)</f>
        <v>0</v>
      </c>
      <c r="N16" s="90">
        <f>IFERROR(Simp1!N16+Simp2!N16+Simp3!N16+Simp4!N16+Simp5!N16,0)</f>
        <v>0</v>
      </c>
      <c r="O16" s="90">
        <f>IFERROR(Simp1!O16+Simp2!O16+Simp3!O16+Simp4!O16+Simp5!O16,0)</f>
        <v>0</v>
      </c>
      <c r="P16" s="93">
        <f t="shared" si="2"/>
        <v>0</v>
      </c>
    </row>
    <row r="17" spans="3:16" ht="24.95" customHeight="1" x14ac:dyDescent="0.25">
      <c r="C17" s="92" t="s">
        <v>38</v>
      </c>
      <c r="D17" s="90">
        <f>IFERROR(Simp1!D17+Simp2!D17+Simp3!D17+Simp4!D17+Simp5!D17,0)</f>
        <v>0</v>
      </c>
      <c r="E17" s="90">
        <f>IFERROR(Simp1!E17+Simp2!E17+Simp3!E17+Simp4!E17+Simp5!E17,0)</f>
        <v>0</v>
      </c>
      <c r="F17" s="90">
        <f>IFERROR(Simp1!F17+Simp2!F17+Simp3!F17+Simp4!F17+Simp5!F17,0)</f>
        <v>0</v>
      </c>
      <c r="G17" s="90">
        <f>IFERROR(Simp1!G17+Simp2!G17+Simp3!G17+Simp4!G17+Simp5!G17,0)</f>
        <v>0</v>
      </c>
      <c r="H17" s="90">
        <f>IFERROR(Simp1!H17+Simp2!H17+Simp3!H17+Simp4!H17+Simp5!H17,0)</f>
        <v>0</v>
      </c>
      <c r="I17" s="90">
        <f>IFERROR(Simp1!I17+Simp2!I17+Simp3!I17+Simp4!I17+Simp5!I17,0)</f>
        <v>0</v>
      </c>
      <c r="J17" s="90">
        <f>IFERROR(Simp1!J17+Simp2!J17+Simp3!J17+Simp4!J17+Simp5!J17,0)</f>
        <v>0</v>
      </c>
      <c r="K17" s="90">
        <f>IFERROR(Simp1!K17+Simp2!K17+Simp3!K17+Simp4!K17+Simp5!K17,0)</f>
        <v>0</v>
      </c>
      <c r="L17" s="90">
        <f>IFERROR(Simp1!L17+Simp2!L17+Simp3!L17+Simp4!L17+Simp5!L17,0)</f>
        <v>0</v>
      </c>
      <c r="M17" s="90">
        <f>IFERROR(Simp1!M17+Simp2!M17+Simp3!M17+Simp4!M17+Simp5!M17,0)</f>
        <v>0</v>
      </c>
      <c r="N17" s="90">
        <f>IFERROR(Simp1!N17+Simp2!N17+Simp3!N17+Simp4!N17+Simp5!N17,0)</f>
        <v>0</v>
      </c>
      <c r="O17" s="90">
        <f>IFERROR(Simp1!O17+Simp2!O17+Simp3!O17+Simp4!O17+Simp5!O17,0)</f>
        <v>0</v>
      </c>
      <c r="P17" s="93">
        <f t="shared" si="2"/>
        <v>0</v>
      </c>
    </row>
    <row r="18" spans="3:16" ht="24.95" customHeight="1" x14ac:dyDescent="0.25">
      <c r="C18" s="92" t="s">
        <v>39</v>
      </c>
      <c r="D18" s="90">
        <f>IFERROR(Simp1!D18+Simp2!D18+Simp3!D18+Simp4!D18+Simp5!D18,0)</f>
        <v>0</v>
      </c>
      <c r="E18" s="90">
        <f>IFERROR(Simp1!E18+Simp2!E18+Simp3!E18+Simp4!E18+Simp5!E18,0)</f>
        <v>0</v>
      </c>
      <c r="F18" s="90">
        <f>IFERROR(Simp1!F18+Simp2!F18+Simp3!F18+Simp4!F18+Simp5!F18,0)</f>
        <v>0</v>
      </c>
      <c r="G18" s="90">
        <f>IFERROR(Simp1!G18+Simp2!G18+Simp3!G18+Simp4!G18+Simp5!G18,0)</f>
        <v>0</v>
      </c>
      <c r="H18" s="90">
        <f>IFERROR(Simp1!H18+Simp2!H18+Simp3!H18+Simp4!H18+Simp5!H18,0)</f>
        <v>0</v>
      </c>
      <c r="I18" s="90">
        <f>IFERROR(Simp1!I18+Simp2!I18+Simp3!I18+Simp4!I18+Simp5!I18,0)</f>
        <v>0</v>
      </c>
      <c r="J18" s="90">
        <f>IFERROR(Simp1!J18+Simp2!J18+Simp3!J18+Simp4!J18+Simp5!J18,0)</f>
        <v>0</v>
      </c>
      <c r="K18" s="90">
        <f>IFERROR(Simp1!K18+Simp2!K18+Simp3!K18+Simp4!K18+Simp5!K18,0)</f>
        <v>0</v>
      </c>
      <c r="L18" s="90">
        <f>IFERROR(Simp1!L18+Simp2!L18+Simp3!L18+Simp4!L18+Simp5!L18,0)</f>
        <v>0</v>
      </c>
      <c r="M18" s="90">
        <f>IFERROR(Simp1!M18+Simp2!M18+Simp3!M18+Simp4!M18+Simp5!M18,0)</f>
        <v>0</v>
      </c>
      <c r="N18" s="90">
        <f>IFERROR(Simp1!N18+Simp2!N18+Simp3!N18+Simp4!N18+Simp5!N18,0)</f>
        <v>0</v>
      </c>
      <c r="O18" s="90">
        <f>IFERROR(Simp1!O18+Simp2!O18+Simp3!O18+Simp4!O18+Simp5!O18,0)</f>
        <v>0</v>
      </c>
      <c r="P18" s="93">
        <f t="shared" si="2"/>
        <v>0</v>
      </c>
    </row>
    <row r="19" spans="3:16" ht="24.95" customHeight="1" x14ac:dyDescent="0.25">
      <c r="C19" s="92" t="s">
        <v>129</v>
      </c>
      <c r="D19" s="90">
        <f>IFERROR(Simp1!D19+Simp2!D19+Simp3!D19+Simp4!D19+Simp5!D19,0)</f>
        <v>0</v>
      </c>
      <c r="E19" s="90">
        <f>IFERROR(Simp1!E19+Simp2!E19+Simp3!E19+Simp4!E19+Simp5!E19,0)</f>
        <v>0</v>
      </c>
      <c r="F19" s="90">
        <f>IFERROR(Simp1!F19+Simp2!F19+Simp3!F19+Simp4!F19+Simp5!F19,0)</f>
        <v>0</v>
      </c>
      <c r="G19" s="90">
        <f>IFERROR(Simp1!G19+Simp2!G19+Simp3!G19+Simp4!G19+Simp5!G19,0)</f>
        <v>0</v>
      </c>
      <c r="H19" s="90">
        <f>IFERROR(Simp1!H19+Simp2!H19+Simp3!H19+Simp4!H19+Simp5!H19,0)</f>
        <v>0</v>
      </c>
      <c r="I19" s="90">
        <f>IFERROR(Simp1!I19+Simp2!I19+Simp3!I19+Simp4!I19+Simp5!I19,0)</f>
        <v>0</v>
      </c>
      <c r="J19" s="90">
        <f>IFERROR(Simp1!J19+Simp2!J19+Simp3!J19+Simp4!J19+Simp5!J19,0)</f>
        <v>0</v>
      </c>
      <c r="K19" s="90">
        <f>IFERROR(Simp1!K19+Simp2!K19+Simp3!K19+Simp4!K19+Simp5!K19,0)</f>
        <v>0</v>
      </c>
      <c r="L19" s="90">
        <f>IFERROR(Simp1!L19+Simp2!L19+Simp3!L19+Simp4!L19+Simp5!L19,0)</f>
        <v>0</v>
      </c>
      <c r="M19" s="90">
        <f>IFERROR(Simp1!M19+Simp2!M19+Simp3!M19+Simp4!M19+Simp5!M19,0)</f>
        <v>0</v>
      </c>
      <c r="N19" s="90">
        <f>IFERROR(Simp1!N19+Simp2!N19+Simp3!N19+Simp4!N19+Simp5!N19,0)</f>
        <v>0</v>
      </c>
      <c r="O19" s="90">
        <f>IFERROR(Simp1!O19+Simp2!O19+Simp3!O19+Simp4!O19+Simp5!O19,0)</f>
        <v>0</v>
      </c>
      <c r="P19" s="93">
        <f t="shared" si="2"/>
        <v>0</v>
      </c>
    </row>
    <row r="20" spans="3:16" ht="24.95" customHeight="1" x14ac:dyDescent="0.25">
      <c r="C20" s="92" t="s">
        <v>42</v>
      </c>
      <c r="D20" s="90">
        <f>IFERROR(Simp1!D20+Simp2!D20+Simp3!D20+Simp4!D20+Simp5!D20,0)</f>
        <v>0</v>
      </c>
      <c r="E20" s="90">
        <f>IFERROR(Simp1!E20+Simp2!E20+Simp3!E20+Simp4!E20+Simp5!E20,0)</f>
        <v>0</v>
      </c>
      <c r="F20" s="90">
        <f>IFERROR(Simp1!F20+Simp2!F20+Simp3!F20+Simp4!F20+Simp5!F20,0)</f>
        <v>0</v>
      </c>
      <c r="G20" s="90">
        <f>IFERROR(Simp1!G20+Simp2!G20+Simp3!G20+Simp4!G20+Simp5!G20,0)</f>
        <v>0</v>
      </c>
      <c r="H20" s="90">
        <f>IFERROR(Simp1!H20+Simp2!H20+Simp3!H20+Simp4!H20+Simp5!H20,0)</f>
        <v>0</v>
      </c>
      <c r="I20" s="90">
        <f>IFERROR(Simp1!I20+Simp2!I20+Simp3!I20+Simp4!I20+Simp5!I20,0)</f>
        <v>0</v>
      </c>
      <c r="J20" s="90">
        <f>IFERROR(Simp1!J20+Simp2!J20+Simp3!J20+Simp4!J20+Simp5!J20,0)</f>
        <v>0</v>
      </c>
      <c r="K20" s="90">
        <f>IFERROR(Simp1!K20+Simp2!K20+Simp3!K20+Simp4!K20+Simp5!K20,0)</f>
        <v>0</v>
      </c>
      <c r="L20" s="90">
        <f>IFERROR(Simp1!L20+Simp2!L20+Simp3!L20+Simp4!L20+Simp5!L20,0)</f>
        <v>0</v>
      </c>
      <c r="M20" s="90">
        <f>IFERROR(Simp1!M20+Simp2!M20+Simp3!M20+Simp4!M20+Simp5!M20,0)</f>
        <v>0</v>
      </c>
      <c r="N20" s="90">
        <f>IFERROR(Simp1!N20+Simp2!N20+Simp3!N20+Simp4!N20+Simp5!N20,0)</f>
        <v>0</v>
      </c>
      <c r="O20" s="90">
        <f>IFERROR(Simp1!O20+Simp2!O20+Simp3!O20+Simp4!O20+Simp5!O20,0)</f>
        <v>0</v>
      </c>
      <c r="P20" s="93">
        <f t="shared" si="2"/>
        <v>0</v>
      </c>
    </row>
    <row r="21" spans="3:16" ht="24.95" customHeight="1" x14ac:dyDescent="0.25">
      <c r="C21" s="94" t="s">
        <v>40</v>
      </c>
      <c r="D21" s="100">
        <f>IFERROR(Simp1!D21+Simp2!D21+Simp3!D21+Simp4!D21+Simp5!D21,0)</f>
        <v>0</v>
      </c>
      <c r="E21" s="99">
        <f>IFERROR(Simp1!E21+Simp2!E21+Simp3!E21+Simp4!E21+Simp5!E21,0)</f>
        <v>0</v>
      </c>
      <c r="F21" s="99">
        <f>IFERROR(Simp1!F21+Simp2!F21+Simp3!F21+Simp4!F21+Simp5!F21,0)</f>
        <v>0</v>
      </c>
      <c r="G21" s="99">
        <f>IFERROR(Simp1!G21+Simp2!G21+Simp3!G21+Simp4!G21+Simp5!G21,0)</f>
        <v>0</v>
      </c>
      <c r="H21" s="99">
        <f>IFERROR(Simp1!H21+Simp2!H21+Simp3!H21+Simp4!H21+Simp5!H21,0)</f>
        <v>0</v>
      </c>
      <c r="I21" s="99">
        <f>IFERROR(Simp1!I21+Simp2!I21+Simp3!I21+Simp4!I21+Simp5!I21,0)</f>
        <v>0</v>
      </c>
      <c r="J21" s="99">
        <f>IFERROR(Simp1!J21+Simp2!J21+Simp3!J21+Simp4!J21+Simp5!J21,0)</f>
        <v>0</v>
      </c>
      <c r="K21" s="99">
        <f>IFERROR(Simp1!K21+Simp2!K21+Simp3!K21+Simp4!K21+Simp5!K21,0)</f>
        <v>0</v>
      </c>
      <c r="L21" s="99">
        <f>IFERROR(Simp1!L21+Simp2!L21+Simp3!L21+Simp4!L21+Simp5!L21,0)</f>
        <v>0</v>
      </c>
      <c r="M21" s="99">
        <f>IFERROR(Simp1!M21+Simp2!M21+Simp3!M21+Simp4!M21+Simp5!M21,0)</f>
        <v>0</v>
      </c>
      <c r="N21" s="99">
        <f>IFERROR(Simp1!N21+Simp2!N21+Simp3!N21+Simp4!N21+Simp5!N21,0)</f>
        <v>0</v>
      </c>
      <c r="O21" s="100">
        <f>IFERROR(Simp1!O21+Simp2!O21+Simp3!O21+Simp4!O21+Simp5!O21,0)</f>
        <v>0</v>
      </c>
      <c r="P21" s="93">
        <f t="shared" si="2"/>
        <v>0</v>
      </c>
    </row>
    <row r="22" spans="3:16" ht="24.95" customHeight="1" x14ac:dyDescent="0.25">
      <c r="C22" s="96" t="s">
        <v>99</v>
      </c>
      <c r="D22" s="97">
        <f>SUM(D14:D21)</f>
        <v>0</v>
      </c>
      <c r="E22" s="97">
        <f t="shared" ref="E22:O22" si="3">SUM(E14:E21)</f>
        <v>0</v>
      </c>
      <c r="F22" s="97">
        <f t="shared" si="3"/>
        <v>0</v>
      </c>
      <c r="G22" s="97">
        <f t="shared" si="3"/>
        <v>0</v>
      </c>
      <c r="H22" s="97">
        <f t="shared" si="3"/>
        <v>0</v>
      </c>
      <c r="I22" s="97">
        <f t="shared" si="3"/>
        <v>0</v>
      </c>
      <c r="J22" s="97">
        <f t="shared" si="3"/>
        <v>0</v>
      </c>
      <c r="K22" s="97">
        <f t="shared" si="3"/>
        <v>0</v>
      </c>
      <c r="L22" s="97">
        <f t="shared" si="3"/>
        <v>0</v>
      </c>
      <c r="M22" s="97">
        <f t="shared" si="3"/>
        <v>0</v>
      </c>
      <c r="N22" s="97">
        <f t="shared" si="3"/>
        <v>0</v>
      </c>
      <c r="O22" s="97">
        <f t="shared" si="3"/>
        <v>0</v>
      </c>
      <c r="P22" s="98">
        <f t="shared" si="2"/>
        <v>0</v>
      </c>
    </row>
  </sheetData>
  <sheetProtection sheet="1" objects="1" scenarios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5CE3-0148-432A-B455-A204B5F40FAB}">
  <sheetPr codeName="Planilha55">
    <tabColor rgb="FF00B050"/>
  </sheetPr>
  <dimension ref="C1:Q13"/>
  <sheetViews>
    <sheetView showGridLines="0" showRowColHeaders="0" workbookViewId="0">
      <pane ySplit="4" topLeftCell="A5" activePane="bottomLeft" state="frozen"/>
      <selection activeCell="U16" sqref="U16"/>
      <selection pane="bottomLeft" activeCell="E6" sqref="E6"/>
    </sheetView>
  </sheetViews>
  <sheetFormatPr defaultRowHeight="24.95" customHeight="1" x14ac:dyDescent="0.25"/>
  <cols>
    <col min="1" max="2" width="1.7109375" style="18" customWidth="1"/>
    <col min="3" max="3" width="13.7109375" style="18" customWidth="1"/>
    <col min="4" max="16" width="13.140625" style="18" customWidth="1"/>
    <col min="17" max="17" width="0" style="18" hidden="1" customWidth="1"/>
    <col min="18" max="16384" width="9.140625" style="18"/>
  </cols>
  <sheetData>
    <row r="1" spans="3:17" s="1" customFormat="1" ht="35.1" customHeight="1" x14ac:dyDescent="0.25"/>
    <row r="2" spans="3:17" s="3" customFormat="1" ht="30" customHeight="1" x14ac:dyDescent="0.25"/>
    <row r="3" spans="3:17" ht="99.95" customHeight="1" thickBot="1" x14ac:dyDescent="0.3"/>
    <row r="4" spans="3:17" ht="21.95" customHeight="1" x14ac:dyDescent="0.25">
      <c r="C4" s="85" t="s">
        <v>82</v>
      </c>
      <c r="D4" s="55" t="s">
        <v>83</v>
      </c>
      <c r="E4" s="55" t="s">
        <v>84</v>
      </c>
      <c r="F4" s="55" t="s">
        <v>85</v>
      </c>
      <c r="G4" s="55" t="s">
        <v>86</v>
      </c>
      <c r="H4" s="55" t="s">
        <v>87</v>
      </c>
      <c r="I4" s="55" t="s">
        <v>88</v>
      </c>
      <c r="J4" s="55" t="s">
        <v>89</v>
      </c>
      <c r="K4" s="55" t="s">
        <v>90</v>
      </c>
      <c r="L4" s="55" t="s">
        <v>91</v>
      </c>
      <c r="M4" s="55" t="s">
        <v>92</v>
      </c>
      <c r="N4" s="55" t="s">
        <v>93</v>
      </c>
      <c r="O4" s="55" t="s">
        <v>94</v>
      </c>
      <c r="P4" s="56" t="s">
        <v>95</v>
      </c>
    </row>
    <row r="5" spans="3:17" ht="24.95" customHeight="1" x14ac:dyDescent="0.25">
      <c r="C5" s="86" t="s">
        <v>102</v>
      </c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91">
        <f>SUM(D5:O5)</f>
        <v>0</v>
      </c>
    </row>
    <row r="6" spans="3:17" ht="24.95" customHeight="1" x14ac:dyDescent="0.25">
      <c r="C6" s="92" t="s">
        <v>103</v>
      </c>
      <c r="D6" s="75">
        <v>134725</v>
      </c>
      <c r="E6" s="75">
        <v>108391</v>
      </c>
      <c r="F6" s="75">
        <v>133613</v>
      </c>
      <c r="G6" s="75">
        <v>120356</v>
      </c>
      <c r="H6" s="75">
        <v>119059</v>
      </c>
      <c r="I6" s="75">
        <v>104241</v>
      </c>
      <c r="J6" s="75">
        <v>123748</v>
      </c>
      <c r="K6" s="75">
        <v>102602</v>
      </c>
      <c r="L6" s="75">
        <v>109759</v>
      </c>
      <c r="M6" s="75">
        <v>115659</v>
      </c>
      <c r="N6" s="75">
        <v>110531</v>
      </c>
      <c r="O6" s="75">
        <v>109533</v>
      </c>
      <c r="P6" s="93">
        <f>SUM(D6:O6)</f>
        <v>1392217</v>
      </c>
    </row>
    <row r="7" spans="3:17" ht="24.95" customHeight="1" x14ac:dyDescent="0.25">
      <c r="C7" s="94" t="s">
        <v>104</v>
      </c>
      <c r="D7" s="179"/>
      <c r="E7" s="179"/>
      <c r="F7" s="179"/>
      <c r="G7" s="179"/>
      <c r="H7" s="179"/>
      <c r="I7" s="179"/>
      <c r="J7" s="179"/>
      <c r="K7" s="179"/>
      <c r="L7" s="179"/>
      <c r="M7" s="179"/>
      <c r="N7" s="179"/>
      <c r="O7" s="179"/>
      <c r="P7" s="93">
        <f>SUM(D7:O7)</f>
        <v>0</v>
      </c>
    </row>
    <row r="8" spans="3:17" ht="24.95" customHeight="1" x14ac:dyDescent="0.25">
      <c r="C8" s="96" t="s">
        <v>99</v>
      </c>
      <c r="D8" s="97">
        <f>SUM(D5:D7)</f>
        <v>134725</v>
      </c>
      <c r="E8" s="97">
        <f t="shared" ref="E8:O8" si="0">SUM(E5:E7)</f>
        <v>108391</v>
      </c>
      <c r="F8" s="97">
        <f t="shared" si="0"/>
        <v>133613</v>
      </c>
      <c r="G8" s="97">
        <f t="shared" si="0"/>
        <v>120356</v>
      </c>
      <c r="H8" s="97">
        <f t="shared" si="0"/>
        <v>119059</v>
      </c>
      <c r="I8" s="97">
        <f t="shared" si="0"/>
        <v>104241</v>
      </c>
      <c r="J8" s="97">
        <f t="shared" si="0"/>
        <v>123748</v>
      </c>
      <c r="K8" s="97">
        <f t="shared" si="0"/>
        <v>102602</v>
      </c>
      <c r="L8" s="97">
        <f t="shared" si="0"/>
        <v>109759</v>
      </c>
      <c r="M8" s="97">
        <f t="shared" si="0"/>
        <v>115659</v>
      </c>
      <c r="N8" s="97">
        <f t="shared" si="0"/>
        <v>110531</v>
      </c>
      <c r="O8" s="97">
        <f t="shared" si="0"/>
        <v>109533</v>
      </c>
      <c r="P8" s="98">
        <f>SUM(D8:O8)</f>
        <v>1392217</v>
      </c>
    </row>
    <row r="9" spans="3:17" ht="9.9499999999999993" customHeight="1" thickBot="1" x14ac:dyDescent="0.3">
      <c r="C9" s="88"/>
      <c r="D9" s="88"/>
      <c r="F9" s="88"/>
      <c r="G9" s="88"/>
      <c r="I9" s="88"/>
      <c r="J9" s="88"/>
      <c r="L9" s="88"/>
      <c r="M9" s="88"/>
      <c r="O9" s="88"/>
      <c r="P9" s="88"/>
    </row>
    <row r="10" spans="3:17" ht="21.95" customHeight="1" x14ac:dyDescent="0.25">
      <c r="C10" s="85" t="s">
        <v>82</v>
      </c>
      <c r="D10" s="55" t="s">
        <v>83</v>
      </c>
      <c r="E10" s="55" t="s">
        <v>84</v>
      </c>
      <c r="F10" s="55" t="s">
        <v>85</v>
      </c>
      <c r="G10" s="55" t="s">
        <v>86</v>
      </c>
      <c r="H10" s="55" t="s">
        <v>87</v>
      </c>
      <c r="I10" s="55" t="s">
        <v>88</v>
      </c>
      <c r="J10" s="55" t="s">
        <v>89</v>
      </c>
      <c r="K10" s="55" t="s">
        <v>90</v>
      </c>
      <c r="L10" s="55" t="s">
        <v>91</v>
      </c>
      <c r="M10" s="55" t="s">
        <v>92</v>
      </c>
      <c r="N10" s="55" t="s">
        <v>93</v>
      </c>
      <c r="O10" s="55" t="s">
        <v>94</v>
      </c>
      <c r="P10" s="56" t="s">
        <v>95</v>
      </c>
    </row>
    <row r="11" spans="3:17" ht="24.95" customHeight="1" x14ac:dyDescent="0.25">
      <c r="C11" s="86" t="s">
        <v>43</v>
      </c>
      <c r="D11" s="90">
        <f>IFERROR(D8*$Q$11,0)</f>
        <v>12408.172500000001</v>
      </c>
      <c r="E11" s="90">
        <f t="shared" ref="E11:O11" si="1">IFERROR(E8*$Q$11,0)</f>
        <v>9982.8111000000008</v>
      </c>
      <c r="F11" s="90">
        <f t="shared" si="1"/>
        <v>12305.757299999999</v>
      </c>
      <c r="G11" s="90">
        <f t="shared" si="1"/>
        <v>11084.7876</v>
      </c>
      <c r="H11" s="90">
        <f t="shared" si="1"/>
        <v>10965.3339</v>
      </c>
      <c r="I11" s="90">
        <f t="shared" si="1"/>
        <v>9600.5961000000007</v>
      </c>
      <c r="J11" s="90">
        <f t="shared" si="1"/>
        <v>11397.1908</v>
      </c>
      <c r="K11" s="90">
        <f t="shared" si="1"/>
        <v>9449.6442000000006</v>
      </c>
      <c r="L11" s="90">
        <f t="shared" si="1"/>
        <v>10108.803900000001</v>
      </c>
      <c r="M11" s="90">
        <f t="shared" si="1"/>
        <v>10652.1939</v>
      </c>
      <c r="N11" s="90">
        <f t="shared" si="1"/>
        <v>10179.9051</v>
      </c>
      <c r="O11" s="90">
        <f t="shared" si="1"/>
        <v>10087.989299999999</v>
      </c>
      <c r="P11" s="91">
        <f t="shared" ref="P11:P13" si="2">SUM(D11:O11)</f>
        <v>128223.18569999999</v>
      </c>
      <c r="Q11" s="264">
        <f>IF('BH (1)'!$D$4="Lucro Real",TabR!E13,IF('BH (1)'!$D$4="Lucro Presumido",TabP!F13,IF('BH (1)'!$D$4="Simples Nacional",TabS!H35)))</f>
        <v>9.2100000000000001E-2</v>
      </c>
    </row>
    <row r="12" spans="3:17" ht="24.95" customHeight="1" x14ac:dyDescent="0.25">
      <c r="C12" s="94" t="s">
        <v>44</v>
      </c>
      <c r="D12" s="95">
        <f>IFERROR(D8*$Q$12,0)</f>
        <v>25193.575000000001</v>
      </c>
      <c r="E12" s="95">
        <f t="shared" ref="E12:O12" si="3">IFERROR(E8*$Q$12,0)</f>
        <v>20269.116999999998</v>
      </c>
      <c r="F12" s="95">
        <f t="shared" si="3"/>
        <v>24985.631000000001</v>
      </c>
      <c r="G12" s="95">
        <f t="shared" si="3"/>
        <v>22506.572</v>
      </c>
      <c r="H12" s="95">
        <f t="shared" si="3"/>
        <v>22264.032999999999</v>
      </c>
      <c r="I12" s="95">
        <f t="shared" si="3"/>
        <v>19493.066999999999</v>
      </c>
      <c r="J12" s="95">
        <f t="shared" si="3"/>
        <v>23140.876</v>
      </c>
      <c r="K12" s="95">
        <f t="shared" si="3"/>
        <v>19186.574000000001</v>
      </c>
      <c r="L12" s="95">
        <f t="shared" si="3"/>
        <v>20524.933000000001</v>
      </c>
      <c r="M12" s="95">
        <f t="shared" si="3"/>
        <v>21628.233</v>
      </c>
      <c r="N12" s="95">
        <f t="shared" si="3"/>
        <v>20669.296999999999</v>
      </c>
      <c r="O12" s="95">
        <f t="shared" si="3"/>
        <v>20482.670999999998</v>
      </c>
      <c r="P12" s="93">
        <f t="shared" si="2"/>
        <v>260344.57899999997</v>
      </c>
      <c r="Q12" s="264">
        <f>IF('BH (1)'!$D$4="Lucro Real",TabR!E14,IF('BH (1)'!$D$4="Lucro Presumido",TabP!F14,IF('BH (1)'!$D$4="Simples Nacional",TabS!H36)))</f>
        <v>0.187</v>
      </c>
    </row>
    <row r="13" spans="3:17" ht="24.95" customHeight="1" x14ac:dyDescent="0.25">
      <c r="C13" s="96" t="s">
        <v>99</v>
      </c>
      <c r="D13" s="97">
        <f t="shared" ref="D13:O13" si="4">SUM(D11:D12)</f>
        <v>37601.747499999998</v>
      </c>
      <c r="E13" s="97">
        <f t="shared" si="4"/>
        <v>30251.928099999997</v>
      </c>
      <c r="F13" s="97">
        <f t="shared" si="4"/>
        <v>37291.388299999999</v>
      </c>
      <c r="G13" s="97">
        <f t="shared" si="4"/>
        <v>33591.359599999996</v>
      </c>
      <c r="H13" s="97">
        <f t="shared" si="4"/>
        <v>33229.366900000001</v>
      </c>
      <c r="I13" s="97">
        <f t="shared" si="4"/>
        <v>29093.663099999998</v>
      </c>
      <c r="J13" s="97">
        <f t="shared" si="4"/>
        <v>34538.066800000001</v>
      </c>
      <c r="K13" s="97">
        <f t="shared" si="4"/>
        <v>28636.218200000003</v>
      </c>
      <c r="L13" s="97">
        <f t="shared" si="4"/>
        <v>30633.736900000004</v>
      </c>
      <c r="M13" s="97">
        <f t="shared" si="4"/>
        <v>32280.426899999999</v>
      </c>
      <c r="N13" s="97">
        <f t="shared" si="4"/>
        <v>30849.202099999999</v>
      </c>
      <c r="O13" s="97">
        <f t="shared" si="4"/>
        <v>30570.660299999996</v>
      </c>
      <c r="P13" s="98">
        <f t="shared" si="2"/>
        <v>388567.7647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78D02-1BFD-4E07-B496-4BEBF437CF4C}">
  <sheetPr codeName="Planilha56">
    <tabColor rgb="FF00B050"/>
  </sheetPr>
  <dimension ref="C1:S13"/>
  <sheetViews>
    <sheetView showGridLines="0" showRowColHeaders="0" workbookViewId="0">
      <pane ySplit="4" topLeftCell="A5" activePane="bottomLeft" state="frozen"/>
      <selection activeCell="S6" sqref="S6"/>
      <selection pane="bottomLeft" activeCell="D5" sqref="D5"/>
    </sheetView>
  </sheetViews>
  <sheetFormatPr defaultRowHeight="24.95" customHeight="1" x14ac:dyDescent="0.25"/>
  <cols>
    <col min="1" max="2" width="1.7109375" style="18" customWidth="1"/>
    <col min="3" max="3" width="13.7109375" style="18" customWidth="1"/>
    <col min="4" max="16" width="13.140625" style="18" customWidth="1"/>
    <col min="17" max="19" width="0" style="18" hidden="1" customWidth="1"/>
    <col min="20" max="16384" width="9.140625" style="18"/>
  </cols>
  <sheetData>
    <row r="1" spans="3:19" s="1" customFormat="1" ht="35.1" customHeight="1" x14ac:dyDescent="0.25"/>
    <row r="2" spans="3:19" s="3" customFormat="1" ht="30" customHeight="1" x14ac:dyDescent="0.25"/>
    <row r="3" spans="3:19" ht="99.95" customHeight="1" thickBot="1" x14ac:dyDescent="0.3"/>
    <row r="4" spans="3:19" ht="21.95" customHeight="1" x14ac:dyDescent="0.25">
      <c r="C4" s="85" t="s">
        <v>82</v>
      </c>
      <c r="D4" s="55" t="s">
        <v>83</v>
      </c>
      <c r="E4" s="55" t="s">
        <v>84</v>
      </c>
      <c r="F4" s="55" t="s">
        <v>85</v>
      </c>
      <c r="G4" s="55" t="s">
        <v>86</v>
      </c>
      <c r="H4" s="55" t="s">
        <v>87</v>
      </c>
      <c r="I4" s="55" t="s">
        <v>88</v>
      </c>
      <c r="J4" s="55" t="s">
        <v>89</v>
      </c>
      <c r="K4" s="55" t="s">
        <v>90</v>
      </c>
      <c r="L4" s="55" t="s">
        <v>91</v>
      </c>
      <c r="M4" s="55" t="s">
        <v>92</v>
      </c>
      <c r="N4" s="55" t="s">
        <v>93</v>
      </c>
      <c r="O4" s="55" t="s">
        <v>94</v>
      </c>
      <c r="P4" s="56" t="s">
        <v>95</v>
      </c>
    </row>
    <row r="5" spans="3:19" ht="24.95" customHeight="1" x14ac:dyDescent="0.25">
      <c r="C5" s="86" t="s">
        <v>102</v>
      </c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91">
        <f>SUM(D5:O5)</f>
        <v>0</v>
      </c>
    </row>
    <row r="6" spans="3:19" ht="24.95" customHeight="1" x14ac:dyDescent="0.25">
      <c r="C6" s="92" t="s">
        <v>103</v>
      </c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93">
        <f>SUM(D6:O6)</f>
        <v>0</v>
      </c>
    </row>
    <row r="7" spans="3:19" ht="24.95" customHeight="1" x14ac:dyDescent="0.25">
      <c r="C7" s="94" t="s">
        <v>104</v>
      </c>
      <c r="D7" s="179"/>
      <c r="E7" s="179"/>
      <c r="F7" s="179"/>
      <c r="G7" s="179"/>
      <c r="H7" s="179"/>
      <c r="I7" s="179"/>
      <c r="J7" s="179"/>
      <c r="K7" s="179"/>
      <c r="L7" s="179"/>
      <c r="M7" s="179"/>
      <c r="N7" s="179"/>
      <c r="O7" s="179"/>
      <c r="P7" s="93">
        <f>SUM(D7:O7)</f>
        <v>0</v>
      </c>
    </row>
    <row r="8" spans="3:19" ht="24.95" customHeight="1" x14ac:dyDescent="0.25">
      <c r="C8" s="96" t="s">
        <v>99</v>
      </c>
      <c r="D8" s="97">
        <f>SUM(D5:D7)</f>
        <v>0</v>
      </c>
      <c r="E8" s="97">
        <f t="shared" ref="E8:O8" si="0">SUM(E5:E7)</f>
        <v>0</v>
      </c>
      <c r="F8" s="97">
        <f t="shared" si="0"/>
        <v>0</v>
      </c>
      <c r="G8" s="97">
        <f t="shared" si="0"/>
        <v>0</v>
      </c>
      <c r="H8" s="97">
        <f t="shared" si="0"/>
        <v>0</v>
      </c>
      <c r="I8" s="97">
        <f t="shared" si="0"/>
        <v>0</v>
      </c>
      <c r="J8" s="97">
        <f t="shared" si="0"/>
        <v>0</v>
      </c>
      <c r="K8" s="97">
        <f t="shared" si="0"/>
        <v>0</v>
      </c>
      <c r="L8" s="97">
        <f t="shared" si="0"/>
        <v>0</v>
      </c>
      <c r="M8" s="97">
        <f t="shared" si="0"/>
        <v>0</v>
      </c>
      <c r="N8" s="97">
        <f t="shared" si="0"/>
        <v>0</v>
      </c>
      <c r="O8" s="97">
        <f t="shared" si="0"/>
        <v>0</v>
      </c>
      <c r="P8" s="98">
        <f>SUM(D8:O8)</f>
        <v>0</v>
      </c>
    </row>
    <row r="9" spans="3:19" ht="9.9499999999999993" customHeight="1" thickBot="1" x14ac:dyDescent="0.3">
      <c r="C9" s="88"/>
      <c r="D9" s="88"/>
      <c r="F9" s="88"/>
      <c r="G9" s="88"/>
      <c r="I9" s="88"/>
      <c r="J9" s="88"/>
      <c r="L9" s="88"/>
      <c r="M9" s="88"/>
      <c r="O9" s="88"/>
      <c r="P9" s="88"/>
    </row>
    <row r="10" spans="3:19" ht="21.95" customHeight="1" x14ac:dyDescent="0.25">
      <c r="C10" s="85" t="s">
        <v>82</v>
      </c>
      <c r="D10" s="55" t="s">
        <v>83</v>
      </c>
      <c r="E10" s="55" t="s">
        <v>84</v>
      </c>
      <c r="F10" s="55" t="s">
        <v>85</v>
      </c>
      <c r="G10" s="55" t="s">
        <v>86</v>
      </c>
      <c r="H10" s="55" t="s">
        <v>87</v>
      </c>
      <c r="I10" s="55" t="s">
        <v>88</v>
      </c>
      <c r="J10" s="55" t="s">
        <v>89</v>
      </c>
      <c r="K10" s="55" t="s">
        <v>90</v>
      </c>
      <c r="L10" s="55" t="s">
        <v>91</v>
      </c>
      <c r="M10" s="55" t="s">
        <v>92</v>
      </c>
      <c r="N10" s="55" t="s">
        <v>93</v>
      </c>
      <c r="O10" s="55" t="s">
        <v>94</v>
      </c>
      <c r="P10" s="56" t="s">
        <v>95</v>
      </c>
    </row>
    <row r="11" spans="3:19" ht="24.95" customHeight="1" x14ac:dyDescent="0.25">
      <c r="C11" s="86" t="s">
        <v>43</v>
      </c>
      <c r="D11" s="186">
        <f>IFERROR(D8*$S$11,0)</f>
        <v>0</v>
      </c>
      <c r="E11" s="186">
        <f t="shared" ref="E11:O11" si="1">IFERROR(E8*$S$11,0)</f>
        <v>0</v>
      </c>
      <c r="F11" s="186">
        <f t="shared" si="1"/>
        <v>0</v>
      </c>
      <c r="G11" s="186">
        <f t="shared" si="1"/>
        <v>0</v>
      </c>
      <c r="H11" s="186">
        <f t="shared" si="1"/>
        <v>0</v>
      </c>
      <c r="I11" s="186">
        <f t="shared" si="1"/>
        <v>0</v>
      </c>
      <c r="J11" s="186">
        <f t="shared" si="1"/>
        <v>0</v>
      </c>
      <c r="K11" s="186">
        <f t="shared" si="1"/>
        <v>0</v>
      </c>
      <c r="L11" s="186">
        <f t="shared" si="1"/>
        <v>0</v>
      </c>
      <c r="M11" s="186">
        <f t="shared" si="1"/>
        <v>0</v>
      </c>
      <c r="N11" s="186">
        <f t="shared" si="1"/>
        <v>0</v>
      </c>
      <c r="O11" s="187">
        <f t="shared" si="1"/>
        <v>0</v>
      </c>
      <c r="P11" s="91">
        <f t="shared" ref="P11:P13" si="2">SUM(D11:O11)</f>
        <v>0</v>
      </c>
      <c r="Q11" s="264">
        <f>IF('BH (1)'!$D$4="Lucro Real",TabR!E13,IF('BH (1)'!$D$4="Lucro Presumido",TabP!F13,IF('BH (1)'!$D$4="Simples Nacional",TabS!H35)))</f>
        <v>9.2100000000000001E-2</v>
      </c>
      <c r="R11" s="264">
        <f>IF('BH (1)'!$D$4="Lucro Real",TabR!E15,IF('BH (1)'!$D$4="Lucro Presumido",TabP!F15,IF('BH (1)'!$D$4="Simples Nacional",TabS!H37)))</f>
        <v>0.6</v>
      </c>
      <c r="S11" s="264">
        <f>IFERROR(Q11-(Q11*R11),0)</f>
        <v>3.6840000000000005E-2</v>
      </c>
    </row>
    <row r="12" spans="3:19" ht="24.95" customHeight="1" x14ac:dyDescent="0.25">
      <c r="C12" s="94" t="s">
        <v>44</v>
      </c>
      <c r="D12" s="95">
        <f>IFERROR(D8*$S$12,0)</f>
        <v>0</v>
      </c>
      <c r="E12" s="95">
        <f t="shared" ref="E12:O12" si="3">IFERROR(E8*$S$12,0)</f>
        <v>0</v>
      </c>
      <c r="F12" s="95">
        <f t="shared" si="3"/>
        <v>0</v>
      </c>
      <c r="G12" s="95">
        <f t="shared" si="3"/>
        <v>0</v>
      </c>
      <c r="H12" s="95">
        <f t="shared" si="3"/>
        <v>0</v>
      </c>
      <c r="I12" s="95">
        <f t="shared" si="3"/>
        <v>0</v>
      </c>
      <c r="J12" s="95">
        <f t="shared" si="3"/>
        <v>0</v>
      </c>
      <c r="K12" s="95">
        <f t="shared" si="3"/>
        <v>0</v>
      </c>
      <c r="L12" s="95">
        <f t="shared" si="3"/>
        <v>0</v>
      </c>
      <c r="M12" s="95">
        <f t="shared" si="3"/>
        <v>0</v>
      </c>
      <c r="N12" s="95">
        <f t="shared" si="3"/>
        <v>0</v>
      </c>
      <c r="O12" s="128">
        <f t="shared" si="3"/>
        <v>0</v>
      </c>
      <c r="P12" s="93">
        <f t="shared" si="2"/>
        <v>0</v>
      </c>
      <c r="Q12" s="264">
        <f>IF('BH (1)'!$D$4="Lucro Real",TabR!E14,IF('BH (1)'!$D$4="Lucro Presumido",TabP!F14,IF('BH (1)'!$D$4="Simples Nacional",TabS!H36)))</f>
        <v>0.187</v>
      </c>
      <c r="R12" s="264">
        <f>IF('BH (1)'!$D$4="Lucro Real",TabR!E16,IF('BH (1)'!$D$4="Lucro Presumido",TabP!F16,IF('BH (1)'!$D$4="Simples Nacional",TabS!H38)))</f>
        <v>0.6</v>
      </c>
      <c r="S12" s="264">
        <f>IFERROR(Q12-(Q12*R12),0)</f>
        <v>7.4800000000000005E-2</v>
      </c>
    </row>
    <row r="13" spans="3:19" ht="24.95" customHeight="1" x14ac:dyDescent="0.25">
      <c r="C13" s="96" t="s">
        <v>99</v>
      </c>
      <c r="D13" s="97">
        <f t="shared" ref="D13:O13" si="4">SUM(D11:D12)</f>
        <v>0</v>
      </c>
      <c r="E13" s="97">
        <f t="shared" si="4"/>
        <v>0</v>
      </c>
      <c r="F13" s="97">
        <f t="shared" si="4"/>
        <v>0</v>
      </c>
      <c r="G13" s="97">
        <f t="shared" si="4"/>
        <v>0</v>
      </c>
      <c r="H13" s="97">
        <f t="shared" si="4"/>
        <v>0</v>
      </c>
      <c r="I13" s="97">
        <f t="shared" si="4"/>
        <v>0</v>
      </c>
      <c r="J13" s="97">
        <f t="shared" si="4"/>
        <v>0</v>
      </c>
      <c r="K13" s="97">
        <f t="shared" si="4"/>
        <v>0</v>
      </c>
      <c r="L13" s="97">
        <f t="shared" si="4"/>
        <v>0</v>
      </c>
      <c r="M13" s="97">
        <f t="shared" si="4"/>
        <v>0</v>
      </c>
      <c r="N13" s="97">
        <f t="shared" si="4"/>
        <v>0</v>
      </c>
      <c r="O13" s="97">
        <f t="shared" si="4"/>
        <v>0</v>
      </c>
      <c r="P13" s="98">
        <f t="shared" si="2"/>
        <v>0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63D95-9239-4F6D-ABC3-062E63737E2E}">
  <sheetPr codeName="Planilha57">
    <tabColor rgb="FF00B050"/>
  </sheetPr>
  <dimension ref="C1:Q13"/>
  <sheetViews>
    <sheetView showGridLines="0" showRowColHeaders="0" workbookViewId="0">
      <pane ySplit="4" topLeftCell="A5" activePane="bottomLeft" state="frozen"/>
      <selection activeCell="U8" sqref="U8"/>
      <selection pane="bottomLeft" activeCell="D5" sqref="D5"/>
    </sheetView>
  </sheetViews>
  <sheetFormatPr defaultRowHeight="24.95" customHeight="1" x14ac:dyDescent="0.25"/>
  <cols>
    <col min="1" max="2" width="1.7109375" style="18" customWidth="1"/>
    <col min="3" max="3" width="13.7109375" style="18" customWidth="1"/>
    <col min="4" max="16" width="13.140625" style="18" customWidth="1"/>
    <col min="17" max="19" width="0" style="18" hidden="1" customWidth="1"/>
    <col min="20" max="16384" width="9.140625" style="18"/>
  </cols>
  <sheetData>
    <row r="1" spans="3:17" s="1" customFormat="1" ht="35.1" customHeight="1" x14ac:dyDescent="0.25"/>
    <row r="2" spans="3:17" s="3" customFormat="1" ht="30" customHeight="1" x14ac:dyDescent="0.25"/>
    <row r="3" spans="3:17" ht="99.95" customHeight="1" thickBot="1" x14ac:dyDescent="0.3"/>
    <row r="4" spans="3:17" ht="21.95" customHeight="1" x14ac:dyDescent="0.25">
      <c r="C4" s="85" t="s">
        <v>82</v>
      </c>
      <c r="D4" s="55" t="s">
        <v>83</v>
      </c>
      <c r="E4" s="55" t="s">
        <v>84</v>
      </c>
      <c r="F4" s="55" t="s">
        <v>85</v>
      </c>
      <c r="G4" s="55" t="s">
        <v>86</v>
      </c>
      <c r="H4" s="55" t="s">
        <v>87</v>
      </c>
      <c r="I4" s="55" t="s">
        <v>88</v>
      </c>
      <c r="J4" s="55" t="s">
        <v>89</v>
      </c>
      <c r="K4" s="55" t="s">
        <v>90</v>
      </c>
      <c r="L4" s="55" t="s">
        <v>91</v>
      </c>
      <c r="M4" s="55" t="s">
        <v>92</v>
      </c>
      <c r="N4" s="55" t="s">
        <v>93</v>
      </c>
      <c r="O4" s="55" t="s">
        <v>94</v>
      </c>
      <c r="P4" s="56" t="s">
        <v>95</v>
      </c>
    </row>
    <row r="5" spans="3:17" ht="24.95" customHeight="1" x14ac:dyDescent="0.25">
      <c r="C5" s="86" t="s">
        <v>102</v>
      </c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91">
        <f>SUM(D5:O5)</f>
        <v>0</v>
      </c>
    </row>
    <row r="6" spans="3:17" ht="24.95" customHeight="1" x14ac:dyDescent="0.25">
      <c r="C6" s="92" t="s">
        <v>103</v>
      </c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93">
        <f>SUM(D6:O6)</f>
        <v>0</v>
      </c>
    </row>
    <row r="7" spans="3:17" ht="24.95" customHeight="1" x14ac:dyDescent="0.25">
      <c r="C7" s="94" t="s">
        <v>104</v>
      </c>
      <c r="D7" s="179"/>
      <c r="E7" s="179"/>
      <c r="F7" s="179"/>
      <c r="G7" s="179"/>
      <c r="H7" s="179"/>
      <c r="I7" s="179"/>
      <c r="J7" s="179"/>
      <c r="K7" s="179"/>
      <c r="L7" s="179"/>
      <c r="M7" s="179"/>
      <c r="N7" s="179"/>
      <c r="O7" s="179"/>
      <c r="P7" s="93">
        <f>SUM(D7:O7)</f>
        <v>0</v>
      </c>
    </row>
    <row r="8" spans="3:17" ht="24.95" customHeight="1" x14ac:dyDescent="0.25">
      <c r="C8" s="96" t="s">
        <v>99</v>
      </c>
      <c r="D8" s="97">
        <f>SUM(D5:D7)</f>
        <v>0</v>
      </c>
      <c r="E8" s="97">
        <f t="shared" ref="E8:O8" si="0">SUM(E5:E7)</f>
        <v>0</v>
      </c>
      <c r="F8" s="97">
        <f t="shared" si="0"/>
        <v>0</v>
      </c>
      <c r="G8" s="97">
        <f t="shared" si="0"/>
        <v>0</v>
      </c>
      <c r="H8" s="97">
        <f t="shared" si="0"/>
        <v>0</v>
      </c>
      <c r="I8" s="97">
        <f t="shared" si="0"/>
        <v>0</v>
      </c>
      <c r="J8" s="97">
        <f t="shared" si="0"/>
        <v>0</v>
      </c>
      <c r="K8" s="97">
        <f t="shared" si="0"/>
        <v>0</v>
      </c>
      <c r="L8" s="97">
        <f t="shared" si="0"/>
        <v>0</v>
      </c>
      <c r="M8" s="97">
        <f t="shared" si="0"/>
        <v>0</v>
      </c>
      <c r="N8" s="97">
        <f t="shared" si="0"/>
        <v>0</v>
      </c>
      <c r="O8" s="97">
        <f t="shared" si="0"/>
        <v>0</v>
      </c>
      <c r="P8" s="98">
        <f>SUM(D8:O8)</f>
        <v>0</v>
      </c>
    </row>
    <row r="9" spans="3:17" ht="9.9499999999999993" customHeight="1" thickBot="1" x14ac:dyDescent="0.3">
      <c r="C9" s="88"/>
      <c r="D9" s="88"/>
      <c r="F9" s="88"/>
      <c r="G9" s="88"/>
      <c r="I9" s="88"/>
      <c r="J9" s="88"/>
      <c r="L9" s="88"/>
      <c r="M9" s="88"/>
      <c r="O9" s="88"/>
      <c r="P9" s="88"/>
    </row>
    <row r="10" spans="3:17" ht="21.95" customHeight="1" x14ac:dyDescent="0.25">
      <c r="C10" s="85" t="s">
        <v>82</v>
      </c>
      <c r="D10" s="55" t="s">
        <v>83</v>
      </c>
      <c r="E10" s="55" t="s">
        <v>84</v>
      </c>
      <c r="F10" s="55" t="s">
        <v>85</v>
      </c>
      <c r="G10" s="55" t="s">
        <v>86</v>
      </c>
      <c r="H10" s="55" t="s">
        <v>87</v>
      </c>
      <c r="I10" s="55" t="s">
        <v>88</v>
      </c>
      <c r="J10" s="55" t="s">
        <v>89</v>
      </c>
      <c r="K10" s="55" t="s">
        <v>90</v>
      </c>
      <c r="L10" s="55" t="s">
        <v>91</v>
      </c>
      <c r="M10" s="55" t="s">
        <v>92</v>
      </c>
      <c r="N10" s="55" t="s">
        <v>93</v>
      </c>
      <c r="O10" s="55" t="s">
        <v>94</v>
      </c>
      <c r="P10" s="56" t="s">
        <v>95</v>
      </c>
    </row>
    <row r="11" spans="3:17" ht="24.95" customHeight="1" x14ac:dyDescent="0.25">
      <c r="C11" s="86" t="s">
        <v>43</v>
      </c>
      <c r="D11" s="90">
        <v>0</v>
      </c>
      <c r="E11" s="90">
        <v>0</v>
      </c>
      <c r="F11" s="90">
        <v>0</v>
      </c>
      <c r="G11" s="90">
        <v>0</v>
      </c>
      <c r="H11" s="90">
        <v>0</v>
      </c>
      <c r="I11" s="90">
        <v>0</v>
      </c>
      <c r="J11" s="90">
        <v>0</v>
      </c>
      <c r="K11" s="90">
        <v>0</v>
      </c>
      <c r="L11" s="90">
        <v>0</v>
      </c>
      <c r="M11" s="90">
        <v>0</v>
      </c>
      <c r="N11" s="90">
        <v>0</v>
      </c>
      <c r="O11" s="90">
        <v>0</v>
      </c>
      <c r="P11" s="91">
        <f t="shared" ref="P11:P13" si="1">SUM(D11:O11)</f>
        <v>0</v>
      </c>
      <c r="Q11" s="264"/>
    </row>
    <row r="12" spans="3:17" ht="24.95" customHeight="1" x14ac:dyDescent="0.25">
      <c r="C12" s="94" t="s">
        <v>44</v>
      </c>
      <c r="D12" s="95">
        <v>0</v>
      </c>
      <c r="E12" s="95">
        <v>0</v>
      </c>
      <c r="F12" s="95">
        <v>0</v>
      </c>
      <c r="G12" s="95">
        <v>0</v>
      </c>
      <c r="H12" s="95">
        <v>0</v>
      </c>
      <c r="I12" s="95">
        <v>0</v>
      </c>
      <c r="J12" s="95">
        <v>0</v>
      </c>
      <c r="K12" s="95">
        <v>0</v>
      </c>
      <c r="L12" s="95">
        <v>0</v>
      </c>
      <c r="M12" s="95">
        <v>0</v>
      </c>
      <c r="N12" s="95">
        <v>0</v>
      </c>
      <c r="O12" s="95">
        <v>0</v>
      </c>
      <c r="P12" s="93">
        <f t="shared" si="1"/>
        <v>0</v>
      </c>
      <c r="Q12" s="264"/>
    </row>
    <row r="13" spans="3:17" ht="24.95" customHeight="1" x14ac:dyDescent="0.25">
      <c r="C13" s="96" t="s">
        <v>99</v>
      </c>
      <c r="D13" s="97">
        <f t="shared" ref="D13:O13" si="2">SUM(D11:D12)</f>
        <v>0</v>
      </c>
      <c r="E13" s="97">
        <f t="shared" si="2"/>
        <v>0</v>
      </c>
      <c r="F13" s="97">
        <f t="shared" si="2"/>
        <v>0</v>
      </c>
      <c r="G13" s="97">
        <f t="shared" si="2"/>
        <v>0</v>
      </c>
      <c r="H13" s="97">
        <f t="shared" si="2"/>
        <v>0</v>
      </c>
      <c r="I13" s="97">
        <f t="shared" si="2"/>
        <v>0</v>
      </c>
      <c r="J13" s="97">
        <f t="shared" si="2"/>
        <v>0</v>
      </c>
      <c r="K13" s="97">
        <f t="shared" si="2"/>
        <v>0</v>
      </c>
      <c r="L13" s="97">
        <f t="shared" si="2"/>
        <v>0</v>
      </c>
      <c r="M13" s="97">
        <f t="shared" si="2"/>
        <v>0</v>
      </c>
      <c r="N13" s="97">
        <f t="shared" si="2"/>
        <v>0</v>
      </c>
      <c r="O13" s="97">
        <f t="shared" si="2"/>
        <v>0</v>
      </c>
      <c r="P13" s="98">
        <f t="shared" si="1"/>
        <v>0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5F62A-EC07-4AB1-AC9B-31D097EE551B}">
  <sheetPr codeName="Planilha58">
    <tabColor rgb="FF00B050"/>
  </sheetPr>
  <dimension ref="C1:Q13"/>
  <sheetViews>
    <sheetView showGridLines="0" showRowColHeaders="0" workbookViewId="0">
      <pane ySplit="4" topLeftCell="A5" activePane="bottomLeft" state="frozen"/>
      <selection activeCell="U8" sqref="U8"/>
      <selection pane="bottomLeft" activeCell="C3" sqref="C3"/>
    </sheetView>
  </sheetViews>
  <sheetFormatPr defaultRowHeight="24.95" customHeight="1" x14ac:dyDescent="0.25"/>
  <cols>
    <col min="1" max="2" width="1.7109375" style="18" customWidth="1"/>
    <col min="3" max="3" width="13.7109375" style="18" customWidth="1"/>
    <col min="4" max="16" width="13.140625" style="18" customWidth="1"/>
    <col min="17" max="19" width="0" style="18" hidden="1" customWidth="1"/>
    <col min="20" max="16384" width="9.140625" style="18"/>
  </cols>
  <sheetData>
    <row r="1" spans="3:17" s="1" customFormat="1" ht="35.1" customHeight="1" x14ac:dyDescent="0.25"/>
    <row r="2" spans="3:17" s="3" customFormat="1" ht="30" customHeight="1" x14ac:dyDescent="0.25"/>
    <row r="3" spans="3:17" ht="99.95" customHeight="1" thickBot="1" x14ac:dyDescent="0.3"/>
    <row r="4" spans="3:17" ht="21.95" customHeight="1" x14ac:dyDescent="0.25">
      <c r="C4" s="85" t="s">
        <v>82</v>
      </c>
      <c r="D4" s="55" t="s">
        <v>83</v>
      </c>
      <c r="E4" s="55" t="s">
        <v>84</v>
      </c>
      <c r="F4" s="55" t="s">
        <v>85</v>
      </c>
      <c r="G4" s="55" t="s">
        <v>86</v>
      </c>
      <c r="H4" s="55" t="s">
        <v>87</v>
      </c>
      <c r="I4" s="55" t="s">
        <v>88</v>
      </c>
      <c r="J4" s="55" t="s">
        <v>89</v>
      </c>
      <c r="K4" s="55" t="s">
        <v>90</v>
      </c>
      <c r="L4" s="55" t="s">
        <v>91</v>
      </c>
      <c r="M4" s="55" t="s">
        <v>92</v>
      </c>
      <c r="N4" s="55" t="s">
        <v>93</v>
      </c>
      <c r="O4" s="55" t="s">
        <v>94</v>
      </c>
      <c r="P4" s="56" t="s">
        <v>95</v>
      </c>
    </row>
    <row r="5" spans="3:17" ht="24.95" customHeight="1" x14ac:dyDescent="0.25">
      <c r="C5" s="86" t="s">
        <v>102</v>
      </c>
      <c r="D5" s="90">
        <f>IFERROR('Ref1'!D5+'Ref2'!D5+'Ref3'!D5,0)</f>
        <v>0</v>
      </c>
      <c r="E5" s="90">
        <f>IFERROR('Ref1'!E5+'Ref2'!E5+'Ref3'!E5,0)</f>
        <v>0</v>
      </c>
      <c r="F5" s="90">
        <f>IFERROR('Ref1'!F5+'Ref2'!F5+'Ref3'!F5,0)</f>
        <v>0</v>
      </c>
      <c r="G5" s="90">
        <f>IFERROR('Ref1'!G5+'Ref2'!G5+'Ref3'!G5,0)</f>
        <v>0</v>
      </c>
      <c r="H5" s="90">
        <f>IFERROR('Ref1'!H5+'Ref2'!H5+'Ref3'!H5,0)</f>
        <v>0</v>
      </c>
      <c r="I5" s="90">
        <f>IFERROR('Ref1'!I5+'Ref2'!I5+'Ref3'!I5,0)</f>
        <v>0</v>
      </c>
      <c r="J5" s="90">
        <f>IFERROR('Ref1'!J5+'Ref2'!J5+'Ref3'!J5,0)</f>
        <v>0</v>
      </c>
      <c r="K5" s="90">
        <f>IFERROR('Ref1'!K5+'Ref2'!K5+'Ref3'!K5,0)</f>
        <v>0</v>
      </c>
      <c r="L5" s="90">
        <f>IFERROR('Ref1'!L5+'Ref2'!L5+'Ref3'!L5,0)</f>
        <v>0</v>
      </c>
      <c r="M5" s="90">
        <f>IFERROR('Ref1'!M5+'Ref2'!M5+'Ref3'!M5,0)</f>
        <v>0</v>
      </c>
      <c r="N5" s="90">
        <f>IFERROR('Ref1'!N5+'Ref2'!N5+'Ref3'!N5,0)</f>
        <v>0</v>
      </c>
      <c r="O5" s="90">
        <f>IFERROR('Ref1'!O5+'Ref2'!O5+'Ref3'!O5,0)</f>
        <v>0</v>
      </c>
      <c r="P5" s="91">
        <f>SUM(D5:O5)</f>
        <v>0</v>
      </c>
    </row>
    <row r="6" spans="3:17" ht="24.95" customHeight="1" x14ac:dyDescent="0.25">
      <c r="C6" s="92" t="s">
        <v>103</v>
      </c>
      <c r="D6" s="90">
        <f>IFERROR('Ref1'!D6+'Ref2'!D6+'Ref3'!D6,0)</f>
        <v>134725</v>
      </c>
      <c r="E6" s="90">
        <f>IFERROR('Ref1'!E6+'Ref2'!E6+'Ref3'!E6,0)</f>
        <v>108391</v>
      </c>
      <c r="F6" s="90">
        <f>IFERROR('Ref1'!F6+'Ref2'!F6+'Ref3'!F6,0)</f>
        <v>133613</v>
      </c>
      <c r="G6" s="90">
        <f>IFERROR('Ref1'!G6+'Ref2'!G6+'Ref3'!G6,0)</f>
        <v>120356</v>
      </c>
      <c r="H6" s="90">
        <f>IFERROR('Ref1'!H6+'Ref2'!H6+'Ref3'!H6,0)</f>
        <v>119059</v>
      </c>
      <c r="I6" s="90">
        <f>IFERROR('Ref1'!I6+'Ref2'!I6+'Ref3'!I6,0)</f>
        <v>104241</v>
      </c>
      <c r="J6" s="90">
        <f>IFERROR('Ref1'!J6+'Ref2'!J6+'Ref3'!J6,0)</f>
        <v>123748</v>
      </c>
      <c r="K6" s="90">
        <f>IFERROR('Ref1'!K6+'Ref2'!K6+'Ref3'!K6,0)</f>
        <v>102602</v>
      </c>
      <c r="L6" s="90">
        <f>IFERROR('Ref1'!L6+'Ref2'!L6+'Ref3'!L6,0)</f>
        <v>109759</v>
      </c>
      <c r="M6" s="90">
        <f>IFERROR('Ref1'!M6+'Ref2'!M6+'Ref3'!M6,0)</f>
        <v>115659</v>
      </c>
      <c r="N6" s="90">
        <f>IFERROR('Ref1'!N6+'Ref2'!N6+'Ref3'!N6,0)</f>
        <v>110531</v>
      </c>
      <c r="O6" s="90">
        <f>IFERROR('Ref1'!O6+'Ref2'!O6+'Ref3'!O6,0)</f>
        <v>109533</v>
      </c>
      <c r="P6" s="93">
        <f>SUM(D6:O6)</f>
        <v>1392217</v>
      </c>
    </row>
    <row r="7" spans="3:17" ht="24.95" customHeight="1" x14ac:dyDescent="0.25">
      <c r="C7" s="94" t="s">
        <v>104</v>
      </c>
      <c r="D7" s="100">
        <f>IFERROR('Ref1'!D7+'Ref2'!D7+'Ref3'!D7,0)</f>
        <v>0</v>
      </c>
      <c r="E7" s="100">
        <f>IFERROR('Ref1'!E7+'Ref2'!E7+'Ref3'!E7,0)</f>
        <v>0</v>
      </c>
      <c r="F7" s="100">
        <f>IFERROR('Ref1'!F7+'Ref2'!F7+'Ref3'!F7,0)</f>
        <v>0</v>
      </c>
      <c r="G7" s="100">
        <f>IFERROR('Ref1'!G7+'Ref2'!G7+'Ref3'!G7,0)</f>
        <v>0</v>
      </c>
      <c r="H7" s="100">
        <f>IFERROR('Ref1'!H7+'Ref2'!H7+'Ref3'!H7,0)</f>
        <v>0</v>
      </c>
      <c r="I7" s="100">
        <f>IFERROR('Ref1'!I7+'Ref2'!I7+'Ref3'!I7,0)</f>
        <v>0</v>
      </c>
      <c r="J7" s="100">
        <f>IFERROR('Ref1'!J7+'Ref2'!J7+'Ref3'!J7,0)</f>
        <v>0</v>
      </c>
      <c r="K7" s="100">
        <f>IFERROR('Ref1'!K7+'Ref2'!K7+'Ref3'!K7,0)</f>
        <v>0</v>
      </c>
      <c r="L7" s="100">
        <f>IFERROR('Ref1'!L7+'Ref2'!L7+'Ref3'!L7,0)</f>
        <v>0</v>
      </c>
      <c r="M7" s="100">
        <f>IFERROR('Ref1'!M7+'Ref2'!M7+'Ref3'!M7,0)</f>
        <v>0</v>
      </c>
      <c r="N7" s="100">
        <f>IFERROR('Ref1'!N7+'Ref2'!N7+'Ref3'!N7,0)</f>
        <v>0</v>
      </c>
      <c r="O7" s="100">
        <f>IFERROR('Ref1'!O7+'Ref2'!O7+'Ref3'!O7,0)</f>
        <v>0</v>
      </c>
      <c r="P7" s="93">
        <f>SUM(D7:O7)</f>
        <v>0</v>
      </c>
    </row>
    <row r="8" spans="3:17" ht="24.95" customHeight="1" x14ac:dyDescent="0.25">
      <c r="C8" s="96" t="s">
        <v>99</v>
      </c>
      <c r="D8" s="97">
        <f>SUM(D5:D7)</f>
        <v>134725</v>
      </c>
      <c r="E8" s="97">
        <f t="shared" ref="E8:O8" si="0">SUM(E5:E7)</f>
        <v>108391</v>
      </c>
      <c r="F8" s="97">
        <f t="shared" si="0"/>
        <v>133613</v>
      </c>
      <c r="G8" s="97">
        <f t="shared" si="0"/>
        <v>120356</v>
      </c>
      <c r="H8" s="97">
        <f t="shared" si="0"/>
        <v>119059</v>
      </c>
      <c r="I8" s="97">
        <f t="shared" si="0"/>
        <v>104241</v>
      </c>
      <c r="J8" s="97">
        <f t="shared" si="0"/>
        <v>123748</v>
      </c>
      <c r="K8" s="97">
        <f t="shared" si="0"/>
        <v>102602</v>
      </c>
      <c r="L8" s="97">
        <f t="shared" si="0"/>
        <v>109759</v>
      </c>
      <c r="M8" s="97">
        <f t="shared" si="0"/>
        <v>115659</v>
      </c>
      <c r="N8" s="97">
        <f t="shared" si="0"/>
        <v>110531</v>
      </c>
      <c r="O8" s="97">
        <f t="shared" si="0"/>
        <v>109533</v>
      </c>
      <c r="P8" s="98">
        <f>SUM(D8:O8)</f>
        <v>1392217</v>
      </c>
    </row>
    <row r="9" spans="3:17" ht="9.9499999999999993" customHeight="1" thickBot="1" x14ac:dyDescent="0.3">
      <c r="C9" s="88"/>
      <c r="D9" s="88"/>
      <c r="F9" s="88"/>
      <c r="G9" s="88"/>
      <c r="I9" s="88"/>
      <c r="J9" s="88"/>
      <c r="L9" s="88"/>
      <c r="M9" s="88"/>
      <c r="O9" s="88"/>
      <c r="P9" s="88"/>
    </row>
    <row r="10" spans="3:17" ht="21.95" customHeight="1" x14ac:dyDescent="0.25">
      <c r="C10" s="85" t="s">
        <v>82</v>
      </c>
      <c r="D10" s="55" t="s">
        <v>83</v>
      </c>
      <c r="E10" s="55" t="s">
        <v>84</v>
      </c>
      <c r="F10" s="55" t="s">
        <v>85</v>
      </c>
      <c r="G10" s="55" t="s">
        <v>86</v>
      </c>
      <c r="H10" s="55" t="s">
        <v>87</v>
      </c>
      <c r="I10" s="55" t="s">
        <v>88</v>
      </c>
      <c r="J10" s="55" t="s">
        <v>89</v>
      </c>
      <c r="K10" s="55" t="s">
        <v>90</v>
      </c>
      <c r="L10" s="55" t="s">
        <v>91</v>
      </c>
      <c r="M10" s="55" t="s">
        <v>92</v>
      </c>
      <c r="N10" s="55" t="s">
        <v>93</v>
      </c>
      <c r="O10" s="55" t="s">
        <v>94</v>
      </c>
      <c r="P10" s="56" t="s">
        <v>95</v>
      </c>
    </row>
    <row r="11" spans="3:17" ht="24.95" customHeight="1" x14ac:dyDescent="0.25">
      <c r="C11" s="86" t="s">
        <v>43</v>
      </c>
      <c r="D11" s="90">
        <f>IFERROR('Ref1'!D11+'Ref2'!D11+'Ref3'!D11,0)</f>
        <v>12408.172500000001</v>
      </c>
      <c r="E11" s="90">
        <f>IFERROR('Ref1'!E11+'Ref2'!E11+'Ref3'!E11,0)</f>
        <v>9982.8111000000008</v>
      </c>
      <c r="F11" s="90">
        <f>IFERROR('Ref1'!F11+'Ref2'!F11+'Ref3'!F11,0)</f>
        <v>12305.757299999999</v>
      </c>
      <c r="G11" s="90">
        <f>IFERROR('Ref1'!G11+'Ref2'!G11+'Ref3'!G11,0)</f>
        <v>11084.7876</v>
      </c>
      <c r="H11" s="90">
        <f>IFERROR('Ref1'!H11+'Ref2'!H11+'Ref3'!H11,0)</f>
        <v>10965.3339</v>
      </c>
      <c r="I11" s="90">
        <f>IFERROR('Ref1'!I11+'Ref2'!I11+'Ref3'!I11,0)</f>
        <v>9600.5961000000007</v>
      </c>
      <c r="J11" s="90">
        <f>IFERROR('Ref1'!J11+'Ref2'!J11+'Ref3'!J11,0)</f>
        <v>11397.1908</v>
      </c>
      <c r="K11" s="90">
        <f>IFERROR('Ref1'!K11+'Ref2'!K11+'Ref3'!K11,0)</f>
        <v>9449.6442000000006</v>
      </c>
      <c r="L11" s="90">
        <f>IFERROR('Ref1'!L11+'Ref2'!L11+'Ref3'!L11,0)</f>
        <v>10108.803900000001</v>
      </c>
      <c r="M11" s="90">
        <f>IFERROR('Ref1'!M11+'Ref2'!M11+'Ref3'!M11,0)</f>
        <v>10652.1939</v>
      </c>
      <c r="N11" s="90">
        <f>IFERROR('Ref1'!N11+'Ref2'!N11+'Ref3'!N11,0)</f>
        <v>10179.9051</v>
      </c>
      <c r="O11" s="90">
        <f>IFERROR('Ref1'!O11+'Ref2'!O11+'Ref3'!O11,0)</f>
        <v>10087.989299999999</v>
      </c>
      <c r="P11" s="91">
        <f t="shared" ref="P11:P13" si="1">SUM(D11:O11)</f>
        <v>128223.18569999999</v>
      </c>
      <c r="Q11" s="264"/>
    </row>
    <row r="12" spans="3:17" ht="24.95" customHeight="1" x14ac:dyDescent="0.25">
      <c r="C12" s="94" t="s">
        <v>44</v>
      </c>
      <c r="D12" s="95">
        <f>IFERROR('Ref1'!D12+'Ref2'!D12+'Ref3'!D12,0)</f>
        <v>25193.575000000001</v>
      </c>
      <c r="E12" s="95">
        <f>IFERROR('Ref1'!E12+'Ref2'!E12+'Ref3'!E12,0)</f>
        <v>20269.116999999998</v>
      </c>
      <c r="F12" s="95">
        <f>IFERROR('Ref1'!F12+'Ref2'!F12+'Ref3'!F12,0)</f>
        <v>24985.631000000001</v>
      </c>
      <c r="G12" s="95">
        <f>IFERROR('Ref1'!G12+'Ref2'!G12+'Ref3'!G12,0)</f>
        <v>22506.572</v>
      </c>
      <c r="H12" s="95">
        <f>IFERROR('Ref1'!H12+'Ref2'!H12+'Ref3'!H12,0)</f>
        <v>22264.032999999999</v>
      </c>
      <c r="I12" s="95">
        <f>IFERROR('Ref1'!I12+'Ref2'!I12+'Ref3'!I12,0)</f>
        <v>19493.066999999999</v>
      </c>
      <c r="J12" s="95">
        <f>IFERROR('Ref1'!J12+'Ref2'!J12+'Ref3'!J12,0)</f>
        <v>23140.876</v>
      </c>
      <c r="K12" s="95">
        <f>IFERROR('Ref1'!K12+'Ref2'!K12+'Ref3'!K12,0)</f>
        <v>19186.574000000001</v>
      </c>
      <c r="L12" s="95">
        <f>IFERROR('Ref1'!L12+'Ref2'!L12+'Ref3'!L12,0)</f>
        <v>20524.933000000001</v>
      </c>
      <c r="M12" s="95">
        <f>IFERROR('Ref1'!M12+'Ref2'!M12+'Ref3'!M12,0)</f>
        <v>21628.233</v>
      </c>
      <c r="N12" s="95">
        <f>IFERROR('Ref1'!N12+'Ref2'!N12+'Ref3'!N12,0)</f>
        <v>20669.296999999999</v>
      </c>
      <c r="O12" s="95">
        <f>IFERROR('Ref1'!O12+'Ref2'!O12+'Ref3'!O12,0)</f>
        <v>20482.670999999998</v>
      </c>
      <c r="P12" s="93">
        <f t="shared" si="1"/>
        <v>260344.57899999997</v>
      </c>
      <c r="Q12" s="264"/>
    </row>
    <row r="13" spans="3:17" ht="24.95" customHeight="1" x14ac:dyDescent="0.25">
      <c r="C13" s="96" t="s">
        <v>99</v>
      </c>
      <c r="D13" s="97">
        <f t="shared" ref="D13:O13" si="2">SUM(D11:D12)</f>
        <v>37601.747499999998</v>
      </c>
      <c r="E13" s="97">
        <f t="shared" si="2"/>
        <v>30251.928099999997</v>
      </c>
      <c r="F13" s="97">
        <f t="shared" si="2"/>
        <v>37291.388299999999</v>
      </c>
      <c r="G13" s="97">
        <f t="shared" si="2"/>
        <v>33591.359599999996</v>
      </c>
      <c r="H13" s="97">
        <f t="shared" si="2"/>
        <v>33229.366900000001</v>
      </c>
      <c r="I13" s="97">
        <f t="shared" si="2"/>
        <v>29093.663099999998</v>
      </c>
      <c r="J13" s="97">
        <f t="shared" si="2"/>
        <v>34538.066800000001</v>
      </c>
      <c r="K13" s="97">
        <f t="shared" si="2"/>
        <v>28636.218200000003</v>
      </c>
      <c r="L13" s="97">
        <f t="shared" si="2"/>
        <v>30633.736900000004</v>
      </c>
      <c r="M13" s="97">
        <f t="shared" si="2"/>
        <v>32280.426899999999</v>
      </c>
      <c r="N13" s="97">
        <f t="shared" si="2"/>
        <v>30849.202099999999</v>
      </c>
      <c r="O13" s="97">
        <f t="shared" si="2"/>
        <v>30570.660299999996</v>
      </c>
      <c r="P13" s="98">
        <f t="shared" si="1"/>
        <v>388567.7647</v>
      </c>
    </row>
  </sheetData>
  <sheetProtection sheet="1" objects="1" scenarios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ilha39">
    <tabColor rgb="FFFB5A56"/>
  </sheetPr>
  <dimension ref="C1:P19"/>
  <sheetViews>
    <sheetView showGridLines="0" showRowColHeaders="0" workbookViewId="0">
      <pane ySplit="4" topLeftCell="A5" activePane="bottomLeft" state="frozen"/>
      <selection activeCell="U6" sqref="U6"/>
      <selection pane="bottomLeft" activeCell="K14" sqref="K14"/>
    </sheetView>
  </sheetViews>
  <sheetFormatPr defaultRowHeight="24.95" customHeight="1" x14ac:dyDescent="0.25"/>
  <cols>
    <col min="1" max="2" width="1.7109375" style="18" customWidth="1"/>
    <col min="3" max="3" width="13.7109375" style="18" customWidth="1"/>
    <col min="4" max="16" width="13.140625" style="18" customWidth="1"/>
    <col min="17" max="16384" width="9.140625" style="18"/>
  </cols>
  <sheetData>
    <row r="1" spans="3:16" s="1" customFormat="1" ht="35.1" customHeight="1" x14ac:dyDescent="0.25"/>
    <row r="2" spans="3:16" s="3" customFormat="1" ht="30" customHeight="1" x14ac:dyDescent="0.25"/>
    <row r="3" spans="3:16" ht="30" customHeight="1" thickBot="1" x14ac:dyDescent="0.25">
      <c r="C3" s="108"/>
    </row>
    <row r="4" spans="3:16" ht="21.95" customHeight="1" x14ac:dyDescent="0.25">
      <c r="C4" s="85" t="s">
        <v>82</v>
      </c>
      <c r="D4" s="55" t="s">
        <v>83</v>
      </c>
      <c r="E4" s="55" t="s">
        <v>84</v>
      </c>
      <c r="F4" s="55" t="s">
        <v>85</v>
      </c>
      <c r="G4" s="55" t="s">
        <v>86</v>
      </c>
      <c r="H4" s="55" t="s">
        <v>87</v>
      </c>
      <c r="I4" s="55" t="s">
        <v>88</v>
      </c>
      <c r="J4" s="55" t="s">
        <v>89</v>
      </c>
      <c r="K4" s="55" t="s">
        <v>90</v>
      </c>
      <c r="L4" s="55" t="s">
        <v>91</v>
      </c>
      <c r="M4" s="55" t="s">
        <v>92</v>
      </c>
      <c r="N4" s="55" t="s">
        <v>93</v>
      </c>
      <c r="O4" s="55" t="s">
        <v>94</v>
      </c>
      <c r="P4" s="56" t="s">
        <v>95</v>
      </c>
    </row>
    <row r="5" spans="3:16" ht="24.95" customHeight="1" x14ac:dyDescent="0.25">
      <c r="C5" s="86" t="s">
        <v>149</v>
      </c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91">
        <f>SUM(D5:O5)</f>
        <v>0</v>
      </c>
    </row>
    <row r="6" spans="3:16" ht="24.95" customHeight="1" x14ac:dyDescent="0.25">
      <c r="C6" s="92" t="s">
        <v>148</v>
      </c>
      <c r="D6" s="75">
        <v>38671</v>
      </c>
      <c r="E6" s="75">
        <v>35038</v>
      </c>
      <c r="F6" s="75">
        <v>38988</v>
      </c>
      <c r="G6" s="75">
        <v>36366</v>
      </c>
      <c r="H6" s="75">
        <v>36221</v>
      </c>
      <c r="I6" s="75">
        <v>36625</v>
      </c>
      <c r="J6" s="75">
        <v>37727</v>
      </c>
      <c r="K6" s="75">
        <v>38303</v>
      </c>
      <c r="L6" s="75">
        <v>39407</v>
      </c>
      <c r="M6" s="75">
        <v>36094</v>
      </c>
      <c r="N6" s="75">
        <v>37011</v>
      </c>
      <c r="O6" s="75">
        <v>39167</v>
      </c>
      <c r="P6" s="93">
        <f>SUM(D6:O6)</f>
        <v>449618</v>
      </c>
    </row>
    <row r="7" spans="3:16" ht="24.95" customHeight="1" x14ac:dyDescent="0.25">
      <c r="C7" s="148" t="s">
        <v>150</v>
      </c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93">
        <f>SUM(D7:O7)</f>
        <v>0</v>
      </c>
    </row>
    <row r="8" spans="3:16" ht="24.95" customHeight="1" x14ac:dyDescent="0.25">
      <c r="C8" s="96" t="s">
        <v>99</v>
      </c>
      <c r="D8" s="97">
        <f>SUM(D5:D7)</f>
        <v>38671</v>
      </c>
      <c r="E8" s="97">
        <f t="shared" ref="E8:O8" si="0">SUM(E5:E7)</f>
        <v>35038</v>
      </c>
      <c r="F8" s="97">
        <f t="shared" si="0"/>
        <v>38988</v>
      </c>
      <c r="G8" s="97">
        <f t="shared" si="0"/>
        <v>36366</v>
      </c>
      <c r="H8" s="97">
        <f t="shared" si="0"/>
        <v>36221</v>
      </c>
      <c r="I8" s="97">
        <f t="shared" si="0"/>
        <v>36625</v>
      </c>
      <c r="J8" s="97">
        <f t="shared" si="0"/>
        <v>37727</v>
      </c>
      <c r="K8" s="97">
        <f t="shared" si="0"/>
        <v>38303</v>
      </c>
      <c r="L8" s="97">
        <f t="shared" si="0"/>
        <v>39407</v>
      </c>
      <c r="M8" s="97">
        <f t="shared" si="0"/>
        <v>36094</v>
      </c>
      <c r="N8" s="97">
        <f t="shared" si="0"/>
        <v>37011</v>
      </c>
      <c r="O8" s="97">
        <f t="shared" si="0"/>
        <v>39167</v>
      </c>
      <c r="P8" s="98">
        <f>SUM(D8:O8)</f>
        <v>449618</v>
      </c>
    </row>
    <row r="9" spans="3:16" ht="24.95" customHeight="1" thickBot="1" x14ac:dyDescent="0.3">
      <c r="C9" s="88"/>
      <c r="D9" s="88"/>
      <c r="F9" s="88"/>
      <c r="G9" s="88"/>
      <c r="I9" s="88"/>
      <c r="J9" s="88"/>
      <c r="L9" s="88"/>
      <c r="M9" s="88"/>
    </row>
    <row r="10" spans="3:16" ht="24.95" customHeight="1" x14ac:dyDescent="0.25">
      <c r="C10" s="89" t="s">
        <v>129</v>
      </c>
      <c r="D10" s="58">
        <v>0.2</v>
      </c>
      <c r="F10" s="89" t="s">
        <v>153</v>
      </c>
      <c r="G10" s="58">
        <v>5.8000000000000003E-2</v>
      </c>
      <c r="I10" s="89" t="s">
        <v>154</v>
      </c>
      <c r="J10" s="58">
        <v>0.02</v>
      </c>
      <c r="L10" s="89" t="s">
        <v>155</v>
      </c>
      <c r="M10" s="58">
        <v>0.08</v>
      </c>
    </row>
    <row r="11" spans="3:16" ht="24.95" customHeight="1" thickBot="1" x14ac:dyDescent="0.3"/>
    <row r="12" spans="3:16" ht="21.95" customHeight="1" x14ac:dyDescent="0.25">
      <c r="C12" s="85" t="s">
        <v>82</v>
      </c>
      <c r="D12" s="55" t="s">
        <v>83</v>
      </c>
      <c r="E12" s="55" t="s">
        <v>84</v>
      </c>
      <c r="F12" s="55" t="s">
        <v>85</v>
      </c>
      <c r="G12" s="55" t="s">
        <v>86</v>
      </c>
      <c r="H12" s="55" t="s">
        <v>87</v>
      </c>
      <c r="I12" s="55" t="s">
        <v>88</v>
      </c>
      <c r="J12" s="55" t="s">
        <v>89</v>
      </c>
      <c r="K12" s="55" t="s">
        <v>90</v>
      </c>
      <c r="L12" s="55" t="s">
        <v>91</v>
      </c>
      <c r="M12" s="55" t="s">
        <v>92</v>
      </c>
      <c r="N12" s="55" t="s">
        <v>93</v>
      </c>
      <c r="O12" s="55" t="s">
        <v>94</v>
      </c>
      <c r="P12" s="56" t="s">
        <v>95</v>
      </c>
    </row>
    <row r="13" spans="3:16" ht="24.95" customHeight="1" x14ac:dyDescent="0.25">
      <c r="C13" s="86" t="s">
        <v>151</v>
      </c>
      <c r="D13" s="75">
        <v>12000</v>
      </c>
      <c r="E13" s="75">
        <v>12000</v>
      </c>
      <c r="F13" s="75">
        <v>12000</v>
      </c>
      <c r="G13" s="75">
        <v>12000</v>
      </c>
      <c r="H13" s="75">
        <v>12000</v>
      </c>
      <c r="I13" s="75">
        <v>12000</v>
      </c>
      <c r="J13" s="75">
        <v>12000</v>
      </c>
      <c r="K13" s="75">
        <v>12000</v>
      </c>
      <c r="L13" s="75">
        <v>12000</v>
      </c>
      <c r="M13" s="75">
        <v>12000</v>
      </c>
      <c r="N13" s="75">
        <v>12000</v>
      </c>
      <c r="O13" s="75">
        <v>12000</v>
      </c>
      <c r="P13" s="91">
        <f t="shared" ref="P13:P19" si="1">SUM(D13:O13)</f>
        <v>144000</v>
      </c>
    </row>
    <row r="14" spans="3:16" ht="24.95" customHeight="1" x14ac:dyDescent="0.25">
      <c r="C14" s="92" t="s">
        <v>152</v>
      </c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93">
        <f t="shared" si="1"/>
        <v>0</v>
      </c>
    </row>
    <row r="15" spans="3:16" ht="24.95" customHeight="1" x14ac:dyDescent="0.25">
      <c r="C15" s="92" t="s">
        <v>129</v>
      </c>
      <c r="D15" s="90">
        <f>IF('BH (1)'!$D$4="Simples Nacional",0,IFERROR(SUM(D13:D14)*$D$10,0))</f>
        <v>2400</v>
      </c>
      <c r="E15" s="90">
        <f>IF('BH (1)'!$D$4="Simples Nacional",0,IFERROR(SUM(E13:E14)*$D$10,0))</f>
        <v>2400</v>
      </c>
      <c r="F15" s="90">
        <f>IF('BH (1)'!$D$4="Simples Nacional",0,IFERROR(SUM(F13:F14)*$D$10,0))</f>
        <v>2400</v>
      </c>
      <c r="G15" s="90">
        <f>IF('BH (1)'!$D$4="Simples Nacional",0,IFERROR(SUM(G13:G14)*$D$10,0))</f>
        <v>2400</v>
      </c>
      <c r="H15" s="90">
        <f>IF('BH (1)'!$D$4="Simples Nacional",0,IFERROR(SUM(H13:H14)*$D$10,0))</f>
        <v>2400</v>
      </c>
      <c r="I15" s="90">
        <f>IF('BH (1)'!$D$4="Simples Nacional",0,IFERROR(SUM(I13:I14)*$D$10,0))</f>
        <v>2400</v>
      </c>
      <c r="J15" s="90">
        <f>IF('BH (1)'!$D$4="Simples Nacional",0,IFERROR(SUM(J13:J14)*$D$10,0))</f>
        <v>2400</v>
      </c>
      <c r="K15" s="90">
        <f>IF('BH (1)'!$D$4="Simples Nacional",0,IFERROR(SUM(K13:K14)*$D$10,0))</f>
        <v>2400</v>
      </c>
      <c r="L15" s="90">
        <f>IF('BH (1)'!$D$4="Simples Nacional",0,IFERROR(SUM(L13:L14)*$D$10,0))</f>
        <v>2400</v>
      </c>
      <c r="M15" s="90">
        <f>IF('BH (1)'!$D$4="Simples Nacional",0,IFERROR(SUM(M13:M14)*$D$10,0))</f>
        <v>2400</v>
      </c>
      <c r="N15" s="90">
        <f>IF('BH (1)'!$D$4="Simples Nacional",0,IFERROR(SUM(N13:N14)*$D$10,0))</f>
        <v>2400</v>
      </c>
      <c r="O15" s="90">
        <f>IF('BH (1)'!$D$4="Simples Nacional",0,IFERROR(SUM(O13:O14)*$D$10,0))</f>
        <v>2400</v>
      </c>
      <c r="P15" s="93">
        <f t="shared" si="1"/>
        <v>28800</v>
      </c>
    </row>
    <row r="16" spans="3:16" ht="24.95" customHeight="1" x14ac:dyDescent="0.25">
      <c r="C16" s="92" t="s">
        <v>153</v>
      </c>
      <c r="D16" s="90">
        <f>IF('BH (1)'!$D$4="Simples Nacional",0,IFERROR(D13*$G$10,0))</f>
        <v>696</v>
      </c>
      <c r="E16" s="90">
        <f>IF('BH (1)'!$D$4="Simples Nacional",0,IFERROR(E13*$G$10,0))</f>
        <v>696</v>
      </c>
      <c r="F16" s="90">
        <f>IF('BH (1)'!$D$4="Simples Nacional",0,IFERROR(F13*$G$10,0))</f>
        <v>696</v>
      </c>
      <c r="G16" s="90">
        <f>IF('BH (1)'!$D$4="Simples Nacional",0,IFERROR(G13*$G$10,0))</f>
        <v>696</v>
      </c>
      <c r="H16" s="90">
        <f>IF('BH (1)'!$D$4="Simples Nacional",0,IFERROR(H13*$G$10,0))</f>
        <v>696</v>
      </c>
      <c r="I16" s="90">
        <f>IF('BH (1)'!$D$4="Simples Nacional",0,IFERROR(I13*$G$10,0))</f>
        <v>696</v>
      </c>
      <c r="J16" s="90">
        <f>IF('BH (1)'!$D$4="Simples Nacional",0,IFERROR(J13*$G$10,0))</f>
        <v>696</v>
      </c>
      <c r="K16" s="90">
        <f>IF('BH (1)'!$D$4="Simples Nacional",0,IFERROR(K13*$G$10,0))</f>
        <v>696</v>
      </c>
      <c r="L16" s="90">
        <f>IF('BH (1)'!$D$4="Simples Nacional",0,IFERROR(L13*$G$10,0))</f>
        <v>696</v>
      </c>
      <c r="M16" s="90">
        <f>IF('BH (1)'!$D$4="Simples Nacional",0,IFERROR(M13*$G$10,0))</f>
        <v>696</v>
      </c>
      <c r="N16" s="90">
        <f>IF('BH (1)'!$D$4="Simples Nacional",0,IFERROR(N13*$G$10,0))</f>
        <v>696</v>
      </c>
      <c r="O16" s="90">
        <f>IF('BH (1)'!$D$4="Simples Nacional",0,IFERROR(O13*$G$10,0))</f>
        <v>696</v>
      </c>
      <c r="P16" s="93">
        <f t="shared" si="1"/>
        <v>8352</v>
      </c>
    </row>
    <row r="17" spans="3:16" ht="24.95" customHeight="1" x14ac:dyDescent="0.25">
      <c r="C17" s="92" t="s">
        <v>154</v>
      </c>
      <c r="D17" s="90">
        <f>IF('BH (1)'!$D$4="Simples Nacional",0,IFERROR(D13*$J$10,0))</f>
        <v>240</v>
      </c>
      <c r="E17" s="90">
        <f>IF('BH (1)'!$D$4="Simples Nacional",0,IFERROR(E13*$J$10,0))</f>
        <v>240</v>
      </c>
      <c r="F17" s="90">
        <f>IF('BH (1)'!$D$4="Simples Nacional",0,IFERROR(F13*$J$10,0))</f>
        <v>240</v>
      </c>
      <c r="G17" s="90">
        <f>IF('BH (1)'!$D$4="Simples Nacional",0,IFERROR(G13*$J$10,0))</f>
        <v>240</v>
      </c>
      <c r="H17" s="90">
        <f>IF('BH (1)'!$D$4="Simples Nacional",0,IFERROR(H13*$J$10,0))</f>
        <v>240</v>
      </c>
      <c r="I17" s="90">
        <f>IF('BH (1)'!$D$4="Simples Nacional",0,IFERROR(I13*$J$10,0))</f>
        <v>240</v>
      </c>
      <c r="J17" s="90">
        <f>IF('BH (1)'!$D$4="Simples Nacional",0,IFERROR(J13*$J$10,0))</f>
        <v>240</v>
      </c>
      <c r="K17" s="90">
        <f>IF('BH (1)'!$D$4="Simples Nacional",0,IFERROR(K13*$J$10,0))</f>
        <v>240</v>
      </c>
      <c r="L17" s="90">
        <f>IF('BH (1)'!$D$4="Simples Nacional",0,IFERROR(L13*$J$10,0))</f>
        <v>240</v>
      </c>
      <c r="M17" s="90">
        <f>IF('BH (1)'!$D$4="Simples Nacional",0,IFERROR(M13*$J$10,0))</f>
        <v>240</v>
      </c>
      <c r="N17" s="90">
        <f>IF('BH (1)'!$D$4="Simples Nacional",0,IFERROR(N13*$J$10,0))</f>
        <v>240</v>
      </c>
      <c r="O17" s="90">
        <f>IF('BH (1)'!$D$4="Simples Nacional",0,IFERROR(O13*$J$10,0))</f>
        <v>240</v>
      </c>
      <c r="P17" s="93">
        <f t="shared" si="1"/>
        <v>2880</v>
      </c>
    </row>
    <row r="18" spans="3:16" ht="24.95" customHeight="1" x14ac:dyDescent="0.25">
      <c r="C18" s="94" t="s">
        <v>155</v>
      </c>
      <c r="D18" s="95">
        <f>IFERROR(D13*$M$10,0)</f>
        <v>960</v>
      </c>
      <c r="E18" s="95">
        <f t="shared" ref="E18:O18" si="2">IFERROR(E13*$M$10,0)</f>
        <v>960</v>
      </c>
      <c r="F18" s="95">
        <f t="shared" si="2"/>
        <v>960</v>
      </c>
      <c r="G18" s="95">
        <f t="shared" si="2"/>
        <v>960</v>
      </c>
      <c r="H18" s="95">
        <f t="shared" si="2"/>
        <v>960</v>
      </c>
      <c r="I18" s="95">
        <f t="shared" si="2"/>
        <v>960</v>
      </c>
      <c r="J18" s="95">
        <f t="shared" si="2"/>
        <v>960</v>
      </c>
      <c r="K18" s="95">
        <f t="shared" si="2"/>
        <v>960</v>
      </c>
      <c r="L18" s="95">
        <f>IFERROR(L13*$M$10,0)</f>
        <v>960</v>
      </c>
      <c r="M18" s="95">
        <f t="shared" si="2"/>
        <v>960</v>
      </c>
      <c r="N18" s="95">
        <f t="shared" si="2"/>
        <v>960</v>
      </c>
      <c r="O18" s="95">
        <f t="shared" si="2"/>
        <v>960</v>
      </c>
      <c r="P18" s="93">
        <f t="shared" si="1"/>
        <v>11520</v>
      </c>
    </row>
    <row r="19" spans="3:16" ht="24.95" customHeight="1" x14ac:dyDescent="0.25">
      <c r="C19" s="96" t="s">
        <v>99</v>
      </c>
      <c r="D19" s="97">
        <f>SUM(D15:D18)</f>
        <v>4296</v>
      </c>
      <c r="E19" s="97">
        <f t="shared" ref="E19:O19" si="3">SUM(E15:E18)</f>
        <v>4296</v>
      </c>
      <c r="F19" s="97">
        <f t="shared" si="3"/>
        <v>4296</v>
      </c>
      <c r="G19" s="97">
        <f t="shared" si="3"/>
        <v>4296</v>
      </c>
      <c r="H19" s="97">
        <f t="shared" si="3"/>
        <v>4296</v>
      </c>
      <c r="I19" s="97">
        <f t="shared" si="3"/>
        <v>4296</v>
      </c>
      <c r="J19" s="97">
        <f t="shared" si="3"/>
        <v>4296</v>
      </c>
      <c r="K19" s="97">
        <f t="shared" si="3"/>
        <v>4296</v>
      </c>
      <c r="L19" s="97">
        <f>SUM(L15:L18)</f>
        <v>4296</v>
      </c>
      <c r="M19" s="97">
        <f t="shared" si="3"/>
        <v>4296</v>
      </c>
      <c r="N19" s="97">
        <f t="shared" si="3"/>
        <v>4296</v>
      </c>
      <c r="O19" s="97">
        <f t="shared" si="3"/>
        <v>4296</v>
      </c>
      <c r="P19" s="98">
        <f t="shared" si="1"/>
        <v>51552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ilha40">
    <tabColor rgb="FFFB5A56"/>
  </sheetPr>
  <dimension ref="C1:P19"/>
  <sheetViews>
    <sheetView showGridLines="0" showRowColHeaders="0" workbookViewId="0">
      <pane ySplit="4" topLeftCell="A5" activePane="bottomLeft" state="frozen"/>
      <selection activeCell="U6" sqref="U6"/>
      <selection pane="bottomLeft" activeCell="D7" sqref="D7"/>
    </sheetView>
  </sheetViews>
  <sheetFormatPr defaultRowHeight="24.95" customHeight="1" x14ac:dyDescent="0.25"/>
  <cols>
    <col min="1" max="2" width="1.7109375" style="18" customWidth="1"/>
    <col min="3" max="3" width="13.7109375" style="18" customWidth="1"/>
    <col min="4" max="16" width="13.140625" style="18" customWidth="1"/>
    <col min="17" max="16384" width="9.140625" style="18"/>
  </cols>
  <sheetData>
    <row r="1" spans="3:16" s="1" customFormat="1" ht="35.1" customHeight="1" x14ac:dyDescent="0.25"/>
    <row r="2" spans="3:16" s="3" customFormat="1" ht="30" customHeight="1" x14ac:dyDescent="0.25"/>
    <row r="3" spans="3:16" ht="30" customHeight="1" thickBot="1" x14ac:dyDescent="0.25">
      <c r="C3" s="108"/>
    </row>
    <row r="4" spans="3:16" ht="21.95" customHeight="1" x14ac:dyDescent="0.25">
      <c r="C4" s="85" t="s">
        <v>82</v>
      </c>
      <c r="D4" s="55" t="s">
        <v>83</v>
      </c>
      <c r="E4" s="55" t="s">
        <v>84</v>
      </c>
      <c r="F4" s="55" t="s">
        <v>85</v>
      </c>
      <c r="G4" s="55" t="s">
        <v>86</v>
      </c>
      <c r="H4" s="55" t="s">
        <v>87</v>
      </c>
      <c r="I4" s="55" t="s">
        <v>88</v>
      </c>
      <c r="J4" s="55" t="s">
        <v>89</v>
      </c>
      <c r="K4" s="55" t="s">
        <v>90</v>
      </c>
      <c r="L4" s="55" t="s">
        <v>91</v>
      </c>
      <c r="M4" s="55" t="s">
        <v>92</v>
      </c>
      <c r="N4" s="55" t="s">
        <v>93</v>
      </c>
      <c r="O4" s="55" t="s">
        <v>94</v>
      </c>
      <c r="P4" s="56" t="s">
        <v>95</v>
      </c>
    </row>
    <row r="5" spans="3:16" ht="24.95" customHeight="1" x14ac:dyDescent="0.25">
      <c r="C5" s="175" t="s">
        <v>222</v>
      </c>
      <c r="D5" s="75">
        <v>26739</v>
      </c>
      <c r="E5" s="75">
        <v>27419</v>
      </c>
      <c r="F5" s="75">
        <v>25474</v>
      </c>
      <c r="G5" s="75">
        <v>27975</v>
      </c>
      <c r="H5" s="75">
        <v>26284</v>
      </c>
      <c r="I5" s="75">
        <v>27556</v>
      </c>
      <c r="J5" s="75">
        <v>27311</v>
      </c>
      <c r="K5" s="75">
        <v>27931</v>
      </c>
      <c r="L5" s="75">
        <v>26172</v>
      </c>
      <c r="M5" s="75">
        <v>27441</v>
      </c>
      <c r="N5" s="75">
        <v>27567</v>
      </c>
      <c r="O5" s="75">
        <v>27298</v>
      </c>
      <c r="P5" s="93">
        <f t="shared" ref="P5:P12" si="0">SUM(D5:O5)</f>
        <v>325167</v>
      </c>
    </row>
    <row r="6" spans="3:16" ht="24.95" customHeight="1" x14ac:dyDescent="0.25">
      <c r="C6" s="176" t="s">
        <v>366</v>
      </c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93">
        <f t="shared" si="0"/>
        <v>0</v>
      </c>
    </row>
    <row r="7" spans="3:16" ht="24.95" customHeight="1" x14ac:dyDescent="0.25">
      <c r="C7" s="176" t="s">
        <v>223</v>
      </c>
      <c r="D7" s="75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93">
        <f t="shared" si="0"/>
        <v>0</v>
      </c>
    </row>
    <row r="8" spans="3:16" ht="24.95" customHeight="1" x14ac:dyDescent="0.25">
      <c r="C8" s="176" t="s">
        <v>224</v>
      </c>
      <c r="D8" s="75"/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93">
        <f t="shared" si="0"/>
        <v>0</v>
      </c>
    </row>
    <row r="9" spans="3:16" ht="24.95" customHeight="1" x14ac:dyDescent="0.25">
      <c r="C9" s="176" t="s">
        <v>225</v>
      </c>
      <c r="D9" s="75"/>
      <c r="E9" s="75"/>
      <c r="F9" s="75"/>
      <c r="G9" s="75"/>
      <c r="H9" s="75"/>
      <c r="I9" s="75"/>
      <c r="J9" s="75"/>
      <c r="K9" s="75"/>
      <c r="L9" s="75"/>
      <c r="M9" s="75"/>
      <c r="N9" s="75"/>
      <c r="O9" s="75"/>
      <c r="P9" s="93">
        <f t="shared" si="0"/>
        <v>0</v>
      </c>
    </row>
    <row r="10" spans="3:16" ht="24.95" customHeight="1" x14ac:dyDescent="0.25">
      <c r="C10" s="176" t="s">
        <v>161</v>
      </c>
      <c r="D10" s="75"/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93">
        <f t="shared" si="0"/>
        <v>0</v>
      </c>
    </row>
    <row r="11" spans="3:16" ht="24.95" customHeight="1" x14ac:dyDescent="0.25">
      <c r="C11" s="176" t="s">
        <v>162</v>
      </c>
      <c r="D11" s="75"/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93">
        <f t="shared" si="0"/>
        <v>0</v>
      </c>
    </row>
    <row r="12" spans="3:16" ht="24.95" customHeight="1" x14ac:dyDescent="0.25">
      <c r="C12" s="177" t="s">
        <v>163</v>
      </c>
      <c r="D12" s="178"/>
      <c r="E12" s="178"/>
      <c r="F12" s="178"/>
      <c r="G12" s="178"/>
      <c r="H12" s="178"/>
      <c r="I12" s="178"/>
      <c r="J12" s="178"/>
      <c r="K12" s="178"/>
      <c r="L12" s="178"/>
      <c r="M12" s="178"/>
      <c r="N12" s="178"/>
      <c r="O12" s="179"/>
      <c r="P12" s="93">
        <f t="shared" si="0"/>
        <v>0</v>
      </c>
    </row>
    <row r="13" spans="3:16" ht="24.95" customHeight="1" x14ac:dyDescent="0.25">
      <c r="C13" s="96" t="s">
        <v>99</v>
      </c>
      <c r="D13" s="97">
        <f>SUM(D5:D12)</f>
        <v>26739</v>
      </c>
      <c r="E13" s="97">
        <f t="shared" ref="E13:O13" si="1">SUM(E5:E12)</f>
        <v>27419</v>
      </c>
      <c r="F13" s="97">
        <f t="shared" si="1"/>
        <v>25474</v>
      </c>
      <c r="G13" s="97">
        <f t="shared" si="1"/>
        <v>27975</v>
      </c>
      <c r="H13" s="97">
        <f t="shared" si="1"/>
        <v>26284</v>
      </c>
      <c r="I13" s="97">
        <f t="shared" si="1"/>
        <v>27556</v>
      </c>
      <c r="J13" s="97">
        <f t="shared" si="1"/>
        <v>27311</v>
      </c>
      <c r="K13" s="97">
        <f t="shared" si="1"/>
        <v>27931</v>
      </c>
      <c r="L13" s="97">
        <f t="shared" si="1"/>
        <v>26172</v>
      </c>
      <c r="M13" s="97">
        <f t="shared" si="1"/>
        <v>27441</v>
      </c>
      <c r="N13" s="97">
        <f t="shared" si="1"/>
        <v>27567</v>
      </c>
      <c r="O13" s="97">
        <f t="shared" si="1"/>
        <v>27298</v>
      </c>
      <c r="P13" s="98">
        <f>SUM(D13:O13)</f>
        <v>325167</v>
      </c>
    </row>
    <row r="14" spans="3:16" ht="24.95" customHeight="1" thickBot="1" x14ac:dyDescent="0.3">
      <c r="C14" s="180" t="s">
        <v>164</v>
      </c>
    </row>
    <row r="15" spans="3:16" ht="21.95" customHeight="1" x14ac:dyDescent="0.25">
      <c r="C15" s="85" t="s">
        <v>82</v>
      </c>
      <c r="D15" s="55" t="s">
        <v>83</v>
      </c>
      <c r="E15" s="55" t="s">
        <v>84</v>
      </c>
      <c r="F15" s="55" t="s">
        <v>85</v>
      </c>
      <c r="G15" s="55" t="s">
        <v>86</v>
      </c>
      <c r="H15" s="55" t="s">
        <v>87</v>
      </c>
      <c r="I15" s="55" t="s">
        <v>88</v>
      </c>
      <c r="J15" s="55" t="s">
        <v>89</v>
      </c>
      <c r="K15" s="55" t="s">
        <v>90</v>
      </c>
      <c r="L15" s="55" t="s">
        <v>91</v>
      </c>
      <c r="M15" s="55" t="s">
        <v>92</v>
      </c>
      <c r="N15" s="55" t="s">
        <v>93</v>
      </c>
      <c r="O15" s="55" t="s">
        <v>94</v>
      </c>
      <c r="P15" s="56" t="s">
        <v>95</v>
      </c>
    </row>
    <row r="16" spans="3:16" ht="24.95" customHeight="1" x14ac:dyDescent="0.25">
      <c r="C16" s="86" t="s">
        <v>102</v>
      </c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91">
        <f>SUM(D16:O16)</f>
        <v>0</v>
      </c>
    </row>
    <row r="17" spans="3:16" ht="24.95" customHeight="1" x14ac:dyDescent="0.25">
      <c r="C17" s="92" t="s">
        <v>103</v>
      </c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93">
        <f>SUM(D17:O17)</f>
        <v>0</v>
      </c>
    </row>
    <row r="18" spans="3:16" ht="24.95" customHeight="1" x14ac:dyDescent="0.25">
      <c r="C18" s="94" t="s">
        <v>104</v>
      </c>
      <c r="D18" s="179"/>
      <c r="E18" s="178"/>
      <c r="F18" s="178"/>
      <c r="G18" s="178"/>
      <c r="H18" s="178"/>
      <c r="I18" s="178"/>
      <c r="J18" s="178"/>
      <c r="K18" s="178"/>
      <c r="L18" s="178"/>
      <c r="M18" s="178"/>
      <c r="N18" s="178"/>
      <c r="O18" s="179"/>
      <c r="P18" s="93">
        <f>SUM(D18:O18)</f>
        <v>0</v>
      </c>
    </row>
    <row r="19" spans="3:16" ht="24.95" customHeight="1" x14ac:dyDescent="0.25">
      <c r="C19" s="190" t="s">
        <v>99</v>
      </c>
      <c r="D19" s="202">
        <f>SUM(D16:D18)</f>
        <v>0</v>
      </c>
      <c r="E19" s="202">
        <f t="shared" ref="E19:O19" si="2">SUM(E16:E18)</f>
        <v>0</v>
      </c>
      <c r="F19" s="202">
        <f t="shared" si="2"/>
        <v>0</v>
      </c>
      <c r="G19" s="202">
        <f t="shared" si="2"/>
        <v>0</v>
      </c>
      <c r="H19" s="202">
        <f t="shared" si="2"/>
        <v>0</v>
      </c>
      <c r="I19" s="202">
        <f t="shared" si="2"/>
        <v>0</v>
      </c>
      <c r="J19" s="202">
        <f t="shared" si="2"/>
        <v>0</v>
      </c>
      <c r="K19" s="202">
        <f t="shared" si="2"/>
        <v>0</v>
      </c>
      <c r="L19" s="202">
        <f t="shared" si="2"/>
        <v>0</v>
      </c>
      <c r="M19" s="202">
        <f t="shared" si="2"/>
        <v>0</v>
      </c>
      <c r="N19" s="202">
        <f t="shared" si="2"/>
        <v>0</v>
      </c>
      <c r="O19" s="202">
        <f t="shared" si="2"/>
        <v>0</v>
      </c>
      <c r="P19" s="192">
        <f>SUM(D19:O19)</f>
        <v>0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Planilha14">
    <tabColor theme="5"/>
    <pageSetUpPr fitToPage="1"/>
  </sheetPr>
  <dimension ref="C1:AT145"/>
  <sheetViews>
    <sheetView showGridLines="0" showRowColHeaders="0" workbookViewId="0">
      <pane ySplit="4" topLeftCell="A5" activePane="bottomLeft" state="frozen"/>
      <selection activeCell="I36" sqref="I36"/>
      <selection pane="bottomLeft" activeCell="R6" sqref="R6"/>
    </sheetView>
  </sheetViews>
  <sheetFormatPr defaultRowHeight="15" customHeight="1" x14ac:dyDescent="0.25"/>
  <cols>
    <col min="1" max="2" width="1.7109375" style="18" customWidth="1"/>
    <col min="3" max="3" width="13.7109375" style="200" customWidth="1"/>
    <col min="4" max="16" width="13.140625" style="18" customWidth="1"/>
    <col min="17" max="17" width="2.7109375" style="18" customWidth="1"/>
    <col min="18" max="31" width="13.140625" style="18" customWidth="1"/>
    <col min="32" max="32" width="5.7109375" style="18" customWidth="1"/>
    <col min="33" max="46" width="13.140625" style="18" customWidth="1"/>
    <col min="47" max="16384" width="9.140625" style="18"/>
  </cols>
  <sheetData>
    <row r="1" spans="3:16" s="1" customFormat="1" ht="35.1" customHeight="1" x14ac:dyDescent="0.25">
      <c r="C1" s="194"/>
    </row>
    <row r="2" spans="3:16" s="3" customFormat="1" ht="30" customHeight="1" x14ac:dyDescent="0.25">
      <c r="C2" s="195"/>
    </row>
    <row r="3" spans="3:16" ht="30" customHeight="1" thickBot="1" x14ac:dyDescent="0.3">
      <c r="C3" s="180" t="s">
        <v>351</v>
      </c>
    </row>
    <row r="4" spans="3:16" ht="21.95" customHeight="1" x14ac:dyDescent="0.25">
      <c r="C4" s="85" t="s">
        <v>82</v>
      </c>
      <c r="D4" s="55" t="s">
        <v>83</v>
      </c>
      <c r="E4" s="55" t="s">
        <v>84</v>
      </c>
      <c r="F4" s="55" t="s">
        <v>85</v>
      </c>
      <c r="G4" s="55" t="s">
        <v>86</v>
      </c>
      <c r="H4" s="55" t="s">
        <v>87</v>
      </c>
      <c r="I4" s="55" t="s">
        <v>88</v>
      </c>
      <c r="J4" s="55" t="s">
        <v>89</v>
      </c>
      <c r="K4" s="55" t="s">
        <v>90</v>
      </c>
      <c r="L4" s="55" t="s">
        <v>91</v>
      </c>
      <c r="M4" s="55" t="s">
        <v>92</v>
      </c>
      <c r="N4" s="55" t="s">
        <v>93</v>
      </c>
      <c r="O4" s="55" t="s">
        <v>94</v>
      </c>
      <c r="P4" s="56" t="s">
        <v>294</v>
      </c>
    </row>
    <row r="5" spans="3:16" ht="24.95" customHeight="1" x14ac:dyDescent="0.25">
      <c r="C5" s="197" t="s">
        <v>97</v>
      </c>
      <c r="D5" s="90">
        <f>IF('BH (1)'!$D$4="Simples Nacional",Simp6!D14,'BH (2)'!C30)</f>
        <v>770.62699999999995</v>
      </c>
      <c r="E5" s="90">
        <f>IF('BH (1)'!$D$4="Simples Nacional",Simp6!E14,'BH (2)'!D30)</f>
        <v>619.99652000000003</v>
      </c>
      <c r="F5" s="90">
        <f>IF('BH (1)'!$D$4="Simples Nacional",Simp6!F14,'BH (2)'!E30)</f>
        <v>764.26635999999996</v>
      </c>
      <c r="G5" s="90">
        <f>IF('BH (1)'!$D$4="Simples Nacional",Simp6!G14,'BH (2)'!F30)</f>
        <v>688.43631999999991</v>
      </c>
      <c r="H5" s="90">
        <f>IF('BH (1)'!$D$4="Simples Nacional",Simp6!H14,'BH (2)'!G30)</f>
        <v>681.01747999999998</v>
      </c>
      <c r="I5" s="90">
        <f>IF('BH (1)'!$D$4="Simples Nacional",Simp6!I14,'BH (2)'!H30)</f>
        <v>596.25851999999998</v>
      </c>
      <c r="J5" s="90">
        <f>IF('BH (1)'!$D$4="Simples Nacional",Simp6!J14,'BH (2)'!I30)</f>
        <v>707.83856000000003</v>
      </c>
      <c r="K5" s="90">
        <f>IF('BH (1)'!$D$4="Simples Nacional",Simp6!K14,'BH (2)'!J30)</f>
        <v>586.88343999999995</v>
      </c>
      <c r="L5" s="90">
        <f>IF('BH (1)'!$D$4="Simples Nacional",Simp6!L14,'BH (2)'!K30)</f>
        <v>627.82147999999995</v>
      </c>
      <c r="M5" s="90">
        <f>IF('BH (1)'!$D$4="Simples Nacional",Simp6!M14,'BH (2)'!L30)</f>
        <v>661.56948</v>
      </c>
      <c r="N5" s="90">
        <f>IF('BH (1)'!$D$4="Simples Nacional",Simp6!N14,'BH (2)'!M30)</f>
        <v>632.23731999999995</v>
      </c>
      <c r="O5" s="90">
        <f>IF('BH (1)'!$D$4="Simples Nacional",Simp6!O14,'BH (2)'!N30)</f>
        <v>626.52876000000003</v>
      </c>
      <c r="P5" s="91">
        <f>SUM(D5:O5)</f>
        <v>7963.4812400000001</v>
      </c>
    </row>
    <row r="6" spans="3:16" ht="24.95" customHeight="1" x14ac:dyDescent="0.25">
      <c r="C6" s="44" t="s">
        <v>98</v>
      </c>
      <c r="D6" s="90">
        <f>IF('BH (1)'!$D$4="Simples Nacional",Simp6!D15,'BH (2)'!C31)</f>
        <v>3556.74</v>
      </c>
      <c r="E6" s="90">
        <f>IF('BH (1)'!$D$4="Simples Nacional",Simp6!E15,'BH (2)'!D31)</f>
        <v>2861.5223999999998</v>
      </c>
      <c r="F6" s="90">
        <f>IF('BH (1)'!$D$4="Simples Nacional",Simp6!F15,'BH (2)'!E31)</f>
        <v>3527.3831999999998</v>
      </c>
      <c r="G6" s="90">
        <f>IF('BH (1)'!$D$4="Simples Nacional",Simp6!G15,'BH (2)'!F31)</f>
        <v>3177.3984</v>
      </c>
      <c r="H6" s="90">
        <f>IF('BH (1)'!$D$4="Simples Nacional",Simp6!H15,'BH (2)'!G31)</f>
        <v>3143.1576</v>
      </c>
      <c r="I6" s="90">
        <f>IF('BH (1)'!$D$4="Simples Nacional",Simp6!I15,'BH (2)'!H31)</f>
        <v>2751.9623999999999</v>
      </c>
      <c r="J6" s="90">
        <f>IF('BH (1)'!$D$4="Simples Nacional",Simp6!J15,'BH (2)'!I31)</f>
        <v>3266.9472000000001</v>
      </c>
      <c r="K6" s="90">
        <f>IF('BH (1)'!$D$4="Simples Nacional",Simp6!K15,'BH (2)'!J31)</f>
        <v>2708.6927999999998</v>
      </c>
      <c r="L6" s="90">
        <f>IF('BH (1)'!$D$4="Simples Nacional",Simp6!L15,'BH (2)'!K31)</f>
        <v>2897.6376</v>
      </c>
      <c r="M6" s="90">
        <f>IF('BH (1)'!$D$4="Simples Nacional",Simp6!M15,'BH (2)'!L31)</f>
        <v>3053.3975999999998</v>
      </c>
      <c r="N6" s="90">
        <f>IF('BH (1)'!$D$4="Simples Nacional",Simp6!N15,'BH (2)'!M31)</f>
        <v>2918.0183999999999</v>
      </c>
      <c r="O6" s="90">
        <f>IF('BH (1)'!$D$4="Simples Nacional",Simp6!O15,'BH (2)'!N31)</f>
        <v>2891.6712000000002</v>
      </c>
      <c r="P6" s="93">
        <f>SUM(D6:O6)</f>
        <v>36754.528799999993</v>
      </c>
    </row>
    <row r="7" spans="3:16" ht="24.95" customHeight="1" x14ac:dyDescent="0.25">
      <c r="C7" s="44" t="s">
        <v>37</v>
      </c>
      <c r="D7" s="90">
        <f>IF('BH (1)'!$D$4="Simples Nacional",Simp6!D16,'BH (2)'!C32)</f>
        <v>11955.502500000001</v>
      </c>
      <c r="E7" s="90">
        <f>IF('BH (1)'!$D$4="Simples Nacional",Simp6!E16,'BH (2)'!D32)</f>
        <v>8910.2219999999998</v>
      </c>
      <c r="F7" s="90">
        <f>IF('BH (1)'!$D$4="Simples Nacional",Simp6!F16,'BH (2)'!E32)</f>
        <v>12012.376499999998</v>
      </c>
      <c r="G7" s="90">
        <f>IF('BH (1)'!$D$4="Simples Nacional",Simp6!G16,'BH (2)'!F32)</f>
        <v>10463.585999999999</v>
      </c>
      <c r="H7" s="90">
        <f>IF('BH (1)'!$D$4="Simples Nacional",Simp6!H16,'BH (2)'!G32)</f>
        <v>10272.735000000001</v>
      </c>
      <c r="I7" s="90">
        <f>IF('BH (1)'!$D$4="Simples Nacional",Simp6!I16,'BH (2)'!H32)</f>
        <v>8488.0275000000001</v>
      </c>
      <c r="J7" s="90">
        <f>IF('BH (1)'!$D$4="Simples Nacional",Simp6!J16,'BH (2)'!I32)</f>
        <v>11165.263500000001</v>
      </c>
      <c r="K7" s="90">
        <f>IF('BH (1)'!$D$4="Simples Nacional",Simp6!K16,'BH (2)'!J32)</f>
        <v>8120.8215</v>
      </c>
      <c r="L7" s="90">
        <f>IF('BH (1)'!$D$4="Simples Nacional",Simp6!L16,'BH (2)'!K32)</f>
        <v>9477.5625</v>
      </c>
      <c r="M7" s="90">
        <f>IF('BH (1)'!$D$4="Simples Nacional",Simp6!M16,'BH (2)'!L32)</f>
        <v>9496.0380000000005</v>
      </c>
      <c r="N7" s="90">
        <f>IF('BH (1)'!$D$4="Simples Nacional",Simp6!N16,'BH (2)'!M32)</f>
        <v>9271.7819999999992</v>
      </c>
      <c r="O7" s="90">
        <f>IF('BH (1)'!$D$4="Simples Nacional",Simp6!O16,'BH (2)'!N32)</f>
        <v>9392.387999999999</v>
      </c>
      <c r="P7" s="93">
        <f>SUM(D7:O7)</f>
        <v>119026.30499999999</v>
      </c>
    </row>
    <row r="8" spans="3:16" ht="24.95" customHeight="1" x14ac:dyDescent="0.25">
      <c r="C8" s="44" t="s">
        <v>38</v>
      </c>
      <c r="D8" s="90">
        <f>IF('BH (1)'!$D$4="Simples Nacional",Simp6!D17,'BH (2)'!C33)</f>
        <v>0</v>
      </c>
      <c r="E8" s="90">
        <f>IF('BH (1)'!$D$4="Simples Nacional",Simp6!E17,'BH (2)'!D33)</f>
        <v>0</v>
      </c>
      <c r="F8" s="90">
        <f>IF('BH (1)'!$D$4="Simples Nacional",Simp6!F17,'BH (2)'!E33)</f>
        <v>0</v>
      </c>
      <c r="G8" s="90">
        <f>IF('BH (1)'!$D$4="Simples Nacional",Simp6!G17,'BH (2)'!F33)</f>
        <v>0</v>
      </c>
      <c r="H8" s="90">
        <f>IF('BH (1)'!$D$4="Simples Nacional",Simp6!H17,'BH (2)'!G33)</f>
        <v>0</v>
      </c>
      <c r="I8" s="90">
        <f>IF('BH (1)'!$D$4="Simples Nacional",Simp6!I17,'BH (2)'!H33)</f>
        <v>0</v>
      </c>
      <c r="J8" s="90">
        <f>IF('BH (1)'!$D$4="Simples Nacional",Simp6!J17,'BH (2)'!I33)</f>
        <v>0</v>
      </c>
      <c r="K8" s="90">
        <f>IF('BH (1)'!$D$4="Simples Nacional",Simp6!K17,'BH (2)'!J33)</f>
        <v>0</v>
      </c>
      <c r="L8" s="90">
        <f>IF('BH (1)'!$D$4="Simples Nacional",Simp6!L17,'BH (2)'!K33)</f>
        <v>0</v>
      </c>
      <c r="M8" s="90">
        <f>IF('BH (1)'!$D$4="Simples Nacional",Simp6!M17,'BH (2)'!L33)</f>
        <v>0</v>
      </c>
      <c r="N8" s="90">
        <f>IF('BH (1)'!$D$4="Simples Nacional",Simp6!N17,'BH (2)'!M33)</f>
        <v>0</v>
      </c>
      <c r="O8" s="90">
        <f>IF('BH (1)'!$D$4="Simples Nacional",Simp6!O17,'BH (2)'!N33)</f>
        <v>0</v>
      </c>
      <c r="P8" s="93">
        <f t="shared" ref="P8:P15" si="0">SUM(D8:O8)</f>
        <v>0</v>
      </c>
    </row>
    <row r="9" spans="3:16" ht="24.95" customHeight="1" x14ac:dyDescent="0.25">
      <c r="C9" s="44" t="s">
        <v>39</v>
      </c>
      <c r="D9" s="90">
        <f>IF('BH (1)'!$D$4="Simples Nacional",Simp6!D18,'BH (2)'!C34)</f>
        <v>0</v>
      </c>
      <c r="E9" s="90">
        <f>IF('BH (1)'!$D$4="Simples Nacional",Simp6!E18,'BH (2)'!D34)</f>
        <v>0</v>
      </c>
      <c r="F9" s="90">
        <f>IF('BH (1)'!$D$4="Simples Nacional",Simp6!F18,'BH (2)'!E34)</f>
        <v>0</v>
      </c>
      <c r="G9" s="90">
        <f>IF('BH (1)'!$D$4="Simples Nacional",Simp6!G18,'BH (2)'!F34)</f>
        <v>0</v>
      </c>
      <c r="H9" s="90">
        <f>IF('BH (1)'!$D$4="Simples Nacional",Simp6!H18,'BH (2)'!G34)</f>
        <v>0</v>
      </c>
      <c r="I9" s="90">
        <f>IF('BH (1)'!$D$4="Simples Nacional",Simp6!I18,'BH (2)'!H34)</f>
        <v>0</v>
      </c>
      <c r="J9" s="90">
        <f>IF('BH (1)'!$D$4="Simples Nacional",Simp6!J18,'BH (2)'!I34)</f>
        <v>0</v>
      </c>
      <c r="K9" s="90">
        <f>IF('BH (1)'!$D$4="Simples Nacional",Simp6!K18,'BH (2)'!J34)</f>
        <v>0</v>
      </c>
      <c r="L9" s="90">
        <f>IF('BH (1)'!$D$4="Simples Nacional",Simp6!L18,'BH (2)'!K34)</f>
        <v>0</v>
      </c>
      <c r="M9" s="90">
        <f>IF('BH (1)'!$D$4="Simples Nacional",Simp6!M18,'BH (2)'!L34)</f>
        <v>0</v>
      </c>
      <c r="N9" s="90">
        <f>IF('BH (1)'!$D$4="Simples Nacional",Simp6!N18,'BH (2)'!M34)</f>
        <v>0</v>
      </c>
      <c r="O9" s="90">
        <f>IF('BH (1)'!$D$4="Simples Nacional",Simp6!O18,'BH (2)'!N34)</f>
        <v>0</v>
      </c>
      <c r="P9" s="93">
        <f t="shared" si="0"/>
        <v>0</v>
      </c>
    </row>
    <row r="10" spans="3:16" ht="24.95" customHeight="1" x14ac:dyDescent="0.25">
      <c r="C10" s="44" t="s">
        <v>129</v>
      </c>
      <c r="D10" s="90">
        <f>D46</f>
        <v>2400</v>
      </c>
      <c r="E10" s="90">
        <f t="shared" ref="E10:O10" si="1">E46</f>
        <v>2400</v>
      </c>
      <c r="F10" s="90">
        <f t="shared" si="1"/>
        <v>2400</v>
      </c>
      <c r="G10" s="90">
        <f t="shared" si="1"/>
        <v>2400</v>
      </c>
      <c r="H10" s="90">
        <f t="shared" si="1"/>
        <v>2400</v>
      </c>
      <c r="I10" s="90">
        <f t="shared" si="1"/>
        <v>2400</v>
      </c>
      <c r="J10" s="90">
        <f t="shared" si="1"/>
        <v>2400</v>
      </c>
      <c r="K10" s="90">
        <f t="shared" si="1"/>
        <v>2400</v>
      </c>
      <c r="L10" s="90">
        <f t="shared" si="1"/>
        <v>2400</v>
      </c>
      <c r="M10" s="90">
        <f t="shared" si="1"/>
        <v>2400</v>
      </c>
      <c r="N10" s="90">
        <f t="shared" si="1"/>
        <v>2400</v>
      </c>
      <c r="O10" s="90">
        <f t="shared" si="1"/>
        <v>2400</v>
      </c>
      <c r="P10" s="93">
        <f t="shared" si="0"/>
        <v>28800</v>
      </c>
    </row>
    <row r="11" spans="3:16" ht="24.95" customHeight="1" x14ac:dyDescent="0.25">
      <c r="C11" s="44" t="s">
        <v>42</v>
      </c>
      <c r="D11" s="90">
        <f>D53</f>
        <v>0</v>
      </c>
      <c r="E11" s="90">
        <f t="shared" ref="E11:O11" si="2">E53</f>
        <v>0</v>
      </c>
      <c r="F11" s="90">
        <f t="shared" si="2"/>
        <v>4068.6731999999993</v>
      </c>
      <c r="G11" s="90">
        <f t="shared" si="2"/>
        <v>0</v>
      </c>
      <c r="H11" s="90">
        <f t="shared" si="2"/>
        <v>0</v>
      </c>
      <c r="I11" s="90">
        <f t="shared" si="2"/>
        <v>3711.4848000000002</v>
      </c>
      <c r="J11" s="90">
        <f t="shared" si="2"/>
        <v>0</v>
      </c>
      <c r="K11" s="90">
        <f t="shared" si="2"/>
        <v>0</v>
      </c>
      <c r="L11" s="90">
        <f t="shared" si="2"/>
        <v>3629.9771999999998</v>
      </c>
      <c r="M11" s="90">
        <f t="shared" si="2"/>
        <v>0</v>
      </c>
      <c r="N11" s="90">
        <f t="shared" si="2"/>
        <v>0</v>
      </c>
      <c r="O11" s="90">
        <f t="shared" si="2"/>
        <v>3625.8083999999999</v>
      </c>
      <c r="P11" s="93">
        <f>IF('BH (1)'!$D$4="Lucro Presumido",SUM(D11:O11)-AT141-AT142,SUM(D11:O11))</f>
        <v>15035.943599999999</v>
      </c>
    </row>
    <row r="12" spans="3:16" ht="24.95" customHeight="1" x14ac:dyDescent="0.25">
      <c r="C12" s="44" t="s">
        <v>40</v>
      </c>
      <c r="D12" s="90">
        <f>IF('BH (1)'!$D$4="Simples Nacional",D51,D51+D52)</f>
        <v>0</v>
      </c>
      <c r="E12" s="90">
        <f>IF('BH (1)'!$D$4="Simples Nacional",E51,E51+E52)</f>
        <v>0</v>
      </c>
      <c r="F12" s="90">
        <f>IF('BH (1)'!$D$4="Simples Nacional",F51,F51+F52)</f>
        <v>4520.7479999999996</v>
      </c>
      <c r="G12" s="90">
        <f>IF('BH (1)'!$D$4="Simples Nacional",G51,G51+G52)</f>
        <v>0</v>
      </c>
      <c r="H12" s="90">
        <f>IF('BH (1)'!$D$4="Simples Nacional",H51,H51+H52)</f>
        <v>0</v>
      </c>
      <c r="I12" s="90">
        <f>IF('BH (1)'!$D$4="Simples Nacional",I51,I51+I52)</f>
        <v>4123.8719999999994</v>
      </c>
      <c r="J12" s="90">
        <f>IF('BH (1)'!$D$4="Simples Nacional",J51,J51+J52)</f>
        <v>0</v>
      </c>
      <c r="K12" s="90">
        <f>IF('BH (1)'!$D$4="Simples Nacional",K51,K51+K52)</f>
        <v>0</v>
      </c>
      <c r="L12" s="90">
        <f>IF('BH (1)'!$D$4="Simples Nacional",L51,L51+L52)</f>
        <v>4033.308</v>
      </c>
      <c r="M12" s="90">
        <f>IF('BH (1)'!$D$4="Simples Nacional",M51,M51+M52)</f>
        <v>0</v>
      </c>
      <c r="N12" s="90">
        <f>IF('BH (1)'!$D$4="Simples Nacional",N51,N51+N52)</f>
        <v>0</v>
      </c>
      <c r="O12" s="90">
        <f>IF('BH (1)'!$D$4="Simples Nacional",O51,O51+O52)</f>
        <v>4028.6759999999999</v>
      </c>
      <c r="P12" s="93">
        <f>IF('BH (1)'!$D$4="Lucro Presumido",SUM(D12:O12)-AT143,SUM(D12:O12))</f>
        <v>16706.603999999999</v>
      </c>
    </row>
    <row r="13" spans="3:16" ht="24.95" customHeight="1" x14ac:dyDescent="0.25">
      <c r="C13" s="44" t="s">
        <v>155</v>
      </c>
      <c r="D13" s="90">
        <f>D47</f>
        <v>960</v>
      </c>
      <c r="E13" s="90">
        <f t="shared" ref="E13:O13" si="3">E47</f>
        <v>960</v>
      </c>
      <c r="F13" s="90">
        <f t="shared" si="3"/>
        <v>960</v>
      </c>
      <c r="G13" s="90">
        <f t="shared" si="3"/>
        <v>960</v>
      </c>
      <c r="H13" s="90">
        <f t="shared" si="3"/>
        <v>960</v>
      </c>
      <c r="I13" s="90">
        <f t="shared" si="3"/>
        <v>960</v>
      </c>
      <c r="J13" s="90">
        <f t="shared" si="3"/>
        <v>960</v>
      </c>
      <c r="K13" s="90">
        <f t="shared" si="3"/>
        <v>960</v>
      </c>
      <c r="L13" s="90">
        <f t="shared" si="3"/>
        <v>960</v>
      </c>
      <c r="M13" s="90">
        <f t="shared" si="3"/>
        <v>960</v>
      </c>
      <c r="N13" s="90">
        <f t="shared" si="3"/>
        <v>960</v>
      </c>
      <c r="O13" s="90">
        <f t="shared" si="3"/>
        <v>960</v>
      </c>
      <c r="P13" s="93">
        <f t="shared" si="0"/>
        <v>11520</v>
      </c>
    </row>
    <row r="14" spans="3:16" ht="24.95" customHeight="1" x14ac:dyDescent="0.25">
      <c r="C14" s="44" t="str">
        <f>IF('BH (1)'!D4="Simples Nacional","","Terceiros")</f>
        <v>Terceiros</v>
      </c>
      <c r="D14" s="90">
        <f>D48</f>
        <v>696</v>
      </c>
      <c r="E14" s="90">
        <f t="shared" ref="E14:O14" si="4">E48</f>
        <v>696</v>
      </c>
      <c r="F14" s="90">
        <f t="shared" si="4"/>
        <v>696</v>
      </c>
      <c r="G14" s="90">
        <f t="shared" si="4"/>
        <v>696</v>
      </c>
      <c r="H14" s="90">
        <f t="shared" si="4"/>
        <v>696</v>
      </c>
      <c r="I14" s="90">
        <f t="shared" si="4"/>
        <v>696</v>
      </c>
      <c r="J14" s="90">
        <f t="shared" si="4"/>
        <v>696</v>
      </c>
      <c r="K14" s="90">
        <f t="shared" si="4"/>
        <v>696</v>
      </c>
      <c r="L14" s="90">
        <f t="shared" si="4"/>
        <v>696</v>
      </c>
      <c r="M14" s="90">
        <f t="shared" si="4"/>
        <v>696</v>
      </c>
      <c r="N14" s="90">
        <f t="shared" si="4"/>
        <v>696</v>
      </c>
      <c r="O14" s="90">
        <f t="shared" si="4"/>
        <v>696</v>
      </c>
      <c r="P14" s="93">
        <f t="shared" si="0"/>
        <v>8352</v>
      </c>
    </row>
    <row r="15" spans="3:16" ht="24.95" customHeight="1" x14ac:dyDescent="0.25">
      <c r="C15" s="255" t="str">
        <f>IF('BH (1)'!D4="Simples Nacional","","RAT")</f>
        <v>RAT</v>
      </c>
      <c r="D15" s="100">
        <f>D49</f>
        <v>240</v>
      </c>
      <c r="E15" s="100">
        <f t="shared" ref="E15:O15" si="5">E49</f>
        <v>240</v>
      </c>
      <c r="F15" s="100">
        <f t="shared" si="5"/>
        <v>240</v>
      </c>
      <c r="G15" s="100">
        <f t="shared" si="5"/>
        <v>240</v>
      </c>
      <c r="H15" s="100">
        <f t="shared" si="5"/>
        <v>240</v>
      </c>
      <c r="I15" s="100">
        <f t="shared" si="5"/>
        <v>240</v>
      </c>
      <c r="J15" s="100">
        <f t="shared" si="5"/>
        <v>240</v>
      </c>
      <c r="K15" s="100">
        <f t="shared" si="5"/>
        <v>240</v>
      </c>
      <c r="L15" s="100">
        <f t="shared" si="5"/>
        <v>240</v>
      </c>
      <c r="M15" s="100">
        <f t="shared" si="5"/>
        <v>240</v>
      </c>
      <c r="N15" s="100">
        <f t="shared" si="5"/>
        <v>240</v>
      </c>
      <c r="O15" s="100">
        <f t="shared" si="5"/>
        <v>240</v>
      </c>
      <c r="P15" s="93">
        <f t="shared" si="0"/>
        <v>2880</v>
      </c>
    </row>
    <row r="16" spans="3:16" ht="24.95" customHeight="1" x14ac:dyDescent="0.25">
      <c r="C16" s="196" t="s">
        <v>245</v>
      </c>
      <c r="D16" s="97">
        <f>SUM(D5:D15)</f>
        <v>20578.869500000001</v>
      </c>
      <c r="E16" s="97">
        <f t="shared" ref="E16:N16" si="6">SUM(E5:E15)</f>
        <v>16687.74092</v>
      </c>
      <c r="F16" s="97">
        <f t="shared" si="6"/>
        <v>29189.447259999994</v>
      </c>
      <c r="G16" s="97">
        <f t="shared" si="6"/>
        <v>18625.420719999998</v>
      </c>
      <c r="H16" s="97">
        <f t="shared" si="6"/>
        <v>18392.910080000001</v>
      </c>
      <c r="I16" s="97">
        <f t="shared" si="6"/>
        <v>23967.605220000001</v>
      </c>
      <c r="J16" s="97">
        <f t="shared" si="6"/>
        <v>19436.04926</v>
      </c>
      <c r="K16" s="97">
        <f t="shared" si="6"/>
        <v>15712.39774</v>
      </c>
      <c r="L16" s="97">
        <f t="shared" si="6"/>
        <v>24962.306780000003</v>
      </c>
      <c r="M16" s="97">
        <f>SUM(M5:M15)</f>
        <v>17507.005080000003</v>
      </c>
      <c r="N16" s="97">
        <f t="shared" si="6"/>
        <v>17118.03772</v>
      </c>
      <c r="O16" s="97">
        <f>SUM(O5:O15)</f>
        <v>24861.072359999998</v>
      </c>
      <c r="P16" s="98">
        <f>SUM(P5:P15)</f>
        <v>247038.86263999998</v>
      </c>
    </row>
    <row r="17" spans="3:16" ht="30" customHeight="1" thickBot="1" x14ac:dyDescent="0.3">
      <c r="C17" s="180" t="s">
        <v>352</v>
      </c>
    </row>
    <row r="18" spans="3:16" ht="21.95" customHeight="1" x14ac:dyDescent="0.25">
      <c r="C18" s="85" t="s">
        <v>82</v>
      </c>
      <c r="D18" s="55" t="s">
        <v>83</v>
      </c>
      <c r="E18" s="55" t="s">
        <v>84</v>
      </c>
      <c r="F18" s="55" t="s">
        <v>85</v>
      </c>
      <c r="G18" s="55" t="s">
        <v>86</v>
      </c>
      <c r="H18" s="55" t="s">
        <v>87</v>
      </c>
      <c r="I18" s="55" t="s">
        <v>88</v>
      </c>
      <c r="J18" s="55" t="s">
        <v>89</v>
      </c>
      <c r="K18" s="55" t="s">
        <v>90</v>
      </c>
      <c r="L18" s="55" t="s">
        <v>91</v>
      </c>
      <c r="M18" s="55" t="s">
        <v>92</v>
      </c>
      <c r="N18" s="55" t="s">
        <v>93</v>
      </c>
      <c r="O18" s="55" t="s">
        <v>94</v>
      </c>
      <c r="P18" s="56" t="s">
        <v>294</v>
      </c>
    </row>
    <row r="19" spans="3:16" ht="24.95" customHeight="1" x14ac:dyDescent="0.25">
      <c r="C19" s="197" t="str">
        <f>IF('BH (1)'!$D$4="Simples Nacional",Simp6!C5,'Fat6'!C5)</f>
        <v>Indústria</v>
      </c>
      <c r="D19" s="90">
        <f>IF('BH (1)'!$D$4="Simples Nacional",Simp6!D5,'Fat6'!D5)</f>
        <v>0</v>
      </c>
      <c r="E19" s="90">
        <f>IF('BH (1)'!$D$4="Simples Nacional",Simp6!E5,'Fat6'!E5)</f>
        <v>0</v>
      </c>
      <c r="F19" s="90">
        <f>IF('BH (1)'!$D$4="Simples Nacional",Simp6!F5,'Fat6'!F5)</f>
        <v>0</v>
      </c>
      <c r="G19" s="90">
        <f>IF('BH (1)'!$D$4="Simples Nacional",Simp6!G5,'Fat6'!G5)</f>
        <v>0</v>
      </c>
      <c r="H19" s="90">
        <f>IF('BH (1)'!$D$4="Simples Nacional",Simp6!H5,'Fat6'!H5)</f>
        <v>0</v>
      </c>
      <c r="I19" s="90">
        <f>IF('BH (1)'!$D$4="Simples Nacional",Simp6!I5,'Fat6'!I5)</f>
        <v>0</v>
      </c>
      <c r="J19" s="90">
        <f>IF('BH (1)'!$D$4="Simples Nacional",Simp6!J5,'Fat6'!J5)</f>
        <v>0</v>
      </c>
      <c r="K19" s="90">
        <f>IF('BH (1)'!$D$4="Simples Nacional",Simp6!K5,'Fat6'!K5)</f>
        <v>0</v>
      </c>
      <c r="L19" s="90">
        <f>IF('BH (1)'!$D$4="Simples Nacional",Simp6!L5,'Fat6'!L5)</f>
        <v>0</v>
      </c>
      <c r="M19" s="90">
        <f>IF('BH (1)'!$D$4="Simples Nacional",Simp6!M5,'Fat6'!M5)</f>
        <v>0</v>
      </c>
      <c r="N19" s="90">
        <f>IF('BH (1)'!$D$4="Simples Nacional",Simp6!N5,'Fat6'!N5)</f>
        <v>0</v>
      </c>
      <c r="O19" s="90">
        <f>IF('BH (1)'!$D$4="Simples Nacional",Simp6!O5,'Fat6'!O5)</f>
        <v>0</v>
      </c>
      <c r="P19" s="91">
        <f>SUM(D19:O19)</f>
        <v>0</v>
      </c>
    </row>
    <row r="20" spans="3:16" ht="24.95" customHeight="1" x14ac:dyDescent="0.25">
      <c r="C20" s="44" t="str">
        <f>IF('BH (1)'!$D$4="Simples Nacional",Simp6!C6,'Fat6'!C6)</f>
        <v>Comércio</v>
      </c>
      <c r="D20" s="90">
        <f>IF('BH (1)'!$D$4="Simples Nacional",Simp6!D6,'Fat6'!D6)</f>
        <v>134725</v>
      </c>
      <c r="E20" s="90">
        <f>IF('BH (1)'!$D$4="Simples Nacional",Simp6!E6,'Fat6'!E6)</f>
        <v>108391</v>
      </c>
      <c r="F20" s="90">
        <f>IF('BH (1)'!$D$4="Simples Nacional",Simp6!F6,'Fat6'!F6)</f>
        <v>133613</v>
      </c>
      <c r="G20" s="90">
        <f>IF('BH (1)'!$D$4="Simples Nacional",Simp6!G6,'Fat6'!G6)</f>
        <v>120356</v>
      </c>
      <c r="H20" s="90">
        <f>IF('BH (1)'!$D$4="Simples Nacional",Simp6!H6,'Fat6'!H6)</f>
        <v>119059</v>
      </c>
      <c r="I20" s="90">
        <f>IF('BH (1)'!$D$4="Simples Nacional",Simp6!I6,'Fat6'!I6)</f>
        <v>104241</v>
      </c>
      <c r="J20" s="90">
        <f>IF('BH (1)'!$D$4="Simples Nacional",Simp6!J6,'Fat6'!J6)</f>
        <v>123748</v>
      </c>
      <c r="K20" s="90">
        <f>IF('BH (1)'!$D$4="Simples Nacional",Simp6!K6,'Fat6'!K6)</f>
        <v>102602</v>
      </c>
      <c r="L20" s="90">
        <f>IF('BH (1)'!$D$4="Simples Nacional",Simp6!L6,'Fat6'!L6)</f>
        <v>109759</v>
      </c>
      <c r="M20" s="90">
        <f>IF('BH (1)'!$D$4="Simples Nacional",Simp6!M6,'Fat6'!M6)</f>
        <v>115659</v>
      </c>
      <c r="N20" s="90">
        <f>IF('BH (1)'!$D$4="Simples Nacional",Simp6!N6,'Fat6'!N6)</f>
        <v>110531</v>
      </c>
      <c r="O20" s="90">
        <f>IF('BH (1)'!$D$4="Simples Nacional",Simp6!O6,'Fat6'!O6)</f>
        <v>109533</v>
      </c>
      <c r="P20" s="93">
        <f>SUM(D20:O20)</f>
        <v>1392217</v>
      </c>
    </row>
    <row r="21" spans="3:16" ht="24.95" customHeight="1" x14ac:dyDescent="0.25">
      <c r="C21" s="43" t="str">
        <f>IF('BH (1)'!$D$4="Simples Nacional",Simp6!C7,'Fat6'!C7)</f>
        <v>Serviços</v>
      </c>
      <c r="D21" s="90">
        <f>IF('BH (1)'!$D$4="Simples Nacional",Simp6!D7,'Fat6'!D7)</f>
        <v>0</v>
      </c>
      <c r="E21" s="90">
        <f>IF('BH (1)'!$D$4="Simples Nacional",Simp6!E7,'Fat6'!E7)</f>
        <v>0</v>
      </c>
      <c r="F21" s="90">
        <f>IF('BH (1)'!$D$4="Simples Nacional",Simp6!F7,'Fat6'!F7)</f>
        <v>0</v>
      </c>
      <c r="G21" s="90">
        <f>IF('BH (1)'!$D$4="Simples Nacional",Simp6!G7,'Fat6'!G7)</f>
        <v>0</v>
      </c>
      <c r="H21" s="90">
        <f>IF('BH (1)'!$D$4="Simples Nacional",Simp6!H7,'Fat6'!H7)</f>
        <v>0</v>
      </c>
      <c r="I21" s="90">
        <f>IF('BH (1)'!$D$4="Simples Nacional",Simp6!I7,'Fat6'!I7)</f>
        <v>0</v>
      </c>
      <c r="J21" s="90">
        <f>IF('BH (1)'!$D$4="Simples Nacional",Simp6!J7,'Fat6'!J7)</f>
        <v>0</v>
      </c>
      <c r="K21" s="90">
        <f>IF('BH (1)'!$D$4="Simples Nacional",Simp6!K7,'Fat6'!K7)</f>
        <v>0</v>
      </c>
      <c r="L21" s="90">
        <f>IF('BH (1)'!$D$4="Simples Nacional",Simp6!L7,'Fat6'!L7)</f>
        <v>0</v>
      </c>
      <c r="M21" s="90">
        <f>IF('BH (1)'!$D$4="Simples Nacional",Simp6!M7,'Fat6'!M7)</f>
        <v>0</v>
      </c>
      <c r="N21" s="90">
        <f>IF('BH (1)'!$D$4="Simples Nacional",Simp6!N7,'Fat6'!N7)</f>
        <v>0</v>
      </c>
      <c r="O21" s="90">
        <f>IF('BH (1)'!$D$4="Simples Nacional",Simp6!O7,'Fat6'!O7)</f>
        <v>0</v>
      </c>
      <c r="P21" s="93">
        <f>SUM(D21:O21)</f>
        <v>0</v>
      </c>
    </row>
    <row r="22" spans="3:16" ht="24.95" customHeight="1" x14ac:dyDescent="0.25">
      <c r="C22" s="43" t="str">
        <f>IF('BH (1)'!$D$4="Simples Nacional",Simp6!C8,"")</f>
        <v/>
      </c>
      <c r="D22" s="90" t="str">
        <f>IF('BH (1)'!$D$4="Simples Nacional",Simp6!D8,"")</f>
        <v/>
      </c>
      <c r="E22" s="90" t="str">
        <f>IF('BH (1)'!$D$4="Simples Nacional",Simp6!E8,"")</f>
        <v/>
      </c>
      <c r="F22" s="90" t="str">
        <f>IF('BH (1)'!$D$4="Simples Nacional",Simp6!F8,"")</f>
        <v/>
      </c>
      <c r="G22" s="90" t="str">
        <f>IF('BH (1)'!$D$4="Simples Nacional",Simp6!G8,"")</f>
        <v/>
      </c>
      <c r="H22" s="90" t="str">
        <f>IF('BH (1)'!$D$4="Simples Nacional",Simp6!H8,"")</f>
        <v/>
      </c>
      <c r="I22" s="90" t="str">
        <f>IF('BH (1)'!$D$4="Simples Nacional",Simp6!I8,"")</f>
        <v/>
      </c>
      <c r="J22" s="90" t="str">
        <f>IF('BH (1)'!$D$4="Simples Nacional",Simp6!J8,"")</f>
        <v/>
      </c>
      <c r="K22" s="90" t="str">
        <f>IF('BH (1)'!$D$4="Simples Nacional",Simp6!K8,"")</f>
        <v/>
      </c>
      <c r="L22" s="90" t="str">
        <f>IF('BH (1)'!$D$4="Simples Nacional",Simp6!L8,"")</f>
        <v/>
      </c>
      <c r="M22" s="90" t="str">
        <f>IF('BH (1)'!$D$4="Simples Nacional",Simp6!M8,"")</f>
        <v/>
      </c>
      <c r="N22" s="90" t="str">
        <f>IF('BH (1)'!$D$4="Simples Nacional",Simp6!N8,"")</f>
        <v/>
      </c>
      <c r="O22" s="90" t="str">
        <f>IF('BH (1)'!$D$4="Simples Nacional",Simp6!O8,"")</f>
        <v/>
      </c>
      <c r="P22" s="93">
        <f t="shared" ref="P22:P30" si="7">SUM(D22:O22)</f>
        <v>0</v>
      </c>
    </row>
    <row r="23" spans="3:16" ht="24.95" customHeight="1" x14ac:dyDescent="0.25">
      <c r="C23" s="43" t="str">
        <f>IF('BH (1)'!$D$4="Simples Nacional",Simp6!C9,"")</f>
        <v/>
      </c>
      <c r="D23" s="90" t="str">
        <f>IF('BH (1)'!$D$4="Simples Nacional",Simp6!D9,"")</f>
        <v/>
      </c>
      <c r="E23" s="90" t="str">
        <f>IF('BH (1)'!$D$4="Simples Nacional",Simp6!E9,"")</f>
        <v/>
      </c>
      <c r="F23" s="90" t="str">
        <f>IF('BH (1)'!$D$4="Simples Nacional",Simp6!F9,"")</f>
        <v/>
      </c>
      <c r="G23" s="90" t="str">
        <f>IF('BH (1)'!$D$4="Simples Nacional",Simp6!G9,"")</f>
        <v/>
      </c>
      <c r="H23" s="90" t="str">
        <f>IF('BH (1)'!$D$4="Simples Nacional",Simp6!H9,"")</f>
        <v/>
      </c>
      <c r="I23" s="90" t="str">
        <f>IF('BH (1)'!$D$4="Simples Nacional",Simp6!I9,"")</f>
        <v/>
      </c>
      <c r="J23" s="90" t="str">
        <f>IF('BH (1)'!$D$4="Simples Nacional",Simp6!J9,"")</f>
        <v/>
      </c>
      <c r="K23" s="90" t="str">
        <f>IF('BH (1)'!$D$4="Simples Nacional",Simp6!K9,"")</f>
        <v/>
      </c>
      <c r="L23" s="90" t="str">
        <f>IF('BH (1)'!$D$4="Simples Nacional",Simp6!L9,"")</f>
        <v/>
      </c>
      <c r="M23" s="90" t="str">
        <f>IF('BH (1)'!$D$4="Simples Nacional",Simp6!M9,"")</f>
        <v/>
      </c>
      <c r="N23" s="90" t="str">
        <f>IF('BH (1)'!$D$4="Simples Nacional",Simp6!N9,"")</f>
        <v/>
      </c>
      <c r="O23" s="90" t="str">
        <f>IF('BH (1)'!$D$4="Simples Nacional",Simp6!O9,"")</f>
        <v/>
      </c>
      <c r="P23" s="93">
        <f t="shared" si="7"/>
        <v>0</v>
      </c>
    </row>
    <row r="24" spans="3:16" ht="24.95" customHeight="1" x14ac:dyDescent="0.25">
      <c r="C24" s="198" t="s">
        <v>209</v>
      </c>
      <c r="D24" s="100">
        <f>Desp!D19</f>
        <v>0</v>
      </c>
      <c r="E24" s="100">
        <f>Desp!E19</f>
        <v>0</v>
      </c>
      <c r="F24" s="100">
        <f>Desp!F19</f>
        <v>0</v>
      </c>
      <c r="G24" s="100">
        <f>Desp!G19</f>
        <v>0</v>
      </c>
      <c r="H24" s="100">
        <f>Desp!H19</f>
        <v>0</v>
      </c>
      <c r="I24" s="100">
        <f>Desp!I19</f>
        <v>0</v>
      </c>
      <c r="J24" s="100">
        <f>Desp!J19</f>
        <v>0</v>
      </c>
      <c r="K24" s="100">
        <f>Desp!K19</f>
        <v>0</v>
      </c>
      <c r="L24" s="100">
        <f>Desp!L19</f>
        <v>0</v>
      </c>
      <c r="M24" s="100">
        <f>Desp!M19</f>
        <v>0</v>
      </c>
      <c r="N24" s="100">
        <f>Desp!N19</f>
        <v>0</v>
      </c>
      <c r="O24" s="100">
        <f>Desp!O19</f>
        <v>0</v>
      </c>
      <c r="P24" s="93">
        <f t="shared" si="7"/>
        <v>0</v>
      </c>
    </row>
    <row r="25" spans="3:16" ht="24.95" customHeight="1" x14ac:dyDescent="0.25">
      <c r="C25" s="196" t="s">
        <v>210</v>
      </c>
      <c r="D25" s="97">
        <f>SUM(D19:D23)-D24</f>
        <v>134725</v>
      </c>
      <c r="E25" s="97">
        <f t="shared" ref="E25:O25" si="8">SUM(E19:E23)-E24</f>
        <v>108391</v>
      </c>
      <c r="F25" s="97">
        <f t="shared" si="8"/>
        <v>133613</v>
      </c>
      <c r="G25" s="97">
        <f t="shared" si="8"/>
        <v>120356</v>
      </c>
      <c r="H25" s="97">
        <f t="shared" si="8"/>
        <v>119059</v>
      </c>
      <c r="I25" s="97">
        <f t="shared" si="8"/>
        <v>104241</v>
      </c>
      <c r="J25" s="97">
        <f t="shared" si="8"/>
        <v>123748</v>
      </c>
      <c r="K25" s="97">
        <f t="shared" si="8"/>
        <v>102602</v>
      </c>
      <c r="L25" s="97">
        <f t="shared" si="8"/>
        <v>109759</v>
      </c>
      <c r="M25" s="97">
        <f t="shared" si="8"/>
        <v>115659</v>
      </c>
      <c r="N25" s="97">
        <f t="shared" si="8"/>
        <v>110531</v>
      </c>
      <c r="O25" s="97">
        <f t="shared" si="8"/>
        <v>109533</v>
      </c>
      <c r="P25" s="93">
        <f t="shared" si="7"/>
        <v>1392217</v>
      </c>
    </row>
    <row r="26" spans="3:16" ht="24.95" customHeight="1" x14ac:dyDescent="0.25">
      <c r="C26" s="44" t="s">
        <v>214</v>
      </c>
      <c r="D26" s="90">
        <f>IF('BH (1)'!$D$4="Simples Nacional",Simp6!D14,'Fat6'!D11)</f>
        <v>770.62699999999995</v>
      </c>
      <c r="E26" s="90">
        <f>IF('BH (1)'!$D$4="Simples Nacional",Simp6!E14,'Fat6'!E11)</f>
        <v>619.99652000000003</v>
      </c>
      <c r="F26" s="90">
        <f>IF('BH (1)'!$D$4="Simples Nacional",Simp6!F14,'Fat6'!F11)</f>
        <v>764.26635999999996</v>
      </c>
      <c r="G26" s="90">
        <f>IF('BH (1)'!$D$4="Simples Nacional",Simp6!G14,'Fat6'!G11)</f>
        <v>688.43631999999991</v>
      </c>
      <c r="H26" s="90">
        <f>IF('BH (1)'!$D$4="Simples Nacional",Simp6!H14,'Fat6'!H11)</f>
        <v>681.01747999999998</v>
      </c>
      <c r="I26" s="90">
        <f>IF('BH (1)'!$D$4="Simples Nacional",Simp6!I14,'Fat6'!I11)</f>
        <v>596.25851999999998</v>
      </c>
      <c r="J26" s="90">
        <f>IF('BH (1)'!$D$4="Simples Nacional",Simp6!J14,'Fat6'!J11)</f>
        <v>707.83856000000003</v>
      </c>
      <c r="K26" s="90">
        <f>IF('BH (1)'!$D$4="Simples Nacional",Simp6!K14,'Fat6'!K11)</f>
        <v>586.88343999999995</v>
      </c>
      <c r="L26" s="90">
        <f>IF('BH (1)'!$D$4="Simples Nacional",Simp6!L14,'Fat6'!L11)</f>
        <v>627.82147999999995</v>
      </c>
      <c r="M26" s="90">
        <f>IF('BH (1)'!$D$4="Simples Nacional",Simp6!M14,'Fat6'!M11)</f>
        <v>661.56948</v>
      </c>
      <c r="N26" s="90">
        <f>IF('BH (1)'!$D$4="Simples Nacional",Simp6!N14,'Fat6'!N11)</f>
        <v>632.23731999999995</v>
      </c>
      <c r="O26" s="90">
        <f>IF('BH (1)'!$D$4="Simples Nacional",Simp6!O14,'Fat6'!O11)</f>
        <v>626.52876000000003</v>
      </c>
      <c r="P26" s="93">
        <f t="shared" si="7"/>
        <v>7963.4812400000001</v>
      </c>
    </row>
    <row r="27" spans="3:16" ht="24.95" customHeight="1" x14ac:dyDescent="0.25">
      <c r="C27" s="44" t="s">
        <v>215</v>
      </c>
      <c r="D27" s="90">
        <f>IF('BH (1)'!$D$4="Simples Nacional",Simp6!D15,'Fat6'!D12)</f>
        <v>3556.74</v>
      </c>
      <c r="E27" s="90">
        <f>IF('BH (1)'!$D$4="Simples Nacional",Simp6!E15,'Fat6'!E12)</f>
        <v>2861.5223999999998</v>
      </c>
      <c r="F27" s="90">
        <f>IF('BH (1)'!$D$4="Simples Nacional",Simp6!F15,'Fat6'!F12)</f>
        <v>3527.3831999999998</v>
      </c>
      <c r="G27" s="90">
        <f>IF('BH (1)'!$D$4="Simples Nacional",Simp6!G15,'Fat6'!G12)</f>
        <v>3177.3984</v>
      </c>
      <c r="H27" s="90">
        <f>IF('BH (1)'!$D$4="Simples Nacional",Simp6!H15,'Fat6'!H12)</f>
        <v>3143.1576</v>
      </c>
      <c r="I27" s="90">
        <f>IF('BH (1)'!$D$4="Simples Nacional",Simp6!I15,'Fat6'!I12)</f>
        <v>2751.9623999999999</v>
      </c>
      <c r="J27" s="90">
        <f>IF('BH (1)'!$D$4="Simples Nacional",Simp6!J15,'Fat6'!J12)</f>
        <v>3266.9472000000001</v>
      </c>
      <c r="K27" s="90">
        <f>IF('BH (1)'!$D$4="Simples Nacional",Simp6!K15,'Fat6'!K12)</f>
        <v>2708.6927999999998</v>
      </c>
      <c r="L27" s="90">
        <f>IF('BH (1)'!$D$4="Simples Nacional",Simp6!L15,'Fat6'!L12)</f>
        <v>2897.6376</v>
      </c>
      <c r="M27" s="90">
        <f>IF('BH (1)'!$D$4="Simples Nacional",Simp6!M15,'Fat6'!M12)</f>
        <v>3053.3975999999998</v>
      </c>
      <c r="N27" s="90">
        <f>IF('BH (1)'!$D$4="Simples Nacional",Simp6!N15,'Fat6'!N12)</f>
        <v>2918.0183999999999</v>
      </c>
      <c r="O27" s="90">
        <f>IF('BH (1)'!$D$4="Simples Nacional",Simp6!O15,'Fat6'!O12)</f>
        <v>2891.6712000000002</v>
      </c>
      <c r="P27" s="93">
        <f t="shared" si="7"/>
        <v>36754.528799999993</v>
      </c>
    </row>
    <row r="28" spans="3:16" ht="24.95" customHeight="1" x14ac:dyDescent="0.25">
      <c r="C28" s="44" t="s">
        <v>216</v>
      </c>
      <c r="D28" s="90">
        <f>IF('BH (1)'!$D$4="Simples Nacional",Simp6!D16,'Fat6'!D13)</f>
        <v>16167</v>
      </c>
      <c r="E28" s="90">
        <f>IF('BH (1)'!$D$4="Simples Nacional",Simp6!E16,'Fat6'!E13)</f>
        <v>13006.92</v>
      </c>
      <c r="F28" s="90">
        <f>IF('BH (1)'!$D$4="Simples Nacional",Simp6!F16,'Fat6'!F13)</f>
        <v>16033.56</v>
      </c>
      <c r="G28" s="90">
        <f>IF('BH (1)'!$D$4="Simples Nacional",Simp6!G16,'Fat6'!G13)</f>
        <v>14442.72</v>
      </c>
      <c r="H28" s="90">
        <f>IF('BH (1)'!$D$4="Simples Nacional",Simp6!H16,'Fat6'!H13)</f>
        <v>14287.08</v>
      </c>
      <c r="I28" s="90">
        <f>IF('BH (1)'!$D$4="Simples Nacional",Simp6!I16,'Fat6'!I13)</f>
        <v>12508.92</v>
      </c>
      <c r="J28" s="90">
        <f>IF('BH (1)'!$D$4="Simples Nacional",Simp6!J16,'Fat6'!J13)</f>
        <v>14849.76</v>
      </c>
      <c r="K28" s="90">
        <f>IF('BH (1)'!$D$4="Simples Nacional",Simp6!K16,'Fat6'!K13)</f>
        <v>12312.24</v>
      </c>
      <c r="L28" s="90">
        <f>IF('BH (1)'!$D$4="Simples Nacional",Simp6!L16,'Fat6'!L13)</f>
        <v>13171.08</v>
      </c>
      <c r="M28" s="90">
        <f>IF('BH (1)'!$D$4="Simples Nacional",Simp6!M16,'Fat6'!M13)</f>
        <v>13879.08</v>
      </c>
      <c r="N28" s="90">
        <f>IF('BH (1)'!$D$4="Simples Nacional",Simp6!N16,'Fat6'!N13)</f>
        <v>13263.72</v>
      </c>
      <c r="O28" s="90">
        <f>IF('BH (1)'!$D$4="Simples Nacional",Simp6!O16,'Fat6'!O13)</f>
        <v>13143.96</v>
      </c>
      <c r="P28" s="93">
        <f t="shared" si="7"/>
        <v>167066.03999999998</v>
      </c>
    </row>
    <row r="29" spans="3:16" ht="24.95" customHeight="1" x14ac:dyDescent="0.25">
      <c r="C29" s="44" t="s">
        <v>217</v>
      </c>
      <c r="D29" s="90">
        <f>IF('BH (1)'!$D$4="Simples Nacional",Simp6!D17,'Fat6'!D14)</f>
        <v>0</v>
      </c>
      <c r="E29" s="90">
        <f>IF('BH (1)'!$D$4="Simples Nacional",Simp6!E17,'Fat6'!E14)</f>
        <v>0</v>
      </c>
      <c r="F29" s="90">
        <f>IF('BH (1)'!$D$4="Simples Nacional",Simp6!F17,'Fat6'!F14)</f>
        <v>0</v>
      </c>
      <c r="G29" s="90">
        <f>IF('BH (1)'!$D$4="Simples Nacional",Simp6!G17,'Fat6'!G14)</f>
        <v>0</v>
      </c>
      <c r="H29" s="90">
        <f>IF('BH (1)'!$D$4="Simples Nacional",Simp6!H17,'Fat6'!H14)</f>
        <v>0</v>
      </c>
      <c r="I29" s="90">
        <f>IF('BH (1)'!$D$4="Simples Nacional",Simp6!I17,'Fat6'!I14)</f>
        <v>0</v>
      </c>
      <c r="J29" s="90">
        <f>IF('BH (1)'!$D$4="Simples Nacional",Simp6!J17,'Fat6'!J14)</f>
        <v>0</v>
      </c>
      <c r="K29" s="90">
        <f>IF('BH (1)'!$D$4="Simples Nacional",Simp6!K17,'Fat6'!K14)</f>
        <v>0</v>
      </c>
      <c r="L29" s="90">
        <f>IF('BH (1)'!$D$4="Simples Nacional",Simp6!L17,'Fat6'!L14)</f>
        <v>0</v>
      </c>
      <c r="M29" s="90">
        <f>IF('BH (1)'!$D$4="Simples Nacional",Simp6!M17,'Fat6'!M14)</f>
        <v>0</v>
      </c>
      <c r="N29" s="90">
        <f>IF('BH (1)'!$D$4="Simples Nacional",Simp6!N17,'Fat6'!N14)</f>
        <v>0</v>
      </c>
      <c r="O29" s="90">
        <f>IF('BH (1)'!$D$4="Simples Nacional",Simp6!O17,'Fat6'!O14)</f>
        <v>0</v>
      </c>
      <c r="P29" s="93">
        <f t="shared" si="7"/>
        <v>0</v>
      </c>
    </row>
    <row r="30" spans="3:16" ht="24.95" customHeight="1" x14ac:dyDescent="0.25">
      <c r="C30" s="198" t="s">
        <v>218</v>
      </c>
      <c r="D30" s="99">
        <f>IF('BH (1)'!$D$4="Simples Nacional",Simp6!D18,'Fat6'!D15)</f>
        <v>0</v>
      </c>
      <c r="E30" s="99">
        <f>IF('BH (1)'!$D$4="Simples Nacional",Simp6!E18,'Fat6'!E15)</f>
        <v>0</v>
      </c>
      <c r="F30" s="99">
        <f>IF('BH (1)'!$D$4="Simples Nacional",Simp6!F18,'Fat6'!F15)</f>
        <v>0</v>
      </c>
      <c r="G30" s="99">
        <f>IF('BH (1)'!$D$4="Simples Nacional",Simp6!G18,'Fat6'!G15)</f>
        <v>0</v>
      </c>
      <c r="H30" s="99">
        <f>IF('BH (1)'!$D$4="Simples Nacional",Simp6!H18,'Fat6'!H15)</f>
        <v>0</v>
      </c>
      <c r="I30" s="99">
        <f>IF('BH (1)'!$D$4="Simples Nacional",Simp6!I18,'Fat6'!I15)</f>
        <v>0</v>
      </c>
      <c r="J30" s="99">
        <f>IF('BH (1)'!$D$4="Simples Nacional",Simp6!J18,'Fat6'!J15)</f>
        <v>0</v>
      </c>
      <c r="K30" s="99">
        <f>IF('BH (1)'!$D$4="Simples Nacional",Simp6!K18,'Fat6'!K15)</f>
        <v>0</v>
      </c>
      <c r="L30" s="99">
        <f>IF('BH (1)'!$D$4="Simples Nacional",Simp6!L18,'Fat6'!L15)</f>
        <v>0</v>
      </c>
      <c r="M30" s="99">
        <f>IF('BH (1)'!$D$4="Simples Nacional",Simp6!M18,'Fat6'!M15)</f>
        <v>0</v>
      </c>
      <c r="N30" s="99">
        <f>IF('BH (1)'!$D$4="Simples Nacional",Simp6!N18,'Fat6'!N15)</f>
        <v>0</v>
      </c>
      <c r="O30" s="99">
        <f>IF('BH (1)'!$D$4="Simples Nacional",Simp6!O18,'Fat6'!O15)</f>
        <v>0</v>
      </c>
      <c r="P30" s="93">
        <f t="shared" si="7"/>
        <v>0</v>
      </c>
    </row>
    <row r="31" spans="3:16" ht="24.95" customHeight="1" x14ac:dyDescent="0.25">
      <c r="C31" s="199" t="s">
        <v>211</v>
      </c>
      <c r="D31" s="97">
        <f>D25-SUM(D26:D30)</f>
        <v>114230.633</v>
      </c>
      <c r="E31" s="97">
        <f t="shared" ref="E31:O31" si="9">E25-SUM(E26:E30)</f>
        <v>91902.561079999999</v>
      </c>
      <c r="F31" s="97">
        <f t="shared" si="9"/>
        <v>113287.79044</v>
      </c>
      <c r="G31" s="97">
        <f t="shared" si="9"/>
        <v>102047.44528</v>
      </c>
      <c r="H31" s="97">
        <f t="shared" si="9"/>
        <v>100947.74492</v>
      </c>
      <c r="I31" s="97">
        <f t="shared" si="9"/>
        <v>88383.859079999995</v>
      </c>
      <c r="J31" s="97">
        <f t="shared" si="9"/>
        <v>104923.45423999999</v>
      </c>
      <c r="K31" s="97">
        <f t="shared" si="9"/>
        <v>86994.18376</v>
      </c>
      <c r="L31" s="97">
        <f t="shared" si="9"/>
        <v>93062.460919999998</v>
      </c>
      <c r="M31" s="97">
        <f t="shared" si="9"/>
        <v>98064.952919999996</v>
      </c>
      <c r="N31" s="97">
        <f t="shared" si="9"/>
        <v>93717.024279999998</v>
      </c>
      <c r="O31" s="97">
        <f t="shared" si="9"/>
        <v>92870.840039999995</v>
      </c>
      <c r="P31" s="93">
        <f>SUM(D31:O31)</f>
        <v>1180432.9499599999</v>
      </c>
    </row>
    <row r="32" spans="3:16" ht="24.95" customHeight="1" x14ac:dyDescent="0.25">
      <c r="C32" s="43" t="s">
        <v>219</v>
      </c>
      <c r="D32" s="90">
        <f>Cus!D5</f>
        <v>0</v>
      </c>
      <c r="E32" s="90">
        <f>Cus!E5</f>
        <v>0</v>
      </c>
      <c r="F32" s="90">
        <f>Cus!F5</f>
        <v>0</v>
      </c>
      <c r="G32" s="90">
        <f>Cus!G5</f>
        <v>0</v>
      </c>
      <c r="H32" s="90">
        <f>Cus!H5</f>
        <v>0</v>
      </c>
      <c r="I32" s="90">
        <f>Cus!I5</f>
        <v>0</v>
      </c>
      <c r="J32" s="90">
        <f>Cus!J5</f>
        <v>0</v>
      </c>
      <c r="K32" s="90">
        <f>Cus!K5</f>
        <v>0</v>
      </c>
      <c r="L32" s="90">
        <f>Cus!L5</f>
        <v>0</v>
      </c>
      <c r="M32" s="90">
        <f>Cus!M5</f>
        <v>0</v>
      </c>
      <c r="N32" s="90">
        <f>Cus!N5</f>
        <v>0</v>
      </c>
      <c r="O32" s="90">
        <f>Cus!O5</f>
        <v>0</v>
      </c>
      <c r="P32" s="93">
        <f t="shared" ref="P32:P41" si="10">SUM(D32:O32)</f>
        <v>0</v>
      </c>
    </row>
    <row r="33" spans="3:16" ht="24.95" customHeight="1" x14ac:dyDescent="0.25">
      <c r="C33" s="44" t="s">
        <v>220</v>
      </c>
      <c r="D33" s="90">
        <f>Cus!D6</f>
        <v>38671</v>
      </c>
      <c r="E33" s="90">
        <f>Cus!E6</f>
        <v>35038</v>
      </c>
      <c r="F33" s="90">
        <f>Cus!F6</f>
        <v>38988</v>
      </c>
      <c r="G33" s="90">
        <f>Cus!G6</f>
        <v>36366</v>
      </c>
      <c r="H33" s="90">
        <f>Cus!H6</f>
        <v>36221</v>
      </c>
      <c r="I33" s="90">
        <f>Cus!I6</f>
        <v>36625</v>
      </c>
      <c r="J33" s="90">
        <f>Cus!J6</f>
        <v>37727</v>
      </c>
      <c r="K33" s="90">
        <f>Cus!K6</f>
        <v>38303</v>
      </c>
      <c r="L33" s="90">
        <f>Cus!L6</f>
        <v>39407</v>
      </c>
      <c r="M33" s="90">
        <f>Cus!M6</f>
        <v>36094</v>
      </c>
      <c r="N33" s="90">
        <f>Cus!N6</f>
        <v>37011</v>
      </c>
      <c r="O33" s="90">
        <f>Cus!O6</f>
        <v>39167</v>
      </c>
      <c r="P33" s="93">
        <f t="shared" si="10"/>
        <v>449618</v>
      </c>
    </row>
    <row r="34" spans="3:16" ht="24.95" customHeight="1" x14ac:dyDescent="0.25">
      <c r="C34" s="44" t="s">
        <v>221</v>
      </c>
      <c r="D34" s="90">
        <f>Cus!D7</f>
        <v>0</v>
      </c>
      <c r="E34" s="90">
        <f>Cus!E7</f>
        <v>0</v>
      </c>
      <c r="F34" s="90">
        <f>Cus!F7</f>
        <v>0</v>
      </c>
      <c r="G34" s="90">
        <f>Cus!G7</f>
        <v>0</v>
      </c>
      <c r="H34" s="90">
        <f>Cus!H7</f>
        <v>0</v>
      </c>
      <c r="I34" s="90">
        <f>Cus!I7</f>
        <v>0</v>
      </c>
      <c r="J34" s="90">
        <f>Cus!J7</f>
        <v>0</v>
      </c>
      <c r="K34" s="90">
        <f>Cus!K7</f>
        <v>0</v>
      </c>
      <c r="L34" s="90">
        <f>Cus!L7</f>
        <v>0</v>
      </c>
      <c r="M34" s="90">
        <f>Cus!M7</f>
        <v>0</v>
      </c>
      <c r="N34" s="90">
        <f>Cus!N7</f>
        <v>0</v>
      </c>
      <c r="O34" s="90">
        <f>Cus!O7</f>
        <v>0</v>
      </c>
      <c r="P34" s="93">
        <f t="shared" si="10"/>
        <v>0</v>
      </c>
    </row>
    <row r="35" spans="3:16" ht="24.95" customHeight="1" x14ac:dyDescent="0.25">
      <c r="C35" s="228" t="str">
        <f>IF('BH (1)'!$D$4="Simples Nacional","","(+) Créditos")</f>
        <v>(+) Créditos</v>
      </c>
      <c r="D35" s="263">
        <f>IF('BH (1)'!$D$4="Simples Nacional",0,Lançamentos!D15)</f>
        <v>7457.8601562499998</v>
      </c>
      <c r="E35" s="263">
        <f>IF('BH (1)'!$D$4="Simples Nacional",0,Lançamentos!E15)</f>
        <v>7254.5693750000009</v>
      </c>
      <c r="F35" s="263">
        <f>IF('BH (1)'!$D$4="Simples Nacional",0,Lançamentos!F15)</f>
        <v>7120.8457812500001</v>
      </c>
      <c r="G35" s="263">
        <f>IF('BH (1)'!$D$4="Simples Nacional",0,Lançamentos!G15)</f>
        <v>7046.3831249999994</v>
      </c>
      <c r="H35" s="263">
        <f>IF('BH (1)'!$D$4="Simples Nacional",0,Lançamentos!H15)</f>
        <v>7108.7359374999996</v>
      </c>
      <c r="I35" s="263">
        <f>IF('BH (1)'!$D$4="Simples Nacional",0,Lançamentos!I15)</f>
        <v>7120.3304687500004</v>
      </c>
      <c r="J35" s="263">
        <f>IF('BH (1)'!$D$4="Simples Nacional",0,Lançamentos!J15)</f>
        <v>6524.6292187500003</v>
      </c>
      <c r="K35" s="263">
        <f>IF('BH (1)'!$D$4="Simples Nacional",0,Lançamentos!K15)</f>
        <v>7422.3035937499999</v>
      </c>
      <c r="L35" s="263">
        <f>IF('BH (1)'!$D$4="Simples Nacional",0,Lançamentos!L15)</f>
        <v>6540.6039062500004</v>
      </c>
      <c r="M35" s="263">
        <f>IF('BH (1)'!$D$4="Simples Nacional",0,Lançamentos!M15)</f>
        <v>7761.6368749999992</v>
      </c>
      <c r="N35" s="263">
        <f>IF('BH (1)'!$D$4="Simples Nacional",0,Lançamentos!N15)</f>
        <v>7069.0568750000002</v>
      </c>
      <c r="O35" s="263">
        <f>IF('BH (1)'!$D$4="Simples Nacional",0,Lançamentos!O15)</f>
        <v>6643.4087499999987</v>
      </c>
      <c r="P35" s="93">
        <f t="shared" si="10"/>
        <v>85070.364062499997</v>
      </c>
    </row>
    <row r="36" spans="3:16" ht="24.95" customHeight="1" x14ac:dyDescent="0.25">
      <c r="C36" s="196" t="s">
        <v>212</v>
      </c>
      <c r="D36" s="97">
        <f>IFERROR(IF(SUM(D32:D34)=0,D31-SUM(D32:D34),D31-SUM(D32:D34)+D35),0)</f>
        <v>83017.493156249999</v>
      </c>
      <c r="E36" s="97">
        <f t="shared" ref="E36:O36" si="11">IFERROR(IF(SUM(E32:E34)=0,E31-SUM(E32:E34),E31-SUM(E32:E34)+E35),0)</f>
        <v>64119.130454999999</v>
      </c>
      <c r="F36" s="97">
        <f t="shared" si="11"/>
        <v>81420.636221249995</v>
      </c>
      <c r="G36" s="97">
        <f t="shared" si="11"/>
        <v>72727.828404999993</v>
      </c>
      <c r="H36" s="97">
        <f t="shared" si="11"/>
        <v>71835.480857499992</v>
      </c>
      <c r="I36" s="97">
        <f t="shared" si="11"/>
        <v>58879.189548749993</v>
      </c>
      <c r="J36" s="97">
        <f t="shared" si="11"/>
        <v>73721.083458749985</v>
      </c>
      <c r="K36" s="97">
        <f t="shared" si="11"/>
        <v>56113.487353750003</v>
      </c>
      <c r="L36" s="97">
        <f t="shared" si="11"/>
        <v>60196.064826249996</v>
      </c>
      <c r="M36" s="97">
        <f t="shared" si="11"/>
        <v>69732.589794999993</v>
      </c>
      <c r="N36" s="97">
        <f t="shared" si="11"/>
        <v>63775.081155</v>
      </c>
      <c r="O36" s="97">
        <f t="shared" si="11"/>
        <v>60347.248789999998</v>
      </c>
      <c r="P36" s="93">
        <f>SUM(D36:O36)</f>
        <v>815885.31402249995</v>
      </c>
    </row>
    <row r="37" spans="3:16" ht="24.95" customHeight="1" x14ac:dyDescent="0.25">
      <c r="C37" s="44" t="s">
        <v>226</v>
      </c>
      <c r="D37" s="90">
        <f>Desp!D5</f>
        <v>26739</v>
      </c>
      <c r="E37" s="90">
        <f>Desp!E5</f>
        <v>27419</v>
      </c>
      <c r="F37" s="90">
        <f>Desp!F5</f>
        <v>25474</v>
      </c>
      <c r="G37" s="90">
        <f>Desp!G5</f>
        <v>27975</v>
      </c>
      <c r="H37" s="90">
        <f>Desp!H5</f>
        <v>26284</v>
      </c>
      <c r="I37" s="90">
        <f>Desp!I5</f>
        <v>27556</v>
      </c>
      <c r="J37" s="90">
        <f>Desp!J5</f>
        <v>27311</v>
      </c>
      <c r="K37" s="90">
        <f>Desp!K5</f>
        <v>27931</v>
      </c>
      <c r="L37" s="90">
        <f>Desp!L5</f>
        <v>26172</v>
      </c>
      <c r="M37" s="90">
        <f>Desp!M5</f>
        <v>27441</v>
      </c>
      <c r="N37" s="90">
        <f>Desp!N5</f>
        <v>27567</v>
      </c>
      <c r="O37" s="90">
        <f>Desp!O5</f>
        <v>27298</v>
      </c>
      <c r="P37" s="93">
        <f t="shared" si="10"/>
        <v>325167</v>
      </c>
    </row>
    <row r="38" spans="3:16" ht="24.95" customHeight="1" x14ac:dyDescent="0.25">
      <c r="C38" s="44" t="s">
        <v>227</v>
      </c>
      <c r="D38" s="90">
        <f>Desp!D6</f>
        <v>0</v>
      </c>
      <c r="E38" s="90">
        <f>Desp!E6</f>
        <v>0</v>
      </c>
      <c r="F38" s="90">
        <f>Desp!F6</f>
        <v>0</v>
      </c>
      <c r="G38" s="90">
        <f>Desp!G6</f>
        <v>0</v>
      </c>
      <c r="H38" s="90">
        <f>Desp!H6</f>
        <v>0</v>
      </c>
      <c r="I38" s="90">
        <f>Desp!I6</f>
        <v>0</v>
      </c>
      <c r="J38" s="90">
        <f>Desp!J6</f>
        <v>0</v>
      </c>
      <c r="K38" s="90">
        <f>Desp!K6</f>
        <v>0</v>
      </c>
      <c r="L38" s="90">
        <f>Desp!L6</f>
        <v>0</v>
      </c>
      <c r="M38" s="90">
        <f>Desp!M6</f>
        <v>0</v>
      </c>
      <c r="N38" s="90">
        <f>Desp!N6</f>
        <v>0</v>
      </c>
      <c r="O38" s="90">
        <f>Desp!O6</f>
        <v>0</v>
      </c>
      <c r="P38" s="93">
        <f t="shared" si="10"/>
        <v>0</v>
      </c>
    </row>
    <row r="39" spans="3:16" ht="24.95" customHeight="1" x14ac:dyDescent="0.25">
      <c r="C39" s="44" t="s">
        <v>228</v>
      </c>
      <c r="D39" s="90">
        <f>Desp!D7</f>
        <v>0</v>
      </c>
      <c r="E39" s="90">
        <f>Desp!E7</f>
        <v>0</v>
      </c>
      <c r="F39" s="90">
        <f>Desp!F7</f>
        <v>0</v>
      </c>
      <c r="G39" s="90">
        <f>Desp!G7</f>
        <v>0</v>
      </c>
      <c r="H39" s="90">
        <f>Desp!H7</f>
        <v>0</v>
      </c>
      <c r="I39" s="90">
        <f>Desp!I7</f>
        <v>0</v>
      </c>
      <c r="J39" s="90">
        <f>Desp!J7</f>
        <v>0</v>
      </c>
      <c r="K39" s="90">
        <f>Desp!K7</f>
        <v>0</v>
      </c>
      <c r="L39" s="90">
        <f>Desp!L7</f>
        <v>0</v>
      </c>
      <c r="M39" s="90">
        <f>Desp!M7</f>
        <v>0</v>
      </c>
      <c r="N39" s="90">
        <f>Desp!N7</f>
        <v>0</v>
      </c>
      <c r="O39" s="90">
        <f>Desp!O7</f>
        <v>0</v>
      </c>
      <c r="P39" s="93">
        <f t="shared" si="10"/>
        <v>0</v>
      </c>
    </row>
    <row r="40" spans="3:16" ht="24.95" customHeight="1" x14ac:dyDescent="0.25">
      <c r="C40" s="44" t="s">
        <v>229</v>
      </c>
      <c r="D40" s="90">
        <f>Desp!D8</f>
        <v>0</v>
      </c>
      <c r="E40" s="90">
        <f>Desp!E8</f>
        <v>0</v>
      </c>
      <c r="F40" s="90">
        <f>Desp!F8</f>
        <v>0</v>
      </c>
      <c r="G40" s="90">
        <f>Desp!G8</f>
        <v>0</v>
      </c>
      <c r="H40" s="90">
        <f>Desp!H8</f>
        <v>0</v>
      </c>
      <c r="I40" s="90">
        <f>Desp!I8</f>
        <v>0</v>
      </c>
      <c r="J40" s="90">
        <f>Desp!J8</f>
        <v>0</v>
      </c>
      <c r="K40" s="90">
        <f>Desp!K8</f>
        <v>0</v>
      </c>
      <c r="L40" s="90">
        <f>Desp!L8</f>
        <v>0</v>
      </c>
      <c r="M40" s="90">
        <f>Desp!M8</f>
        <v>0</v>
      </c>
      <c r="N40" s="90">
        <f>Desp!N8</f>
        <v>0</v>
      </c>
      <c r="O40" s="90">
        <f>Desp!O8</f>
        <v>0</v>
      </c>
      <c r="P40" s="93">
        <f t="shared" si="10"/>
        <v>0</v>
      </c>
    </row>
    <row r="41" spans="3:16" ht="24.95" customHeight="1" x14ac:dyDescent="0.25">
      <c r="C41" s="44" t="s">
        <v>230</v>
      </c>
      <c r="D41" s="90">
        <f>Desp!D9</f>
        <v>0</v>
      </c>
      <c r="E41" s="90">
        <f>Desp!E9</f>
        <v>0</v>
      </c>
      <c r="F41" s="90">
        <f>Desp!F9</f>
        <v>0</v>
      </c>
      <c r="G41" s="90">
        <f>Desp!G9</f>
        <v>0</v>
      </c>
      <c r="H41" s="90">
        <f>Desp!H9</f>
        <v>0</v>
      </c>
      <c r="I41" s="90">
        <f>Desp!I9</f>
        <v>0</v>
      </c>
      <c r="J41" s="90">
        <f>Desp!J9</f>
        <v>0</v>
      </c>
      <c r="K41" s="90">
        <f>Desp!K9</f>
        <v>0</v>
      </c>
      <c r="L41" s="90">
        <f>Desp!L9</f>
        <v>0</v>
      </c>
      <c r="M41" s="90">
        <f>Desp!M9</f>
        <v>0</v>
      </c>
      <c r="N41" s="90">
        <f>Desp!N9</f>
        <v>0</v>
      </c>
      <c r="O41" s="90">
        <f>Desp!O9</f>
        <v>0</v>
      </c>
      <c r="P41" s="93">
        <f t="shared" si="10"/>
        <v>0</v>
      </c>
    </row>
    <row r="42" spans="3:16" ht="24.95" customHeight="1" x14ac:dyDescent="0.25">
      <c r="C42" s="44" t="s">
        <v>231</v>
      </c>
      <c r="D42" s="90">
        <f>Desp!D10</f>
        <v>0</v>
      </c>
      <c r="E42" s="90">
        <f>Desp!E10</f>
        <v>0</v>
      </c>
      <c r="F42" s="90">
        <f>Desp!F10</f>
        <v>0</v>
      </c>
      <c r="G42" s="90">
        <f>Desp!G10</f>
        <v>0</v>
      </c>
      <c r="H42" s="90">
        <f>Desp!H10</f>
        <v>0</v>
      </c>
      <c r="I42" s="90">
        <f>Desp!I10</f>
        <v>0</v>
      </c>
      <c r="J42" s="90">
        <f>Desp!J10</f>
        <v>0</v>
      </c>
      <c r="K42" s="90">
        <f>Desp!K10</f>
        <v>0</v>
      </c>
      <c r="L42" s="90">
        <f>Desp!L10</f>
        <v>0</v>
      </c>
      <c r="M42" s="90">
        <f>Desp!M10</f>
        <v>0</v>
      </c>
      <c r="N42" s="90">
        <f>Desp!N10</f>
        <v>0</v>
      </c>
      <c r="O42" s="90">
        <f>Desp!O10</f>
        <v>0</v>
      </c>
      <c r="P42" s="93">
        <f>SUM(D42:O42)</f>
        <v>0</v>
      </c>
    </row>
    <row r="43" spans="3:16" ht="24.95" customHeight="1" x14ac:dyDescent="0.25">
      <c r="C43" s="44" t="s">
        <v>232</v>
      </c>
      <c r="D43" s="90">
        <f>Desp!D11</f>
        <v>0</v>
      </c>
      <c r="E43" s="90">
        <f>Desp!E11</f>
        <v>0</v>
      </c>
      <c r="F43" s="90">
        <f>Desp!F11</f>
        <v>0</v>
      </c>
      <c r="G43" s="90">
        <f>Desp!G11</f>
        <v>0</v>
      </c>
      <c r="H43" s="90">
        <f>Desp!H11</f>
        <v>0</v>
      </c>
      <c r="I43" s="90">
        <f>Desp!I11</f>
        <v>0</v>
      </c>
      <c r="J43" s="90">
        <f>Desp!J11</f>
        <v>0</v>
      </c>
      <c r="K43" s="90">
        <f>Desp!K11</f>
        <v>0</v>
      </c>
      <c r="L43" s="90">
        <f>Desp!L11</f>
        <v>0</v>
      </c>
      <c r="M43" s="90">
        <f>Desp!M11</f>
        <v>0</v>
      </c>
      <c r="N43" s="90">
        <f>Desp!N11</f>
        <v>0</v>
      </c>
      <c r="O43" s="90">
        <f>Desp!O11</f>
        <v>0</v>
      </c>
      <c r="P43" s="93">
        <f>SUM(D43:O43)</f>
        <v>0</v>
      </c>
    </row>
    <row r="44" spans="3:16" ht="24.95" customHeight="1" x14ac:dyDescent="0.25">
      <c r="C44" s="44" t="s">
        <v>234</v>
      </c>
      <c r="D44" s="90">
        <f>Cus!D13</f>
        <v>12000</v>
      </c>
      <c r="E44" s="90">
        <f>Cus!E13</f>
        <v>12000</v>
      </c>
      <c r="F44" s="90">
        <f>Cus!F13</f>
        <v>12000</v>
      </c>
      <c r="G44" s="90">
        <f>Cus!G13</f>
        <v>12000</v>
      </c>
      <c r="H44" s="90">
        <f>Cus!H13</f>
        <v>12000</v>
      </c>
      <c r="I44" s="90">
        <f>Cus!I13</f>
        <v>12000</v>
      </c>
      <c r="J44" s="90">
        <f>Cus!J13</f>
        <v>12000</v>
      </c>
      <c r="K44" s="90">
        <f>Cus!K13</f>
        <v>12000</v>
      </c>
      <c r="L44" s="90">
        <f>Cus!L13</f>
        <v>12000</v>
      </c>
      <c r="M44" s="90">
        <f>Cus!M13</f>
        <v>12000</v>
      </c>
      <c r="N44" s="90">
        <f>Cus!N13</f>
        <v>12000</v>
      </c>
      <c r="O44" s="90">
        <f>Cus!O13</f>
        <v>12000</v>
      </c>
      <c r="P44" s="93">
        <f>SUM(D44:O44)</f>
        <v>144000</v>
      </c>
    </row>
    <row r="45" spans="3:16" ht="24.95" customHeight="1" x14ac:dyDescent="0.25">
      <c r="C45" s="44" t="s">
        <v>235</v>
      </c>
      <c r="D45" s="90">
        <f>Cus!D14</f>
        <v>0</v>
      </c>
      <c r="E45" s="90">
        <f>Cus!E14</f>
        <v>0</v>
      </c>
      <c r="F45" s="90">
        <f>Cus!F14</f>
        <v>0</v>
      </c>
      <c r="G45" s="90">
        <f>Cus!G14</f>
        <v>0</v>
      </c>
      <c r="H45" s="90">
        <f>Cus!H14</f>
        <v>0</v>
      </c>
      <c r="I45" s="90">
        <f>Cus!I14</f>
        <v>0</v>
      </c>
      <c r="J45" s="90">
        <f>Cus!J14</f>
        <v>0</v>
      </c>
      <c r="K45" s="90">
        <f>Cus!K14</f>
        <v>0</v>
      </c>
      <c r="L45" s="90">
        <f>Cus!L14</f>
        <v>0</v>
      </c>
      <c r="M45" s="90">
        <f>Cus!M14</f>
        <v>0</v>
      </c>
      <c r="N45" s="90">
        <f>Cus!N14</f>
        <v>0</v>
      </c>
      <c r="O45" s="90">
        <f>Cus!O14</f>
        <v>0</v>
      </c>
      <c r="P45" s="93">
        <f>SUM(D45:O45)</f>
        <v>0</v>
      </c>
    </row>
    <row r="46" spans="3:16" ht="24.95" customHeight="1" x14ac:dyDescent="0.25">
      <c r="C46" s="44" t="s">
        <v>233</v>
      </c>
      <c r="D46" s="90">
        <f>IF('BH (1)'!$D$4="Simples Nacional",Simp6!D19,Cus!D15)</f>
        <v>2400</v>
      </c>
      <c r="E46" s="90">
        <f>IF('BH (1)'!$D$4="Simples Nacional",Simp6!E19,Cus!E15)</f>
        <v>2400</v>
      </c>
      <c r="F46" s="90">
        <f>IF('BH (1)'!$D$4="Simples Nacional",Simp6!F19,Cus!F15)</f>
        <v>2400</v>
      </c>
      <c r="G46" s="90">
        <f>IF('BH (1)'!$D$4="Simples Nacional",Simp6!G19,Cus!G15)</f>
        <v>2400</v>
      </c>
      <c r="H46" s="90">
        <f>IF('BH (1)'!$D$4="Simples Nacional",Simp6!H19,Cus!H15)</f>
        <v>2400</v>
      </c>
      <c r="I46" s="90">
        <f>IF('BH (1)'!$D$4="Simples Nacional",Simp6!I19,Cus!I15)</f>
        <v>2400</v>
      </c>
      <c r="J46" s="90">
        <f>IF('BH (1)'!$D$4="Simples Nacional",Simp6!J19,Cus!J15)</f>
        <v>2400</v>
      </c>
      <c r="K46" s="90">
        <f>IF('BH (1)'!$D$4="Simples Nacional",Simp6!K19,Cus!K15)</f>
        <v>2400</v>
      </c>
      <c r="L46" s="90">
        <f>IF('BH (1)'!$D$4="Simples Nacional",Simp6!L19,Cus!L15)</f>
        <v>2400</v>
      </c>
      <c r="M46" s="90">
        <f>IF('BH (1)'!$D$4="Simples Nacional",Simp6!M19,Cus!M15)</f>
        <v>2400</v>
      </c>
      <c r="N46" s="90">
        <f>IF('BH (1)'!$D$4="Simples Nacional",Simp6!N19,Cus!N15)</f>
        <v>2400</v>
      </c>
      <c r="O46" s="90">
        <f>IF('BH (1)'!$D$4="Simples Nacional",Simp6!O19,Cus!O15)</f>
        <v>2400</v>
      </c>
      <c r="P46" s="93">
        <f>SUM(D46:O46)</f>
        <v>28800</v>
      </c>
    </row>
    <row r="47" spans="3:16" ht="24.95" customHeight="1" x14ac:dyDescent="0.25">
      <c r="C47" s="44" t="s">
        <v>236</v>
      </c>
      <c r="D47" s="90">
        <f>Cus!D18</f>
        <v>960</v>
      </c>
      <c r="E47" s="90">
        <f>Cus!E18</f>
        <v>960</v>
      </c>
      <c r="F47" s="90">
        <f>Cus!F18</f>
        <v>960</v>
      </c>
      <c r="G47" s="90">
        <f>Cus!G18</f>
        <v>960</v>
      </c>
      <c r="H47" s="90">
        <f>Cus!H18</f>
        <v>960</v>
      </c>
      <c r="I47" s="90">
        <f>Cus!I18</f>
        <v>960</v>
      </c>
      <c r="J47" s="90">
        <f>Cus!J18</f>
        <v>960</v>
      </c>
      <c r="K47" s="90">
        <f>Cus!K18</f>
        <v>960</v>
      </c>
      <c r="L47" s="90">
        <f>Cus!L18</f>
        <v>960</v>
      </c>
      <c r="M47" s="90">
        <f>Cus!M18</f>
        <v>960</v>
      </c>
      <c r="N47" s="90">
        <f>Cus!N18</f>
        <v>960</v>
      </c>
      <c r="O47" s="90">
        <f>Cus!O18</f>
        <v>960</v>
      </c>
      <c r="P47" s="93">
        <f t="shared" ref="P47:P53" si="12">SUM(D47:O47)</f>
        <v>11520</v>
      </c>
    </row>
    <row r="48" spans="3:16" ht="24.95" customHeight="1" x14ac:dyDescent="0.25">
      <c r="C48" s="44" t="str">
        <f>IF('BH (1)'!$D$4="Simples Nacional","","(-) Terceiros")</f>
        <v>(-) Terceiros</v>
      </c>
      <c r="D48" s="90">
        <f>IF('BH (1)'!$D$4="Simples Nacional","",Cus!D16)</f>
        <v>696</v>
      </c>
      <c r="E48" s="90">
        <f>IF('BH (1)'!$D$4="Simples Nacional","",Cus!E16)</f>
        <v>696</v>
      </c>
      <c r="F48" s="90">
        <f>IF('BH (1)'!$D$4="Simples Nacional","",Cus!F16)</f>
        <v>696</v>
      </c>
      <c r="G48" s="90">
        <f>IF('BH (1)'!$D$4="Simples Nacional","",Cus!G16)</f>
        <v>696</v>
      </c>
      <c r="H48" s="90">
        <f>IF('BH (1)'!$D$4="Simples Nacional","",Cus!H16)</f>
        <v>696</v>
      </c>
      <c r="I48" s="90">
        <f>IF('BH (1)'!$D$4="Simples Nacional","",Cus!I16)</f>
        <v>696</v>
      </c>
      <c r="J48" s="90">
        <f>IF('BH (1)'!$D$4="Simples Nacional","",Cus!J16)</f>
        <v>696</v>
      </c>
      <c r="K48" s="90">
        <f>IF('BH (1)'!$D$4="Simples Nacional","",Cus!K16)</f>
        <v>696</v>
      </c>
      <c r="L48" s="90">
        <f>IF('BH (1)'!$D$4="Simples Nacional","",Cus!L16)</f>
        <v>696</v>
      </c>
      <c r="M48" s="90">
        <f>IF('BH (1)'!$D$4="Simples Nacional","",Cus!M16)</f>
        <v>696</v>
      </c>
      <c r="N48" s="90">
        <f>IF('BH (1)'!$D$4="Simples Nacional","",Cus!N16)</f>
        <v>696</v>
      </c>
      <c r="O48" s="90">
        <f>IF('BH (1)'!$D$4="Simples Nacional","",Cus!O16)</f>
        <v>696</v>
      </c>
      <c r="P48" s="93">
        <f t="shared" si="12"/>
        <v>8352</v>
      </c>
    </row>
    <row r="49" spans="3:16" ht="24.95" customHeight="1" x14ac:dyDescent="0.25">
      <c r="C49" s="198" t="str">
        <f>IF('BH (1)'!$D$4="Simples Nacional","","(-) RAT")</f>
        <v>(-) RAT</v>
      </c>
      <c r="D49" s="95">
        <f>IF('BH (1)'!$D$4="Simples Nacional","",Cus!D17)</f>
        <v>240</v>
      </c>
      <c r="E49" s="95">
        <f>IF('BH (1)'!$D$4="Simples Nacional","",Cus!E17)</f>
        <v>240</v>
      </c>
      <c r="F49" s="95">
        <f>IF('BH (1)'!$D$4="Simples Nacional","",Cus!F17)</f>
        <v>240</v>
      </c>
      <c r="G49" s="95">
        <f>IF('BH (1)'!$D$4="Simples Nacional","",Cus!G17)</f>
        <v>240</v>
      </c>
      <c r="H49" s="95">
        <f>IF('BH (1)'!$D$4="Simples Nacional","",Cus!H17)</f>
        <v>240</v>
      </c>
      <c r="I49" s="95">
        <f>IF('BH (1)'!$D$4="Simples Nacional","",Cus!I17)</f>
        <v>240</v>
      </c>
      <c r="J49" s="95">
        <f>IF('BH (1)'!$D$4="Simples Nacional","",Cus!J17)</f>
        <v>240</v>
      </c>
      <c r="K49" s="95">
        <f>IF('BH (1)'!$D$4="Simples Nacional","",Cus!K17)</f>
        <v>240</v>
      </c>
      <c r="L49" s="95">
        <f>IF('BH (1)'!$D$4="Simples Nacional","",Cus!L17)</f>
        <v>240</v>
      </c>
      <c r="M49" s="95">
        <f>IF('BH (1)'!$D$4="Simples Nacional","",Cus!M17)</f>
        <v>240</v>
      </c>
      <c r="N49" s="95">
        <f>IF('BH (1)'!$D$4="Simples Nacional","",Cus!N17)</f>
        <v>240</v>
      </c>
      <c r="O49" s="95">
        <f>IF('BH (1)'!$D$4="Simples Nacional","",Cus!O17)</f>
        <v>240</v>
      </c>
      <c r="P49" s="93">
        <f t="shared" si="12"/>
        <v>2880</v>
      </c>
    </row>
    <row r="50" spans="3:16" ht="24.95" customHeight="1" x14ac:dyDescent="0.25">
      <c r="C50" s="196" t="s">
        <v>213</v>
      </c>
      <c r="D50" s="97">
        <f>D36-SUM(D37:D49)</f>
        <v>39982.493156249999</v>
      </c>
      <c r="E50" s="97">
        <f t="shared" ref="E50:O50" si="13">E36-SUM(E37:E49)</f>
        <v>20404.130454999999</v>
      </c>
      <c r="F50" s="97">
        <f t="shared" si="13"/>
        <v>39650.636221249995</v>
      </c>
      <c r="G50" s="97">
        <f t="shared" si="13"/>
        <v>28456.828404999993</v>
      </c>
      <c r="H50" s="97">
        <f t="shared" si="13"/>
        <v>29255.480857499992</v>
      </c>
      <c r="I50" s="97">
        <f t="shared" si="13"/>
        <v>15027.189548749993</v>
      </c>
      <c r="J50" s="97">
        <f t="shared" si="13"/>
        <v>30114.083458749985</v>
      </c>
      <c r="K50" s="97">
        <f t="shared" si="13"/>
        <v>11886.487353750003</v>
      </c>
      <c r="L50" s="97">
        <f t="shared" si="13"/>
        <v>17728.064826249996</v>
      </c>
      <c r="M50" s="97">
        <f t="shared" si="13"/>
        <v>25995.589794999993</v>
      </c>
      <c r="N50" s="97">
        <f t="shared" si="13"/>
        <v>19912.081155</v>
      </c>
      <c r="O50" s="97">
        <f t="shared" si="13"/>
        <v>16753.248789999998</v>
      </c>
      <c r="P50" s="191">
        <f t="shared" si="12"/>
        <v>295166.31402249995</v>
      </c>
    </row>
    <row r="51" spans="3:16" ht="24.95" customHeight="1" x14ac:dyDescent="0.25">
      <c r="C51" s="44" t="s">
        <v>238</v>
      </c>
      <c r="D51" s="90">
        <f>IF('BH (1)'!$D$4="Lucro Real",Relatórios!D60,IF('BH (1)'!$D$4="Lucro Presumido",D136,IF('BH (1)'!$D$4="Simples Nacional",Simp6!D21)))</f>
        <v>0</v>
      </c>
      <c r="E51" s="90">
        <f>IF('BH (1)'!$D$4="Lucro Real",Relatórios!E60,IF('BH (1)'!$D$4="Lucro Presumido",E136,IF('BH (1)'!$D$4="Simples Nacional",Simp6!E21)))</f>
        <v>0</v>
      </c>
      <c r="F51" s="90">
        <f>IF('BH (1)'!$D$4="Lucro Real",Relatórios!F60,IF('BH (1)'!$D$4="Lucro Presumido",AJ136,IF('BH (1)'!$D$4="Simples Nacional",Simp6!F21)))</f>
        <v>4520.7479999999996</v>
      </c>
      <c r="G51" s="90">
        <f>IF('BH (1)'!$D$4="Lucro Real",Relatórios!G60,IF('BH (1)'!$D$4="Lucro Presumido",G136,IF('BH (1)'!$D$4="Simples Nacional",Simp6!G21)))</f>
        <v>0</v>
      </c>
      <c r="H51" s="90">
        <f>IF('BH (1)'!$D$4="Lucro Real",Relatórios!H60,IF('BH (1)'!$D$4="Lucro Presumido",H136,IF('BH (1)'!$D$4="Simples Nacional",Simp6!H21)))</f>
        <v>0</v>
      </c>
      <c r="I51" s="90">
        <f>IF('BH (1)'!$D$4="Lucro Real",Relatórios!I60,IF('BH (1)'!$D$4="Lucro Presumido",AM136,IF('BH (1)'!$D$4="Simples Nacional",Simp6!I21)))</f>
        <v>4123.8719999999994</v>
      </c>
      <c r="J51" s="90">
        <f>IF('BH (1)'!$D$4="Lucro Real",Relatórios!J60,IF('BH (1)'!$D$4="Lucro Presumido",J136,IF('BH (1)'!$D$4="Simples Nacional",Simp6!J21)))</f>
        <v>0</v>
      </c>
      <c r="K51" s="90">
        <f>IF('BH (1)'!$D$4="Lucro Real",Relatórios!K60,IF('BH (1)'!$D$4="Lucro Presumido",K136,IF('BH (1)'!$D$4="Simples Nacional",Simp6!K21)))</f>
        <v>0</v>
      </c>
      <c r="L51" s="90">
        <f>IF('BH (1)'!$D$4="Lucro Real",Relatórios!L60,IF('BH (1)'!$D$4="Lucro Presumido",AP136,IF('BH (1)'!$D$4="Simples Nacional",Simp6!L21)))</f>
        <v>4033.308</v>
      </c>
      <c r="M51" s="90">
        <f>IF('BH (1)'!$D$4="Lucro Real",Relatórios!M60,IF('BH (1)'!$D$4="Lucro Presumido",M136,IF('BH (1)'!$D$4="Simples Nacional",Simp6!M21)))</f>
        <v>0</v>
      </c>
      <c r="N51" s="90">
        <f>IF('BH (1)'!$D$4="Lucro Real",Relatórios!N60,IF('BH (1)'!$D$4="Lucro Presumido",N136,IF('BH (1)'!$D$4="Simples Nacional",Simp6!N21)))</f>
        <v>0</v>
      </c>
      <c r="O51" s="90">
        <f>IF('BH (1)'!$D$4="Lucro Real",Relatórios!O60,IF('BH (1)'!$D$4="Lucro Presumido",AS136,IF('BH (1)'!$D$4="Simples Nacional",Simp6!O21)))</f>
        <v>4028.6759999999999</v>
      </c>
      <c r="P51" s="93">
        <f t="shared" si="12"/>
        <v>16706.603999999999</v>
      </c>
    </row>
    <row r="52" spans="3:16" ht="24.95" customHeight="1" x14ac:dyDescent="0.25">
      <c r="C52" s="44" t="str">
        <f>IF('BH (1)'!$D$4="Simples Nacional","","(-) Adicional")</f>
        <v>(-) Adicional</v>
      </c>
      <c r="D52" s="90">
        <f>IF('BH (1)'!$D$4="Simples Nacional","",IF('BH (1)'!$D$4="Lucro Real",Relatórios!D61,IF('BH (1)'!$D$4="Lucro Presumido",D137)))</f>
        <v>0</v>
      </c>
      <c r="E52" s="90">
        <f>IF('BH (1)'!$D$4="Simples Nacional","",IF('BH (1)'!$D$4="Lucro Real",Relatórios!E61,IF('BH (1)'!$D$4="Lucro Presumido",E137)))</f>
        <v>0</v>
      </c>
      <c r="F52" s="90">
        <f>IF('BH (1)'!$D$4="Simples Nacional","",IF('BH (1)'!$D$4="Lucro Real",Relatórios!F61,IF('BH (1)'!$D$4="Lucro Presumido",AJ137)))</f>
        <v>0</v>
      </c>
      <c r="G52" s="90">
        <f>IF('BH (1)'!$D$4="Simples Nacional","",IF('BH (1)'!$D$4="Lucro Real",Relatórios!G61,IF('BH (1)'!$D$4="Lucro Presumido",G137)))</f>
        <v>0</v>
      </c>
      <c r="H52" s="90">
        <f>IF('BH (1)'!$D$4="Simples Nacional","",IF('BH (1)'!$D$4="Lucro Real",Relatórios!H61,IF('BH (1)'!$D$4="Lucro Presumido",H137)))</f>
        <v>0</v>
      </c>
      <c r="I52" s="90">
        <f>IF('BH (1)'!$D$4="Simples Nacional","",IF('BH (1)'!$D$4="Lucro Real",Relatórios!I61,IF('BH (1)'!$D$4="Lucro Presumido",AM137)))</f>
        <v>0</v>
      </c>
      <c r="J52" s="90">
        <f>IF('BH (1)'!$D$4="Simples Nacional","",IF('BH (1)'!$D$4="Lucro Real",Relatórios!J61,IF('BH (1)'!$D$4="Lucro Presumido",J137)))</f>
        <v>0</v>
      </c>
      <c r="K52" s="90">
        <f>IF('BH (1)'!$D$4="Simples Nacional","",IF('BH (1)'!$D$4="Lucro Real",Relatórios!K61,IF('BH (1)'!$D$4="Lucro Presumido",K137)))</f>
        <v>0</v>
      </c>
      <c r="L52" s="90">
        <f>IF('BH (1)'!$D$4="Simples Nacional","",IF('BH (1)'!$D$4="Lucro Real",Relatórios!L61,IF('BH (1)'!$D$4="Lucro Presumido",AP137)))</f>
        <v>0</v>
      </c>
      <c r="M52" s="90">
        <f>IF('BH (1)'!$D$4="Simples Nacional","",IF('BH (1)'!$D$4="Lucro Real",Relatórios!M61,IF('BH (1)'!$D$4="Lucro Presumido",M137)))</f>
        <v>0</v>
      </c>
      <c r="N52" s="90">
        <f>IF('BH (1)'!$D$4="Simples Nacional","",IF('BH (1)'!$D$4="Lucro Real",Relatórios!N61,IF('BH (1)'!$D$4="Lucro Presumido",N137)))</f>
        <v>0</v>
      </c>
      <c r="O52" s="90">
        <f>IF('BH (1)'!$D$4="Simples Nacional","",IF('BH (1)'!$D$4="Lucro Real",Relatórios!O61,IF('BH (1)'!$D$4="Lucro Presumido",AS137)))</f>
        <v>0</v>
      </c>
      <c r="P52" s="93">
        <f t="shared" si="12"/>
        <v>0</v>
      </c>
    </row>
    <row r="53" spans="3:16" ht="24.95" customHeight="1" x14ac:dyDescent="0.25">
      <c r="C53" s="198" t="s">
        <v>239</v>
      </c>
      <c r="D53" s="95">
        <f>IF('BH (1)'!$D$4="Lucro Real",Relatórios!D62,IF('BH (1)'!$D$4="Lucro Presumido",D138,IF('BH (1)'!$D$4="Simples Nacional",Simp6!D20)))</f>
        <v>0</v>
      </c>
      <c r="E53" s="95">
        <f>IF('BH (1)'!$D$4="Lucro Real",Relatórios!E62,IF('BH (1)'!$D$4="Lucro Presumido",E138,IF('BH (1)'!$D$4="Simples Nacional",Simp6!E20)))</f>
        <v>0</v>
      </c>
      <c r="F53" s="95">
        <f>IF('BH (1)'!$D$4="Lucro Real",Relatórios!F62,IF('BH (1)'!$D$4="Lucro Presumido",AJ138,IF('BH (1)'!$D$4="Simples Nacional",Simp6!F20)))</f>
        <v>4068.6731999999993</v>
      </c>
      <c r="G53" s="95">
        <f>IF('BH (1)'!$D$4="Lucro Real",Relatórios!G62,IF('BH (1)'!$D$4="Lucro Presumido",G138,IF('BH (1)'!$D$4="Simples Nacional",Simp6!G20)))</f>
        <v>0</v>
      </c>
      <c r="H53" s="95">
        <f>IF('BH (1)'!$D$4="Lucro Real",Relatórios!H62,IF('BH (1)'!$D$4="Lucro Presumido",H138,IF('BH (1)'!$D$4="Simples Nacional",Simp6!H20)))</f>
        <v>0</v>
      </c>
      <c r="I53" s="95">
        <f>IF('BH (1)'!$D$4="Lucro Real",Relatórios!I62,IF('BH (1)'!$D$4="Lucro Presumido",AM138,IF('BH (1)'!$D$4="Simples Nacional",Simp6!I20)))</f>
        <v>3711.4848000000002</v>
      </c>
      <c r="J53" s="95">
        <f>IF('BH (1)'!$D$4="Lucro Real",Relatórios!J62,IF('BH (1)'!$D$4="Lucro Presumido",J138,IF('BH (1)'!$D$4="Simples Nacional",Simp6!J20)))</f>
        <v>0</v>
      </c>
      <c r="K53" s="95">
        <f>IF('BH (1)'!$D$4="Lucro Real",Relatórios!K62,IF('BH (1)'!$D$4="Lucro Presumido",K138,IF('BH (1)'!$D$4="Simples Nacional",Simp6!K20)))</f>
        <v>0</v>
      </c>
      <c r="L53" s="95">
        <f>IF('BH (1)'!$D$4="Lucro Real",Relatórios!L62,IF('BH (1)'!$D$4="Lucro Presumido",AP138,IF('BH (1)'!$D$4="Simples Nacional",Simp6!L20)))</f>
        <v>3629.9771999999998</v>
      </c>
      <c r="M53" s="95">
        <f>IF('BH (1)'!$D$4="Lucro Real",Relatórios!M62,IF('BH (1)'!$D$4="Lucro Presumido",M138,IF('BH (1)'!$D$4="Simples Nacional",Simp6!M20)))</f>
        <v>0</v>
      </c>
      <c r="N53" s="95">
        <f>IF('BH (1)'!$D$4="Lucro Real",Relatórios!N62,IF('BH (1)'!$D$4="Lucro Presumido",N138,IF('BH (1)'!$D$4="Simples Nacional",Simp6!N20)))</f>
        <v>0</v>
      </c>
      <c r="O53" s="95">
        <f>IF('BH (1)'!$D$4="Lucro Real",Relatórios!O62,IF('BH (1)'!$D$4="Lucro Presumido",AS138,IF('BH (1)'!$D$4="Simples Nacional",Simp6!O20)))</f>
        <v>3625.8083999999999</v>
      </c>
      <c r="P53" s="93">
        <f t="shared" si="12"/>
        <v>15035.943599999999</v>
      </c>
    </row>
    <row r="54" spans="3:16" ht="24.95" customHeight="1" x14ac:dyDescent="0.25">
      <c r="C54" s="196" t="s">
        <v>237</v>
      </c>
      <c r="D54" s="97">
        <f>D50-SUM(D51:D53)</f>
        <v>39982.493156249999</v>
      </c>
      <c r="E54" s="97">
        <f t="shared" ref="E54:O54" si="14">E50-SUM(E51:E53)</f>
        <v>20404.130454999999</v>
      </c>
      <c r="F54" s="97">
        <f t="shared" si="14"/>
        <v>31061.215021249998</v>
      </c>
      <c r="G54" s="97">
        <f t="shared" si="14"/>
        <v>28456.828404999993</v>
      </c>
      <c r="H54" s="97">
        <f t="shared" si="14"/>
        <v>29255.480857499992</v>
      </c>
      <c r="I54" s="97">
        <f t="shared" si="14"/>
        <v>7191.8327487499937</v>
      </c>
      <c r="J54" s="97">
        <f t="shared" si="14"/>
        <v>30114.083458749985</v>
      </c>
      <c r="K54" s="97">
        <f t="shared" si="14"/>
        <v>11886.487353750003</v>
      </c>
      <c r="L54" s="97">
        <f t="shared" si="14"/>
        <v>10064.779626249996</v>
      </c>
      <c r="M54" s="97">
        <f t="shared" si="14"/>
        <v>25995.589794999993</v>
      </c>
      <c r="N54" s="97">
        <f t="shared" si="14"/>
        <v>19912.081155</v>
      </c>
      <c r="O54" s="97">
        <f t="shared" si="14"/>
        <v>9098.7643899999985</v>
      </c>
      <c r="P54" s="192">
        <f>SUM(D54:O54)</f>
        <v>263423.76642249996</v>
      </c>
    </row>
    <row r="55" spans="3:16" ht="24.95" customHeight="1" x14ac:dyDescent="0.25"/>
    <row r="56" spans="3:16" ht="15" hidden="1" customHeight="1" x14ac:dyDescent="0.25">
      <c r="C56" s="188" t="s">
        <v>240</v>
      </c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</row>
    <row r="57" spans="3:16" ht="15" hidden="1" customHeight="1" x14ac:dyDescent="0.25">
      <c r="C57" s="112" t="s">
        <v>82</v>
      </c>
      <c r="D57" s="112" t="s">
        <v>83</v>
      </c>
      <c r="E57" s="112" t="s">
        <v>84</v>
      </c>
      <c r="F57" s="112" t="s">
        <v>85</v>
      </c>
      <c r="G57" s="112" t="s">
        <v>86</v>
      </c>
      <c r="H57" s="112" t="s">
        <v>87</v>
      </c>
      <c r="I57" s="112" t="s">
        <v>88</v>
      </c>
      <c r="J57" s="112" t="s">
        <v>89</v>
      </c>
      <c r="K57" s="112" t="s">
        <v>90</v>
      </c>
      <c r="L57" s="112" t="s">
        <v>91</v>
      </c>
      <c r="M57" s="112" t="s">
        <v>92</v>
      </c>
      <c r="N57" s="112" t="s">
        <v>93</v>
      </c>
      <c r="O57" s="112" t="s">
        <v>94</v>
      </c>
      <c r="P57" s="112" t="s">
        <v>95</v>
      </c>
    </row>
    <row r="58" spans="3:16" ht="15" hidden="1" customHeight="1" x14ac:dyDescent="0.25">
      <c r="C58" s="19" t="s">
        <v>241</v>
      </c>
      <c r="D58" s="132">
        <f>D50</f>
        <v>39982.493156249999</v>
      </c>
      <c r="E58" s="132">
        <f t="shared" ref="E58:O58" si="15">E50</f>
        <v>20404.130454999999</v>
      </c>
      <c r="F58" s="132">
        <f>F50</f>
        <v>39650.636221249995</v>
      </c>
      <c r="G58" s="132">
        <f t="shared" si="15"/>
        <v>28456.828404999993</v>
      </c>
      <c r="H58" s="132">
        <f t="shared" si="15"/>
        <v>29255.480857499992</v>
      </c>
      <c r="I58" s="132">
        <f t="shared" si="15"/>
        <v>15027.189548749993</v>
      </c>
      <c r="J58" s="132">
        <f t="shared" si="15"/>
        <v>30114.083458749985</v>
      </c>
      <c r="K58" s="132">
        <f t="shared" si="15"/>
        <v>11886.487353750003</v>
      </c>
      <c r="L58" s="132">
        <f t="shared" si="15"/>
        <v>17728.064826249996</v>
      </c>
      <c r="M58" s="132">
        <f t="shared" si="15"/>
        <v>25995.589794999993</v>
      </c>
      <c r="N58" s="132">
        <f t="shared" si="15"/>
        <v>19912.081155</v>
      </c>
      <c r="O58" s="132">
        <f t="shared" si="15"/>
        <v>16753.248789999998</v>
      </c>
      <c r="P58" s="114">
        <f>SUM(D58:O58)</f>
        <v>295166.31402249995</v>
      </c>
    </row>
    <row r="59" spans="3:16" ht="15" hidden="1" customHeight="1" x14ac:dyDescent="0.25">
      <c r="C59" s="19" t="s">
        <v>243</v>
      </c>
      <c r="D59" s="132">
        <v>0</v>
      </c>
      <c r="E59" s="132">
        <v>0</v>
      </c>
      <c r="F59" s="132">
        <f>SUM(D58:F58)</f>
        <v>100037.25983249999</v>
      </c>
      <c r="G59" s="132">
        <v>0</v>
      </c>
      <c r="H59" s="132">
        <v>0</v>
      </c>
      <c r="I59" s="132">
        <f>SUM(G58:I58)</f>
        <v>72739.49881124997</v>
      </c>
      <c r="J59" s="132">
        <v>0</v>
      </c>
      <c r="K59" s="132">
        <v>0</v>
      </c>
      <c r="L59" s="132">
        <f>SUM(J58:L58)</f>
        <v>59728.635638749984</v>
      </c>
      <c r="M59" s="132">
        <v>0</v>
      </c>
      <c r="N59" s="132">
        <v>0</v>
      </c>
      <c r="O59" s="132">
        <f>SUM(M58:O58)</f>
        <v>62660.91973999999</v>
      </c>
      <c r="P59" s="114">
        <f>SUM(D59:O59)</f>
        <v>295166.31402249995</v>
      </c>
    </row>
    <row r="60" spans="3:16" ht="15" hidden="1" customHeight="1" x14ac:dyDescent="0.25">
      <c r="C60" s="19" t="s">
        <v>40</v>
      </c>
      <c r="D60" s="132">
        <v>0</v>
      </c>
      <c r="E60" s="132">
        <v>0</v>
      </c>
      <c r="F60" s="132">
        <f>IF(F59&lt;0,0,F59*TabR!$E$10)</f>
        <v>15005.588974874998</v>
      </c>
      <c r="G60" s="132">
        <v>0</v>
      </c>
      <c r="H60" s="132">
        <v>0</v>
      </c>
      <c r="I60" s="132">
        <f>IF(I59&lt;0,0,I59*TabR!$E$10)</f>
        <v>10910.924821687495</v>
      </c>
      <c r="J60" s="132">
        <v>0</v>
      </c>
      <c r="K60" s="132">
        <v>0</v>
      </c>
      <c r="L60" s="132">
        <f>IF(L59&lt;0,0,L59*TabR!$E$10)</f>
        <v>8959.2953458124975</v>
      </c>
      <c r="M60" s="132">
        <v>0</v>
      </c>
      <c r="N60" s="132">
        <v>0</v>
      </c>
      <c r="O60" s="132">
        <f>IF(O59&lt;0,0,O59*TabR!$E$10)</f>
        <v>9399.1379609999985</v>
      </c>
      <c r="P60" s="114">
        <f>SUM(D60:O60)</f>
        <v>44274.947103374987</v>
      </c>
    </row>
    <row r="61" spans="3:16" ht="15" hidden="1" customHeight="1" x14ac:dyDescent="0.25">
      <c r="C61" s="19" t="s">
        <v>242</v>
      </c>
      <c r="D61" s="132">
        <v>0</v>
      </c>
      <c r="E61" s="132">
        <v>0</v>
      </c>
      <c r="F61" s="132">
        <f>IF(F59=0,0,IF(F59&lt;60000,0,(F59-60000)*TabR!$E$11))</f>
        <v>4003.7259832499985</v>
      </c>
      <c r="G61" s="132">
        <v>0</v>
      </c>
      <c r="H61" s="132">
        <v>0</v>
      </c>
      <c r="I61" s="132">
        <f>IF(I59=0,0,IF(I59&lt;60000,0,(I59-60000)*TabR!$E$11))</f>
        <v>1273.9498811249971</v>
      </c>
      <c r="J61" s="132">
        <v>0</v>
      </c>
      <c r="K61" s="132">
        <v>0</v>
      </c>
      <c r="L61" s="132">
        <f>IF(L59=0,0,IF(L59&lt;60000,0,(L59-60000)*TabR!$E$11))</f>
        <v>0</v>
      </c>
      <c r="M61" s="132">
        <v>0</v>
      </c>
      <c r="N61" s="132">
        <v>0</v>
      </c>
      <c r="O61" s="132">
        <f>IF(O59=0,0,IF(O59&lt;60000,0,(O59-60000)*TabR!$E$11))</f>
        <v>266.09197399999903</v>
      </c>
      <c r="P61" s="114">
        <f>SUM(D61:O61)</f>
        <v>5543.7678383749944</v>
      </c>
    </row>
    <row r="62" spans="3:16" ht="15" hidden="1" customHeight="1" x14ac:dyDescent="0.25">
      <c r="C62" s="19" t="s">
        <v>42</v>
      </c>
      <c r="D62" s="132">
        <v>0</v>
      </c>
      <c r="E62" s="132">
        <v>0</v>
      </c>
      <c r="F62" s="132">
        <f>IF(F59&lt;0,0,F59*TabR!$E$12)</f>
        <v>9003.353384924998</v>
      </c>
      <c r="G62" s="132">
        <v>0</v>
      </c>
      <c r="H62" s="132">
        <v>0</v>
      </c>
      <c r="I62" s="132">
        <f>IF(I59&lt;0,0,I59*TabR!$E$12)</f>
        <v>6546.5548930124969</v>
      </c>
      <c r="J62" s="132">
        <v>0</v>
      </c>
      <c r="K62" s="132">
        <v>0</v>
      </c>
      <c r="L62" s="132">
        <f>IF(L59&lt;0,0,L59*TabR!$E$12)</f>
        <v>5375.5772074874985</v>
      </c>
      <c r="M62" s="132">
        <v>0</v>
      </c>
      <c r="N62" s="132">
        <v>0</v>
      </c>
      <c r="O62" s="132">
        <f>IF(O59&lt;0,0,O59*TabR!$E$12)</f>
        <v>5639.4827765999989</v>
      </c>
      <c r="P62" s="114">
        <f>SUM(D62:O62)</f>
        <v>26564.968262024991</v>
      </c>
    </row>
    <row r="63" spans="3:16" ht="15" hidden="1" customHeight="1" x14ac:dyDescent="0.25"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</row>
    <row r="64" spans="3:16" ht="15" hidden="1" customHeight="1" x14ac:dyDescent="0.25">
      <c r="C64" s="188" t="s">
        <v>244</v>
      </c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</row>
    <row r="65" spans="3:16" ht="15" hidden="1" customHeight="1" x14ac:dyDescent="0.25">
      <c r="C65" s="112" t="s">
        <v>82</v>
      </c>
      <c r="D65" s="112" t="s">
        <v>83</v>
      </c>
      <c r="E65" s="112" t="s">
        <v>84</v>
      </c>
      <c r="F65" s="112" t="s">
        <v>85</v>
      </c>
      <c r="G65" s="112" t="s">
        <v>86</v>
      </c>
      <c r="H65" s="112" t="s">
        <v>87</v>
      </c>
      <c r="I65" s="112" t="s">
        <v>88</v>
      </c>
      <c r="J65" s="112" t="s">
        <v>89</v>
      </c>
      <c r="K65" s="112" t="s">
        <v>90</v>
      </c>
      <c r="L65" s="112" t="s">
        <v>91</v>
      </c>
      <c r="M65" s="112" t="s">
        <v>92</v>
      </c>
      <c r="N65" s="112" t="s">
        <v>93</v>
      </c>
      <c r="O65" s="112" t="s">
        <v>94</v>
      </c>
      <c r="P65" s="112" t="s">
        <v>95</v>
      </c>
    </row>
    <row r="66" spans="3:16" ht="15" hidden="1" customHeight="1" x14ac:dyDescent="0.25">
      <c r="C66" s="19" t="s">
        <v>62</v>
      </c>
      <c r="D66" s="132">
        <f>D25</f>
        <v>134725</v>
      </c>
      <c r="E66" s="132">
        <f t="shared" ref="E66:O66" si="16">E25</f>
        <v>108391</v>
      </c>
      <c r="F66" s="132">
        <f t="shared" si="16"/>
        <v>133613</v>
      </c>
      <c r="G66" s="132">
        <f t="shared" si="16"/>
        <v>120356</v>
      </c>
      <c r="H66" s="132">
        <f t="shared" si="16"/>
        <v>119059</v>
      </c>
      <c r="I66" s="132">
        <f t="shared" si="16"/>
        <v>104241</v>
      </c>
      <c r="J66" s="132">
        <f t="shared" si="16"/>
        <v>123748</v>
      </c>
      <c r="K66" s="132">
        <f t="shared" si="16"/>
        <v>102602</v>
      </c>
      <c r="L66" s="132">
        <f t="shared" si="16"/>
        <v>109759</v>
      </c>
      <c r="M66" s="132">
        <f t="shared" si="16"/>
        <v>115659</v>
      </c>
      <c r="N66" s="132">
        <f t="shared" si="16"/>
        <v>110531</v>
      </c>
      <c r="O66" s="132">
        <f t="shared" si="16"/>
        <v>109533</v>
      </c>
      <c r="P66" s="114">
        <f>SUM(D66:O66)</f>
        <v>1392217</v>
      </c>
    </row>
    <row r="67" spans="3:16" ht="15" hidden="1" customHeight="1" x14ac:dyDescent="0.25">
      <c r="C67" s="19" t="s">
        <v>243</v>
      </c>
      <c r="D67" s="132">
        <v>0</v>
      </c>
      <c r="E67" s="132">
        <v>0</v>
      </c>
      <c r="F67" s="132">
        <f>SUM(D66:F66)</f>
        <v>376729</v>
      </c>
      <c r="G67" s="132">
        <v>0</v>
      </c>
      <c r="H67" s="132">
        <v>0</v>
      </c>
      <c r="I67" s="132">
        <f>SUM(G66:I66)</f>
        <v>343656</v>
      </c>
      <c r="J67" s="132">
        <v>0</v>
      </c>
      <c r="K67" s="132">
        <v>0</v>
      </c>
      <c r="L67" s="132">
        <f>SUM(J66:L66)</f>
        <v>336109</v>
      </c>
      <c r="M67" s="132">
        <v>0</v>
      </c>
      <c r="N67" s="132">
        <v>0</v>
      </c>
      <c r="O67" s="132">
        <f>SUM(M66:O66)</f>
        <v>335723</v>
      </c>
      <c r="P67" s="114">
        <f>SUM(D67:O67)</f>
        <v>1392217</v>
      </c>
    </row>
    <row r="68" spans="3:16" ht="15" hidden="1" customHeight="1" x14ac:dyDescent="0.25">
      <c r="C68" s="19" t="s">
        <v>40</v>
      </c>
      <c r="D68" s="132">
        <v>0</v>
      </c>
      <c r="E68" s="132">
        <v>0</v>
      </c>
      <c r="F68" s="132">
        <f>IFERROR((F67*TabP!$E$10)*TabP!$F$10,0)</f>
        <v>4520.7479999999996</v>
      </c>
      <c r="G68" s="132">
        <v>0</v>
      </c>
      <c r="H68" s="132">
        <v>0</v>
      </c>
      <c r="I68" s="132">
        <f>IFERROR((I67*TabP!$E$10)*TabP!$F$10,0)</f>
        <v>4123.8719999999994</v>
      </c>
      <c r="J68" s="132">
        <v>0</v>
      </c>
      <c r="K68" s="132">
        <v>0</v>
      </c>
      <c r="L68" s="132">
        <f>IFERROR((L67*TabP!$E$10)*TabP!$F$10,0)</f>
        <v>4033.308</v>
      </c>
      <c r="M68" s="132">
        <v>0</v>
      </c>
      <c r="N68" s="132">
        <v>0</v>
      </c>
      <c r="O68" s="132">
        <f>IFERROR((O67*TabP!$E$10)*TabP!$F$10,0)</f>
        <v>4028.6759999999999</v>
      </c>
      <c r="P68" s="114">
        <f>SUM(D68:O68)</f>
        <v>16706.603999999999</v>
      </c>
    </row>
    <row r="69" spans="3:16" ht="15" hidden="1" customHeight="1" x14ac:dyDescent="0.25">
      <c r="C69" s="19" t="s">
        <v>242</v>
      </c>
      <c r="D69" s="132">
        <v>0</v>
      </c>
      <c r="E69" s="132">
        <v>0</v>
      </c>
      <c r="F69" s="132">
        <f>IF(IFERROR(((F67*TabP!$E$10)-60000)*TabP!$F$11,0)&lt;0,0,IFERROR(((F67*TabP!$E$10)-60000)*TabP!$F$11,0))</f>
        <v>0</v>
      </c>
      <c r="G69" s="132">
        <v>0</v>
      </c>
      <c r="H69" s="132">
        <v>0</v>
      </c>
      <c r="I69" s="132">
        <f>IF(IFERROR(((I67*TabP!$E$10)-60000)*TabP!$F$11,0)&lt;0,0,IFERROR(((I67*TabP!$E$10)-60000)*TabP!$F$11,0))</f>
        <v>0</v>
      </c>
      <c r="J69" s="132">
        <v>0</v>
      </c>
      <c r="K69" s="132">
        <v>0</v>
      </c>
      <c r="L69" s="132">
        <f>IF(IFERROR(((L67*TabP!$E$10)-60000)*TabP!$F$11,0)&lt;0,0,IFERROR(((L67*TabP!$E$10)-60000)*TabP!$F$11,0))</f>
        <v>0</v>
      </c>
      <c r="M69" s="132">
        <v>0</v>
      </c>
      <c r="N69" s="132">
        <v>0</v>
      </c>
      <c r="O69" s="132">
        <f>IF(IFERROR(((O67*TabP!$E$10)-60000)*TabP!$F$11,0)&lt;0,0,IFERROR(((O67*TabP!$E$10)-60000)*TabP!$F$11,0))</f>
        <v>0</v>
      </c>
      <c r="P69" s="114">
        <f>SUM(D69:O69)</f>
        <v>0</v>
      </c>
    </row>
    <row r="70" spans="3:16" ht="15" hidden="1" customHeight="1" x14ac:dyDescent="0.25">
      <c r="C70" s="19" t="s">
        <v>42</v>
      </c>
      <c r="D70" s="132">
        <v>0</v>
      </c>
      <c r="E70" s="132">
        <v>0</v>
      </c>
      <c r="F70" s="132">
        <f>IFERROR((F67*TabP!$E$12)*TabP!$F$12,0)</f>
        <v>4068.6731999999993</v>
      </c>
      <c r="G70" s="132">
        <v>0</v>
      </c>
      <c r="H70" s="132">
        <v>0</v>
      </c>
      <c r="I70" s="132">
        <f>IFERROR((I67*TabP!$E$12)*TabP!$F$12,0)</f>
        <v>3711.4848000000002</v>
      </c>
      <c r="J70" s="132">
        <v>0</v>
      </c>
      <c r="K70" s="132">
        <v>0</v>
      </c>
      <c r="L70" s="132">
        <f>IFERROR((L67*TabP!$E$12)*TabP!$F$12,0)</f>
        <v>3629.9771999999998</v>
      </c>
      <c r="M70" s="132">
        <v>0</v>
      </c>
      <c r="N70" s="132">
        <v>0</v>
      </c>
      <c r="O70" s="132">
        <f>IFERROR((O67*TabP!$E$12)*TabP!$F$12,0)</f>
        <v>3625.8083999999999</v>
      </c>
      <c r="P70" s="114">
        <f>SUM(D70:O70)</f>
        <v>15035.943599999999</v>
      </c>
    </row>
    <row r="71" spans="3:16" ht="15" hidden="1" customHeight="1" x14ac:dyDescent="0.25"/>
    <row r="72" spans="3:16" ht="15" hidden="1" customHeight="1" x14ac:dyDescent="0.25">
      <c r="C72" s="200" t="s">
        <v>135</v>
      </c>
      <c r="D72" s="193">
        <f>D25</f>
        <v>134725</v>
      </c>
      <c r="E72" s="193">
        <f t="shared" ref="E72:O72" si="17">E25</f>
        <v>108391</v>
      </c>
      <c r="F72" s="193">
        <f t="shared" si="17"/>
        <v>133613</v>
      </c>
      <c r="G72" s="193">
        <f t="shared" si="17"/>
        <v>120356</v>
      </c>
      <c r="H72" s="193">
        <f t="shared" si="17"/>
        <v>119059</v>
      </c>
      <c r="I72" s="193">
        <f t="shared" si="17"/>
        <v>104241</v>
      </c>
      <c r="J72" s="193">
        <f t="shared" si="17"/>
        <v>123748</v>
      </c>
      <c r="K72" s="193">
        <f t="shared" si="17"/>
        <v>102602</v>
      </c>
      <c r="L72" s="193">
        <f t="shared" si="17"/>
        <v>109759</v>
      </c>
      <c r="M72" s="193">
        <f t="shared" si="17"/>
        <v>115659</v>
      </c>
      <c r="N72" s="193">
        <f t="shared" si="17"/>
        <v>110531</v>
      </c>
      <c r="O72" s="193">
        <f t="shared" si="17"/>
        <v>109533</v>
      </c>
      <c r="P72" s="114">
        <f>SUM(D72:O72)</f>
        <v>1392217</v>
      </c>
    </row>
    <row r="73" spans="3:16" ht="15" hidden="1" customHeight="1" x14ac:dyDescent="0.25">
      <c r="C73" s="200" t="s">
        <v>327</v>
      </c>
      <c r="D73" s="193">
        <f>D72</f>
        <v>134725</v>
      </c>
      <c r="E73" s="193">
        <f>SUM($D$72:E72)</f>
        <v>243116</v>
      </c>
      <c r="F73" s="193">
        <f>SUM($D$72:F72)</f>
        <v>376729</v>
      </c>
      <c r="G73" s="193">
        <f>SUM($D$72:G72)</f>
        <v>497085</v>
      </c>
      <c r="H73" s="193">
        <f>SUM($D$72:H72)</f>
        <v>616144</v>
      </c>
      <c r="I73" s="193">
        <f>SUM($D$72:I72)</f>
        <v>720385</v>
      </c>
      <c r="J73" s="193">
        <f>SUM($D$72:J72)</f>
        <v>844133</v>
      </c>
      <c r="K73" s="193">
        <f>SUM($D$72:K72)</f>
        <v>946735</v>
      </c>
      <c r="L73" s="193">
        <f>SUM($D$72:L72)</f>
        <v>1056494</v>
      </c>
      <c r="M73" s="193">
        <f>SUM($D$72:M72)</f>
        <v>1172153</v>
      </c>
      <c r="N73" s="193">
        <f>SUM($D$72:N72)</f>
        <v>1282684</v>
      </c>
      <c r="O73" s="193">
        <f>SUM($D$72:O72)</f>
        <v>1392217</v>
      </c>
    </row>
    <row r="74" spans="3:16" ht="15" hidden="1" customHeight="1" x14ac:dyDescent="0.25">
      <c r="C74" s="9" t="s">
        <v>334</v>
      </c>
      <c r="D74" s="249">
        <f>IF(D73&gt;5000000,D73-5000000,0)</f>
        <v>0</v>
      </c>
      <c r="E74" s="249">
        <f>IF(E73&gt;5000000,E73-5000000,0)</f>
        <v>0</v>
      </c>
      <c r="F74" s="249">
        <f>IF(F73&gt;5000000,F73-5000000,0)</f>
        <v>0</v>
      </c>
      <c r="G74" s="249">
        <f t="shared" ref="G74:O74" si="18">IF(G73&gt;5000000,G73-5000000,0)</f>
        <v>0</v>
      </c>
      <c r="H74" s="249">
        <f t="shared" si="18"/>
        <v>0</v>
      </c>
      <c r="I74" s="249">
        <f t="shared" si="18"/>
        <v>0</v>
      </c>
      <c r="J74" s="249">
        <f t="shared" si="18"/>
        <v>0</v>
      </c>
      <c r="K74" s="249">
        <f t="shared" si="18"/>
        <v>0</v>
      </c>
      <c r="L74" s="249">
        <f t="shared" si="18"/>
        <v>0</v>
      </c>
      <c r="M74" s="249">
        <f t="shared" si="18"/>
        <v>0</v>
      </c>
      <c r="N74" s="249">
        <f t="shared" si="18"/>
        <v>0</v>
      </c>
      <c r="O74" s="249">
        <f t="shared" si="18"/>
        <v>0</v>
      </c>
    </row>
    <row r="75" spans="3:16" ht="15" hidden="1" customHeight="1" x14ac:dyDescent="0.25">
      <c r="C75" s="9" t="s">
        <v>335</v>
      </c>
      <c r="D75" s="249">
        <f>IF(D74=0,0,D72)</f>
        <v>0</v>
      </c>
      <c r="E75" s="249">
        <f>IF(D74=0,0,E72)</f>
        <v>0</v>
      </c>
      <c r="F75" s="249">
        <f t="shared" ref="F75:O75" si="19">IF(E74=0,0,F72)</f>
        <v>0</v>
      </c>
      <c r="G75" s="249">
        <f t="shared" si="19"/>
        <v>0</v>
      </c>
      <c r="H75" s="249">
        <f t="shared" si="19"/>
        <v>0</v>
      </c>
      <c r="I75" s="249">
        <f t="shared" si="19"/>
        <v>0</v>
      </c>
      <c r="J75" s="249">
        <f t="shared" si="19"/>
        <v>0</v>
      </c>
      <c r="K75" s="249">
        <f t="shared" si="19"/>
        <v>0</v>
      </c>
      <c r="L75" s="249">
        <f t="shared" si="19"/>
        <v>0</v>
      </c>
      <c r="M75" s="249">
        <f t="shared" si="19"/>
        <v>0</v>
      </c>
      <c r="N75" s="249">
        <f t="shared" si="19"/>
        <v>0</v>
      </c>
      <c r="O75" s="249">
        <f t="shared" si="19"/>
        <v>0</v>
      </c>
    </row>
    <row r="76" spans="3:16" ht="15" hidden="1" customHeight="1" x14ac:dyDescent="0.25">
      <c r="C76" s="250" t="s">
        <v>336</v>
      </c>
      <c r="D76" s="251">
        <f>IF(D75=0,D74,D75)</f>
        <v>0</v>
      </c>
      <c r="E76" s="251">
        <f t="shared" ref="E76:O76" si="20">IF(E75=0,E74,E75)</f>
        <v>0</v>
      </c>
      <c r="F76" s="251">
        <f>IF(F75=0,F74,F75)</f>
        <v>0</v>
      </c>
      <c r="G76" s="251">
        <f t="shared" si="20"/>
        <v>0</v>
      </c>
      <c r="H76" s="251">
        <f t="shared" si="20"/>
        <v>0</v>
      </c>
      <c r="I76" s="251">
        <f t="shared" si="20"/>
        <v>0</v>
      </c>
      <c r="J76" s="251">
        <f t="shared" si="20"/>
        <v>0</v>
      </c>
      <c r="K76" s="251">
        <f t="shared" si="20"/>
        <v>0</v>
      </c>
      <c r="L76" s="251">
        <f t="shared" si="20"/>
        <v>0</v>
      </c>
      <c r="M76" s="251">
        <f t="shared" si="20"/>
        <v>0</v>
      </c>
      <c r="N76" s="251">
        <f t="shared" si="20"/>
        <v>0</v>
      </c>
      <c r="O76" s="251">
        <f t="shared" si="20"/>
        <v>0</v>
      </c>
    </row>
    <row r="77" spans="3:16" ht="15" hidden="1" customHeight="1" x14ac:dyDescent="0.25">
      <c r="C77" s="9" t="s">
        <v>337</v>
      </c>
      <c r="D77" s="249">
        <f>IF(D76=0,D72)</f>
        <v>134725</v>
      </c>
      <c r="E77" s="249">
        <f>IF(D73&gt;5000000,0,IF(E75=0,E72-E76,E72))</f>
        <v>108391</v>
      </c>
      <c r="F77" s="249">
        <f>IF(E73&gt;5000000,0,IF(F75=0,F72-F76,F72))</f>
        <v>133613</v>
      </c>
      <c r="G77" s="249">
        <f t="shared" ref="G77:O77" si="21">IF(F73&gt;5000000,0,IF(G75=0,G72-G76,G72))</f>
        <v>120356</v>
      </c>
      <c r="H77" s="249">
        <f t="shared" si="21"/>
        <v>119059</v>
      </c>
      <c r="I77" s="249">
        <f t="shared" si="21"/>
        <v>104241</v>
      </c>
      <c r="J77" s="249">
        <f t="shared" si="21"/>
        <v>123748</v>
      </c>
      <c r="K77" s="249">
        <f t="shared" si="21"/>
        <v>102602</v>
      </c>
      <c r="L77" s="249">
        <f t="shared" si="21"/>
        <v>109759</v>
      </c>
      <c r="M77" s="249">
        <f t="shared" si="21"/>
        <v>115659</v>
      </c>
      <c r="N77" s="249">
        <f t="shared" si="21"/>
        <v>110531</v>
      </c>
      <c r="O77" s="249">
        <f t="shared" si="21"/>
        <v>109533</v>
      </c>
    </row>
    <row r="78" spans="3:16" ht="15" hidden="1" customHeight="1" x14ac:dyDescent="0.25">
      <c r="C78" s="9" t="s">
        <v>338</v>
      </c>
      <c r="D78" s="249">
        <f>D76</f>
        <v>0</v>
      </c>
      <c r="E78" s="249">
        <f t="shared" ref="E78:N78" si="22">E76</f>
        <v>0</v>
      </c>
      <c r="F78" s="249">
        <f>F76</f>
        <v>0</v>
      </c>
      <c r="G78" s="249">
        <f>G76</f>
        <v>0</v>
      </c>
      <c r="H78" s="249">
        <f t="shared" si="22"/>
        <v>0</v>
      </c>
      <c r="I78" s="249">
        <f>I76</f>
        <v>0</v>
      </c>
      <c r="J78" s="249">
        <f t="shared" si="22"/>
        <v>0</v>
      </c>
      <c r="K78" s="249">
        <f t="shared" si="22"/>
        <v>0</v>
      </c>
      <c r="L78" s="249">
        <f t="shared" si="22"/>
        <v>0</v>
      </c>
      <c r="M78" s="249">
        <f t="shared" si="22"/>
        <v>0</v>
      </c>
      <c r="N78" s="249">
        <f t="shared" si="22"/>
        <v>0</v>
      </c>
      <c r="O78" s="249">
        <f>O76</f>
        <v>0</v>
      </c>
    </row>
    <row r="79" spans="3:16" ht="15" hidden="1" customHeight="1" x14ac:dyDescent="0.25">
      <c r="C79" s="252" t="s">
        <v>339</v>
      </c>
      <c r="D79" s="253"/>
      <c r="E79" s="253"/>
      <c r="F79" s="254">
        <f>SUM(D77:F77)</f>
        <v>376729</v>
      </c>
      <c r="G79" s="253"/>
      <c r="H79" s="253"/>
      <c r="I79" s="254">
        <f>SUM(G77:I77)</f>
        <v>343656</v>
      </c>
      <c r="J79" s="253"/>
      <c r="K79" s="253"/>
      <c r="L79" s="254">
        <f>SUM(J77:L77)</f>
        <v>336109</v>
      </c>
      <c r="M79" s="253"/>
      <c r="N79" s="253"/>
      <c r="O79" s="254">
        <f>SUM(M77:O77)</f>
        <v>335723</v>
      </c>
    </row>
    <row r="80" spans="3:16" ht="15" hidden="1" customHeight="1" x14ac:dyDescent="0.25">
      <c r="C80" s="253" t="s">
        <v>340</v>
      </c>
      <c r="D80" s="253"/>
      <c r="E80" s="253"/>
      <c r="F80" s="254">
        <f>SUM(D78:F78)</f>
        <v>0</v>
      </c>
      <c r="G80" s="253"/>
      <c r="H80" s="253"/>
      <c r="I80" s="254">
        <f>SUM(G78:I78)</f>
        <v>0</v>
      </c>
      <c r="J80" s="253"/>
      <c r="K80" s="253"/>
      <c r="L80" s="254">
        <f>SUM(J78:L78)</f>
        <v>0</v>
      </c>
      <c r="M80" s="253"/>
      <c r="N80" s="253"/>
      <c r="O80" s="254">
        <f>SUM(M78:O78)</f>
        <v>0</v>
      </c>
    </row>
    <row r="81" spans="3:16" ht="15" hidden="1" customHeight="1" x14ac:dyDescent="0.25">
      <c r="C81" s="200" t="s">
        <v>99</v>
      </c>
      <c r="D81" s="193">
        <f>SUM(D77:D78)</f>
        <v>134725</v>
      </c>
      <c r="E81" s="193">
        <f t="shared" ref="E81:O81" si="23">SUM(E77:E78)</f>
        <v>108391</v>
      </c>
      <c r="F81" s="193">
        <f t="shared" si="23"/>
        <v>133613</v>
      </c>
      <c r="G81" s="193">
        <f t="shared" si="23"/>
        <v>120356</v>
      </c>
      <c r="H81" s="193">
        <f t="shared" si="23"/>
        <v>119059</v>
      </c>
      <c r="I81" s="193">
        <f t="shared" si="23"/>
        <v>104241</v>
      </c>
      <c r="J81" s="193">
        <f t="shared" si="23"/>
        <v>123748</v>
      </c>
      <c r="K81" s="193">
        <f t="shared" si="23"/>
        <v>102602</v>
      </c>
      <c r="L81" s="193">
        <f t="shared" si="23"/>
        <v>109759</v>
      </c>
      <c r="M81" s="193">
        <f t="shared" si="23"/>
        <v>115659</v>
      </c>
      <c r="N81" s="193">
        <f t="shared" si="23"/>
        <v>110531</v>
      </c>
      <c r="O81" s="193">
        <f t="shared" si="23"/>
        <v>109533</v>
      </c>
    </row>
    <row r="82" spans="3:16" ht="15" hidden="1" customHeight="1" x14ac:dyDescent="0.25">
      <c r="C82" s="200" t="s">
        <v>341</v>
      </c>
      <c r="D82" s="201">
        <f>IFERROR(D77/D81,0)</f>
        <v>1</v>
      </c>
      <c r="E82" s="201">
        <f t="shared" ref="E82:O82" si="24">IFERROR(E77/E81,0)</f>
        <v>1</v>
      </c>
      <c r="F82" s="201">
        <f t="shared" si="24"/>
        <v>1</v>
      </c>
      <c r="G82" s="201">
        <f t="shared" si="24"/>
        <v>1</v>
      </c>
      <c r="H82" s="201">
        <f t="shared" si="24"/>
        <v>1</v>
      </c>
      <c r="I82" s="201">
        <f t="shared" si="24"/>
        <v>1</v>
      </c>
      <c r="J82" s="201">
        <f t="shared" si="24"/>
        <v>1</v>
      </c>
      <c r="K82" s="201">
        <f t="shared" si="24"/>
        <v>1</v>
      </c>
      <c r="L82" s="201">
        <f t="shared" si="24"/>
        <v>1</v>
      </c>
      <c r="M82" s="201">
        <f t="shared" si="24"/>
        <v>1</v>
      </c>
      <c r="N82" s="201">
        <f t="shared" si="24"/>
        <v>1</v>
      </c>
      <c r="O82" s="201">
        <f t="shared" si="24"/>
        <v>1</v>
      </c>
    </row>
    <row r="83" spans="3:16" ht="15" hidden="1" customHeight="1" x14ac:dyDescent="0.25">
      <c r="C83" s="200" t="s">
        <v>342</v>
      </c>
      <c r="D83" s="201">
        <f>IFERROR(D78/D81,0)</f>
        <v>0</v>
      </c>
      <c r="E83" s="201">
        <f t="shared" ref="E83:O83" si="25">IFERROR(E78/E81,0)</f>
        <v>0</v>
      </c>
      <c r="F83" s="201">
        <f t="shared" si="25"/>
        <v>0</v>
      </c>
      <c r="G83" s="201">
        <f t="shared" si="25"/>
        <v>0</v>
      </c>
      <c r="H83" s="201">
        <f t="shared" si="25"/>
        <v>0</v>
      </c>
      <c r="I83" s="201">
        <f t="shared" si="25"/>
        <v>0</v>
      </c>
      <c r="J83" s="201">
        <f t="shared" si="25"/>
        <v>0</v>
      </c>
      <c r="K83" s="201">
        <f t="shared" si="25"/>
        <v>0</v>
      </c>
      <c r="L83" s="201">
        <f t="shared" si="25"/>
        <v>0</v>
      </c>
      <c r="M83" s="201">
        <f t="shared" si="25"/>
        <v>0</v>
      </c>
      <c r="N83" s="201">
        <f t="shared" si="25"/>
        <v>0</v>
      </c>
      <c r="O83" s="201">
        <f t="shared" si="25"/>
        <v>0</v>
      </c>
    </row>
    <row r="84" spans="3:16" ht="15" hidden="1" customHeight="1" x14ac:dyDescent="0.25"/>
    <row r="85" spans="3:16" ht="15" hidden="1" customHeight="1" x14ac:dyDescent="0.25">
      <c r="C85" s="256" t="s">
        <v>343</v>
      </c>
    </row>
    <row r="86" spans="3:16" ht="15" hidden="1" customHeight="1" x14ac:dyDescent="0.25">
      <c r="C86" s="112" t="s">
        <v>82</v>
      </c>
      <c r="D86" s="112" t="s">
        <v>83</v>
      </c>
      <c r="E86" s="112" t="s">
        <v>84</v>
      </c>
      <c r="F86" s="112" t="s">
        <v>85</v>
      </c>
      <c r="G86" s="112" t="s">
        <v>86</v>
      </c>
      <c r="H86" s="112" t="s">
        <v>87</v>
      </c>
      <c r="I86" s="112" t="s">
        <v>88</v>
      </c>
      <c r="J86" s="112" t="s">
        <v>89</v>
      </c>
      <c r="K86" s="112" t="s">
        <v>90</v>
      </c>
      <c r="L86" s="112" t="s">
        <v>91</v>
      </c>
      <c r="M86" s="112" t="s">
        <v>92</v>
      </c>
      <c r="N86" s="112" t="s">
        <v>93</v>
      </c>
      <c r="O86" s="112" t="s">
        <v>94</v>
      </c>
      <c r="P86" s="112" t="s">
        <v>95</v>
      </c>
    </row>
    <row r="87" spans="3:16" ht="15" hidden="1" customHeight="1" x14ac:dyDescent="0.25">
      <c r="C87" s="200" t="s">
        <v>102</v>
      </c>
      <c r="D87" s="193">
        <f>(D19-Desp!D16)</f>
        <v>0</v>
      </c>
      <c r="E87" s="193">
        <f>(E19-Desp!E16)</f>
        <v>0</v>
      </c>
      <c r="F87" s="193">
        <f>(F19-Desp!F16)</f>
        <v>0</v>
      </c>
      <c r="G87" s="193">
        <f>(G19-Desp!G16)</f>
        <v>0</v>
      </c>
      <c r="H87" s="193">
        <f>(H19-Desp!H16)</f>
        <v>0</v>
      </c>
      <c r="I87" s="193">
        <f>(I19-Desp!I16)</f>
        <v>0</v>
      </c>
      <c r="J87" s="193">
        <f>(J19-Desp!J16)</f>
        <v>0</v>
      </c>
      <c r="K87" s="193">
        <f>(K19-Desp!K16)</f>
        <v>0</v>
      </c>
      <c r="L87" s="193">
        <f>(L19-Desp!L16)</f>
        <v>0</v>
      </c>
      <c r="M87" s="193">
        <f>(M19-Desp!M16)</f>
        <v>0</v>
      </c>
      <c r="N87" s="193">
        <f>(N19-Desp!N16)</f>
        <v>0</v>
      </c>
      <c r="O87" s="193">
        <f>(O19-Desp!O16)</f>
        <v>0</v>
      </c>
      <c r="P87" s="114">
        <f>SUM(D87:O87)</f>
        <v>0</v>
      </c>
    </row>
    <row r="88" spans="3:16" ht="15" hidden="1" customHeight="1" x14ac:dyDescent="0.25">
      <c r="C88" s="200" t="s">
        <v>103</v>
      </c>
      <c r="D88" s="193">
        <f>(D20-Desp!D17)</f>
        <v>134725</v>
      </c>
      <c r="E88" s="193">
        <f>(E20-Desp!E17)</f>
        <v>108391</v>
      </c>
      <c r="F88" s="193">
        <f>(F20-Desp!F17)</f>
        <v>133613</v>
      </c>
      <c r="G88" s="193">
        <f>(G20-Desp!G17)</f>
        <v>120356</v>
      </c>
      <c r="H88" s="193">
        <f>(H20-Desp!H17)</f>
        <v>119059</v>
      </c>
      <c r="I88" s="193">
        <f>(I20-Desp!I17)</f>
        <v>104241</v>
      </c>
      <c r="J88" s="193">
        <f>(J20-Desp!J17)</f>
        <v>123748</v>
      </c>
      <c r="K88" s="193">
        <f>(K20-Desp!K17)</f>
        <v>102602</v>
      </c>
      <c r="L88" s="193">
        <f>(L20-Desp!L17)</f>
        <v>109759</v>
      </c>
      <c r="M88" s="193">
        <f>(M20-Desp!M17)</f>
        <v>115659</v>
      </c>
      <c r="N88" s="193">
        <f>(N20-Desp!N17)</f>
        <v>110531</v>
      </c>
      <c r="O88" s="193">
        <f>(O20-Desp!O17)</f>
        <v>109533</v>
      </c>
      <c r="P88" s="114">
        <f t="shared" ref="P88:P89" si="26">SUM(D88:O88)</f>
        <v>1392217</v>
      </c>
    </row>
    <row r="89" spans="3:16" ht="15" hidden="1" customHeight="1" x14ac:dyDescent="0.25">
      <c r="C89" s="200" t="s">
        <v>104</v>
      </c>
      <c r="D89" s="193">
        <f>(D21-Desp!D18)</f>
        <v>0</v>
      </c>
      <c r="E89" s="193">
        <f>(E21-Desp!E18)</f>
        <v>0</v>
      </c>
      <c r="F89" s="193">
        <f>(F21-Desp!F18)</f>
        <v>0</v>
      </c>
      <c r="G89" s="193">
        <f>(G21-Desp!G18)</f>
        <v>0</v>
      </c>
      <c r="H89" s="193">
        <f>(H21-Desp!H18)</f>
        <v>0</v>
      </c>
      <c r="I89" s="193">
        <f>(I21-Desp!I18)</f>
        <v>0</v>
      </c>
      <c r="J89" s="193">
        <f>(J21-Desp!J18)</f>
        <v>0</v>
      </c>
      <c r="K89" s="193">
        <f>(K21-Desp!K18)</f>
        <v>0</v>
      </c>
      <c r="L89" s="193">
        <f>(L21-Desp!L18)</f>
        <v>0</v>
      </c>
      <c r="M89" s="193">
        <f>(M21-Desp!M18)</f>
        <v>0</v>
      </c>
      <c r="N89" s="193">
        <f>(N21-Desp!N18)</f>
        <v>0</v>
      </c>
      <c r="O89" s="193">
        <f>(O21-Desp!O18)</f>
        <v>0</v>
      </c>
      <c r="P89" s="114">
        <f t="shared" si="26"/>
        <v>0</v>
      </c>
    </row>
    <row r="90" spans="3:16" ht="15" hidden="1" customHeight="1" x14ac:dyDescent="0.25">
      <c r="C90" s="256" t="s">
        <v>344</v>
      </c>
    </row>
    <row r="91" spans="3:16" ht="15" hidden="1" customHeight="1" x14ac:dyDescent="0.25">
      <c r="C91" s="112" t="s">
        <v>82</v>
      </c>
      <c r="D91" s="112" t="s">
        <v>83</v>
      </c>
      <c r="E91" s="112" t="s">
        <v>84</v>
      </c>
      <c r="F91" s="112" t="s">
        <v>85</v>
      </c>
      <c r="G91" s="112" t="s">
        <v>86</v>
      </c>
      <c r="H91" s="112" t="s">
        <v>87</v>
      </c>
      <c r="I91" s="112" t="s">
        <v>88</v>
      </c>
      <c r="J91" s="112" t="s">
        <v>89</v>
      </c>
      <c r="K91" s="112" t="s">
        <v>90</v>
      </c>
      <c r="L91" s="112" t="s">
        <v>91</v>
      </c>
      <c r="M91" s="112" t="s">
        <v>92</v>
      </c>
      <c r="N91" s="112" t="s">
        <v>93</v>
      </c>
      <c r="O91" s="112" t="s">
        <v>94</v>
      </c>
      <c r="P91" s="112" t="s">
        <v>95</v>
      </c>
    </row>
    <row r="92" spans="3:16" ht="15" hidden="1" customHeight="1" x14ac:dyDescent="0.25">
      <c r="C92" s="200" t="s">
        <v>102</v>
      </c>
      <c r="D92" s="193">
        <v>0</v>
      </c>
      <c r="E92" s="193">
        <v>0</v>
      </c>
      <c r="F92" s="193">
        <v>0</v>
      </c>
      <c r="G92" s="193">
        <v>0</v>
      </c>
      <c r="H92" s="193">
        <v>0</v>
      </c>
      <c r="I92" s="193">
        <v>0</v>
      </c>
      <c r="J92" s="193">
        <v>0</v>
      </c>
      <c r="K92" s="193">
        <v>0</v>
      </c>
      <c r="L92" s="193">
        <v>0</v>
      </c>
      <c r="M92" s="193">
        <v>0</v>
      </c>
      <c r="N92" s="193">
        <v>0</v>
      </c>
      <c r="O92" s="193">
        <v>0</v>
      </c>
      <c r="P92" s="114">
        <f>SUM(D92:O92)</f>
        <v>0</v>
      </c>
    </row>
    <row r="93" spans="3:16" ht="15" hidden="1" customHeight="1" x14ac:dyDescent="0.25">
      <c r="C93" s="200" t="s">
        <v>103</v>
      </c>
      <c r="D93" s="193">
        <v>0</v>
      </c>
      <c r="E93" s="193">
        <v>0</v>
      </c>
      <c r="F93" s="193">
        <v>0</v>
      </c>
      <c r="G93" s="193">
        <v>0</v>
      </c>
      <c r="H93" s="193">
        <v>0</v>
      </c>
      <c r="I93" s="193">
        <v>0</v>
      </c>
      <c r="J93" s="193">
        <v>0</v>
      </c>
      <c r="K93" s="193">
        <v>0</v>
      </c>
      <c r="L93" s="193">
        <v>0</v>
      </c>
      <c r="M93" s="193">
        <v>0</v>
      </c>
      <c r="N93" s="193">
        <v>0</v>
      </c>
      <c r="O93" s="193">
        <v>0</v>
      </c>
      <c r="P93" s="114">
        <f t="shared" ref="P93:P94" si="27">SUM(D93:O93)</f>
        <v>0</v>
      </c>
    </row>
    <row r="94" spans="3:16" ht="15" hidden="1" customHeight="1" x14ac:dyDescent="0.25">
      <c r="C94" s="200" t="s">
        <v>104</v>
      </c>
      <c r="D94" s="193">
        <v>0</v>
      </c>
      <c r="E94" s="193">
        <v>0</v>
      </c>
      <c r="F94" s="193">
        <v>0</v>
      </c>
      <c r="G94" s="193">
        <v>0</v>
      </c>
      <c r="H94" s="193">
        <v>0</v>
      </c>
      <c r="I94" s="193">
        <v>0</v>
      </c>
      <c r="J94" s="193">
        <v>0</v>
      </c>
      <c r="K94" s="193">
        <v>0</v>
      </c>
      <c r="L94" s="193">
        <v>0</v>
      </c>
      <c r="M94" s="193">
        <v>0</v>
      </c>
      <c r="N94" s="193">
        <v>0</v>
      </c>
      <c r="O94" s="193">
        <v>0</v>
      </c>
      <c r="P94" s="114">
        <f t="shared" si="27"/>
        <v>0</v>
      </c>
    </row>
    <row r="95" spans="3:16" ht="15" hidden="1" customHeight="1" x14ac:dyDescent="0.25">
      <c r="C95" s="256" t="s">
        <v>343</v>
      </c>
    </row>
    <row r="96" spans="3:16" ht="15" hidden="1" customHeight="1" x14ac:dyDescent="0.25">
      <c r="C96" s="112" t="s">
        <v>82</v>
      </c>
      <c r="D96" s="112" t="s">
        <v>83</v>
      </c>
      <c r="E96" s="112" t="s">
        <v>84</v>
      </c>
      <c r="F96" s="112" t="s">
        <v>85</v>
      </c>
      <c r="G96" s="112" t="s">
        <v>86</v>
      </c>
      <c r="H96" s="112" t="s">
        <v>87</v>
      </c>
      <c r="I96" s="112" t="s">
        <v>88</v>
      </c>
      <c r="J96" s="112" t="s">
        <v>89</v>
      </c>
      <c r="K96" s="112" t="s">
        <v>90</v>
      </c>
      <c r="L96" s="112" t="s">
        <v>91</v>
      </c>
      <c r="M96" s="112" t="s">
        <v>92</v>
      </c>
      <c r="N96" s="112" t="s">
        <v>93</v>
      </c>
      <c r="O96" s="112" t="s">
        <v>94</v>
      </c>
      <c r="P96" s="112" t="s">
        <v>95</v>
      </c>
    </row>
    <row r="97" spans="3:46" ht="15" hidden="1" customHeight="1" x14ac:dyDescent="0.25">
      <c r="C97" s="200" t="s">
        <v>102</v>
      </c>
      <c r="D97" s="193">
        <v>0</v>
      </c>
      <c r="E97" s="193">
        <v>0</v>
      </c>
      <c r="F97" s="193">
        <f>SUM(D87:F87)</f>
        <v>0</v>
      </c>
      <c r="G97" s="193">
        <v>0</v>
      </c>
      <c r="H97" s="193">
        <v>0</v>
      </c>
      <c r="I97" s="193">
        <f>SUM(G87:I87)</f>
        <v>0</v>
      </c>
      <c r="J97" s="193">
        <v>0</v>
      </c>
      <c r="K97" s="193">
        <v>0</v>
      </c>
      <c r="L97" s="193">
        <f>SUM(J87:L87)</f>
        <v>0</v>
      </c>
      <c r="M97" s="193">
        <v>0</v>
      </c>
      <c r="N97" s="193">
        <v>0</v>
      </c>
      <c r="O97" s="193">
        <f>SUM(M87:O87)</f>
        <v>0</v>
      </c>
      <c r="P97" s="114">
        <f>SUM(D97:O97)</f>
        <v>0</v>
      </c>
    </row>
    <row r="98" spans="3:46" ht="15" hidden="1" customHeight="1" x14ac:dyDescent="0.25">
      <c r="C98" s="200" t="s">
        <v>103</v>
      </c>
      <c r="D98" s="193">
        <v>0</v>
      </c>
      <c r="E98" s="193">
        <v>0</v>
      </c>
      <c r="F98" s="193">
        <f t="shared" ref="F98:F99" si="28">SUM(D88:F88)</f>
        <v>376729</v>
      </c>
      <c r="G98" s="193">
        <v>0</v>
      </c>
      <c r="H98" s="193">
        <v>0</v>
      </c>
      <c r="I98" s="193">
        <f t="shared" ref="I98:I99" si="29">SUM(G88:I88)</f>
        <v>343656</v>
      </c>
      <c r="J98" s="193">
        <v>0</v>
      </c>
      <c r="K98" s="193">
        <v>0</v>
      </c>
      <c r="L98" s="193">
        <f t="shared" ref="L98:L99" si="30">SUM(J88:L88)</f>
        <v>336109</v>
      </c>
      <c r="M98" s="193">
        <v>0</v>
      </c>
      <c r="N98" s="193">
        <v>0</v>
      </c>
      <c r="O98" s="193">
        <f t="shared" ref="O98:O99" si="31">SUM(M88:O88)</f>
        <v>335723</v>
      </c>
      <c r="P98" s="114">
        <f t="shared" ref="P98:P99" si="32">SUM(D98:O98)</f>
        <v>1392217</v>
      </c>
    </row>
    <row r="99" spans="3:46" ht="15" hidden="1" customHeight="1" x14ac:dyDescent="0.25">
      <c r="C99" s="200" t="s">
        <v>104</v>
      </c>
      <c r="D99" s="193">
        <v>0</v>
      </c>
      <c r="E99" s="193">
        <v>0</v>
      </c>
      <c r="F99" s="193">
        <f t="shared" si="28"/>
        <v>0</v>
      </c>
      <c r="G99" s="193">
        <v>0</v>
      </c>
      <c r="H99" s="193">
        <v>0</v>
      </c>
      <c r="I99" s="193">
        <f t="shared" si="29"/>
        <v>0</v>
      </c>
      <c r="J99" s="193">
        <v>0</v>
      </c>
      <c r="K99" s="193">
        <v>0</v>
      </c>
      <c r="L99" s="193">
        <f t="shared" si="30"/>
        <v>0</v>
      </c>
      <c r="M99" s="193">
        <v>0</v>
      </c>
      <c r="N99" s="193">
        <v>0</v>
      </c>
      <c r="O99" s="193">
        <f t="shared" si="31"/>
        <v>0</v>
      </c>
      <c r="P99" s="114">
        <f t="shared" si="32"/>
        <v>0</v>
      </c>
    </row>
    <row r="100" spans="3:46" ht="15" hidden="1" customHeight="1" x14ac:dyDescent="0.25">
      <c r="C100" s="256" t="s">
        <v>344</v>
      </c>
      <c r="P100" s="267">
        <f>SUM(P97:P99)</f>
        <v>1392217</v>
      </c>
    </row>
    <row r="101" spans="3:46" ht="15" hidden="1" customHeight="1" x14ac:dyDescent="0.25">
      <c r="C101" s="112" t="s">
        <v>82</v>
      </c>
      <c r="D101" s="112" t="s">
        <v>83</v>
      </c>
      <c r="E101" s="112" t="s">
        <v>84</v>
      </c>
      <c r="F101" s="112" t="s">
        <v>85</v>
      </c>
      <c r="G101" s="112" t="s">
        <v>86</v>
      </c>
      <c r="H101" s="112" t="s">
        <v>87</v>
      </c>
      <c r="I101" s="112" t="s">
        <v>88</v>
      </c>
      <c r="J101" s="112" t="s">
        <v>89</v>
      </c>
      <c r="K101" s="112" t="s">
        <v>90</v>
      </c>
      <c r="L101" s="112" t="s">
        <v>91</v>
      </c>
      <c r="M101" s="112" t="s">
        <v>92</v>
      </c>
      <c r="N101" s="112" t="s">
        <v>93</v>
      </c>
      <c r="O101" s="112" t="s">
        <v>94</v>
      </c>
      <c r="P101" s="112" t="s">
        <v>95</v>
      </c>
    </row>
    <row r="102" spans="3:46" ht="15" hidden="1" customHeight="1" x14ac:dyDescent="0.25">
      <c r="C102" s="200" t="s">
        <v>102</v>
      </c>
      <c r="D102" s="193">
        <v>0</v>
      </c>
      <c r="E102" s="193">
        <v>0</v>
      </c>
      <c r="F102" s="193">
        <v>0</v>
      </c>
      <c r="G102" s="193">
        <v>0</v>
      </c>
      <c r="H102" s="193">
        <v>0</v>
      </c>
      <c r="I102" s="193">
        <v>0</v>
      </c>
      <c r="J102" s="193">
        <v>0</v>
      </c>
      <c r="K102" s="193">
        <v>0</v>
      </c>
      <c r="L102" s="193">
        <v>0</v>
      </c>
      <c r="M102" s="193">
        <v>0</v>
      </c>
      <c r="N102" s="193">
        <v>0</v>
      </c>
      <c r="O102" s="193">
        <v>0</v>
      </c>
      <c r="P102" s="114">
        <f>SUM(D102:O102)</f>
        <v>0</v>
      </c>
    </row>
    <row r="103" spans="3:46" ht="15" hidden="1" customHeight="1" x14ac:dyDescent="0.25">
      <c r="C103" s="200" t="s">
        <v>103</v>
      </c>
      <c r="D103" s="193">
        <v>0</v>
      </c>
      <c r="E103" s="193">
        <v>0</v>
      </c>
      <c r="F103" s="193">
        <v>0</v>
      </c>
      <c r="G103" s="193">
        <v>0</v>
      </c>
      <c r="H103" s="193">
        <v>0</v>
      </c>
      <c r="I103" s="193">
        <v>0</v>
      </c>
      <c r="J103" s="193">
        <v>0</v>
      </c>
      <c r="K103" s="193">
        <v>0</v>
      </c>
      <c r="L103" s="193">
        <v>0</v>
      </c>
      <c r="M103" s="193">
        <v>0</v>
      </c>
      <c r="N103" s="193">
        <v>0</v>
      </c>
      <c r="O103" s="193">
        <v>0</v>
      </c>
      <c r="P103" s="114">
        <f t="shared" ref="P103:P104" si="33">SUM(D103:O103)</f>
        <v>0</v>
      </c>
    </row>
    <row r="104" spans="3:46" ht="15" hidden="1" customHeight="1" x14ac:dyDescent="0.25">
      <c r="C104" s="200" t="s">
        <v>104</v>
      </c>
      <c r="D104" s="193">
        <v>0</v>
      </c>
      <c r="E104" s="193">
        <v>0</v>
      </c>
      <c r="F104" s="193">
        <v>0</v>
      </c>
      <c r="G104" s="193">
        <v>0</v>
      </c>
      <c r="H104" s="193">
        <v>0</v>
      </c>
      <c r="I104" s="193">
        <v>0</v>
      </c>
      <c r="J104" s="193">
        <v>0</v>
      </c>
      <c r="K104" s="193">
        <v>0</v>
      </c>
      <c r="L104" s="193">
        <v>0</v>
      </c>
      <c r="M104" s="193">
        <v>0</v>
      </c>
      <c r="N104" s="193">
        <v>0</v>
      </c>
      <c r="O104" s="193">
        <v>0</v>
      </c>
      <c r="P104" s="114">
        <f t="shared" si="33"/>
        <v>0</v>
      </c>
      <c r="R104" s="269" t="s">
        <v>363</v>
      </c>
      <c r="S104" s="267">
        <v>5000000</v>
      </c>
    </row>
    <row r="105" spans="3:46" ht="15" hidden="1" customHeight="1" x14ac:dyDescent="0.25">
      <c r="C105" s="268" t="s">
        <v>356</v>
      </c>
      <c r="D105" s="269"/>
      <c r="R105" s="269" t="s">
        <v>357</v>
      </c>
      <c r="S105" s="267">
        <v>1250000</v>
      </c>
      <c r="AG105" s="269" t="s">
        <v>358</v>
      </c>
      <c r="AH105" s="267">
        <v>1250000</v>
      </c>
    </row>
    <row r="106" spans="3:46" ht="15" hidden="1" customHeight="1" x14ac:dyDescent="0.25">
      <c r="C106" s="257" t="s">
        <v>347</v>
      </c>
      <c r="D106" s="203">
        <f>TabP!E18</f>
        <v>0.08</v>
      </c>
      <c r="E106" s="203">
        <f>TabP!E20</f>
        <v>0.12</v>
      </c>
      <c r="F106" s="203">
        <f>TabP!F18</f>
        <v>0.15</v>
      </c>
      <c r="G106" s="203">
        <f>TabP!F20</f>
        <v>0.09</v>
      </c>
      <c r="R106" s="257" t="s">
        <v>347</v>
      </c>
      <c r="S106" s="203">
        <f>D106+(D106*10%)</f>
        <v>8.7999999999999995E-2</v>
      </c>
      <c r="T106" s="203">
        <f>E106+(E106*10%)</f>
        <v>0.13200000000000001</v>
      </c>
      <c r="U106" s="203">
        <f>F106</f>
        <v>0.15</v>
      </c>
      <c r="V106" s="203">
        <f>G106</f>
        <v>0.09</v>
      </c>
      <c r="AG106" s="257" t="s">
        <v>347</v>
      </c>
      <c r="AH106" s="203">
        <f>TabP!E18</f>
        <v>0.08</v>
      </c>
      <c r="AI106" s="203">
        <f>TabP!E20</f>
        <v>0.12</v>
      </c>
      <c r="AJ106" s="203">
        <f>TabP!F18</f>
        <v>0.15</v>
      </c>
      <c r="AK106" s="203">
        <f>TabP!F20</f>
        <v>0.09</v>
      </c>
    </row>
    <row r="107" spans="3:46" ht="15" hidden="1" customHeight="1" x14ac:dyDescent="0.25">
      <c r="C107" s="112" t="s">
        <v>82</v>
      </c>
      <c r="D107" s="112" t="s">
        <v>83</v>
      </c>
      <c r="E107" s="112" t="s">
        <v>84</v>
      </c>
      <c r="F107" s="112" t="s">
        <v>85</v>
      </c>
      <c r="G107" s="112" t="s">
        <v>86</v>
      </c>
      <c r="H107" s="112" t="s">
        <v>87</v>
      </c>
      <c r="I107" s="112" t="s">
        <v>88</v>
      </c>
      <c r="J107" s="112" t="s">
        <v>89</v>
      </c>
      <c r="K107" s="112" t="s">
        <v>90</v>
      </c>
      <c r="L107" s="112" t="s">
        <v>91</v>
      </c>
      <c r="M107" s="112" t="s">
        <v>92</v>
      </c>
      <c r="N107" s="112" t="s">
        <v>93</v>
      </c>
      <c r="O107" s="112" t="s">
        <v>94</v>
      </c>
      <c r="P107" s="112" t="s">
        <v>95</v>
      </c>
      <c r="R107" s="112" t="s">
        <v>82</v>
      </c>
      <c r="S107" s="112" t="s">
        <v>83</v>
      </c>
      <c r="T107" s="112" t="s">
        <v>84</v>
      </c>
      <c r="U107" s="112" t="s">
        <v>85</v>
      </c>
      <c r="V107" s="112" t="s">
        <v>86</v>
      </c>
      <c r="W107" s="112" t="s">
        <v>87</v>
      </c>
      <c r="X107" s="112" t="s">
        <v>88</v>
      </c>
      <c r="Y107" s="112" t="s">
        <v>89</v>
      </c>
      <c r="Z107" s="112" t="s">
        <v>90</v>
      </c>
      <c r="AA107" s="112" t="s">
        <v>91</v>
      </c>
      <c r="AB107" s="112" t="s">
        <v>92</v>
      </c>
      <c r="AC107" s="112" t="s">
        <v>93</v>
      </c>
      <c r="AD107" s="112" t="s">
        <v>94</v>
      </c>
      <c r="AE107" s="112" t="s">
        <v>95</v>
      </c>
      <c r="AG107" s="112" t="s">
        <v>82</v>
      </c>
      <c r="AH107" s="112" t="s">
        <v>83</v>
      </c>
      <c r="AI107" s="112" t="s">
        <v>84</v>
      </c>
      <c r="AJ107" s="112" t="s">
        <v>85</v>
      </c>
      <c r="AK107" s="112" t="s">
        <v>86</v>
      </c>
      <c r="AL107" s="112" t="s">
        <v>87</v>
      </c>
      <c r="AM107" s="112" t="s">
        <v>88</v>
      </c>
      <c r="AN107" s="112" t="s">
        <v>89</v>
      </c>
      <c r="AO107" s="112" t="s">
        <v>90</v>
      </c>
      <c r="AP107" s="112" t="s">
        <v>91</v>
      </c>
      <c r="AQ107" s="112" t="s">
        <v>92</v>
      </c>
      <c r="AR107" s="112" t="s">
        <v>93</v>
      </c>
      <c r="AS107" s="112" t="s">
        <v>94</v>
      </c>
      <c r="AT107" s="112" t="s">
        <v>95</v>
      </c>
    </row>
    <row r="108" spans="3:46" ht="15" hidden="1" customHeight="1" x14ac:dyDescent="0.25">
      <c r="C108" s="200" t="str">
        <f>C106</f>
        <v>INDÚSTRIA</v>
      </c>
      <c r="D108" s="193">
        <f>D97</f>
        <v>0</v>
      </c>
      <c r="E108" s="193">
        <f t="shared" ref="E108:N108" si="34">E97</f>
        <v>0</v>
      </c>
      <c r="F108" s="193">
        <f>IF(F97&lt;=$S$105,F97,$S$105)</f>
        <v>0</v>
      </c>
      <c r="G108" s="193">
        <f t="shared" si="34"/>
        <v>0</v>
      </c>
      <c r="H108" s="193">
        <f t="shared" si="34"/>
        <v>0</v>
      </c>
      <c r="I108" s="193">
        <f>IF(I97&lt;=$S$105,I97,$S$105)</f>
        <v>0</v>
      </c>
      <c r="J108" s="193">
        <f t="shared" si="34"/>
        <v>0</v>
      </c>
      <c r="K108" s="193">
        <f t="shared" si="34"/>
        <v>0</v>
      </c>
      <c r="L108" s="193">
        <f>IF(L97&lt;=$S$105,L97,$S$105)</f>
        <v>0</v>
      </c>
      <c r="M108" s="193">
        <f t="shared" si="34"/>
        <v>0</v>
      </c>
      <c r="N108" s="193">
        <f t="shared" si="34"/>
        <v>0</v>
      </c>
      <c r="O108" s="193">
        <f>IF(O97&lt;=$S$105,O97,$S$105)</f>
        <v>0</v>
      </c>
      <c r="P108" s="114">
        <f>SUM(D108:O108)</f>
        <v>0</v>
      </c>
      <c r="R108" s="200" t="str">
        <f>R106</f>
        <v>INDÚSTRIA</v>
      </c>
      <c r="S108" s="193">
        <f>D97</f>
        <v>0</v>
      </c>
      <c r="T108" s="193">
        <f t="shared" ref="T108:AC108" si="35">E97</f>
        <v>0</v>
      </c>
      <c r="U108" s="193">
        <f>IF(F97&lt;=$S$105,0,F97-$S$105)</f>
        <v>0</v>
      </c>
      <c r="V108" s="193">
        <f t="shared" si="35"/>
        <v>0</v>
      </c>
      <c r="W108" s="193">
        <f t="shared" si="35"/>
        <v>0</v>
      </c>
      <c r="X108" s="193">
        <f>IF(I97&lt;=$S$105,0,I97-$S$105)</f>
        <v>0</v>
      </c>
      <c r="Y108" s="193">
        <f t="shared" si="35"/>
        <v>0</v>
      </c>
      <c r="Z108" s="193">
        <f t="shared" si="35"/>
        <v>0</v>
      </c>
      <c r="AA108" s="193">
        <f>IF(L97&lt;=$S$105,0,L97-$S$105)</f>
        <v>0</v>
      </c>
      <c r="AB108" s="193">
        <f t="shared" si="35"/>
        <v>0</v>
      </c>
      <c r="AC108" s="193">
        <f t="shared" si="35"/>
        <v>0</v>
      </c>
      <c r="AD108" s="193">
        <f>IF(O97&lt;=$S$105,0,O97-$S$105)</f>
        <v>0</v>
      </c>
      <c r="AE108" s="114">
        <f>SUM(S108:AD108)</f>
        <v>0</v>
      </c>
      <c r="AG108" s="200" t="str">
        <f>AG106</f>
        <v>INDÚSTRIA</v>
      </c>
      <c r="AH108" s="193">
        <f>D97</f>
        <v>0</v>
      </c>
      <c r="AI108" s="193">
        <f t="shared" ref="AI108:AS108" si="36">E97</f>
        <v>0</v>
      </c>
      <c r="AJ108" s="193">
        <f t="shared" si="36"/>
        <v>0</v>
      </c>
      <c r="AK108" s="193">
        <f t="shared" si="36"/>
        <v>0</v>
      </c>
      <c r="AL108" s="193">
        <f t="shared" si="36"/>
        <v>0</v>
      </c>
      <c r="AM108" s="193">
        <f t="shared" si="36"/>
        <v>0</v>
      </c>
      <c r="AN108" s="193">
        <f t="shared" si="36"/>
        <v>0</v>
      </c>
      <c r="AO108" s="193">
        <f t="shared" si="36"/>
        <v>0</v>
      </c>
      <c r="AP108" s="193">
        <f t="shared" si="36"/>
        <v>0</v>
      </c>
      <c r="AQ108" s="193">
        <f t="shared" si="36"/>
        <v>0</v>
      </c>
      <c r="AR108" s="193">
        <f t="shared" si="36"/>
        <v>0</v>
      </c>
      <c r="AS108" s="193">
        <f t="shared" si="36"/>
        <v>0</v>
      </c>
      <c r="AT108" s="114">
        <f>SUM(AH108:AS108)</f>
        <v>0</v>
      </c>
    </row>
    <row r="109" spans="3:46" ht="15" hidden="1" customHeight="1" x14ac:dyDescent="0.25">
      <c r="C109" s="200" t="s">
        <v>345</v>
      </c>
      <c r="D109" s="193">
        <v>0</v>
      </c>
      <c r="E109" s="193">
        <v>0</v>
      </c>
      <c r="F109" s="193">
        <f>F108*$D$106</f>
        <v>0</v>
      </c>
      <c r="G109" s="193">
        <v>0</v>
      </c>
      <c r="H109" s="193">
        <v>0</v>
      </c>
      <c r="I109" s="193">
        <f>I108*$D$106</f>
        <v>0</v>
      </c>
      <c r="J109" s="193">
        <v>0</v>
      </c>
      <c r="K109" s="193">
        <v>0</v>
      </c>
      <c r="L109" s="193">
        <f>L108*$D$106</f>
        <v>0</v>
      </c>
      <c r="M109" s="193">
        <v>0</v>
      </c>
      <c r="N109" s="193">
        <v>0</v>
      </c>
      <c r="O109" s="193">
        <f>O108*$D$106</f>
        <v>0</v>
      </c>
      <c r="P109" s="114">
        <f>SUM(D109:O109)</f>
        <v>0</v>
      </c>
      <c r="R109" s="200" t="s">
        <v>345</v>
      </c>
      <c r="S109" s="193">
        <v>0</v>
      </c>
      <c r="T109" s="193">
        <v>0</v>
      </c>
      <c r="U109" s="193">
        <f>U108*$S$106</f>
        <v>0</v>
      </c>
      <c r="V109" s="193">
        <v>0</v>
      </c>
      <c r="W109" s="193">
        <v>0</v>
      </c>
      <c r="X109" s="193">
        <f>X108*$S$106</f>
        <v>0</v>
      </c>
      <c r="Y109" s="193">
        <v>0</v>
      </c>
      <c r="Z109" s="193">
        <v>0</v>
      </c>
      <c r="AA109" s="193">
        <f>AA108*$S$106</f>
        <v>0</v>
      </c>
      <c r="AB109" s="193">
        <v>0</v>
      </c>
      <c r="AC109" s="193">
        <v>0</v>
      </c>
      <c r="AD109" s="193">
        <f>AD108*$S$106</f>
        <v>0</v>
      </c>
      <c r="AE109" s="114">
        <f>SUM(S109:AD109)</f>
        <v>0</v>
      </c>
      <c r="AG109" s="200" t="s">
        <v>345</v>
      </c>
      <c r="AH109" s="193">
        <v>0</v>
      </c>
      <c r="AI109" s="193">
        <v>0</v>
      </c>
      <c r="AJ109" s="193">
        <f>AJ108*$AH$106</f>
        <v>0</v>
      </c>
      <c r="AK109" s="193">
        <v>0</v>
      </c>
      <c r="AL109" s="193">
        <v>0</v>
      </c>
      <c r="AM109" s="193">
        <f>AM108*$AH$106</f>
        <v>0</v>
      </c>
      <c r="AN109" s="193">
        <v>0</v>
      </c>
      <c r="AO109" s="193">
        <v>0</v>
      </c>
      <c r="AP109" s="193">
        <f>AP108*$AH$106</f>
        <v>0</v>
      </c>
      <c r="AQ109" s="193">
        <v>0</v>
      </c>
      <c r="AR109" s="193">
        <v>0</v>
      </c>
      <c r="AS109" s="193">
        <f>AS108*$AH$106</f>
        <v>0</v>
      </c>
      <c r="AT109" s="114">
        <f>SUM(AH109:AS109)</f>
        <v>0</v>
      </c>
    </row>
    <row r="110" spans="3:46" ht="15" hidden="1" customHeight="1" x14ac:dyDescent="0.25">
      <c r="C110" s="258" t="s">
        <v>40</v>
      </c>
      <c r="D110" s="259">
        <v>0</v>
      </c>
      <c r="E110" s="259">
        <v>0</v>
      </c>
      <c r="F110" s="259">
        <f>F109*$F$106</f>
        <v>0</v>
      </c>
      <c r="G110" s="259">
        <v>0</v>
      </c>
      <c r="H110" s="259">
        <v>0</v>
      </c>
      <c r="I110" s="259">
        <f>I109*$F$106</f>
        <v>0</v>
      </c>
      <c r="J110" s="259">
        <v>0</v>
      </c>
      <c r="K110" s="259">
        <v>0</v>
      </c>
      <c r="L110" s="259">
        <f>L109*$F$106</f>
        <v>0</v>
      </c>
      <c r="M110" s="259">
        <v>0</v>
      </c>
      <c r="N110" s="259">
        <v>0</v>
      </c>
      <c r="O110" s="259">
        <f>O109*$F$106</f>
        <v>0</v>
      </c>
      <c r="P110" s="114">
        <f>SUM(D110:O110)</f>
        <v>0</v>
      </c>
      <c r="R110" s="258" t="s">
        <v>40</v>
      </c>
      <c r="S110" s="259">
        <v>0</v>
      </c>
      <c r="T110" s="259">
        <v>0</v>
      </c>
      <c r="U110" s="259">
        <f>U109*$F$106</f>
        <v>0</v>
      </c>
      <c r="V110" s="259">
        <v>0</v>
      </c>
      <c r="W110" s="259">
        <v>0</v>
      </c>
      <c r="X110" s="259">
        <f>X109*$F$106</f>
        <v>0</v>
      </c>
      <c r="Y110" s="259">
        <v>0</v>
      </c>
      <c r="Z110" s="259">
        <v>0</v>
      </c>
      <c r="AA110" s="259">
        <f>AA109*$F$106</f>
        <v>0</v>
      </c>
      <c r="AB110" s="259">
        <v>0</v>
      </c>
      <c r="AC110" s="259">
        <v>0</v>
      </c>
      <c r="AD110" s="259">
        <f>AD109*$F$106</f>
        <v>0</v>
      </c>
      <c r="AE110" s="114">
        <f>SUM(S110:AD110)</f>
        <v>0</v>
      </c>
      <c r="AG110" s="258" t="s">
        <v>40</v>
      </c>
      <c r="AH110" s="259">
        <v>0</v>
      </c>
      <c r="AI110" s="259">
        <v>0</v>
      </c>
      <c r="AJ110" s="259">
        <f>AJ109*$F$106</f>
        <v>0</v>
      </c>
      <c r="AK110" s="259">
        <v>0</v>
      </c>
      <c r="AL110" s="259">
        <v>0</v>
      </c>
      <c r="AM110" s="259">
        <f>AM109*$F$106</f>
        <v>0</v>
      </c>
      <c r="AN110" s="259">
        <v>0</v>
      </c>
      <c r="AO110" s="259">
        <v>0</v>
      </c>
      <c r="AP110" s="259">
        <f>AP109*$F$106</f>
        <v>0</v>
      </c>
      <c r="AQ110" s="259">
        <v>0</v>
      </c>
      <c r="AR110" s="259">
        <v>0</v>
      </c>
      <c r="AS110" s="259">
        <f>AS109*$F$106</f>
        <v>0</v>
      </c>
      <c r="AT110" s="114">
        <f>SUM(AH110:AS110)</f>
        <v>0</v>
      </c>
    </row>
    <row r="111" spans="3:46" ht="15" hidden="1" customHeight="1" x14ac:dyDescent="0.25">
      <c r="C111" s="200" t="s">
        <v>346</v>
      </c>
      <c r="D111" s="193">
        <v>0</v>
      </c>
      <c r="E111" s="193">
        <v>0</v>
      </c>
      <c r="F111" s="193">
        <f>F108*$E$106</f>
        <v>0</v>
      </c>
      <c r="G111" s="193">
        <v>0</v>
      </c>
      <c r="H111" s="193">
        <v>0</v>
      </c>
      <c r="I111" s="193">
        <f>I108*$E$106</f>
        <v>0</v>
      </c>
      <c r="J111" s="193">
        <v>0</v>
      </c>
      <c r="K111" s="193">
        <v>0</v>
      </c>
      <c r="L111" s="193">
        <f>L108*$E$106</f>
        <v>0</v>
      </c>
      <c r="M111" s="193">
        <v>0</v>
      </c>
      <c r="N111" s="193">
        <v>0</v>
      </c>
      <c r="O111" s="193">
        <f>O108*$E$106</f>
        <v>0</v>
      </c>
      <c r="P111" s="114">
        <f>SUM(D111:O111)</f>
        <v>0</v>
      </c>
      <c r="R111" s="200" t="s">
        <v>346</v>
      </c>
      <c r="S111" s="193">
        <v>0</v>
      </c>
      <c r="T111" s="193">
        <v>0</v>
      </c>
      <c r="U111" s="193">
        <f>U108*$T$106</f>
        <v>0</v>
      </c>
      <c r="V111" s="193">
        <v>0</v>
      </c>
      <c r="W111" s="193">
        <v>0</v>
      </c>
      <c r="X111" s="193">
        <f>X108*$T$106</f>
        <v>0</v>
      </c>
      <c r="Y111" s="193">
        <v>0</v>
      </c>
      <c r="Z111" s="193">
        <v>0</v>
      </c>
      <c r="AA111" s="193">
        <f>AA108*$T$106</f>
        <v>0</v>
      </c>
      <c r="AB111" s="193">
        <v>0</v>
      </c>
      <c r="AC111" s="193">
        <v>0</v>
      </c>
      <c r="AD111" s="193">
        <f>AD108*$T$106</f>
        <v>0</v>
      </c>
      <c r="AE111" s="114">
        <f>SUM(S111:AD111)</f>
        <v>0</v>
      </c>
      <c r="AG111" s="200" t="s">
        <v>346</v>
      </c>
      <c r="AH111" s="193">
        <v>0</v>
      </c>
      <c r="AI111" s="193">
        <v>0</v>
      </c>
      <c r="AJ111" s="193">
        <f>AJ108*$AI$106</f>
        <v>0</v>
      </c>
      <c r="AK111" s="193">
        <v>0</v>
      </c>
      <c r="AL111" s="193">
        <v>0</v>
      </c>
      <c r="AM111" s="193">
        <f>AM108*$AI$106</f>
        <v>0</v>
      </c>
      <c r="AN111" s="193">
        <v>0</v>
      </c>
      <c r="AO111" s="193">
        <v>0</v>
      </c>
      <c r="AP111" s="193">
        <f>AP108*$AI$106</f>
        <v>0</v>
      </c>
      <c r="AQ111" s="193">
        <v>0</v>
      </c>
      <c r="AR111" s="193">
        <v>0</v>
      </c>
      <c r="AS111" s="193">
        <f>AS108*$AI$106</f>
        <v>0</v>
      </c>
      <c r="AT111" s="114">
        <f>SUM(AH111:AS111)</f>
        <v>0</v>
      </c>
    </row>
    <row r="112" spans="3:46" ht="15" hidden="1" customHeight="1" x14ac:dyDescent="0.25">
      <c r="C112" s="258" t="s">
        <v>42</v>
      </c>
      <c r="D112" s="259">
        <v>0</v>
      </c>
      <c r="E112" s="259">
        <v>0</v>
      </c>
      <c r="F112" s="259">
        <f>F111*$G$106</f>
        <v>0</v>
      </c>
      <c r="G112" s="259">
        <v>0</v>
      </c>
      <c r="H112" s="259">
        <v>0</v>
      </c>
      <c r="I112" s="259">
        <f>I111*$G$106</f>
        <v>0</v>
      </c>
      <c r="J112" s="259">
        <v>0</v>
      </c>
      <c r="K112" s="259">
        <v>0</v>
      </c>
      <c r="L112" s="259">
        <f>L111*$G$106</f>
        <v>0</v>
      </c>
      <c r="M112" s="259">
        <v>0</v>
      </c>
      <c r="N112" s="259">
        <v>0</v>
      </c>
      <c r="O112" s="259">
        <f>O111*$G$106</f>
        <v>0</v>
      </c>
      <c r="P112" s="114">
        <f>SUM(D112:O112)</f>
        <v>0</v>
      </c>
      <c r="R112" s="258" t="s">
        <v>42</v>
      </c>
      <c r="S112" s="259">
        <v>0</v>
      </c>
      <c r="T112" s="259">
        <v>0</v>
      </c>
      <c r="U112" s="259">
        <f>U111*$G$106</f>
        <v>0</v>
      </c>
      <c r="V112" s="259">
        <v>0</v>
      </c>
      <c r="W112" s="259">
        <v>0</v>
      </c>
      <c r="X112" s="259">
        <f>X111*$G$106</f>
        <v>0</v>
      </c>
      <c r="Y112" s="259">
        <v>0</v>
      </c>
      <c r="Z112" s="259">
        <v>0</v>
      </c>
      <c r="AA112" s="259">
        <f>AA111*$G$106</f>
        <v>0</v>
      </c>
      <c r="AB112" s="259">
        <v>0</v>
      </c>
      <c r="AC112" s="259">
        <v>0</v>
      </c>
      <c r="AD112" s="259">
        <f>AD111*$G$106</f>
        <v>0</v>
      </c>
      <c r="AE112" s="114">
        <f>SUM(S112:AD112)</f>
        <v>0</v>
      </c>
      <c r="AG112" s="258" t="s">
        <v>42</v>
      </c>
      <c r="AH112" s="259">
        <v>0</v>
      </c>
      <c r="AI112" s="259">
        <v>0</v>
      </c>
      <c r="AJ112" s="259">
        <f>AJ111*$G$106</f>
        <v>0</v>
      </c>
      <c r="AK112" s="259">
        <v>0</v>
      </c>
      <c r="AL112" s="259">
        <v>0</v>
      </c>
      <c r="AM112" s="259">
        <f>AM111*$G$106</f>
        <v>0</v>
      </c>
      <c r="AN112" s="259">
        <v>0</v>
      </c>
      <c r="AO112" s="259">
        <v>0</v>
      </c>
      <c r="AP112" s="259">
        <f>AP111*$G$106</f>
        <v>0</v>
      </c>
      <c r="AQ112" s="259">
        <v>0</v>
      </c>
      <c r="AR112" s="259">
        <v>0</v>
      </c>
      <c r="AS112" s="259">
        <f>AS111*$G$106</f>
        <v>0</v>
      </c>
      <c r="AT112" s="114">
        <f>SUM(AH112:AS112)</f>
        <v>0</v>
      </c>
    </row>
    <row r="113" spans="3:46" ht="15" hidden="1" customHeight="1" x14ac:dyDescent="0.25">
      <c r="R113" s="200"/>
      <c r="AG113" s="200"/>
    </row>
    <row r="114" spans="3:46" ht="15" hidden="1" customHeight="1" x14ac:dyDescent="0.25">
      <c r="C114" s="257" t="s">
        <v>348</v>
      </c>
      <c r="D114" s="203">
        <f>TabP!E10</f>
        <v>0.08</v>
      </c>
      <c r="E114" s="203">
        <f>TabP!E12</f>
        <v>0.12</v>
      </c>
      <c r="F114" s="203">
        <f>TabP!F10</f>
        <v>0.15</v>
      </c>
      <c r="G114" s="203">
        <f>TabP!F12</f>
        <v>0.09</v>
      </c>
      <c r="R114" s="257" t="s">
        <v>348</v>
      </c>
      <c r="S114" s="203">
        <f>D114+(D114*10%)</f>
        <v>8.7999999999999995E-2</v>
      </c>
      <c r="T114" s="203">
        <f>E114+(E114*10%)</f>
        <v>0.13200000000000001</v>
      </c>
      <c r="U114" s="203">
        <f>F114</f>
        <v>0.15</v>
      </c>
      <c r="V114" s="203">
        <f>G114</f>
        <v>0.09</v>
      </c>
      <c r="AG114" s="257" t="s">
        <v>348</v>
      </c>
      <c r="AH114" s="203">
        <f>TabP!E10</f>
        <v>0.08</v>
      </c>
      <c r="AI114" s="203">
        <f>TabP!E12</f>
        <v>0.12</v>
      </c>
      <c r="AJ114" s="203">
        <f>TabP!F10</f>
        <v>0.15</v>
      </c>
      <c r="AK114" s="203">
        <f>TabP!F12</f>
        <v>0.09</v>
      </c>
    </row>
    <row r="115" spans="3:46" ht="15" hidden="1" customHeight="1" x14ac:dyDescent="0.25">
      <c r="C115" s="112" t="s">
        <v>82</v>
      </c>
      <c r="D115" s="112" t="s">
        <v>83</v>
      </c>
      <c r="E115" s="112" t="s">
        <v>84</v>
      </c>
      <c r="F115" s="112" t="s">
        <v>85</v>
      </c>
      <c r="G115" s="112" t="s">
        <v>86</v>
      </c>
      <c r="H115" s="112" t="s">
        <v>87</v>
      </c>
      <c r="I115" s="112" t="s">
        <v>88</v>
      </c>
      <c r="J115" s="112" t="s">
        <v>89</v>
      </c>
      <c r="K115" s="112" t="s">
        <v>90</v>
      </c>
      <c r="L115" s="112" t="s">
        <v>91</v>
      </c>
      <c r="M115" s="112" t="s">
        <v>92</v>
      </c>
      <c r="N115" s="112" t="s">
        <v>93</v>
      </c>
      <c r="O115" s="112" t="s">
        <v>94</v>
      </c>
      <c r="P115" s="112" t="s">
        <v>95</v>
      </c>
      <c r="R115" s="112" t="s">
        <v>82</v>
      </c>
      <c r="S115" s="112" t="s">
        <v>83</v>
      </c>
      <c r="T115" s="112" t="s">
        <v>84</v>
      </c>
      <c r="U115" s="112" t="s">
        <v>85</v>
      </c>
      <c r="V115" s="112" t="s">
        <v>86</v>
      </c>
      <c r="W115" s="112" t="s">
        <v>87</v>
      </c>
      <c r="X115" s="112" t="s">
        <v>88</v>
      </c>
      <c r="Y115" s="112" t="s">
        <v>89</v>
      </c>
      <c r="Z115" s="112" t="s">
        <v>90</v>
      </c>
      <c r="AA115" s="112" t="s">
        <v>91</v>
      </c>
      <c r="AB115" s="112" t="s">
        <v>92</v>
      </c>
      <c r="AC115" s="112" t="s">
        <v>93</v>
      </c>
      <c r="AD115" s="112" t="s">
        <v>94</v>
      </c>
      <c r="AE115" s="112" t="s">
        <v>95</v>
      </c>
      <c r="AG115" s="112" t="s">
        <v>82</v>
      </c>
      <c r="AH115" s="112" t="s">
        <v>83</v>
      </c>
      <c r="AI115" s="112" t="s">
        <v>84</v>
      </c>
      <c r="AJ115" s="112" t="s">
        <v>85</v>
      </c>
      <c r="AK115" s="112" t="s">
        <v>86</v>
      </c>
      <c r="AL115" s="112" t="s">
        <v>87</v>
      </c>
      <c r="AM115" s="112" t="s">
        <v>88</v>
      </c>
      <c r="AN115" s="112" t="s">
        <v>89</v>
      </c>
      <c r="AO115" s="112" t="s">
        <v>90</v>
      </c>
      <c r="AP115" s="112" t="s">
        <v>91</v>
      </c>
      <c r="AQ115" s="112" t="s">
        <v>92</v>
      </c>
      <c r="AR115" s="112" t="s">
        <v>93</v>
      </c>
      <c r="AS115" s="112" t="s">
        <v>94</v>
      </c>
      <c r="AT115" s="112" t="s">
        <v>95</v>
      </c>
    </row>
    <row r="116" spans="3:46" ht="15" hidden="1" customHeight="1" x14ac:dyDescent="0.25">
      <c r="C116" s="200" t="str">
        <f>C114</f>
        <v>COMÉRCIO</v>
      </c>
      <c r="D116" s="193">
        <f>D98</f>
        <v>0</v>
      </c>
      <c r="E116" s="193">
        <f t="shared" ref="E116" si="37">E98</f>
        <v>0</v>
      </c>
      <c r="F116" s="193">
        <f>IF(F98&lt;=$S$105,F98,$S$105)</f>
        <v>376729</v>
      </c>
      <c r="G116" s="193">
        <f>G98</f>
        <v>0</v>
      </c>
      <c r="H116" s="193">
        <f t="shared" ref="H116" si="38">H98</f>
        <v>0</v>
      </c>
      <c r="I116" s="193">
        <f>IF(I98&lt;=$S$105,I98,$S$105)</f>
        <v>343656</v>
      </c>
      <c r="J116" s="193">
        <f>J98</f>
        <v>0</v>
      </c>
      <c r="K116" s="193">
        <f t="shared" ref="K116" si="39">K98</f>
        <v>0</v>
      </c>
      <c r="L116" s="193">
        <f>IF(L98&lt;=$S$105,L98,$S$105)</f>
        <v>336109</v>
      </c>
      <c r="M116" s="193">
        <f>M98</f>
        <v>0</v>
      </c>
      <c r="N116" s="193">
        <f t="shared" ref="N116" si="40">N98</f>
        <v>0</v>
      </c>
      <c r="O116" s="193">
        <f>IF(O98&lt;=$S$105,O98,$S$105)</f>
        <v>335723</v>
      </c>
      <c r="P116" s="114">
        <f>SUM(D116:O116)</f>
        <v>1392217</v>
      </c>
      <c r="R116" s="200" t="str">
        <f>R114</f>
        <v>COMÉRCIO</v>
      </c>
      <c r="S116" s="193">
        <f>D103</f>
        <v>0</v>
      </c>
      <c r="T116" s="193">
        <f t="shared" ref="T116" si="41">E103</f>
        <v>0</v>
      </c>
      <c r="U116" s="193">
        <f>IF(F98&lt;=$S$105,0,F98-$S$105)</f>
        <v>0</v>
      </c>
      <c r="V116" s="193">
        <f>G103</f>
        <v>0</v>
      </c>
      <c r="W116" s="193">
        <f t="shared" ref="W116" si="42">H103</f>
        <v>0</v>
      </c>
      <c r="X116" s="193">
        <f>IF(I98&lt;=$S$105,0,I98-$S$105)</f>
        <v>0</v>
      </c>
      <c r="Y116" s="193">
        <f>J103</f>
        <v>0</v>
      </c>
      <c r="Z116" s="193">
        <f t="shared" ref="Z116" si="43">K103</f>
        <v>0</v>
      </c>
      <c r="AA116" s="193">
        <f>IF(L98&lt;=$S$105,0,L98-$S$105)</f>
        <v>0</v>
      </c>
      <c r="AB116" s="193">
        <f>M103</f>
        <v>0</v>
      </c>
      <c r="AC116" s="193">
        <f t="shared" ref="AC116" si="44">N103</f>
        <v>0</v>
      </c>
      <c r="AD116" s="193">
        <f>IF(O98&lt;=$S$105,0,O98-$S$105)</f>
        <v>0</v>
      </c>
      <c r="AE116" s="114">
        <f>SUM(S116:AD116)</f>
        <v>0</v>
      </c>
      <c r="AG116" s="200" t="str">
        <f>AG114</f>
        <v>COMÉRCIO</v>
      </c>
      <c r="AH116" s="193">
        <f>D98</f>
        <v>0</v>
      </c>
      <c r="AI116" s="193">
        <f t="shared" ref="AI116:AS116" si="45">E98</f>
        <v>0</v>
      </c>
      <c r="AJ116" s="193">
        <f t="shared" si="45"/>
        <v>376729</v>
      </c>
      <c r="AK116" s="193">
        <f t="shared" si="45"/>
        <v>0</v>
      </c>
      <c r="AL116" s="193">
        <f t="shared" si="45"/>
        <v>0</v>
      </c>
      <c r="AM116" s="193">
        <f t="shared" si="45"/>
        <v>343656</v>
      </c>
      <c r="AN116" s="193">
        <f t="shared" si="45"/>
        <v>0</v>
      </c>
      <c r="AO116" s="193">
        <f t="shared" si="45"/>
        <v>0</v>
      </c>
      <c r="AP116" s="193">
        <f t="shared" si="45"/>
        <v>336109</v>
      </c>
      <c r="AQ116" s="193">
        <f t="shared" si="45"/>
        <v>0</v>
      </c>
      <c r="AR116" s="193">
        <f t="shared" si="45"/>
        <v>0</v>
      </c>
      <c r="AS116" s="193">
        <f t="shared" si="45"/>
        <v>335723</v>
      </c>
      <c r="AT116" s="114">
        <f>SUM(AH116:AS116)</f>
        <v>1392217</v>
      </c>
    </row>
    <row r="117" spans="3:46" ht="15" hidden="1" customHeight="1" x14ac:dyDescent="0.25">
      <c r="C117" s="200" t="s">
        <v>345</v>
      </c>
      <c r="D117" s="193">
        <v>0</v>
      </c>
      <c r="E117" s="193">
        <v>0</v>
      </c>
      <c r="F117" s="193">
        <f>F116*$D$114</f>
        <v>30138.32</v>
      </c>
      <c r="G117" s="193">
        <v>0</v>
      </c>
      <c r="H117" s="193">
        <v>0</v>
      </c>
      <c r="I117" s="193">
        <f>I116*$D$114</f>
        <v>27492.48</v>
      </c>
      <c r="J117" s="193">
        <v>0</v>
      </c>
      <c r="K117" s="193">
        <v>0</v>
      </c>
      <c r="L117" s="193">
        <f>L116*$D$114</f>
        <v>26888.720000000001</v>
      </c>
      <c r="M117" s="193">
        <v>0</v>
      </c>
      <c r="N117" s="193">
        <v>0</v>
      </c>
      <c r="O117" s="193">
        <f>O116*$D$114</f>
        <v>26857.84</v>
      </c>
      <c r="P117" s="114">
        <f>SUM(D117:O117)</f>
        <v>111377.36</v>
      </c>
      <c r="R117" s="200" t="s">
        <v>345</v>
      </c>
      <c r="S117" s="193">
        <v>0</v>
      </c>
      <c r="T117" s="193">
        <v>0</v>
      </c>
      <c r="U117" s="193">
        <f>U116*$S$114</f>
        <v>0</v>
      </c>
      <c r="V117" s="193">
        <v>0</v>
      </c>
      <c r="W117" s="193">
        <v>0</v>
      </c>
      <c r="X117" s="193">
        <f>X116*$S$114</f>
        <v>0</v>
      </c>
      <c r="Y117" s="193">
        <v>0</v>
      </c>
      <c r="Z117" s="193">
        <v>0</v>
      </c>
      <c r="AA117" s="193">
        <f>AA116*$S$114</f>
        <v>0</v>
      </c>
      <c r="AB117" s="193">
        <v>0</v>
      </c>
      <c r="AC117" s="193">
        <v>0</v>
      </c>
      <c r="AD117" s="193">
        <f>AD116*$S$114</f>
        <v>0</v>
      </c>
      <c r="AE117" s="114">
        <f>SUM(S117:AD117)</f>
        <v>0</v>
      </c>
      <c r="AG117" s="200" t="s">
        <v>345</v>
      </c>
      <c r="AH117" s="193">
        <v>0</v>
      </c>
      <c r="AI117" s="193">
        <v>0</v>
      </c>
      <c r="AJ117" s="193">
        <f>AJ116*$AH$114</f>
        <v>30138.32</v>
      </c>
      <c r="AK117" s="193">
        <v>0</v>
      </c>
      <c r="AL117" s="193">
        <v>0</v>
      </c>
      <c r="AM117" s="193">
        <f>AM116*$AH$114</f>
        <v>27492.48</v>
      </c>
      <c r="AN117" s="193">
        <v>0</v>
      </c>
      <c r="AO117" s="193">
        <v>0</v>
      </c>
      <c r="AP117" s="193">
        <f>AP116*$AH$114</f>
        <v>26888.720000000001</v>
      </c>
      <c r="AQ117" s="193">
        <v>0</v>
      </c>
      <c r="AR117" s="193">
        <v>0</v>
      </c>
      <c r="AS117" s="193">
        <f>AS116*$AH$114</f>
        <v>26857.84</v>
      </c>
      <c r="AT117" s="114">
        <f>SUM(AH117:AS117)</f>
        <v>111377.36</v>
      </c>
    </row>
    <row r="118" spans="3:46" ht="15" hidden="1" customHeight="1" x14ac:dyDescent="0.25">
      <c r="C118" s="258" t="s">
        <v>40</v>
      </c>
      <c r="D118" s="259">
        <v>0</v>
      </c>
      <c r="E118" s="259">
        <v>0</v>
      </c>
      <c r="F118" s="259">
        <f>F117*$F$106</f>
        <v>4520.7479999999996</v>
      </c>
      <c r="G118" s="259">
        <v>0</v>
      </c>
      <c r="H118" s="259">
        <v>0</v>
      </c>
      <c r="I118" s="259">
        <f>I117*$F$106</f>
        <v>4123.8719999999994</v>
      </c>
      <c r="J118" s="259">
        <v>0</v>
      </c>
      <c r="K118" s="259">
        <v>0</v>
      </c>
      <c r="L118" s="259">
        <f>L117*$F$106</f>
        <v>4033.308</v>
      </c>
      <c r="M118" s="259">
        <v>0</v>
      </c>
      <c r="N118" s="259">
        <v>0</v>
      </c>
      <c r="O118" s="259">
        <f>O117*$F$106</f>
        <v>4028.6759999999999</v>
      </c>
      <c r="P118" s="114">
        <f>SUM(D118:O118)</f>
        <v>16706.603999999999</v>
      </c>
      <c r="R118" s="258" t="s">
        <v>40</v>
      </c>
      <c r="S118" s="259">
        <v>0</v>
      </c>
      <c r="T118" s="259">
        <v>0</v>
      </c>
      <c r="U118" s="259">
        <f>U117*$F$106</f>
        <v>0</v>
      </c>
      <c r="V118" s="259">
        <v>0</v>
      </c>
      <c r="W118" s="259">
        <v>0</v>
      </c>
      <c r="X118" s="259">
        <f>X117*$F$106</f>
        <v>0</v>
      </c>
      <c r="Y118" s="259">
        <v>0</v>
      </c>
      <c r="Z118" s="259">
        <v>0</v>
      </c>
      <c r="AA118" s="259">
        <f>AA117*$F$106</f>
        <v>0</v>
      </c>
      <c r="AB118" s="259">
        <v>0</v>
      </c>
      <c r="AC118" s="259">
        <v>0</v>
      </c>
      <c r="AD118" s="259">
        <f>AD117*$F$106</f>
        <v>0</v>
      </c>
      <c r="AE118" s="114">
        <f>SUM(S118:AD118)</f>
        <v>0</v>
      </c>
      <c r="AG118" s="258" t="s">
        <v>40</v>
      </c>
      <c r="AH118" s="259">
        <v>0</v>
      </c>
      <c r="AI118" s="259">
        <v>0</v>
      </c>
      <c r="AJ118" s="259">
        <f>AJ117*$F$106</f>
        <v>4520.7479999999996</v>
      </c>
      <c r="AK118" s="259">
        <v>0</v>
      </c>
      <c r="AL118" s="259">
        <v>0</v>
      </c>
      <c r="AM118" s="259">
        <f>AM117*$F$106</f>
        <v>4123.8719999999994</v>
      </c>
      <c r="AN118" s="259">
        <v>0</v>
      </c>
      <c r="AO118" s="259">
        <v>0</v>
      </c>
      <c r="AP118" s="259">
        <f>AP117*$F$106</f>
        <v>4033.308</v>
      </c>
      <c r="AQ118" s="259">
        <v>0</v>
      </c>
      <c r="AR118" s="259">
        <v>0</v>
      </c>
      <c r="AS118" s="259">
        <f>AS117*$F$106</f>
        <v>4028.6759999999999</v>
      </c>
      <c r="AT118" s="114">
        <f>SUM(AH118:AS118)</f>
        <v>16706.603999999999</v>
      </c>
    </row>
    <row r="119" spans="3:46" ht="15" hidden="1" customHeight="1" x14ac:dyDescent="0.25">
      <c r="C119" s="200" t="s">
        <v>346</v>
      </c>
      <c r="D119" s="193">
        <v>0</v>
      </c>
      <c r="E119" s="193">
        <v>0</v>
      </c>
      <c r="F119" s="193">
        <f>F116*$E$114</f>
        <v>45207.479999999996</v>
      </c>
      <c r="G119" s="193">
        <v>0</v>
      </c>
      <c r="H119" s="193">
        <v>0</v>
      </c>
      <c r="I119" s="193">
        <f>I116*$E$114</f>
        <v>41238.720000000001</v>
      </c>
      <c r="J119" s="193">
        <v>0</v>
      </c>
      <c r="K119" s="193">
        <v>0</v>
      </c>
      <c r="L119" s="193">
        <f>L116*$E$114</f>
        <v>40333.08</v>
      </c>
      <c r="M119" s="193">
        <v>0</v>
      </c>
      <c r="N119" s="193">
        <v>0</v>
      </c>
      <c r="O119" s="193">
        <f>O116*$E$114</f>
        <v>40286.76</v>
      </c>
      <c r="P119" s="114">
        <f>SUM(D119:O119)</f>
        <v>167066.04</v>
      </c>
      <c r="R119" s="200" t="s">
        <v>346</v>
      </c>
      <c r="S119" s="193">
        <v>0</v>
      </c>
      <c r="T119" s="193">
        <v>0</v>
      </c>
      <c r="U119" s="193">
        <f>U116*$T$114</f>
        <v>0</v>
      </c>
      <c r="V119" s="193">
        <v>0</v>
      </c>
      <c r="W119" s="193">
        <v>0</v>
      </c>
      <c r="X119" s="193">
        <f>X116*$T$114</f>
        <v>0</v>
      </c>
      <c r="Y119" s="193">
        <v>0</v>
      </c>
      <c r="Z119" s="193">
        <v>0</v>
      </c>
      <c r="AA119" s="193">
        <f>AA116*$T$114</f>
        <v>0</v>
      </c>
      <c r="AB119" s="193">
        <v>0</v>
      </c>
      <c r="AC119" s="193">
        <v>0</v>
      </c>
      <c r="AD119" s="193">
        <f>AD116*$T$114</f>
        <v>0</v>
      </c>
      <c r="AE119" s="114">
        <f>SUM(S119:AD119)</f>
        <v>0</v>
      </c>
      <c r="AG119" s="200" t="s">
        <v>346</v>
      </c>
      <c r="AH119" s="193">
        <v>0</v>
      </c>
      <c r="AI119" s="193">
        <v>0</v>
      </c>
      <c r="AJ119" s="193">
        <f>AJ116*$AI$114</f>
        <v>45207.479999999996</v>
      </c>
      <c r="AK119" s="193">
        <v>0</v>
      </c>
      <c r="AL119" s="193">
        <v>0</v>
      </c>
      <c r="AM119" s="193">
        <f>AM116*$AI$114</f>
        <v>41238.720000000001</v>
      </c>
      <c r="AN119" s="193">
        <v>0</v>
      </c>
      <c r="AO119" s="193">
        <v>0</v>
      </c>
      <c r="AP119" s="193">
        <f>AP116*$AI$114</f>
        <v>40333.08</v>
      </c>
      <c r="AQ119" s="193">
        <v>0</v>
      </c>
      <c r="AR119" s="193">
        <v>0</v>
      </c>
      <c r="AS119" s="193">
        <f>AS116*$AI$114</f>
        <v>40286.76</v>
      </c>
      <c r="AT119" s="114">
        <f>SUM(AH119:AS119)</f>
        <v>167066.04</v>
      </c>
    </row>
    <row r="120" spans="3:46" ht="15" hidden="1" customHeight="1" x14ac:dyDescent="0.25">
      <c r="C120" s="258" t="s">
        <v>42</v>
      </c>
      <c r="D120" s="259">
        <v>0</v>
      </c>
      <c r="E120" s="259">
        <v>0</v>
      </c>
      <c r="F120" s="259">
        <f>F119*$G$106</f>
        <v>4068.6731999999993</v>
      </c>
      <c r="G120" s="259">
        <v>0</v>
      </c>
      <c r="H120" s="259">
        <v>0</v>
      </c>
      <c r="I120" s="259">
        <f>I119*$G$106</f>
        <v>3711.4848000000002</v>
      </c>
      <c r="J120" s="259">
        <v>0</v>
      </c>
      <c r="K120" s="259">
        <v>0</v>
      </c>
      <c r="L120" s="259">
        <f>L119*$G$106</f>
        <v>3629.9771999999998</v>
      </c>
      <c r="M120" s="259">
        <v>0</v>
      </c>
      <c r="N120" s="259">
        <v>0</v>
      </c>
      <c r="O120" s="259">
        <f>O119*$G$106</f>
        <v>3625.8083999999999</v>
      </c>
      <c r="P120" s="114">
        <f>SUM(D120:O120)</f>
        <v>15035.943599999999</v>
      </c>
      <c r="R120" s="258" t="s">
        <v>42</v>
      </c>
      <c r="S120" s="259">
        <v>0</v>
      </c>
      <c r="T120" s="259">
        <v>0</v>
      </c>
      <c r="U120" s="259">
        <f>U119*$G$106</f>
        <v>0</v>
      </c>
      <c r="V120" s="259">
        <v>0</v>
      </c>
      <c r="W120" s="259">
        <v>0</v>
      </c>
      <c r="X120" s="259">
        <f>X119*$G$106</f>
        <v>0</v>
      </c>
      <c r="Y120" s="259">
        <v>0</v>
      </c>
      <c r="Z120" s="259">
        <v>0</v>
      </c>
      <c r="AA120" s="259">
        <f>AA119*$G$106</f>
        <v>0</v>
      </c>
      <c r="AB120" s="259">
        <v>0</v>
      </c>
      <c r="AC120" s="259">
        <v>0</v>
      </c>
      <c r="AD120" s="259">
        <f>AD119*$G$106</f>
        <v>0</v>
      </c>
      <c r="AE120" s="114">
        <f>SUM(S120:AD120)</f>
        <v>0</v>
      </c>
      <c r="AG120" s="258" t="s">
        <v>42</v>
      </c>
      <c r="AH120" s="259">
        <v>0</v>
      </c>
      <c r="AI120" s="259">
        <v>0</v>
      </c>
      <c r="AJ120" s="259">
        <f>AJ119*$G$106</f>
        <v>4068.6731999999993</v>
      </c>
      <c r="AK120" s="259">
        <v>0</v>
      </c>
      <c r="AL120" s="259">
        <v>0</v>
      </c>
      <c r="AM120" s="259">
        <f>AM119*$G$106</f>
        <v>3711.4848000000002</v>
      </c>
      <c r="AN120" s="259">
        <v>0</v>
      </c>
      <c r="AO120" s="259">
        <v>0</v>
      </c>
      <c r="AP120" s="259">
        <f>AP119*$G$106</f>
        <v>3629.9771999999998</v>
      </c>
      <c r="AQ120" s="259">
        <v>0</v>
      </c>
      <c r="AR120" s="259">
        <v>0</v>
      </c>
      <c r="AS120" s="259">
        <f>AS119*$G$106</f>
        <v>3625.8083999999999</v>
      </c>
      <c r="AT120" s="114">
        <f>SUM(AH120:AS120)</f>
        <v>15035.943599999999</v>
      </c>
    </row>
    <row r="121" spans="3:46" ht="15" hidden="1" customHeight="1" x14ac:dyDescent="0.25">
      <c r="R121" s="200"/>
      <c r="AG121" s="200"/>
    </row>
    <row r="122" spans="3:46" ht="15" hidden="1" customHeight="1" x14ac:dyDescent="0.25">
      <c r="C122" s="257" t="s">
        <v>349</v>
      </c>
      <c r="D122" s="203">
        <f>TabP!E21</f>
        <v>0.32</v>
      </c>
      <c r="E122" s="203">
        <f>TabP!E23</f>
        <v>0.32</v>
      </c>
      <c r="F122" s="203">
        <f>TabP!F21</f>
        <v>0.15</v>
      </c>
      <c r="G122" s="203">
        <f>TabP!F23</f>
        <v>0.09</v>
      </c>
      <c r="R122" s="257" t="s">
        <v>349</v>
      </c>
      <c r="S122" s="203">
        <f>D122+(D122*10%)</f>
        <v>0.35199999999999998</v>
      </c>
      <c r="T122" s="203">
        <f>E122+(E122*10%)</f>
        <v>0.35199999999999998</v>
      </c>
      <c r="U122" s="203">
        <f>F122</f>
        <v>0.15</v>
      </c>
      <c r="V122" s="203">
        <f>G122</f>
        <v>0.09</v>
      </c>
      <c r="AG122" s="257" t="s">
        <v>349</v>
      </c>
      <c r="AH122" s="203">
        <f>TabP!E21</f>
        <v>0.32</v>
      </c>
      <c r="AI122" s="203">
        <f>TabP!E23</f>
        <v>0.32</v>
      </c>
      <c r="AJ122" s="203">
        <f>TabP!F21</f>
        <v>0.15</v>
      </c>
      <c r="AK122" s="203">
        <f>TabP!F23</f>
        <v>0.09</v>
      </c>
    </row>
    <row r="123" spans="3:46" ht="15" hidden="1" customHeight="1" x14ac:dyDescent="0.25">
      <c r="C123" s="112" t="s">
        <v>82</v>
      </c>
      <c r="D123" s="112" t="s">
        <v>83</v>
      </c>
      <c r="E123" s="112" t="s">
        <v>84</v>
      </c>
      <c r="F123" s="112" t="s">
        <v>85</v>
      </c>
      <c r="G123" s="112" t="s">
        <v>86</v>
      </c>
      <c r="H123" s="112" t="s">
        <v>87</v>
      </c>
      <c r="I123" s="112" t="s">
        <v>88</v>
      </c>
      <c r="J123" s="112" t="s">
        <v>89</v>
      </c>
      <c r="K123" s="112" t="s">
        <v>90</v>
      </c>
      <c r="L123" s="112" t="s">
        <v>91</v>
      </c>
      <c r="M123" s="112" t="s">
        <v>92</v>
      </c>
      <c r="N123" s="112" t="s">
        <v>93</v>
      </c>
      <c r="O123" s="112" t="s">
        <v>94</v>
      </c>
      <c r="P123" s="112" t="s">
        <v>95</v>
      </c>
      <c r="R123" s="112" t="s">
        <v>82</v>
      </c>
      <c r="S123" s="112" t="s">
        <v>83</v>
      </c>
      <c r="T123" s="112" t="s">
        <v>84</v>
      </c>
      <c r="U123" s="112" t="s">
        <v>85</v>
      </c>
      <c r="V123" s="112" t="s">
        <v>86</v>
      </c>
      <c r="W123" s="112" t="s">
        <v>87</v>
      </c>
      <c r="X123" s="112" t="s">
        <v>88</v>
      </c>
      <c r="Y123" s="112" t="s">
        <v>89</v>
      </c>
      <c r="Z123" s="112" t="s">
        <v>90</v>
      </c>
      <c r="AA123" s="112" t="s">
        <v>91</v>
      </c>
      <c r="AB123" s="112" t="s">
        <v>92</v>
      </c>
      <c r="AC123" s="112" t="s">
        <v>93</v>
      </c>
      <c r="AD123" s="112" t="s">
        <v>94</v>
      </c>
      <c r="AE123" s="112" t="s">
        <v>95</v>
      </c>
      <c r="AG123" s="112" t="s">
        <v>82</v>
      </c>
      <c r="AH123" s="112" t="s">
        <v>83</v>
      </c>
      <c r="AI123" s="112" t="s">
        <v>84</v>
      </c>
      <c r="AJ123" s="112" t="s">
        <v>85</v>
      </c>
      <c r="AK123" s="112" t="s">
        <v>86</v>
      </c>
      <c r="AL123" s="112" t="s">
        <v>87</v>
      </c>
      <c r="AM123" s="112" t="s">
        <v>88</v>
      </c>
      <c r="AN123" s="112" t="s">
        <v>89</v>
      </c>
      <c r="AO123" s="112" t="s">
        <v>90</v>
      </c>
      <c r="AP123" s="112" t="s">
        <v>91</v>
      </c>
      <c r="AQ123" s="112" t="s">
        <v>92</v>
      </c>
      <c r="AR123" s="112" t="s">
        <v>93</v>
      </c>
      <c r="AS123" s="112" t="s">
        <v>94</v>
      </c>
      <c r="AT123" s="112" t="s">
        <v>95</v>
      </c>
    </row>
    <row r="124" spans="3:46" ht="15" hidden="1" customHeight="1" x14ac:dyDescent="0.25">
      <c r="C124" s="200" t="str">
        <f>C122</f>
        <v>SERVIÇOS</v>
      </c>
      <c r="D124" s="193">
        <f>D99</f>
        <v>0</v>
      </c>
      <c r="E124" s="193">
        <f t="shared" ref="E124" si="46">E99</f>
        <v>0</v>
      </c>
      <c r="F124" s="193">
        <f>IF(F99&lt;=$S$105,F99,$S$105)</f>
        <v>0</v>
      </c>
      <c r="G124" s="193">
        <f>G99</f>
        <v>0</v>
      </c>
      <c r="H124" s="193">
        <f t="shared" ref="H124" si="47">H99</f>
        <v>0</v>
      </c>
      <c r="I124" s="193">
        <f>IF(I99&lt;=$S$105,I99,$S$105)</f>
        <v>0</v>
      </c>
      <c r="J124" s="193">
        <f>J99</f>
        <v>0</v>
      </c>
      <c r="K124" s="193">
        <f t="shared" ref="K124" si="48">K99</f>
        <v>0</v>
      </c>
      <c r="L124" s="193">
        <f>IF(L99&lt;=$S$105,L99,$S$105)</f>
        <v>0</v>
      </c>
      <c r="M124" s="193">
        <f>M99</f>
        <v>0</v>
      </c>
      <c r="N124" s="193">
        <f t="shared" ref="N124" si="49">N99</f>
        <v>0</v>
      </c>
      <c r="O124" s="193">
        <f>IF(O99&lt;=$S$105,O99,$S$105)</f>
        <v>0</v>
      </c>
      <c r="P124" s="114">
        <f>SUM(D124:O124)</f>
        <v>0</v>
      </c>
      <c r="R124" s="200" t="str">
        <f>R122</f>
        <v>SERVIÇOS</v>
      </c>
      <c r="S124" s="193">
        <f>D104</f>
        <v>0</v>
      </c>
      <c r="T124" s="193">
        <f t="shared" ref="T124" si="50">E104</f>
        <v>0</v>
      </c>
      <c r="U124" s="193">
        <f>IF(F99&lt;=$S$105,0,F99-$S$105)</f>
        <v>0</v>
      </c>
      <c r="V124" s="193">
        <f>G104</f>
        <v>0</v>
      </c>
      <c r="W124" s="193">
        <f t="shared" ref="W124" si="51">H104</f>
        <v>0</v>
      </c>
      <c r="X124" s="193">
        <f>IF(I99&lt;=$S$105,0,I99-$S$105)</f>
        <v>0</v>
      </c>
      <c r="Y124" s="193">
        <f>J104</f>
        <v>0</v>
      </c>
      <c r="Z124" s="193">
        <f t="shared" ref="Z124" si="52">K104</f>
        <v>0</v>
      </c>
      <c r="AA124" s="193">
        <f>IF(L99&lt;=$S$105,0,L99-$S$105)</f>
        <v>0</v>
      </c>
      <c r="AB124" s="193">
        <f>M104</f>
        <v>0</v>
      </c>
      <c r="AC124" s="193">
        <f t="shared" ref="AC124" si="53">N104</f>
        <v>0</v>
      </c>
      <c r="AD124" s="193">
        <f>IF(O99&lt;=$S$105,0,O99-$S$105)</f>
        <v>0</v>
      </c>
      <c r="AE124" s="114">
        <f>SUM(S124:AD124)</f>
        <v>0</v>
      </c>
      <c r="AG124" s="200" t="str">
        <f>AG122</f>
        <v>SERVIÇOS</v>
      </c>
      <c r="AH124" s="193">
        <f>D99</f>
        <v>0</v>
      </c>
      <c r="AI124" s="193">
        <f t="shared" ref="AI124:AS124" si="54">E99</f>
        <v>0</v>
      </c>
      <c r="AJ124" s="193">
        <f>F99</f>
        <v>0</v>
      </c>
      <c r="AK124" s="193">
        <f t="shared" si="54"/>
        <v>0</v>
      </c>
      <c r="AL124" s="193">
        <f t="shared" si="54"/>
        <v>0</v>
      </c>
      <c r="AM124" s="193">
        <f t="shared" si="54"/>
        <v>0</v>
      </c>
      <c r="AN124" s="193">
        <f t="shared" si="54"/>
        <v>0</v>
      </c>
      <c r="AO124" s="193">
        <f t="shared" si="54"/>
        <v>0</v>
      </c>
      <c r="AP124" s="193">
        <f t="shared" si="54"/>
        <v>0</v>
      </c>
      <c r="AQ124" s="193">
        <f t="shared" si="54"/>
        <v>0</v>
      </c>
      <c r="AR124" s="193">
        <f t="shared" si="54"/>
        <v>0</v>
      </c>
      <c r="AS124" s="193">
        <f t="shared" si="54"/>
        <v>0</v>
      </c>
      <c r="AT124" s="114">
        <f>SUM(AH124:AS124)</f>
        <v>0</v>
      </c>
    </row>
    <row r="125" spans="3:46" ht="15" hidden="1" customHeight="1" x14ac:dyDescent="0.25">
      <c r="C125" s="200" t="s">
        <v>345</v>
      </c>
      <c r="D125" s="193">
        <v>0</v>
      </c>
      <c r="E125" s="193">
        <v>0</v>
      </c>
      <c r="F125" s="193">
        <f>F124*$D$122</f>
        <v>0</v>
      </c>
      <c r="G125" s="193">
        <v>0</v>
      </c>
      <c r="H125" s="193">
        <v>0</v>
      </c>
      <c r="I125" s="193">
        <f>I124*$D$122</f>
        <v>0</v>
      </c>
      <c r="J125" s="193">
        <v>0</v>
      </c>
      <c r="K125" s="193">
        <v>0</v>
      </c>
      <c r="L125" s="193">
        <f>L124*$D$122</f>
        <v>0</v>
      </c>
      <c r="M125" s="193">
        <v>0</v>
      </c>
      <c r="N125" s="193">
        <v>0</v>
      </c>
      <c r="O125" s="193">
        <f>O124*$D$122</f>
        <v>0</v>
      </c>
      <c r="P125" s="114">
        <f>SUM(D125:O125)</f>
        <v>0</v>
      </c>
      <c r="R125" s="200" t="s">
        <v>345</v>
      </c>
      <c r="S125" s="193">
        <v>0</v>
      </c>
      <c r="T125" s="193">
        <v>0</v>
      </c>
      <c r="U125" s="193">
        <f>U124*$S$122</f>
        <v>0</v>
      </c>
      <c r="V125" s="193">
        <v>0</v>
      </c>
      <c r="W125" s="193">
        <v>0</v>
      </c>
      <c r="X125" s="193">
        <f>X124*$S$122</f>
        <v>0</v>
      </c>
      <c r="Y125" s="193">
        <v>0</v>
      </c>
      <c r="Z125" s="193">
        <v>0</v>
      </c>
      <c r="AA125" s="193">
        <f>AA124*$S$122</f>
        <v>0</v>
      </c>
      <c r="AB125" s="193">
        <v>0</v>
      </c>
      <c r="AC125" s="193">
        <v>0</v>
      </c>
      <c r="AD125" s="193">
        <f>AD124*$S$122</f>
        <v>0</v>
      </c>
      <c r="AE125" s="114">
        <f>SUM(S125:AD125)</f>
        <v>0</v>
      </c>
      <c r="AG125" s="200" t="s">
        <v>345</v>
      </c>
      <c r="AH125" s="193">
        <v>0</v>
      </c>
      <c r="AI125" s="193">
        <v>0</v>
      </c>
      <c r="AJ125" s="193">
        <f>AJ124*$AH$122</f>
        <v>0</v>
      </c>
      <c r="AK125" s="193">
        <v>0</v>
      </c>
      <c r="AL125" s="193">
        <v>0</v>
      </c>
      <c r="AM125" s="193">
        <f>AM124*$AH$122</f>
        <v>0</v>
      </c>
      <c r="AN125" s="193">
        <v>0</v>
      </c>
      <c r="AO125" s="193">
        <v>0</v>
      </c>
      <c r="AP125" s="193">
        <f>AP124*$AH$122</f>
        <v>0</v>
      </c>
      <c r="AQ125" s="193">
        <v>0</v>
      </c>
      <c r="AR125" s="193">
        <v>0</v>
      </c>
      <c r="AS125" s="193">
        <f>AS124*$AH$122</f>
        <v>0</v>
      </c>
      <c r="AT125" s="114">
        <f>SUM(AH125:AS125)</f>
        <v>0</v>
      </c>
    </row>
    <row r="126" spans="3:46" ht="15" hidden="1" customHeight="1" x14ac:dyDescent="0.25">
      <c r="C126" s="258" t="s">
        <v>40</v>
      </c>
      <c r="D126" s="259">
        <v>0</v>
      </c>
      <c r="E126" s="259">
        <v>0</v>
      </c>
      <c r="F126" s="259">
        <f>F125*$F$106</f>
        <v>0</v>
      </c>
      <c r="G126" s="259">
        <v>0</v>
      </c>
      <c r="H126" s="259">
        <v>0</v>
      </c>
      <c r="I126" s="259">
        <f>I125*$F$106</f>
        <v>0</v>
      </c>
      <c r="J126" s="259">
        <v>0</v>
      </c>
      <c r="K126" s="259">
        <v>0</v>
      </c>
      <c r="L126" s="259">
        <f>L125*$F$106</f>
        <v>0</v>
      </c>
      <c r="M126" s="259">
        <v>0</v>
      </c>
      <c r="N126" s="259">
        <v>0</v>
      </c>
      <c r="O126" s="259">
        <f>O125*$F$106</f>
        <v>0</v>
      </c>
      <c r="P126" s="114">
        <f>SUM(D126:O126)</f>
        <v>0</v>
      </c>
      <c r="R126" s="258" t="s">
        <v>40</v>
      </c>
      <c r="S126" s="259">
        <v>0</v>
      </c>
      <c r="T126" s="259">
        <v>0</v>
      </c>
      <c r="U126" s="259">
        <f>U125*$F$106</f>
        <v>0</v>
      </c>
      <c r="V126" s="259">
        <v>0</v>
      </c>
      <c r="W126" s="259">
        <v>0</v>
      </c>
      <c r="X126" s="259">
        <f>X125*$F$106</f>
        <v>0</v>
      </c>
      <c r="Y126" s="259">
        <v>0</v>
      </c>
      <c r="Z126" s="259">
        <v>0</v>
      </c>
      <c r="AA126" s="259">
        <f>AA125*$F$106</f>
        <v>0</v>
      </c>
      <c r="AB126" s="259">
        <v>0</v>
      </c>
      <c r="AC126" s="259">
        <v>0</v>
      </c>
      <c r="AD126" s="259">
        <f>AD125*$F$106</f>
        <v>0</v>
      </c>
      <c r="AE126" s="114">
        <f>SUM(S126:AD126)</f>
        <v>0</v>
      </c>
      <c r="AG126" s="258" t="s">
        <v>40</v>
      </c>
      <c r="AH126" s="259">
        <v>0</v>
      </c>
      <c r="AI126" s="259">
        <v>0</v>
      </c>
      <c r="AJ126" s="259">
        <f>AJ125*$F$106</f>
        <v>0</v>
      </c>
      <c r="AK126" s="259">
        <v>0</v>
      </c>
      <c r="AL126" s="259">
        <v>0</v>
      </c>
      <c r="AM126" s="259">
        <f>AM125*$F$106</f>
        <v>0</v>
      </c>
      <c r="AN126" s="259">
        <v>0</v>
      </c>
      <c r="AO126" s="259">
        <v>0</v>
      </c>
      <c r="AP126" s="259">
        <f>AP125*$F$106</f>
        <v>0</v>
      </c>
      <c r="AQ126" s="259">
        <v>0</v>
      </c>
      <c r="AR126" s="259">
        <v>0</v>
      </c>
      <c r="AS126" s="259">
        <f>AS125*$F$106</f>
        <v>0</v>
      </c>
      <c r="AT126" s="114">
        <f>SUM(AH126:AS126)</f>
        <v>0</v>
      </c>
    </row>
    <row r="127" spans="3:46" ht="15" hidden="1" customHeight="1" x14ac:dyDescent="0.25">
      <c r="C127" s="200" t="s">
        <v>346</v>
      </c>
      <c r="D127" s="193">
        <v>0</v>
      </c>
      <c r="E127" s="193">
        <v>0</v>
      </c>
      <c r="F127" s="193">
        <f>F124*$E$122</f>
        <v>0</v>
      </c>
      <c r="G127" s="193">
        <v>0</v>
      </c>
      <c r="H127" s="193">
        <v>0</v>
      </c>
      <c r="I127" s="193">
        <f>I124*$E$122</f>
        <v>0</v>
      </c>
      <c r="J127" s="193">
        <v>0</v>
      </c>
      <c r="K127" s="193">
        <v>0</v>
      </c>
      <c r="L127" s="193">
        <f>L124*$E$122</f>
        <v>0</v>
      </c>
      <c r="M127" s="193">
        <v>0</v>
      </c>
      <c r="N127" s="193">
        <v>0</v>
      </c>
      <c r="O127" s="193">
        <f>O124*$E$122</f>
        <v>0</v>
      </c>
      <c r="P127" s="114">
        <f>SUM(D127:O127)</f>
        <v>0</v>
      </c>
      <c r="R127" s="200" t="s">
        <v>346</v>
      </c>
      <c r="S127" s="193">
        <v>0</v>
      </c>
      <c r="T127" s="193">
        <v>0</v>
      </c>
      <c r="U127" s="193">
        <f>U124*$T$122</f>
        <v>0</v>
      </c>
      <c r="V127" s="193">
        <v>0</v>
      </c>
      <c r="W127" s="193">
        <v>0</v>
      </c>
      <c r="X127" s="193">
        <f>X124*$T$122</f>
        <v>0</v>
      </c>
      <c r="Y127" s="193">
        <v>0</v>
      </c>
      <c r="Z127" s="193">
        <v>0</v>
      </c>
      <c r="AA127" s="193">
        <f>AA124*$T$122</f>
        <v>0</v>
      </c>
      <c r="AB127" s="193">
        <v>0</v>
      </c>
      <c r="AC127" s="193">
        <v>0</v>
      </c>
      <c r="AD127" s="193">
        <f>AD124*$T$122</f>
        <v>0</v>
      </c>
      <c r="AE127" s="114">
        <f>SUM(S127:AD127)</f>
        <v>0</v>
      </c>
      <c r="AG127" s="200" t="s">
        <v>346</v>
      </c>
      <c r="AH127" s="193">
        <v>0</v>
      </c>
      <c r="AI127" s="193">
        <v>0</v>
      </c>
      <c r="AJ127" s="193">
        <f>AJ124*$AI$122</f>
        <v>0</v>
      </c>
      <c r="AK127" s="193">
        <v>0</v>
      </c>
      <c r="AL127" s="193">
        <v>0</v>
      </c>
      <c r="AM127" s="193">
        <f>AM124*$AI$122</f>
        <v>0</v>
      </c>
      <c r="AN127" s="193">
        <v>0</v>
      </c>
      <c r="AO127" s="193">
        <v>0</v>
      </c>
      <c r="AP127" s="193">
        <f>AP124*$AI$122</f>
        <v>0</v>
      </c>
      <c r="AQ127" s="193">
        <v>0</v>
      </c>
      <c r="AR127" s="193">
        <v>0</v>
      </c>
      <c r="AS127" s="193">
        <f>AS124*$AI$122</f>
        <v>0</v>
      </c>
      <c r="AT127" s="114">
        <f>SUM(AH127:AS127)</f>
        <v>0</v>
      </c>
    </row>
    <row r="128" spans="3:46" ht="15" hidden="1" customHeight="1" x14ac:dyDescent="0.25">
      <c r="C128" s="258" t="s">
        <v>42</v>
      </c>
      <c r="D128" s="259">
        <v>0</v>
      </c>
      <c r="E128" s="259">
        <v>0</v>
      </c>
      <c r="F128" s="259">
        <f>F127*$G$106</f>
        <v>0</v>
      </c>
      <c r="G128" s="259">
        <v>0</v>
      </c>
      <c r="H128" s="259">
        <v>0</v>
      </c>
      <c r="I128" s="259">
        <f>I127*$G$106</f>
        <v>0</v>
      </c>
      <c r="J128" s="259">
        <v>0</v>
      </c>
      <c r="K128" s="259">
        <v>0</v>
      </c>
      <c r="L128" s="259">
        <f>L127*$G$106</f>
        <v>0</v>
      </c>
      <c r="M128" s="259">
        <v>0</v>
      </c>
      <c r="N128" s="259">
        <v>0</v>
      </c>
      <c r="O128" s="259">
        <f>O127*$G$106</f>
        <v>0</v>
      </c>
      <c r="P128" s="114">
        <f>SUM(D128:O128)</f>
        <v>0</v>
      </c>
      <c r="R128" s="258" t="s">
        <v>42</v>
      </c>
      <c r="S128" s="259">
        <v>0</v>
      </c>
      <c r="T128" s="259">
        <v>0</v>
      </c>
      <c r="U128" s="259">
        <f>U127*$G$106</f>
        <v>0</v>
      </c>
      <c r="V128" s="259">
        <v>0</v>
      </c>
      <c r="W128" s="259">
        <v>0</v>
      </c>
      <c r="X128" s="259">
        <f>X127*$G$106</f>
        <v>0</v>
      </c>
      <c r="Y128" s="259">
        <v>0</v>
      </c>
      <c r="Z128" s="259">
        <v>0</v>
      </c>
      <c r="AA128" s="259">
        <f>AA127*$G$106</f>
        <v>0</v>
      </c>
      <c r="AB128" s="259">
        <v>0</v>
      </c>
      <c r="AC128" s="259">
        <v>0</v>
      </c>
      <c r="AD128" s="259">
        <f>AD127*$G$106</f>
        <v>0</v>
      </c>
      <c r="AE128" s="114">
        <f>SUM(S128:AD128)</f>
        <v>0</v>
      </c>
      <c r="AG128" s="258" t="s">
        <v>42</v>
      </c>
      <c r="AH128" s="259">
        <v>0</v>
      </c>
      <c r="AI128" s="259">
        <v>0</v>
      </c>
      <c r="AJ128" s="259">
        <f>AJ127*$G$106</f>
        <v>0</v>
      </c>
      <c r="AK128" s="259">
        <v>0</v>
      </c>
      <c r="AL128" s="259">
        <v>0</v>
      </c>
      <c r="AM128" s="259">
        <f>AM127*$G$106</f>
        <v>0</v>
      </c>
      <c r="AN128" s="259">
        <v>0</v>
      </c>
      <c r="AO128" s="259">
        <v>0</v>
      </c>
      <c r="AP128" s="259">
        <f>AP127*$G$106</f>
        <v>0</v>
      </c>
      <c r="AQ128" s="259">
        <v>0</v>
      </c>
      <c r="AR128" s="259">
        <v>0</v>
      </c>
      <c r="AS128" s="259">
        <f>AS127*$G$106</f>
        <v>0</v>
      </c>
      <c r="AT128" s="114">
        <f>SUM(AH128:AS128)</f>
        <v>0</v>
      </c>
    </row>
    <row r="129" spans="3:46" ht="15" hidden="1" customHeight="1" x14ac:dyDescent="0.25"/>
    <row r="130" spans="3:46" ht="15" hidden="1" customHeight="1" x14ac:dyDescent="0.25">
      <c r="C130" s="257" t="s">
        <v>350</v>
      </c>
      <c r="AG130" s="257" t="s">
        <v>350</v>
      </c>
    </row>
    <row r="131" spans="3:46" ht="15" hidden="1" customHeight="1" x14ac:dyDescent="0.25">
      <c r="C131" s="112" t="s">
        <v>82</v>
      </c>
      <c r="D131" s="112" t="s">
        <v>83</v>
      </c>
      <c r="E131" s="112" t="s">
        <v>84</v>
      </c>
      <c r="F131" s="112" t="s">
        <v>85</v>
      </c>
      <c r="G131" s="112" t="s">
        <v>86</v>
      </c>
      <c r="H131" s="112" t="s">
        <v>87</v>
      </c>
      <c r="I131" s="112" t="s">
        <v>88</v>
      </c>
      <c r="J131" s="112" t="s">
        <v>89</v>
      </c>
      <c r="K131" s="112" t="s">
        <v>90</v>
      </c>
      <c r="L131" s="112" t="s">
        <v>91</v>
      </c>
      <c r="M131" s="112" t="s">
        <v>92</v>
      </c>
      <c r="N131" s="112" t="s">
        <v>93</v>
      </c>
      <c r="O131" s="112" t="s">
        <v>94</v>
      </c>
      <c r="P131" s="112" t="s">
        <v>95</v>
      </c>
      <c r="AG131" s="112" t="s">
        <v>82</v>
      </c>
      <c r="AH131" s="112" t="s">
        <v>83</v>
      </c>
      <c r="AI131" s="112" t="s">
        <v>84</v>
      </c>
      <c r="AJ131" s="112" t="s">
        <v>85</v>
      </c>
      <c r="AK131" s="112" t="s">
        <v>86</v>
      </c>
      <c r="AL131" s="112" t="s">
        <v>87</v>
      </c>
      <c r="AM131" s="112" t="s">
        <v>88</v>
      </c>
      <c r="AN131" s="112" t="s">
        <v>89</v>
      </c>
      <c r="AO131" s="112" t="s">
        <v>90</v>
      </c>
      <c r="AP131" s="112" t="s">
        <v>91</v>
      </c>
      <c r="AQ131" s="112" t="s">
        <v>92</v>
      </c>
      <c r="AR131" s="112" t="s">
        <v>93</v>
      </c>
      <c r="AS131" s="112" t="s">
        <v>94</v>
      </c>
      <c r="AT131" s="112" t="s">
        <v>95</v>
      </c>
    </row>
    <row r="132" spans="3:46" ht="15" hidden="1" customHeight="1" x14ac:dyDescent="0.25">
      <c r="C132" s="200" t="s">
        <v>67</v>
      </c>
      <c r="D132" s="18">
        <v>0</v>
      </c>
      <c r="E132" s="18">
        <v>0</v>
      </c>
      <c r="F132" s="193">
        <f>F109+F117+F125+U109+U117+U125</f>
        <v>30138.32</v>
      </c>
      <c r="G132" s="18">
        <v>0</v>
      </c>
      <c r="H132" s="18">
        <v>0</v>
      </c>
      <c r="I132" s="193">
        <f>I109+I117+I125+X109+X117+X125</f>
        <v>27492.48</v>
      </c>
      <c r="J132" s="18">
        <v>0</v>
      </c>
      <c r="K132" s="18">
        <v>0</v>
      </c>
      <c r="L132" s="193">
        <f>L109+L117+L125+AA109+AA117+AA125</f>
        <v>26888.720000000001</v>
      </c>
      <c r="M132" s="18">
        <v>0</v>
      </c>
      <c r="N132" s="18">
        <v>0</v>
      </c>
      <c r="O132" s="193">
        <f>O109+O117+O125+AD109+AD117+AD125</f>
        <v>26857.84</v>
      </c>
      <c r="P132" s="114">
        <f>SUM(D132:O132)</f>
        <v>111377.36</v>
      </c>
      <c r="AG132" s="200" t="s">
        <v>67</v>
      </c>
      <c r="AH132" s="18">
        <v>0</v>
      </c>
      <c r="AI132" s="18">
        <v>0</v>
      </c>
      <c r="AJ132" s="193">
        <f>AJ109+AJ117+AJ125</f>
        <v>30138.32</v>
      </c>
      <c r="AK132" s="18">
        <v>0</v>
      </c>
      <c r="AL132" s="18">
        <v>0</v>
      </c>
      <c r="AM132" s="193">
        <f>AM109+AM117+AM125</f>
        <v>27492.48</v>
      </c>
      <c r="AN132" s="18">
        <v>0</v>
      </c>
      <c r="AO132" s="18">
        <v>0</v>
      </c>
      <c r="AP132" s="193">
        <f>AP109+AP117+AP125</f>
        <v>26888.720000000001</v>
      </c>
      <c r="AQ132" s="18">
        <v>0</v>
      </c>
      <c r="AR132" s="18">
        <v>0</v>
      </c>
      <c r="AS132" s="193">
        <f>AS109+AS117+AS125</f>
        <v>26857.84</v>
      </c>
      <c r="AT132" s="114">
        <f>SUM(AH132:AS132)</f>
        <v>111377.36</v>
      </c>
    </row>
    <row r="133" spans="3:46" ht="15" hidden="1" customHeight="1" x14ac:dyDescent="0.25">
      <c r="C133" s="200" t="s">
        <v>68</v>
      </c>
      <c r="D133" s="18">
        <v>0</v>
      </c>
      <c r="E133" s="18">
        <v>0</v>
      </c>
      <c r="F133" s="193">
        <f>IF(F132&lt;60000,0,F132-60000)</f>
        <v>0</v>
      </c>
      <c r="G133" s="18">
        <v>0</v>
      </c>
      <c r="H133" s="18">
        <v>0</v>
      </c>
      <c r="I133" s="193">
        <f>IF(I132&lt;60000,0,I132-60000)</f>
        <v>0</v>
      </c>
      <c r="J133" s="18">
        <v>0</v>
      </c>
      <c r="K133" s="18">
        <v>0</v>
      </c>
      <c r="L133" s="193">
        <f>IF(L132&lt;60000,0,L132-60000)</f>
        <v>0</v>
      </c>
      <c r="M133" s="18">
        <v>0</v>
      </c>
      <c r="N133" s="18">
        <v>0</v>
      </c>
      <c r="O133" s="193">
        <f>IF(O132&lt;60000,0,O132-60000)</f>
        <v>0</v>
      </c>
      <c r="P133" s="114">
        <f>SUM(D133:O133)</f>
        <v>0</v>
      </c>
      <c r="AG133" s="200" t="s">
        <v>68</v>
      </c>
      <c r="AH133" s="18">
        <v>0</v>
      </c>
      <c r="AI133" s="18">
        <v>0</v>
      </c>
      <c r="AJ133" s="193">
        <f>IF(AJ132&lt;60000,0,AJ132-60000)</f>
        <v>0</v>
      </c>
      <c r="AK133" s="18">
        <v>0</v>
      </c>
      <c r="AL133" s="18">
        <v>0</v>
      </c>
      <c r="AM133" s="193">
        <f>IF(AM132&lt;60000,0,AM132-60000)</f>
        <v>0</v>
      </c>
      <c r="AN133" s="18">
        <v>0</v>
      </c>
      <c r="AO133" s="18">
        <v>0</v>
      </c>
      <c r="AP133" s="193">
        <f>IF(AP132&lt;60000,0,AP132-60000)</f>
        <v>0</v>
      </c>
      <c r="AQ133" s="18">
        <v>0</v>
      </c>
      <c r="AR133" s="18">
        <v>0</v>
      </c>
      <c r="AS133" s="193">
        <f>IF(AS132&lt;60000,0,AS132-60000)</f>
        <v>0</v>
      </c>
      <c r="AT133" s="114">
        <f>SUM(AH133:AS133)</f>
        <v>0</v>
      </c>
    </row>
    <row r="134" spans="3:46" ht="15" hidden="1" customHeight="1" x14ac:dyDescent="0.25">
      <c r="C134" s="258" t="s">
        <v>242</v>
      </c>
      <c r="D134" s="260">
        <v>0</v>
      </c>
      <c r="E134" s="260">
        <v>0</v>
      </c>
      <c r="F134" s="259">
        <f>F133*TabP!$F$19</f>
        <v>0</v>
      </c>
      <c r="G134" s="260">
        <v>0</v>
      </c>
      <c r="H134" s="260">
        <v>0</v>
      </c>
      <c r="I134" s="259">
        <f>I133*TabP!$F$19</f>
        <v>0</v>
      </c>
      <c r="J134" s="260">
        <v>0</v>
      </c>
      <c r="K134" s="260">
        <v>0</v>
      </c>
      <c r="L134" s="259">
        <f>L133*TabP!$F$19</f>
        <v>0</v>
      </c>
      <c r="M134" s="260">
        <v>0</v>
      </c>
      <c r="N134" s="260">
        <v>0</v>
      </c>
      <c r="O134" s="259">
        <f>O133*TabP!$F$19</f>
        <v>0</v>
      </c>
      <c r="P134" s="114">
        <f>SUM(D134:O134)</f>
        <v>0</v>
      </c>
      <c r="AG134" s="258" t="s">
        <v>242</v>
      </c>
      <c r="AH134" s="260">
        <v>0</v>
      </c>
      <c r="AI134" s="260">
        <v>0</v>
      </c>
      <c r="AJ134" s="259">
        <f>AJ133*TabP!$F$19</f>
        <v>0</v>
      </c>
      <c r="AK134" s="260">
        <v>0</v>
      </c>
      <c r="AL134" s="260">
        <v>0</v>
      </c>
      <c r="AM134" s="259">
        <f>AM133*TabP!$F$19</f>
        <v>0</v>
      </c>
      <c r="AN134" s="260">
        <v>0</v>
      </c>
      <c r="AO134" s="260">
        <v>0</v>
      </c>
      <c r="AP134" s="259">
        <f>AP133*TabP!$F$19</f>
        <v>0</v>
      </c>
      <c r="AQ134" s="260">
        <v>0</v>
      </c>
      <c r="AR134" s="260">
        <v>0</v>
      </c>
      <c r="AS134" s="259">
        <f>AS133*TabP!$F$19</f>
        <v>0</v>
      </c>
      <c r="AT134" s="114">
        <f>SUM(AH134:AS134)</f>
        <v>0</v>
      </c>
    </row>
    <row r="135" spans="3:46" ht="15" hidden="1" customHeight="1" x14ac:dyDescent="0.25">
      <c r="R135" s="269" t="s">
        <v>359</v>
      </c>
      <c r="AG135" s="269" t="s">
        <v>360</v>
      </c>
    </row>
    <row r="136" spans="3:46" ht="15" hidden="1" customHeight="1" x14ac:dyDescent="0.25">
      <c r="C136" s="261" t="s">
        <v>40</v>
      </c>
      <c r="D136" s="262">
        <f>S136</f>
        <v>0</v>
      </c>
      <c r="E136" s="262">
        <f t="shared" ref="E136:O138" si="55">T136</f>
        <v>0</v>
      </c>
      <c r="F136" s="262">
        <f t="shared" si="55"/>
        <v>4520.7479999999996</v>
      </c>
      <c r="G136" s="262">
        <f t="shared" si="55"/>
        <v>0</v>
      </c>
      <c r="H136" s="262">
        <f t="shared" si="55"/>
        <v>0</v>
      </c>
      <c r="I136" s="262">
        <f t="shared" si="55"/>
        <v>4123.8719999999994</v>
      </c>
      <c r="J136" s="262">
        <f t="shared" si="55"/>
        <v>0</v>
      </c>
      <c r="K136" s="262">
        <f t="shared" si="55"/>
        <v>0</v>
      </c>
      <c r="L136" s="262">
        <f t="shared" si="55"/>
        <v>4033.308</v>
      </c>
      <c r="M136" s="262">
        <f t="shared" si="55"/>
        <v>0</v>
      </c>
      <c r="N136" s="262">
        <f t="shared" si="55"/>
        <v>0</v>
      </c>
      <c r="O136" s="262">
        <f t="shared" si="55"/>
        <v>4028.6759999999999</v>
      </c>
      <c r="P136" s="114">
        <f>SUM(D136:O136)</f>
        <v>16706.603999999999</v>
      </c>
      <c r="R136" s="261" t="s">
        <v>40</v>
      </c>
      <c r="S136" s="262">
        <f>S110+AH110+S118+AH118+S126+AH126</f>
        <v>0</v>
      </c>
      <c r="T136" s="262">
        <f t="shared" ref="T136" si="56">T110+AI110+T118+AI118+T126+AI126</f>
        <v>0</v>
      </c>
      <c r="U136" s="262">
        <f>F110+F118+F126+U110+U118+U126</f>
        <v>4520.7479999999996</v>
      </c>
      <c r="V136" s="262">
        <f t="shared" ref="V136" si="57">V110+AK110+V118+AK118+V126+AK126</f>
        <v>0</v>
      </c>
      <c r="W136" s="262">
        <f t="shared" ref="W136" si="58">W110+AL110+W118+AL118+W126+AL126</f>
        <v>0</v>
      </c>
      <c r="X136" s="262">
        <f>I110+I118+I126+X110+X118+X126</f>
        <v>4123.8719999999994</v>
      </c>
      <c r="Y136" s="262">
        <f t="shared" ref="Y136" si="59">Y110+AN110+Y118+AN118+Y126+AN126</f>
        <v>0</v>
      </c>
      <c r="Z136" s="262">
        <f t="shared" ref="Z136" si="60">Z110+AO110+Z118+AO118+Z126+AO126</f>
        <v>0</v>
      </c>
      <c r="AA136" s="262">
        <f>L110+L118+L126+AA110+AA118+AA126</f>
        <v>4033.308</v>
      </c>
      <c r="AB136" s="262">
        <f t="shared" ref="AB136" si="61">AB110+AQ110+AB118+AQ118+AB126+AQ126</f>
        <v>0</v>
      </c>
      <c r="AC136" s="262">
        <f t="shared" ref="AC136" si="62">AC110+AR110+AC118+AR118+AC126+AR126</f>
        <v>0</v>
      </c>
      <c r="AD136" s="262">
        <f>O110+O118+O126+AD110+AD118+AD126</f>
        <v>4028.6759999999999</v>
      </c>
      <c r="AE136" s="114">
        <f>SUM(S136:AD136)</f>
        <v>16706.603999999999</v>
      </c>
      <c r="AG136" s="261" t="s">
        <v>40</v>
      </c>
      <c r="AH136" s="262">
        <f>AH109+AW109+AH117+AW117+AH125+AW125</f>
        <v>0</v>
      </c>
      <c r="AI136" s="262">
        <f>AI109+AX109+AI117+AX117+AI125+AX125</f>
        <v>0</v>
      </c>
      <c r="AJ136" s="262">
        <f>AJ110+AJ118+AJ126</f>
        <v>4520.7479999999996</v>
      </c>
      <c r="AK136" s="262">
        <f>AK109+AZ109+AK117+AZ117+AK125+AZ125</f>
        <v>0</v>
      </c>
      <c r="AL136" s="262">
        <f>AL109+BA109+AL117+BA117+AL125+BA125</f>
        <v>0</v>
      </c>
      <c r="AM136" s="262">
        <f>AM110+AM118+AM126</f>
        <v>4123.8719999999994</v>
      </c>
      <c r="AN136" s="262">
        <f>AN109+BC109+AN117+BC117+AN125+BC125</f>
        <v>0</v>
      </c>
      <c r="AO136" s="262">
        <f>AO109+BD109+AO117+BD117+AO125+BD125</f>
        <v>0</v>
      </c>
      <c r="AP136" s="262">
        <f>AP110+AP118+AP126</f>
        <v>4033.308</v>
      </c>
      <c r="AQ136" s="262">
        <f>AQ109+BF109+AQ117+BF117+AQ125+BF125</f>
        <v>0</v>
      </c>
      <c r="AR136" s="262">
        <f>AR109+BG109+AR117+BG117+AR125+BG125</f>
        <v>0</v>
      </c>
      <c r="AS136" s="262">
        <f>AS110+AS118+AS126</f>
        <v>4028.6759999999999</v>
      </c>
      <c r="AT136" s="114">
        <f>SUM(AH136:AS136)</f>
        <v>16706.603999999999</v>
      </c>
    </row>
    <row r="137" spans="3:46" ht="15" hidden="1" customHeight="1" x14ac:dyDescent="0.25">
      <c r="C137" s="261" t="s">
        <v>242</v>
      </c>
      <c r="D137" s="262">
        <f t="shared" ref="D137:D138" si="63">S137</f>
        <v>0</v>
      </c>
      <c r="E137" s="262">
        <f t="shared" si="55"/>
        <v>0</v>
      </c>
      <c r="F137" s="262">
        <f t="shared" si="55"/>
        <v>0</v>
      </c>
      <c r="G137" s="262">
        <f t="shared" si="55"/>
        <v>0</v>
      </c>
      <c r="H137" s="262">
        <f t="shared" si="55"/>
        <v>0</v>
      </c>
      <c r="I137" s="262">
        <f t="shared" si="55"/>
        <v>0</v>
      </c>
      <c r="J137" s="262">
        <f t="shared" si="55"/>
        <v>0</v>
      </c>
      <c r="K137" s="262">
        <f t="shared" si="55"/>
        <v>0</v>
      </c>
      <c r="L137" s="262">
        <f t="shared" si="55"/>
        <v>0</v>
      </c>
      <c r="M137" s="262">
        <f t="shared" si="55"/>
        <v>0</v>
      </c>
      <c r="N137" s="262">
        <f t="shared" si="55"/>
        <v>0</v>
      </c>
      <c r="O137" s="262">
        <f t="shared" si="55"/>
        <v>0</v>
      </c>
      <c r="P137" s="114">
        <f>SUM(D137:O137)</f>
        <v>0</v>
      </c>
      <c r="R137" s="261" t="s">
        <v>242</v>
      </c>
      <c r="S137" s="262">
        <f>S134</f>
        <v>0</v>
      </c>
      <c r="T137" s="262">
        <f t="shared" ref="T137:AC137" si="64">T134</f>
        <v>0</v>
      </c>
      <c r="U137" s="262">
        <f>F134</f>
        <v>0</v>
      </c>
      <c r="V137" s="262">
        <f t="shared" si="64"/>
        <v>0</v>
      </c>
      <c r="W137" s="262">
        <f t="shared" si="64"/>
        <v>0</v>
      </c>
      <c r="X137" s="262">
        <f>I134</f>
        <v>0</v>
      </c>
      <c r="Y137" s="262">
        <f t="shared" si="64"/>
        <v>0</v>
      </c>
      <c r="Z137" s="262">
        <f t="shared" si="64"/>
        <v>0</v>
      </c>
      <c r="AA137" s="262">
        <f>L134</f>
        <v>0</v>
      </c>
      <c r="AB137" s="262">
        <f t="shared" si="64"/>
        <v>0</v>
      </c>
      <c r="AC137" s="262">
        <f t="shared" si="64"/>
        <v>0</v>
      </c>
      <c r="AD137" s="262">
        <f>O134</f>
        <v>0</v>
      </c>
      <c r="AE137" s="114">
        <f>SUM(S137:AD137)</f>
        <v>0</v>
      </c>
      <c r="AG137" s="261" t="s">
        <v>242</v>
      </c>
      <c r="AH137" s="262">
        <f>AH133</f>
        <v>0</v>
      </c>
      <c r="AI137" s="262">
        <f>AI133</f>
        <v>0</v>
      </c>
      <c r="AJ137" s="262">
        <f>AJ134</f>
        <v>0</v>
      </c>
      <c r="AK137" s="262">
        <f>AK133</f>
        <v>0</v>
      </c>
      <c r="AL137" s="262">
        <f>AL133</f>
        <v>0</v>
      </c>
      <c r="AM137" s="262">
        <f>AM134</f>
        <v>0</v>
      </c>
      <c r="AN137" s="262">
        <f>AN133</f>
        <v>0</v>
      </c>
      <c r="AO137" s="262">
        <f>AO133</f>
        <v>0</v>
      </c>
      <c r="AP137" s="262">
        <f>AP134</f>
        <v>0</v>
      </c>
      <c r="AQ137" s="262">
        <f>AQ133</f>
        <v>0</v>
      </c>
      <c r="AR137" s="262">
        <f>AR133</f>
        <v>0</v>
      </c>
      <c r="AS137" s="262">
        <f>AS134</f>
        <v>0</v>
      </c>
      <c r="AT137" s="114">
        <f>SUM(AH137:AS137)</f>
        <v>0</v>
      </c>
    </row>
    <row r="138" spans="3:46" ht="15" hidden="1" customHeight="1" x14ac:dyDescent="0.25">
      <c r="C138" s="261" t="s">
        <v>42</v>
      </c>
      <c r="D138" s="262">
        <f t="shared" si="63"/>
        <v>0</v>
      </c>
      <c r="E138" s="262">
        <f t="shared" si="55"/>
        <v>0</v>
      </c>
      <c r="F138" s="262">
        <f t="shared" si="55"/>
        <v>4068.6731999999993</v>
      </c>
      <c r="G138" s="262">
        <f t="shared" si="55"/>
        <v>0</v>
      </c>
      <c r="H138" s="262">
        <f t="shared" si="55"/>
        <v>0</v>
      </c>
      <c r="I138" s="262">
        <f t="shared" si="55"/>
        <v>3711.4848000000002</v>
      </c>
      <c r="J138" s="262">
        <f t="shared" si="55"/>
        <v>0</v>
      </c>
      <c r="K138" s="262">
        <f t="shared" si="55"/>
        <v>0</v>
      </c>
      <c r="L138" s="262">
        <f t="shared" si="55"/>
        <v>3629.9771999999998</v>
      </c>
      <c r="M138" s="262">
        <f t="shared" si="55"/>
        <v>0</v>
      </c>
      <c r="N138" s="262">
        <f t="shared" si="55"/>
        <v>0</v>
      </c>
      <c r="O138" s="262">
        <f t="shared" si="55"/>
        <v>3625.8083999999999</v>
      </c>
      <c r="P138" s="114">
        <f>SUM(D138:O138)</f>
        <v>15035.943599999999</v>
      </c>
      <c r="R138" s="261" t="s">
        <v>42</v>
      </c>
      <c r="S138" s="262">
        <f>S112+S120+S128+AH112+AH120+AH128</f>
        <v>0</v>
      </c>
      <c r="T138" s="262">
        <f t="shared" ref="T138" si="65">T112+T120+T128+AI112+AI120+AI128</f>
        <v>0</v>
      </c>
      <c r="U138" s="262">
        <f>F112+F120+F128+U112+U120+U128</f>
        <v>4068.6731999999993</v>
      </c>
      <c r="V138" s="262">
        <f t="shared" ref="V138" si="66">V112+V120+V128+AK112+AK120+AK128</f>
        <v>0</v>
      </c>
      <c r="W138" s="262">
        <f t="shared" ref="W138" si="67">W112+W120+W128+AL112+AL120+AL128</f>
        <v>0</v>
      </c>
      <c r="X138" s="262">
        <f>I112+I120+I128+X112+X120+X128</f>
        <v>3711.4848000000002</v>
      </c>
      <c r="Y138" s="262">
        <f t="shared" ref="Y138" si="68">Y112+Y120+Y128+AN112+AN120+AN128</f>
        <v>0</v>
      </c>
      <c r="Z138" s="262">
        <f t="shared" ref="Z138" si="69">Z112+Z120+Z128+AO112+AO120+AO128</f>
        <v>0</v>
      </c>
      <c r="AA138" s="262">
        <f>L112+L120+L128+AA112+AA120+AA128</f>
        <v>3629.9771999999998</v>
      </c>
      <c r="AB138" s="262">
        <f t="shared" ref="AB138" si="70">AB112+AB120+AB128+AQ112+AQ120+AQ128</f>
        <v>0</v>
      </c>
      <c r="AC138" s="262">
        <f t="shared" ref="AC138" si="71">AC112+AC120+AC128+AR112+AR120+AR128</f>
        <v>0</v>
      </c>
      <c r="AD138" s="262">
        <f>O112+O120+O128+AD112+AD120+AD128</f>
        <v>3625.8083999999999</v>
      </c>
      <c r="AE138" s="114">
        <f>SUM(S138:AD138)</f>
        <v>15035.943599999999</v>
      </c>
      <c r="AG138" s="261" t="s">
        <v>42</v>
      </c>
      <c r="AH138" s="262">
        <f>AH111+AH119+AH127+AW111+AW119+AW127</f>
        <v>0</v>
      </c>
      <c r="AI138" s="262">
        <f>AI111+AI119+AI127+AX111+AX119+AX127</f>
        <v>0</v>
      </c>
      <c r="AJ138" s="262">
        <f>AJ112+AJ120+AJ128</f>
        <v>4068.6731999999993</v>
      </c>
      <c r="AK138" s="262">
        <f>AK111+AK119+AK127+AZ111+AZ119+AZ127</f>
        <v>0</v>
      </c>
      <c r="AL138" s="262">
        <f>AL111+AL119+AL127+BA111+BA119+BA127</f>
        <v>0</v>
      </c>
      <c r="AM138" s="262">
        <f>AM112+AM120+AM128</f>
        <v>3711.4848000000002</v>
      </c>
      <c r="AN138" s="262">
        <f>AN111+AN119+AN127+BC111+BC119+BC127</f>
        <v>0</v>
      </c>
      <c r="AO138" s="262">
        <f>AO111+AO119+AO127+BD111+BD119+BD127</f>
        <v>0</v>
      </c>
      <c r="AP138" s="262">
        <f>AP112+AP120+AP128</f>
        <v>3629.9771999999998</v>
      </c>
      <c r="AQ138" s="262">
        <f>AQ111+AQ119+AQ127+BF111+BF119+BF127</f>
        <v>0</v>
      </c>
      <c r="AR138" s="262">
        <f>AR111+AR119+AR127+BG111+BG119+BG127</f>
        <v>0</v>
      </c>
      <c r="AS138" s="262">
        <f>AS112+AS120+AS128</f>
        <v>3625.8083999999999</v>
      </c>
      <c r="AT138" s="114">
        <f>SUM(AH138:AS138)</f>
        <v>15035.943599999999</v>
      </c>
    </row>
    <row r="139" spans="3:46" ht="15" hidden="1" customHeight="1" x14ac:dyDescent="0.25">
      <c r="AE139" s="267">
        <f>SUM(AE136:AE138)</f>
        <v>31742.547599999998</v>
      </c>
      <c r="AT139" s="267">
        <f>SUM(AT136:AT138)</f>
        <v>31742.547599999998</v>
      </c>
    </row>
    <row r="140" spans="3:46" ht="15" hidden="1" customHeight="1" x14ac:dyDescent="0.25">
      <c r="AS140" s="271" t="s">
        <v>361</v>
      </c>
      <c r="AT140" s="269" t="s">
        <v>364</v>
      </c>
    </row>
    <row r="141" spans="3:46" ht="15" hidden="1" customHeight="1" x14ac:dyDescent="0.25">
      <c r="AS141" s="270" t="s">
        <v>362</v>
      </c>
      <c r="AT141" s="114">
        <f>IF('BH (1)'!$D$4="Lucro Presumido",IFERROR(IF($P$100&lt;=$S$104,AE136-AT136,0),0),0)</f>
        <v>0</v>
      </c>
    </row>
    <row r="142" spans="3:46" ht="15" hidden="1" customHeight="1" x14ac:dyDescent="0.25">
      <c r="AS142" s="270" t="s">
        <v>242</v>
      </c>
      <c r="AT142" s="114">
        <f>IF('BH (1)'!$D$4="Lucro Presumido",IFERROR(IF($P$100&lt;=$S$104,AE137-AT137,0),0),0)</f>
        <v>0</v>
      </c>
    </row>
    <row r="143" spans="3:46" ht="15" hidden="1" customHeight="1" x14ac:dyDescent="0.25">
      <c r="AS143" s="270" t="s">
        <v>42</v>
      </c>
      <c r="AT143" s="114">
        <f>IF('BH (1)'!$D$4="Lucro Presumido",IFERROR(IF($P$100&lt;=$S$104,AE138-AT138,0),0),0)</f>
        <v>0</v>
      </c>
    </row>
    <row r="144" spans="3:46" s="273" customFormat="1" ht="15" hidden="1" customHeight="1" x14ac:dyDescent="0.25">
      <c r="C144" s="272"/>
    </row>
    <row r="145" ht="15" hidden="1" customHeight="1" x14ac:dyDescent="0.25"/>
  </sheetData>
  <sheetProtection sheet="1" objects="1" scenarios="1" selectLockedCells="1" selectUnlockedCells="1"/>
  <pageMargins left="0.25" right="0.25" top="0.75" bottom="0.75" header="0.3" footer="0.3"/>
  <pageSetup paperSize="9" scale="53" fitToHeight="0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Planilha41">
    <tabColor rgb="FF0000FF"/>
    <pageSetUpPr fitToPage="1"/>
  </sheetPr>
  <dimension ref="C1:P77"/>
  <sheetViews>
    <sheetView showGridLines="0" showRowColHeaders="0" workbookViewId="0">
      <pane ySplit="4" topLeftCell="A5" activePane="bottomLeft" state="frozen"/>
      <selection activeCell="I36" sqref="I36"/>
      <selection pane="bottomLeft"/>
    </sheetView>
  </sheetViews>
  <sheetFormatPr defaultRowHeight="24.95" customHeight="1" x14ac:dyDescent="0.25"/>
  <cols>
    <col min="1" max="2" width="1.7109375" style="18" customWidth="1"/>
    <col min="3" max="3" width="13.7109375" style="18" customWidth="1"/>
    <col min="4" max="16" width="13.140625" style="18" customWidth="1"/>
    <col min="17" max="16384" width="9.140625" style="18"/>
  </cols>
  <sheetData>
    <row r="1" spans="3:16" s="1" customFormat="1" ht="35.1" customHeight="1" x14ac:dyDescent="0.25"/>
    <row r="2" spans="3:16" s="3" customFormat="1" ht="30" customHeight="1" x14ac:dyDescent="0.25"/>
    <row r="3" spans="3:16" ht="30" customHeight="1" thickBot="1" x14ac:dyDescent="0.3">
      <c r="C3" s="180" t="s">
        <v>253</v>
      </c>
    </row>
    <row r="4" spans="3:16" ht="21.95" customHeight="1" x14ac:dyDescent="0.25">
      <c r="C4" s="85" t="s">
        <v>82</v>
      </c>
      <c r="D4" s="55" t="s">
        <v>83</v>
      </c>
      <c r="E4" s="55" t="s">
        <v>84</v>
      </c>
      <c r="F4" s="55" t="s">
        <v>85</v>
      </c>
      <c r="G4" s="55" t="s">
        <v>86</v>
      </c>
      <c r="H4" s="55" t="s">
        <v>87</v>
      </c>
      <c r="I4" s="55" t="s">
        <v>88</v>
      </c>
      <c r="J4" s="55" t="s">
        <v>89</v>
      </c>
      <c r="K4" s="55" t="s">
        <v>90</v>
      </c>
      <c r="L4" s="55" t="s">
        <v>91</v>
      </c>
      <c r="M4" s="55" t="s">
        <v>92</v>
      </c>
      <c r="N4" s="55" t="s">
        <v>93</v>
      </c>
      <c r="O4" s="55" t="s">
        <v>94</v>
      </c>
      <c r="P4" s="56" t="s">
        <v>294</v>
      </c>
    </row>
    <row r="5" spans="3:16" ht="21.95" customHeight="1" x14ac:dyDescent="0.25">
      <c r="C5" s="92" t="s">
        <v>43</v>
      </c>
      <c r="D5" s="90">
        <f>IF('BH (1)'!$D$4="Simples Nacional",0,'Fat6'!D$8*TransR!$D$7)</f>
        <v>1212.5249999999999</v>
      </c>
      <c r="E5" s="90">
        <f>IF('BH (1)'!$D$4="Simples Nacional",0,'Fat6'!E$8*TransR!$D$7)</f>
        <v>975.51899999999989</v>
      </c>
      <c r="F5" s="90">
        <f>IF('BH (1)'!$D$4="Simples Nacional",0,'Fat6'!F$8*TransR!$D$7)</f>
        <v>1202.5169999999998</v>
      </c>
      <c r="G5" s="90">
        <f>IF('BH (1)'!$D$4="Simples Nacional",0,'Fat6'!G$8*TransR!$D$7)</f>
        <v>1083.204</v>
      </c>
      <c r="H5" s="90">
        <f>IF('BH (1)'!$D$4="Simples Nacional",0,'Fat6'!H$8*TransR!$D$7)</f>
        <v>1071.5309999999999</v>
      </c>
      <c r="I5" s="90">
        <f>IF('BH (1)'!$D$4="Simples Nacional",0,'Fat6'!I$8*TransR!$D$7)</f>
        <v>938.16899999999998</v>
      </c>
      <c r="J5" s="90">
        <f>IF('BH (1)'!$D$4="Simples Nacional",0,'Fat6'!J$8*TransR!$D$7)</f>
        <v>1113.732</v>
      </c>
      <c r="K5" s="90">
        <f>IF('BH (1)'!$D$4="Simples Nacional",0,'Fat6'!K$8*TransR!$D$7)</f>
        <v>923.41799999999989</v>
      </c>
      <c r="L5" s="90">
        <f>IF('BH (1)'!$D$4="Simples Nacional",0,'Fat6'!L$8*TransR!$D$7)</f>
        <v>987.8309999999999</v>
      </c>
      <c r="M5" s="90">
        <f>IF('BH (1)'!$D$4="Simples Nacional",0,'Fat6'!M$8*TransR!$D$7)</f>
        <v>1040.9309999999998</v>
      </c>
      <c r="N5" s="90">
        <f>IF('BH (1)'!$D$4="Simples Nacional",0,'Fat6'!N$8*TransR!$D$7)</f>
        <v>994.77899999999988</v>
      </c>
      <c r="O5" s="90">
        <f>IF('BH (1)'!$D$4="Simples Nacional",0,'Fat6'!O$8*TransR!$D$7)</f>
        <v>985.79699999999991</v>
      </c>
      <c r="P5" s="93">
        <f>SUM(D5:O5)</f>
        <v>12529.953000000001</v>
      </c>
    </row>
    <row r="6" spans="3:16" ht="21.95" customHeight="1" x14ac:dyDescent="0.25">
      <c r="C6" s="92" t="s">
        <v>44</v>
      </c>
      <c r="D6" s="90">
        <f>IF('BH (1)'!$D$4="Simples Nacional",0,'Fat6'!D$8*TransR!$D$8)</f>
        <v>134.72499999999999</v>
      </c>
      <c r="E6" s="90">
        <f>IF('BH (1)'!$D$4="Simples Nacional",0,'Fat6'!E$8*TransR!$D$8)</f>
        <v>108.39100000000001</v>
      </c>
      <c r="F6" s="90">
        <f>IF('BH (1)'!$D$4="Simples Nacional",0,'Fat6'!F$8*TransR!$D$8)</f>
        <v>133.613</v>
      </c>
      <c r="G6" s="90">
        <f>IF('BH (1)'!$D$4="Simples Nacional",0,'Fat6'!G$8*TransR!$D$8)</f>
        <v>120.35600000000001</v>
      </c>
      <c r="H6" s="90">
        <f>IF('BH (1)'!$D$4="Simples Nacional",0,'Fat6'!H$8*TransR!$D$8)</f>
        <v>119.059</v>
      </c>
      <c r="I6" s="90">
        <f>IF('BH (1)'!$D$4="Simples Nacional",0,'Fat6'!I$8*TransR!$D$8)</f>
        <v>104.241</v>
      </c>
      <c r="J6" s="90">
        <f>IF('BH (1)'!$D$4="Simples Nacional",0,'Fat6'!J$8*TransR!$D$8)</f>
        <v>123.748</v>
      </c>
      <c r="K6" s="90">
        <f>IF('BH (1)'!$D$4="Simples Nacional",0,'Fat6'!K$8*TransR!$D$8)</f>
        <v>102.602</v>
      </c>
      <c r="L6" s="90">
        <f>IF('BH (1)'!$D$4="Simples Nacional",0,'Fat6'!L$8*TransR!$D$8)</f>
        <v>109.759</v>
      </c>
      <c r="M6" s="90">
        <f>IF('BH (1)'!$D$4="Simples Nacional",0,'Fat6'!M$8*TransR!$D$8)</f>
        <v>115.65900000000001</v>
      </c>
      <c r="N6" s="90">
        <f>IF('BH (1)'!$D$4="Simples Nacional",0,'Fat6'!N$8*TransR!$D$8)</f>
        <v>110.53100000000001</v>
      </c>
      <c r="O6" s="90">
        <f>IF('BH (1)'!$D$4="Simples Nacional",0,'Fat6'!O$8*TransR!$D$8)</f>
        <v>109.533</v>
      </c>
      <c r="P6" s="93">
        <f>SUM(D6:O6)</f>
        <v>1392.2169999999999</v>
      </c>
    </row>
    <row r="7" spans="3:16" ht="24.95" customHeight="1" x14ac:dyDescent="0.25">
      <c r="C7" s="92" t="s">
        <v>97</v>
      </c>
      <c r="D7" s="90">
        <f>IF('BH (1)'!$D$4="Simples Nacional",Simp6!D14,'BH (2)'!C30)</f>
        <v>770.62699999999995</v>
      </c>
      <c r="E7" s="90">
        <f>IF('BH (1)'!$D$4="Simples Nacional",Simp6!E14,'BH (2)'!D30)</f>
        <v>619.99652000000003</v>
      </c>
      <c r="F7" s="90">
        <f>IF('BH (1)'!$D$4="Simples Nacional",Simp6!F14,'BH (2)'!E30)</f>
        <v>764.26635999999996</v>
      </c>
      <c r="G7" s="90">
        <f>IF('BH (1)'!$D$4="Simples Nacional",Simp6!G14,'BH (2)'!F30)</f>
        <v>688.43631999999991</v>
      </c>
      <c r="H7" s="90">
        <f>IF('BH (1)'!$D$4="Simples Nacional",Simp6!H14,'BH (2)'!G30)</f>
        <v>681.01747999999998</v>
      </c>
      <c r="I7" s="90">
        <f>IF('BH (1)'!$D$4="Simples Nacional",Simp6!I14,'BH (2)'!H30)</f>
        <v>596.25851999999998</v>
      </c>
      <c r="J7" s="90">
        <f>IF('BH (1)'!$D$4="Simples Nacional",Simp6!J14,'BH (2)'!I30)</f>
        <v>707.83856000000003</v>
      </c>
      <c r="K7" s="90">
        <f>IF('BH (1)'!$D$4="Simples Nacional",Simp6!K14,'BH (2)'!J30)</f>
        <v>586.88343999999995</v>
      </c>
      <c r="L7" s="90">
        <f>IF('BH (1)'!$D$4="Simples Nacional",Simp6!L14,'BH (2)'!K30)</f>
        <v>627.82147999999995</v>
      </c>
      <c r="M7" s="90">
        <f>IF('BH (1)'!$D$4="Simples Nacional",Simp6!M14,'BH (2)'!L30)</f>
        <v>661.56948</v>
      </c>
      <c r="N7" s="90">
        <f>IF('BH (1)'!$D$4="Simples Nacional",Simp6!N14,'BH (2)'!M30)</f>
        <v>632.23731999999995</v>
      </c>
      <c r="O7" s="90">
        <f>IF('BH (1)'!$D$4="Simples Nacional",Simp6!O14,'BH (2)'!N30)</f>
        <v>626.52876000000003</v>
      </c>
      <c r="P7" s="93">
        <f>SUM(D7:O7)</f>
        <v>7963.4812400000001</v>
      </c>
    </row>
    <row r="8" spans="3:16" ht="24.95" customHeight="1" x14ac:dyDescent="0.25">
      <c r="C8" s="92" t="s">
        <v>98</v>
      </c>
      <c r="D8" s="90">
        <f>IF('BH (1)'!$D$4="Simples Nacional",Simp6!D15,'BH (2)'!C31)</f>
        <v>3556.74</v>
      </c>
      <c r="E8" s="90">
        <f>IF('BH (1)'!$D$4="Simples Nacional",Simp6!E15,'BH (2)'!D31)</f>
        <v>2861.5223999999998</v>
      </c>
      <c r="F8" s="90">
        <f>IF('BH (1)'!$D$4="Simples Nacional",Simp6!F15,'BH (2)'!E31)</f>
        <v>3527.3831999999998</v>
      </c>
      <c r="G8" s="90">
        <f>IF('BH (1)'!$D$4="Simples Nacional",Simp6!G15,'BH (2)'!F31)</f>
        <v>3177.3984</v>
      </c>
      <c r="H8" s="90">
        <f>IF('BH (1)'!$D$4="Simples Nacional",Simp6!H15,'BH (2)'!G31)</f>
        <v>3143.1576</v>
      </c>
      <c r="I8" s="90">
        <f>IF('BH (1)'!$D$4="Simples Nacional",Simp6!I15,'BH (2)'!H31)</f>
        <v>2751.9623999999999</v>
      </c>
      <c r="J8" s="90">
        <f>IF('BH (1)'!$D$4="Simples Nacional",Simp6!J15,'BH (2)'!I31)</f>
        <v>3266.9472000000001</v>
      </c>
      <c r="K8" s="90">
        <f>IF('BH (1)'!$D$4="Simples Nacional",Simp6!K15,'BH (2)'!J31)</f>
        <v>2708.6927999999998</v>
      </c>
      <c r="L8" s="90">
        <f>IF('BH (1)'!$D$4="Simples Nacional",Simp6!L15,'BH (2)'!K31)</f>
        <v>2897.6376</v>
      </c>
      <c r="M8" s="90">
        <f>IF('BH (1)'!$D$4="Simples Nacional",Simp6!M15,'BH (2)'!L31)</f>
        <v>3053.3975999999998</v>
      </c>
      <c r="N8" s="90">
        <f>IF('BH (1)'!$D$4="Simples Nacional",Simp6!N15,'BH (2)'!M31)</f>
        <v>2918.0183999999999</v>
      </c>
      <c r="O8" s="90">
        <f>IF('BH (1)'!$D$4="Simples Nacional",Simp6!O15,'BH (2)'!N31)</f>
        <v>2891.6712000000002</v>
      </c>
      <c r="P8" s="93">
        <f>SUM(D8:O8)</f>
        <v>36754.528799999993</v>
      </c>
    </row>
    <row r="9" spans="3:16" ht="24.95" customHeight="1" x14ac:dyDescent="0.25">
      <c r="C9" s="92" t="s">
        <v>37</v>
      </c>
      <c r="D9" s="90">
        <f>IF('BH (1)'!$D$4="Simples Nacional",Simp6!D16,'BH (2)'!C32)</f>
        <v>11955.502500000001</v>
      </c>
      <c r="E9" s="90">
        <f>IF('BH (1)'!$D$4="Simples Nacional",Simp6!E16,'BH (2)'!D32)</f>
        <v>8910.2219999999998</v>
      </c>
      <c r="F9" s="90">
        <f>IF('BH (1)'!$D$4="Simples Nacional",Simp6!F16,'BH (2)'!E32)</f>
        <v>12012.376499999998</v>
      </c>
      <c r="G9" s="90">
        <f>IF('BH (1)'!$D$4="Simples Nacional",Simp6!G16,'BH (2)'!F32)</f>
        <v>10463.585999999999</v>
      </c>
      <c r="H9" s="90">
        <f>IF('BH (1)'!$D$4="Simples Nacional",Simp6!H16,'BH (2)'!G32)</f>
        <v>10272.735000000001</v>
      </c>
      <c r="I9" s="90">
        <f>IF('BH (1)'!$D$4="Simples Nacional",Simp6!I16,'BH (2)'!H32)</f>
        <v>8488.0275000000001</v>
      </c>
      <c r="J9" s="90">
        <f>IF('BH (1)'!$D$4="Simples Nacional",Simp6!J16,'BH (2)'!I32)</f>
        <v>11165.263500000001</v>
      </c>
      <c r="K9" s="90">
        <f>IF('BH (1)'!$D$4="Simples Nacional",Simp6!K16,'BH (2)'!J32)</f>
        <v>8120.8215</v>
      </c>
      <c r="L9" s="90">
        <f>IF('BH (1)'!$D$4="Simples Nacional",Simp6!L16,'BH (2)'!K32)</f>
        <v>9477.5625</v>
      </c>
      <c r="M9" s="90">
        <f>IF('BH (1)'!$D$4="Simples Nacional",Simp6!M16,'BH (2)'!L32)</f>
        <v>9496.0380000000005</v>
      </c>
      <c r="N9" s="90">
        <f>IF('BH (1)'!$D$4="Simples Nacional",Simp6!N16,'BH (2)'!M32)</f>
        <v>9271.7819999999992</v>
      </c>
      <c r="O9" s="90">
        <f>IF('BH (1)'!$D$4="Simples Nacional",Simp6!O16,'BH (2)'!N32)</f>
        <v>9392.387999999999</v>
      </c>
      <c r="P9" s="93">
        <f>SUM(D9:O9)</f>
        <v>119026.30499999999</v>
      </c>
    </row>
    <row r="10" spans="3:16" ht="24.95" customHeight="1" x14ac:dyDescent="0.25">
      <c r="C10" s="92" t="s">
        <v>38</v>
      </c>
      <c r="D10" s="90">
        <f>IF('BH (1)'!$D$4="Simples Nacional",Simp6!D17,'BH (2)'!C33)</f>
        <v>0</v>
      </c>
      <c r="E10" s="90">
        <f>IF('BH (1)'!$D$4="Simples Nacional",Simp6!E17,'BH (2)'!D33)</f>
        <v>0</v>
      </c>
      <c r="F10" s="90">
        <f>IF('BH (1)'!$D$4="Simples Nacional",Simp6!F17,'BH (2)'!E33)</f>
        <v>0</v>
      </c>
      <c r="G10" s="90">
        <f>IF('BH (1)'!$D$4="Simples Nacional",Simp6!G17,'BH (2)'!F33)</f>
        <v>0</v>
      </c>
      <c r="H10" s="90">
        <f>IF('BH (1)'!$D$4="Simples Nacional",Simp6!H17,'BH (2)'!G33)</f>
        <v>0</v>
      </c>
      <c r="I10" s="90">
        <f>IF('BH (1)'!$D$4="Simples Nacional",Simp6!I17,'BH (2)'!H33)</f>
        <v>0</v>
      </c>
      <c r="J10" s="90">
        <f>IF('BH (1)'!$D$4="Simples Nacional",Simp6!J17,'BH (2)'!I33)</f>
        <v>0</v>
      </c>
      <c r="K10" s="90">
        <f>IF('BH (1)'!$D$4="Simples Nacional",Simp6!K17,'BH (2)'!J33)</f>
        <v>0</v>
      </c>
      <c r="L10" s="90">
        <f>IF('BH (1)'!$D$4="Simples Nacional",Simp6!L17,'BH (2)'!K33)</f>
        <v>0</v>
      </c>
      <c r="M10" s="90">
        <f>IF('BH (1)'!$D$4="Simples Nacional",Simp6!M17,'BH (2)'!L33)</f>
        <v>0</v>
      </c>
      <c r="N10" s="90">
        <f>IF('BH (1)'!$D$4="Simples Nacional",Simp6!N17,'BH (2)'!M33)</f>
        <v>0</v>
      </c>
      <c r="O10" s="90">
        <f>IF('BH (1)'!$D$4="Simples Nacional",Simp6!O17,'BH (2)'!N33)</f>
        <v>0</v>
      </c>
      <c r="P10" s="93">
        <f t="shared" ref="P10:P17" si="0">SUM(D10:O10)</f>
        <v>0</v>
      </c>
    </row>
    <row r="11" spans="3:16" ht="24.95" customHeight="1" x14ac:dyDescent="0.25">
      <c r="C11" s="92" t="s">
        <v>39</v>
      </c>
      <c r="D11" s="90">
        <f>IF('BH (1)'!$D$4="Simples Nacional",Simp6!D18,'BH (2)'!C34)</f>
        <v>0</v>
      </c>
      <c r="E11" s="90">
        <f>IF('BH (1)'!$D$4="Simples Nacional",Simp6!E18,'BH (2)'!D34)</f>
        <v>0</v>
      </c>
      <c r="F11" s="90">
        <f>IF('BH (1)'!$D$4="Simples Nacional",Simp6!F18,'BH (2)'!E34)</f>
        <v>0</v>
      </c>
      <c r="G11" s="90">
        <f>IF('BH (1)'!$D$4="Simples Nacional",Simp6!G18,'BH (2)'!F34)</f>
        <v>0</v>
      </c>
      <c r="H11" s="90">
        <f>IF('BH (1)'!$D$4="Simples Nacional",Simp6!H18,'BH (2)'!G34)</f>
        <v>0</v>
      </c>
      <c r="I11" s="90">
        <f>IF('BH (1)'!$D$4="Simples Nacional",Simp6!I18,'BH (2)'!H34)</f>
        <v>0</v>
      </c>
      <c r="J11" s="90">
        <f>IF('BH (1)'!$D$4="Simples Nacional",Simp6!J18,'BH (2)'!I34)</f>
        <v>0</v>
      </c>
      <c r="K11" s="90">
        <f>IF('BH (1)'!$D$4="Simples Nacional",Simp6!K18,'BH (2)'!J34)</f>
        <v>0</v>
      </c>
      <c r="L11" s="90">
        <f>IF('BH (1)'!$D$4="Simples Nacional",Simp6!L18,'BH (2)'!K34)</f>
        <v>0</v>
      </c>
      <c r="M11" s="90">
        <f>IF('BH (1)'!$D$4="Simples Nacional",Simp6!M18,'BH (2)'!L34)</f>
        <v>0</v>
      </c>
      <c r="N11" s="90">
        <f>IF('BH (1)'!$D$4="Simples Nacional",Simp6!N18,'BH (2)'!M34)</f>
        <v>0</v>
      </c>
      <c r="O11" s="90">
        <f>IF('BH (1)'!$D$4="Simples Nacional",Simp6!O18,'BH (2)'!N34)</f>
        <v>0</v>
      </c>
      <c r="P11" s="93">
        <f t="shared" si="0"/>
        <v>0</v>
      </c>
    </row>
    <row r="12" spans="3:16" ht="24.95" customHeight="1" x14ac:dyDescent="0.25">
      <c r="C12" s="92" t="s">
        <v>129</v>
      </c>
      <c r="D12" s="90">
        <f>D52</f>
        <v>2400</v>
      </c>
      <c r="E12" s="90">
        <f t="shared" ref="E12:O12" si="1">E52</f>
        <v>2400</v>
      </c>
      <c r="F12" s="90">
        <f t="shared" si="1"/>
        <v>2400</v>
      </c>
      <c r="G12" s="90">
        <f t="shared" si="1"/>
        <v>2400</v>
      </c>
      <c r="H12" s="90">
        <f t="shared" si="1"/>
        <v>2400</v>
      </c>
      <c r="I12" s="90">
        <f t="shared" si="1"/>
        <v>2400</v>
      </c>
      <c r="J12" s="90">
        <f t="shared" si="1"/>
        <v>2400</v>
      </c>
      <c r="K12" s="90">
        <f t="shared" si="1"/>
        <v>2400</v>
      </c>
      <c r="L12" s="90">
        <f t="shared" si="1"/>
        <v>2400</v>
      </c>
      <c r="M12" s="90">
        <f t="shared" si="1"/>
        <v>2400</v>
      </c>
      <c r="N12" s="90">
        <f t="shared" si="1"/>
        <v>2400</v>
      </c>
      <c r="O12" s="90">
        <f t="shared" si="1"/>
        <v>2400</v>
      </c>
      <c r="P12" s="93">
        <f t="shared" si="0"/>
        <v>28800</v>
      </c>
    </row>
    <row r="13" spans="3:16" ht="24.95" customHeight="1" x14ac:dyDescent="0.25">
      <c r="C13" s="92" t="s">
        <v>42</v>
      </c>
      <c r="D13" s="90">
        <f>D59</f>
        <v>0</v>
      </c>
      <c r="E13" s="90">
        <f t="shared" ref="E13:O13" si="2">E59</f>
        <v>0</v>
      </c>
      <c r="F13" s="90">
        <f t="shared" si="2"/>
        <v>4068.6731999999993</v>
      </c>
      <c r="G13" s="90">
        <f t="shared" si="2"/>
        <v>0</v>
      </c>
      <c r="H13" s="90">
        <f t="shared" si="2"/>
        <v>0</v>
      </c>
      <c r="I13" s="90">
        <f t="shared" si="2"/>
        <v>3711.4848000000002</v>
      </c>
      <c r="J13" s="90">
        <f t="shared" si="2"/>
        <v>0</v>
      </c>
      <c r="K13" s="90">
        <f t="shared" si="2"/>
        <v>0</v>
      </c>
      <c r="L13" s="90">
        <f t="shared" si="2"/>
        <v>3629.9771999999998</v>
      </c>
      <c r="M13" s="90">
        <f t="shared" si="2"/>
        <v>0</v>
      </c>
      <c r="N13" s="90">
        <f t="shared" si="2"/>
        <v>0</v>
      </c>
      <c r="O13" s="90">
        <f t="shared" si="2"/>
        <v>3625.8083999999999</v>
      </c>
      <c r="P13" s="93">
        <f>IF('BH (1)'!$D$4="Lucro Presumido",Relatórios!P11,SUM(D13:O13))</f>
        <v>15035.943599999999</v>
      </c>
    </row>
    <row r="14" spans="3:16" ht="24.95" customHeight="1" x14ac:dyDescent="0.25">
      <c r="C14" s="92" t="s">
        <v>40</v>
      </c>
      <c r="D14" s="90">
        <f>IF('BH (1)'!$D$4="Simples Nacional",D57,D57+D58)</f>
        <v>0</v>
      </c>
      <c r="E14" s="90">
        <f>IF('BH (1)'!$D$4="Simples Nacional",E57,E57+E58)</f>
        <v>0</v>
      </c>
      <c r="F14" s="90">
        <f>IF('BH (1)'!$D$4="Simples Nacional",F57,F57+F58)</f>
        <v>4520.7479999999996</v>
      </c>
      <c r="G14" s="90">
        <f>IF('BH (1)'!$D$4="Simples Nacional",G57,G57+G58)</f>
        <v>0</v>
      </c>
      <c r="H14" s="90">
        <f>IF('BH (1)'!$D$4="Simples Nacional",H57,H57+H58)</f>
        <v>0</v>
      </c>
      <c r="I14" s="90">
        <f>IF('BH (1)'!$D$4="Simples Nacional",I57,I57+I58)</f>
        <v>4123.8719999999994</v>
      </c>
      <c r="J14" s="90">
        <f>IF('BH (1)'!$D$4="Simples Nacional",J57,J57+J58)</f>
        <v>0</v>
      </c>
      <c r="K14" s="90">
        <f>IF('BH (1)'!$D$4="Simples Nacional",K57,K57+K58)</f>
        <v>0</v>
      </c>
      <c r="L14" s="90">
        <f>IF('BH (1)'!$D$4="Simples Nacional",L57,L57+L58)</f>
        <v>4033.308</v>
      </c>
      <c r="M14" s="90">
        <f>IF('BH (1)'!$D$4="Simples Nacional",M57,M57+M58)</f>
        <v>0</v>
      </c>
      <c r="N14" s="90">
        <f>IF('BH (1)'!$D$4="Simples Nacional",N57,N57+N58)</f>
        <v>0</v>
      </c>
      <c r="O14" s="90">
        <f>IF('BH (1)'!$D$4="Simples Nacional",O57,O57+O58)</f>
        <v>4028.6759999999999</v>
      </c>
      <c r="P14" s="93">
        <f>IF('BH (1)'!$D$4="Lucro Presumido",Relatórios!P12,SUM(D14:O14))</f>
        <v>16706.603999999999</v>
      </c>
    </row>
    <row r="15" spans="3:16" ht="24.95" customHeight="1" x14ac:dyDescent="0.25">
      <c r="C15" s="92" t="s">
        <v>155</v>
      </c>
      <c r="D15" s="90">
        <f>D53</f>
        <v>960</v>
      </c>
      <c r="E15" s="90">
        <f t="shared" ref="E15:O17" si="3">E53</f>
        <v>960</v>
      </c>
      <c r="F15" s="90">
        <f t="shared" si="3"/>
        <v>960</v>
      </c>
      <c r="G15" s="90">
        <f t="shared" si="3"/>
        <v>960</v>
      </c>
      <c r="H15" s="90">
        <f t="shared" si="3"/>
        <v>960</v>
      </c>
      <c r="I15" s="90">
        <f t="shared" si="3"/>
        <v>960</v>
      </c>
      <c r="J15" s="90">
        <f t="shared" si="3"/>
        <v>960</v>
      </c>
      <c r="K15" s="90">
        <f t="shared" si="3"/>
        <v>960</v>
      </c>
      <c r="L15" s="90">
        <f t="shared" si="3"/>
        <v>960</v>
      </c>
      <c r="M15" s="90">
        <f t="shared" si="3"/>
        <v>960</v>
      </c>
      <c r="N15" s="90">
        <f t="shared" si="3"/>
        <v>960</v>
      </c>
      <c r="O15" s="90">
        <f t="shared" si="3"/>
        <v>960</v>
      </c>
      <c r="P15" s="93">
        <f t="shared" si="0"/>
        <v>11520</v>
      </c>
    </row>
    <row r="16" spans="3:16" ht="24.95" customHeight="1" x14ac:dyDescent="0.25">
      <c r="C16" s="92" t="str">
        <f>IF('BH (1)'!D4="Simples Nacional","","Terceiros")</f>
        <v>Terceiros</v>
      </c>
      <c r="D16" s="90">
        <f>D54</f>
        <v>696</v>
      </c>
      <c r="E16" s="90">
        <f t="shared" si="3"/>
        <v>696</v>
      </c>
      <c r="F16" s="90">
        <f t="shared" si="3"/>
        <v>696</v>
      </c>
      <c r="G16" s="90">
        <f t="shared" si="3"/>
        <v>696</v>
      </c>
      <c r="H16" s="90">
        <f t="shared" si="3"/>
        <v>696</v>
      </c>
      <c r="I16" s="90">
        <f t="shared" si="3"/>
        <v>696</v>
      </c>
      <c r="J16" s="90">
        <f t="shared" si="3"/>
        <v>696</v>
      </c>
      <c r="K16" s="90">
        <f t="shared" si="3"/>
        <v>696</v>
      </c>
      <c r="L16" s="90">
        <f t="shared" si="3"/>
        <v>696</v>
      </c>
      <c r="M16" s="90">
        <f t="shared" si="3"/>
        <v>696</v>
      </c>
      <c r="N16" s="90">
        <f t="shared" si="3"/>
        <v>696</v>
      </c>
      <c r="O16" s="90">
        <f t="shared" si="3"/>
        <v>696</v>
      </c>
      <c r="P16" s="93">
        <f t="shared" si="0"/>
        <v>8352</v>
      </c>
    </row>
    <row r="17" spans="3:16" ht="24.95" customHeight="1" x14ac:dyDescent="0.25">
      <c r="C17" s="148" t="str">
        <f>IF('BH (1)'!D4="Simples Nacional","","RAT")</f>
        <v>RAT</v>
      </c>
      <c r="D17" s="189">
        <f>D55</f>
        <v>240</v>
      </c>
      <c r="E17" s="100">
        <f t="shared" si="3"/>
        <v>240</v>
      </c>
      <c r="F17" s="189">
        <f t="shared" si="3"/>
        <v>240</v>
      </c>
      <c r="G17" s="189">
        <f t="shared" si="3"/>
        <v>240</v>
      </c>
      <c r="H17" s="189">
        <f t="shared" si="3"/>
        <v>240</v>
      </c>
      <c r="I17" s="189">
        <f t="shared" si="3"/>
        <v>240</v>
      </c>
      <c r="J17" s="189">
        <f t="shared" si="3"/>
        <v>240</v>
      </c>
      <c r="K17" s="189">
        <f t="shared" si="3"/>
        <v>240</v>
      </c>
      <c r="L17" s="189">
        <f t="shared" si="3"/>
        <v>240</v>
      </c>
      <c r="M17" s="189">
        <f t="shared" si="3"/>
        <v>240</v>
      </c>
      <c r="N17" s="189">
        <f t="shared" si="3"/>
        <v>240</v>
      </c>
      <c r="O17" s="189">
        <f t="shared" si="3"/>
        <v>240</v>
      </c>
      <c r="P17" s="93">
        <f t="shared" si="0"/>
        <v>2880</v>
      </c>
    </row>
    <row r="18" spans="3:16" ht="24.95" customHeight="1" x14ac:dyDescent="0.25">
      <c r="C18" s="224" t="s">
        <v>254</v>
      </c>
      <c r="D18" s="225">
        <f>SUM(D5:D17)</f>
        <v>21926.119500000001</v>
      </c>
      <c r="E18" s="225">
        <f>SUM(E5:E17)</f>
        <v>17771.65092</v>
      </c>
      <c r="F18" s="225">
        <f t="shared" ref="F18:N18" si="4">SUM(F5:F17)</f>
        <v>30525.577259999998</v>
      </c>
      <c r="G18" s="225">
        <f t="shared" si="4"/>
        <v>19828.98072</v>
      </c>
      <c r="H18" s="225">
        <f t="shared" si="4"/>
        <v>19583.500080000002</v>
      </c>
      <c r="I18" s="225">
        <f t="shared" si="4"/>
        <v>25010.015219999997</v>
      </c>
      <c r="J18" s="225">
        <f t="shared" si="4"/>
        <v>20673.529260000003</v>
      </c>
      <c r="K18" s="225">
        <f t="shared" si="4"/>
        <v>16738.417740000001</v>
      </c>
      <c r="L18" s="225">
        <f t="shared" si="4"/>
        <v>26059.896780000003</v>
      </c>
      <c r="M18" s="225">
        <f t="shared" si="4"/>
        <v>18663.595079999999</v>
      </c>
      <c r="N18" s="225">
        <f t="shared" si="4"/>
        <v>18223.347719999998</v>
      </c>
      <c r="O18" s="225">
        <f>SUM(O5:O17)</f>
        <v>25956.40236</v>
      </c>
      <c r="P18" s="93">
        <f>SUM(P5:P17)</f>
        <v>260961.03263999999</v>
      </c>
    </row>
    <row r="19" spans="3:16" ht="24.95" customHeight="1" x14ac:dyDescent="0.25">
      <c r="C19" s="148" t="str">
        <f>IF('BH (1)'!$D$4="Simples Nacional","","Compensação CBS e IBS")</f>
        <v>Compensação CBS e IBS</v>
      </c>
      <c r="D19" s="128">
        <f>IF('BH (1)'!$D$4="Simples Nacional","",D5+D6)</f>
        <v>1347.2499999999998</v>
      </c>
      <c r="E19" s="128">
        <f>IF('BH (1)'!$D$4="Simples Nacional","",E5+E6)</f>
        <v>1083.9099999999999</v>
      </c>
      <c r="F19" s="128">
        <f>IF('BH (1)'!$D$4="Simples Nacional","",F5+F6)</f>
        <v>1336.1299999999999</v>
      </c>
      <c r="G19" s="128">
        <f>IF('BH (1)'!$D$4="Simples Nacional","",G5+G6)</f>
        <v>1203.56</v>
      </c>
      <c r="H19" s="128">
        <f>IF('BH (1)'!$D$4="Simples Nacional","",H5+H6)</f>
        <v>1190.5899999999999</v>
      </c>
      <c r="I19" s="128">
        <f>IF('BH (1)'!$D$4="Simples Nacional","",I5+I6)</f>
        <v>1042.4100000000001</v>
      </c>
      <c r="J19" s="128">
        <f>IF('BH (1)'!$D$4="Simples Nacional","",J5+J6)</f>
        <v>1237.48</v>
      </c>
      <c r="K19" s="128">
        <f>IF('BH (1)'!$D$4="Simples Nacional","",K5+K6)</f>
        <v>1026.02</v>
      </c>
      <c r="L19" s="128">
        <f>IF('BH (1)'!$D$4="Simples Nacional","",L5+L6)</f>
        <v>1097.5899999999999</v>
      </c>
      <c r="M19" s="128">
        <f>IF('BH (1)'!$D$4="Simples Nacional","",M5+M6)</f>
        <v>1156.5899999999999</v>
      </c>
      <c r="N19" s="128">
        <f>IF('BH (1)'!$D$4="Simples Nacional","",N5+N6)</f>
        <v>1105.31</v>
      </c>
      <c r="O19" s="128">
        <f>IF('BH (1)'!$D$4="Simples Nacional","",O5+O6)</f>
        <v>1095.33</v>
      </c>
      <c r="P19" s="191">
        <f>SUM(D19:O19)</f>
        <v>13922.17</v>
      </c>
    </row>
    <row r="20" spans="3:16" ht="24.95" customHeight="1" x14ac:dyDescent="0.25">
      <c r="C20" s="96" t="s">
        <v>245</v>
      </c>
      <c r="D20" s="97">
        <f>IF('BH (1)'!$D$4="Simples Nacional",D18,D18-D19)</f>
        <v>20578.869500000001</v>
      </c>
      <c r="E20" s="97">
        <f>IF('BH (1)'!$D$4="Simples Nacional",E18,E18-E19)</f>
        <v>16687.74092</v>
      </c>
      <c r="F20" s="97">
        <f>IF('BH (1)'!$D$4="Simples Nacional",F18,F18-F19)</f>
        <v>29189.447259999997</v>
      </c>
      <c r="G20" s="97">
        <f>IF('BH (1)'!$D$4="Simples Nacional",G18,G18-G19)</f>
        <v>18625.420719999998</v>
      </c>
      <c r="H20" s="97">
        <f>IF('BH (1)'!$D$4="Simples Nacional",H18,H18-H19)</f>
        <v>18392.910080000001</v>
      </c>
      <c r="I20" s="97">
        <f>IF('BH (1)'!$D$4="Simples Nacional",I18,I18-I19)</f>
        <v>23967.605219999998</v>
      </c>
      <c r="J20" s="97">
        <f>IF('BH (1)'!$D$4="Simples Nacional",J18,J18-J19)</f>
        <v>19436.049260000003</v>
      </c>
      <c r="K20" s="97">
        <f>IF('BH (1)'!$D$4="Simples Nacional",K18,K18-K19)</f>
        <v>15712.39774</v>
      </c>
      <c r="L20" s="97">
        <f>IF('BH (1)'!$D$4="Simples Nacional",L18,L18-L19)</f>
        <v>24962.306780000003</v>
      </c>
      <c r="M20" s="97">
        <f>IF('BH (1)'!$D$4="Simples Nacional",M18,M18-M19)</f>
        <v>17507.005079999999</v>
      </c>
      <c r="N20" s="97">
        <f>IF('BH (1)'!$D$4="Simples Nacional",N18,N18-N19)</f>
        <v>17118.037719999997</v>
      </c>
      <c r="O20" s="97">
        <f>IF('BH (1)'!$D$4="Simples Nacional",O18,O18-O19)</f>
        <v>24861.072359999998</v>
      </c>
      <c r="P20" s="98">
        <f>P18-P19</f>
        <v>247038.86263999998</v>
      </c>
    </row>
    <row r="21" spans="3:16" ht="30" customHeight="1" thickBot="1" x14ac:dyDescent="0.3">
      <c r="C21" s="180" t="s">
        <v>246</v>
      </c>
    </row>
    <row r="22" spans="3:16" ht="21.95" customHeight="1" x14ac:dyDescent="0.25">
      <c r="C22" s="85" t="s">
        <v>82</v>
      </c>
      <c r="D22" s="55" t="s">
        <v>83</v>
      </c>
      <c r="E22" s="55" t="s">
        <v>84</v>
      </c>
      <c r="F22" s="55" t="s">
        <v>85</v>
      </c>
      <c r="G22" s="55" t="s">
        <v>86</v>
      </c>
      <c r="H22" s="55" t="s">
        <v>87</v>
      </c>
      <c r="I22" s="55" t="s">
        <v>88</v>
      </c>
      <c r="J22" s="55" t="s">
        <v>89</v>
      </c>
      <c r="K22" s="55" t="s">
        <v>90</v>
      </c>
      <c r="L22" s="55" t="s">
        <v>91</v>
      </c>
      <c r="M22" s="55" t="s">
        <v>92</v>
      </c>
      <c r="N22" s="55" t="s">
        <v>93</v>
      </c>
      <c r="O22" s="55" t="s">
        <v>94</v>
      </c>
      <c r="P22" s="56" t="s">
        <v>294</v>
      </c>
    </row>
    <row r="23" spans="3:16" ht="24.95" customHeight="1" x14ac:dyDescent="0.25">
      <c r="C23" s="86" t="str">
        <f>IF('BH (1)'!$D$4="Simples Nacional",Simp6!C5,'Fat6'!C5)</f>
        <v>Indústria</v>
      </c>
      <c r="D23" s="90">
        <f>IF('BH (1)'!$D$4="Simples Nacional",Simp6!D5,'Fat6'!D5)</f>
        <v>0</v>
      </c>
      <c r="E23" s="90">
        <f>IF('BH (1)'!$D$4="Simples Nacional",Simp6!E5,'Fat6'!E5)</f>
        <v>0</v>
      </c>
      <c r="F23" s="90">
        <f>IF('BH (1)'!$D$4="Simples Nacional",Simp6!F5,'Fat6'!F5)</f>
        <v>0</v>
      </c>
      <c r="G23" s="90">
        <f>IF('BH (1)'!$D$4="Simples Nacional",Simp6!G5,'Fat6'!G5)</f>
        <v>0</v>
      </c>
      <c r="H23" s="90">
        <f>IF('BH (1)'!$D$4="Simples Nacional",Simp6!H5,'Fat6'!H5)</f>
        <v>0</v>
      </c>
      <c r="I23" s="90">
        <f>IF('BH (1)'!$D$4="Simples Nacional",Simp6!I5,'Fat6'!I5)</f>
        <v>0</v>
      </c>
      <c r="J23" s="90">
        <f>IF('BH (1)'!$D$4="Simples Nacional",Simp6!J5,'Fat6'!J5)</f>
        <v>0</v>
      </c>
      <c r="K23" s="90">
        <f>IF('BH (1)'!$D$4="Simples Nacional",Simp6!K5,'Fat6'!K5)</f>
        <v>0</v>
      </c>
      <c r="L23" s="90">
        <f>IF('BH (1)'!$D$4="Simples Nacional",Simp6!L5,'Fat6'!L5)</f>
        <v>0</v>
      </c>
      <c r="M23" s="90">
        <f>IF('BH (1)'!$D$4="Simples Nacional",Simp6!M5,'Fat6'!M5)</f>
        <v>0</v>
      </c>
      <c r="N23" s="90">
        <f>IF('BH (1)'!$D$4="Simples Nacional",Simp6!N5,'Fat6'!N5)</f>
        <v>0</v>
      </c>
      <c r="O23" s="90">
        <f>IF('BH (1)'!$D$4="Simples Nacional",Simp6!O5,'Fat6'!O5)</f>
        <v>0</v>
      </c>
      <c r="P23" s="91">
        <f>SUM(D23:O23)</f>
        <v>0</v>
      </c>
    </row>
    <row r="24" spans="3:16" ht="24.95" customHeight="1" x14ac:dyDescent="0.25">
      <c r="C24" s="92" t="str">
        <f>IF('BH (1)'!$D$4="Simples Nacional",Simp6!C6,'Fat6'!C6)</f>
        <v>Comércio</v>
      </c>
      <c r="D24" s="90">
        <f>IF('BH (1)'!$D$4="Simples Nacional",Simp6!D6,'Fat6'!D6)</f>
        <v>134725</v>
      </c>
      <c r="E24" s="90">
        <f>IF('BH (1)'!$D$4="Simples Nacional",Simp6!E6,'Fat6'!E6)</f>
        <v>108391</v>
      </c>
      <c r="F24" s="90">
        <f>IF('BH (1)'!$D$4="Simples Nacional",Simp6!F6,'Fat6'!F6)</f>
        <v>133613</v>
      </c>
      <c r="G24" s="90">
        <f>IF('BH (1)'!$D$4="Simples Nacional",Simp6!G6,'Fat6'!G6)</f>
        <v>120356</v>
      </c>
      <c r="H24" s="90">
        <f>IF('BH (1)'!$D$4="Simples Nacional",Simp6!H6,'Fat6'!H6)</f>
        <v>119059</v>
      </c>
      <c r="I24" s="90">
        <f>IF('BH (1)'!$D$4="Simples Nacional",Simp6!I6,'Fat6'!I6)</f>
        <v>104241</v>
      </c>
      <c r="J24" s="90">
        <f>IF('BH (1)'!$D$4="Simples Nacional",Simp6!J6,'Fat6'!J6)</f>
        <v>123748</v>
      </c>
      <c r="K24" s="90">
        <f>IF('BH (1)'!$D$4="Simples Nacional",Simp6!K6,'Fat6'!K6)</f>
        <v>102602</v>
      </c>
      <c r="L24" s="90">
        <f>IF('BH (1)'!$D$4="Simples Nacional",Simp6!L6,'Fat6'!L6)</f>
        <v>109759</v>
      </c>
      <c r="M24" s="90">
        <f>IF('BH (1)'!$D$4="Simples Nacional",Simp6!M6,'Fat6'!M6)</f>
        <v>115659</v>
      </c>
      <c r="N24" s="90">
        <f>IF('BH (1)'!$D$4="Simples Nacional",Simp6!N6,'Fat6'!N6)</f>
        <v>110531</v>
      </c>
      <c r="O24" s="90">
        <f>IF('BH (1)'!$D$4="Simples Nacional",Simp6!O6,'Fat6'!O6)</f>
        <v>109533</v>
      </c>
      <c r="P24" s="93">
        <f>SUM(D24:O24)</f>
        <v>1392217</v>
      </c>
    </row>
    <row r="25" spans="3:16" ht="24.95" customHeight="1" x14ac:dyDescent="0.25">
      <c r="C25" s="89" t="str">
        <f>IF('BH (1)'!$D$4="Simples Nacional",Simp6!C7,'Fat6'!C7)</f>
        <v>Serviços</v>
      </c>
      <c r="D25" s="90">
        <f>IF('BH (1)'!$D$4="Simples Nacional",Simp6!D7,'Fat6'!D7)</f>
        <v>0</v>
      </c>
      <c r="E25" s="90">
        <f>IF('BH (1)'!$D$4="Simples Nacional",Simp6!E7,'Fat6'!E7)</f>
        <v>0</v>
      </c>
      <c r="F25" s="90">
        <f>IF('BH (1)'!$D$4="Simples Nacional",Simp6!F7,'Fat6'!F7)</f>
        <v>0</v>
      </c>
      <c r="G25" s="90">
        <f>IF('BH (1)'!$D$4="Simples Nacional",Simp6!G7,'Fat6'!G7)</f>
        <v>0</v>
      </c>
      <c r="H25" s="90">
        <f>IF('BH (1)'!$D$4="Simples Nacional",Simp6!H7,'Fat6'!H7)</f>
        <v>0</v>
      </c>
      <c r="I25" s="90">
        <f>IF('BH (1)'!$D$4="Simples Nacional",Simp6!I7,'Fat6'!I7)</f>
        <v>0</v>
      </c>
      <c r="J25" s="90">
        <f>IF('BH (1)'!$D$4="Simples Nacional",Simp6!J7,'Fat6'!J7)</f>
        <v>0</v>
      </c>
      <c r="K25" s="90">
        <f>IF('BH (1)'!$D$4="Simples Nacional",Simp6!K7,'Fat6'!K7)</f>
        <v>0</v>
      </c>
      <c r="L25" s="90">
        <f>IF('BH (1)'!$D$4="Simples Nacional",Simp6!L7,'Fat6'!L7)</f>
        <v>0</v>
      </c>
      <c r="M25" s="90">
        <f>IF('BH (1)'!$D$4="Simples Nacional",Simp6!M7,'Fat6'!M7)</f>
        <v>0</v>
      </c>
      <c r="N25" s="90">
        <f>IF('BH (1)'!$D$4="Simples Nacional",Simp6!N7,'Fat6'!N7)</f>
        <v>0</v>
      </c>
      <c r="O25" s="90">
        <f>IF('BH (1)'!$D$4="Simples Nacional",Simp6!O7,'Fat6'!O7)</f>
        <v>0</v>
      </c>
      <c r="P25" s="93">
        <f>SUM(D25:O25)</f>
        <v>0</v>
      </c>
    </row>
    <row r="26" spans="3:16" ht="24.95" customHeight="1" x14ac:dyDescent="0.25">
      <c r="C26" s="89" t="str">
        <f>IF('BH (1)'!$D$4="Simples Nacional",Simp6!C8,"")</f>
        <v/>
      </c>
      <c r="D26" s="90" t="str">
        <f>IF('BH (1)'!$D$4="Simples Nacional",Simp6!D8,"")</f>
        <v/>
      </c>
      <c r="E26" s="90" t="str">
        <f>IF('BH (1)'!$D$4="Simples Nacional",Simp6!E8,"")</f>
        <v/>
      </c>
      <c r="F26" s="90" t="str">
        <f>IF('BH (1)'!$D$4="Simples Nacional",Simp6!F8,"")</f>
        <v/>
      </c>
      <c r="G26" s="90" t="str">
        <f>IF('BH (1)'!$D$4="Simples Nacional",Simp6!G8,"")</f>
        <v/>
      </c>
      <c r="H26" s="90" t="str">
        <f>IF('BH (1)'!$D$4="Simples Nacional",Simp6!H8,"")</f>
        <v/>
      </c>
      <c r="I26" s="90" t="str">
        <f>IF('BH (1)'!$D$4="Simples Nacional",Simp6!I8,"")</f>
        <v/>
      </c>
      <c r="J26" s="90" t="str">
        <f>IF('BH (1)'!$D$4="Simples Nacional",Simp6!J8,"")</f>
        <v/>
      </c>
      <c r="K26" s="90" t="str">
        <f>IF('BH (1)'!$D$4="Simples Nacional",Simp6!K8,"")</f>
        <v/>
      </c>
      <c r="L26" s="90" t="str">
        <f>IF('BH (1)'!$D$4="Simples Nacional",Simp6!L8,"")</f>
        <v/>
      </c>
      <c r="M26" s="90" t="str">
        <f>IF('BH (1)'!$D$4="Simples Nacional",Simp6!M8,"")</f>
        <v/>
      </c>
      <c r="N26" s="90" t="str">
        <f>IF('BH (1)'!$D$4="Simples Nacional",Simp6!N8,"")</f>
        <v/>
      </c>
      <c r="O26" s="90" t="str">
        <f>IF('BH (1)'!$D$4="Simples Nacional",Simp6!O8,"")</f>
        <v/>
      </c>
      <c r="P26" s="93">
        <f t="shared" ref="P26:P34" si="5">SUM(D26:O26)</f>
        <v>0</v>
      </c>
    </row>
    <row r="27" spans="3:16" ht="24.95" customHeight="1" x14ac:dyDescent="0.25">
      <c r="C27" s="89" t="str">
        <f>IF('BH (1)'!$D$4="Simples Nacional",Simp6!C9,"")</f>
        <v/>
      </c>
      <c r="D27" s="90" t="str">
        <f>IF('BH (1)'!$D$4="Simples Nacional",Simp6!D9,"")</f>
        <v/>
      </c>
      <c r="E27" s="90" t="str">
        <f>IF('BH (1)'!$D$4="Simples Nacional",Simp6!E9,"")</f>
        <v/>
      </c>
      <c r="F27" s="90" t="str">
        <f>IF('BH (1)'!$D$4="Simples Nacional",Simp6!F9,"")</f>
        <v/>
      </c>
      <c r="G27" s="90" t="str">
        <f>IF('BH (1)'!$D$4="Simples Nacional",Simp6!G9,"")</f>
        <v/>
      </c>
      <c r="H27" s="90" t="str">
        <f>IF('BH (1)'!$D$4="Simples Nacional",Simp6!H9,"")</f>
        <v/>
      </c>
      <c r="I27" s="90" t="str">
        <f>IF('BH (1)'!$D$4="Simples Nacional",Simp6!I9,"")</f>
        <v/>
      </c>
      <c r="J27" s="90" t="str">
        <f>IF('BH (1)'!$D$4="Simples Nacional",Simp6!J9,"")</f>
        <v/>
      </c>
      <c r="K27" s="90" t="str">
        <f>IF('BH (1)'!$D$4="Simples Nacional",Simp6!K9,"")</f>
        <v/>
      </c>
      <c r="L27" s="90" t="str">
        <f>IF('BH (1)'!$D$4="Simples Nacional",Simp6!L9,"")</f>
        <v/>
      </c>
      <c r="M27" s="90" t="str">
        <f>IF('BH (1)'!$D$4="Simples Nacional",Simp6!M9,"")</f>
        <v/>
      </c>
      <c r="N27" s="90" t="str">
        <f>IF('BH (1)'!$D$4="Simples Nacional",Simp6!N9,"")</f>
        <v/>
      </c>
      <c r="O27" s="90" t="str">
        <f>IF('BH (1)'!$D$4="Simples Nacional",Simp6!O9,"")</f>
        <v/>
      </c>
      <c r="P27" s="93">
        <f t="shared" si="5"/>
        <v>0</v>
      </c>
    </row>
    <row r="28" spans="3:16" ht="24.95" customHeight="1" x14ac:dyDescent="0.25">
      <c r="C28" s="94" t="s">
        <v>209</v>
      </c>
      <c r="D28" s="100">
        <f>Desp!D19</f>
        <v>0</v>
      </c>
      <c r="E28" s="99">
        <f>Desp!E19</f>
        <v>0</v>
      </c>
      <c r="F28" s="99">
        <f>Desp!F19</f>
        <v>0</v>
      </c>
      <c r="G28" s="99">
        <f>Desp!G19</f>
        <v>0</v>
      </c>
      <c r="H28" s="99">
        <f>Desp!H19</f>
        <v>0</v>
      </c>
      <c r="I28" s="99">
        <f>Desp!I19</f>
        <v>0</v>
      </c>
      <c r="J28" s="99">
        <f>Desp!J19</f>
        <v>0</v>
      </c>
      <c r="K28" s="99">
        <f>Desp!K19</f>
        <v>0</v>
      </c>
      <c r="L28" s="99">
        <f>Desp!L19</f>
        <v>0</v>
      </c>
      <c r="M28" s="99">
        <f>Desp!M19</f>
        <v>0</v>
      </c>
      <c r="N28" s="99">
        <f>Desp!N19</f>
        <v>0</v>
      </c>
      <c r="O28" s="100">
        <f>Desp!O19</f>
        <v>0</v>
      </c>
      <c r="P28" s="93">
        <f t="shared" si="5"/>
        <v>0</v>
      </c>
    </row>
    <row r="29" spans="3:16" ht="24.95" customHeight="1" x14ac:dyDescent="0.25">
      <c r="C29" s="96" t="s">
        <v>210</v>
      </c>
      <c r="D29" s="97">
        <f>SUM(D23:D27)-D28</f>
        <v>134725</v>
      </c>
      <c r="E29" s="97">
        <f t="shared" ref="E29:O29" si="6">SUM(E23:E27)-E28</f>
        <v>108391</v>
      </c>
      <c r="F29" s="97">
        <f t="shared" si="6"/>
        <v>133613</v>
      </c>
      <c r="G29" s="97">
        <f t="shared" si="6"/>
        <v>120356</v>
      </c>
      <c r="H29" s="97">
        <f t="shared" si="6"/>
        <v>119059</v>
      </c>
      <c r="I29" s="97">
        <f t="shared" si="6"/>
        <v>104241</v>
      </c>
      <c r="J29" s="97">
        <f t="shared" si="6"/>
        <v>123748</v>
      </c>
      <c r="K29" s="97">
        <f t="shared" si="6"/>
        <v>102602</v>
      </c>
      <c r="L29" s="97">
        <f t="shared" si="6"/>
        <v>109759</v>
      </c>
      <c r="M29" s="97">
        <f t="shared" si="6"/>
        <v>115659</v>
      </c>
      <c r="N29" s="97">
        <f t="shared" si="6"/>
        <v>110531</v>
      </c>
      <c r="O29" s="97">
        <f t="shared" si="6"/>
        <v>109533</v>
      </c>
      <c r="P29" s="93">
        <f t="shared" si="5"/>
        <v>1392217</v>
      </c>
    </row>
    <row r="30" spans="3:16" ht="24.95" customHeight="1" x14ac:dyDescent="0.25">
      <c r="C30" s="92" t="s">
        <v>214</v>
      </c>
      <c r="D30" s="90">
        <f>IF('BH (1)'!$D$4="Simples Nacional",Simp6!D14,'Fat6'!D11)</f>
        <v>770.62699999999995</v>
      </c>
      <c r="E30" s="90">
        <f>IF('BH (1)'!$D$4="Simples Nacional",Simp6!E14,'Fat6'!E11)</f>
        <v>619.99652000000003</v>
      </c>
      <c r="F30" s="90">
        <f>IF('BH (1)'!$D$4="Simples Nacional",Simp6!F14,'Fat6'!F11)</f>
        <v>764.26635999999996</v>
      </c>
      <c r="G30" s="90">
        <f>IF('BH (1)'!$D$4="Simples Nacional",Simp6!G14,'Fat6'!G11)</f>
        <v>688.43631999999991</v>
      </c>
      <c r="H30" s="90">
        <f>IF('BH (1)'!$D$4="Simples Nacional",Simp6!H14,'Fat6'!H11)</f>
        <v>681.01747999999998</v>
      </c>
      <c r="I30" s="90">
        <f>IF('BH (1)'!$D$4="Simples Nacional",Simp6!I14,'Fat6'!I11)</f>
        <v>596.25851999999998</v>
      </c>
      <c r="J30" s="90">
        <f>IF('BH (1)'!$D$4="Simples Nacional",Simp6!J14,'Fat6'!J11)</f>
        <v>707.83856000000003</v>
      </c>
      <c r="K30" s="90">
        <f>IF('BH (1)'!$D$4="Simples Nacional",Simp6!K14,'Fat6'!K11)</f>
        <v>586.88343999999995</v>
      </c>
      <c r="L30" s="90">
        <f>IF('BH (1)'!$D$4="Simples Nacional",Simp6!L14,'Fat6'!L11)</f>
        <v>627.82147999999995</v>
      </c>
      <c r="M30" s="90">
        <f>IF('BH (1)'!$D$4="Simples Nacional",Simp6!M14,'Fat6'!M11)</f>
        <v>661.56948</v>
      </c>
      <c r="N30" s="90">
        <f>IF('BH (1)'!$D$4="Simples Nacional",Simp6!N14,'Fat6'!N11)</f>
        <v>632.23731999999995</v>
      </c>
      <c r="O30" s="90">
        <f>IF('BH (1)'!$D$4="Simples Nacional",Simp6!O14,'Fat6'!O11)</f>
        <v>626.52876000000003</v>
      </c>
      <c r="P30" s="93">
        <f t="shared" si="5"/>
        <v>7963.4812400000001</v>
      </c>
    </row>
    <row r="31" spans="3:16" ht="24.95" customHeight="1" x14ac:dyDescent="0.25">
      <c r="C31" s="92" t="s">
        <v>215</v>
      </c>
      <c r="D31" s="90">
        <f>IF('BH (1)'!$D$4="Simples Nacional",Simp6!D15,'Fat6'!D12)</f>
        <v>3556.74</v>
      </c>
      <c r="E31" s="90">
        <f>IF('BH (1)'!$D$4="Simples Nacional",Simp6!E15,'Fat6'!E12)</f>
        <v>2861.5223999999998</v>
      </c>
      <c r="F31" s="90">
        <f>IF('BH (1)'!$D$4="Simples Nacional",Simp6!F15,'Fat6'!F12)</f>
        <v>3527.3831999999998</v>
      </c>
      <c r="G31" s="90">
        <f>IF('BH (1)'!$D$4="Simples Nacional",Simp6!G15,'Fat6'!G12)</f>
        <v>3177.3984</v>
      </c>
      <c r="H31" s="90">
        <f>IF('BH (1)'!$D$4="Simples Nacional",Simp6!H15,'Fat6'!H12)</f>
        <v>3143.1576</v>
      </c>
      <c r="I31" s="90">
        <f>IF('BH (1)'!$D$4="Simples Nacional",Simp6!I15,'Fat6'!I12)</f>
        <v>2751.9623999999999</v>
      </c>
      <c r="J31" s="90">
        <f>IF('BH (1)'!$D$4="Simples Nacional",Simp6!J15,'Fat6'!J12)</f>
        <v>3266.9472000000001</v>
      </c>
      <c r="K31" s="90">
        <f>IF('BH (1)'!$D$4="Simples Nacional",Simp6!K15,'Fat6'!K12)</f>
        <v>2708.6927999999998</v>
      </c>
      <c r="L31" s="90">
        <f>IF('BH (1)'!$D$4="Simples Nacional",Simp6!L15,'Fat6'!L12)</f>
        <v>2897.6376</v>
      </c>
      <c r="M31" s="90">
        <f>IF('BH (1)'!$D$4="Simples Nacional",Simp6!M15,'Fat6'!M12)</f>
        <v>3053.3975999999998</v>
      </c>
      <c r="N31" s="90">
        <f>IF('BH (1)'!$D$4="Simples Nacional",Simp6!N15,'Fat6'!N12)</f>
        <v>2918.0183999999999</v>
      </c>
      <c r="O31" s="90">
        <f>IF('BH (1)'!$D$4="Simples Nacional",Simp6!O15,'Fat6'!O12)</f>
        <v>2891.6712000000002</v>
      </c>
      <c r="P31" s="93">
        <f t="shared" si="5"/>
        <v>36754.528799999993</v>
      </c>
    </row>
    <row r="32" spans="3:16" ht="24.95" customHeight="1" x14ac:dyDescent="0.25">
      <c r="C32" s="92" t="s">
        <v>216</v>
      </c>
      <c r="D32" s="90">
        <f>IF('BH (1)'!$D$4="Simples Nacional",Simp6!D16,'Fat6'!D13)</f>
        <v>16167</v>
      </c>
      <c r="E32" s="90">
        <f>IF('BH (1)'!$D$4="Simples Nacional",Simp6!E16,'Fat6'!E13)</f>
        <v>13006.92</v>
      </c>
      <c r="F32" s="90">
        <f>IF('BH (1)'!$D$4="Simples Nacional",Simp6!F16,'Fat6'!F13)</f>
        <v>16033.56</v>
      </c>
      <c r="G32" s="90">
        <f>IF('BH (1)'!$D$4="Simples Nacional",Simp6!G16,'Fat6'!G13)</f>
        <v>14442.72</v>
      </c>
      <c r="H32" s="90">
        <f>IF('BH (1)'!$D$4="Simples Nacional",Simp6!H16,'Fat6'!H13)</f>
        <v>14287.08</v>
      </c>
      <c r="I32" s="90">
        <f>IF('BH (1)'!$D$4="Simples Nacional",Simp6!I16,'Fat6'!I13)</f>
        <v>12508.92</v>
      </c>
      <c r="J32" s="90">
        <f>IF('BH (1)'!$D$4="Simples Nacional",Simp6!J16,'Fat6'!J13)</f>
        <v>14849.76</v>
      </c>
      <c r="K32" s="90">
        <f>IF('BH (1)'!$D$4="Simples Nacional",Simp6!K16,'Fat6'!K13)</f>
        <v>12312.24</v>
      </c>
      <c r="L32" s="90">
        <f>IF('BH (1)'!$D$4="Simples Nacional",Simp6!L16,'Fat6'!L13)</f>
        <v>13171.08</v>
      </c>
      <c r="M32" s="90">
        <f>IF('BH (1)'!$D$4="Simples Nacional",Simp6!M16,'Fat6'!M13)</f>
        <v>13879.08</v>
      </c>
      <c r="N32" s="90">
        <f>IF('BH (1)'!$D$4="Simples Nacional",Simp6!N16,'Fat6'!N13)</f>
        <v>13263.72</v>
      </c>
      <c r="O32" s="90">
        <f>IF('BH (1)'!$D$4="Simples Nacional",Simp6!O16,'Fat6'!O13)</f>
        <v>13143.96</v>
      </c>
      <c r="P32" s="93">
        <f t="shared" si="5"/>
        <v>167066.03999999998</v>
      </c>
    </row>
    <row r="33" spans="3:16" ht="24.95" customHeight="1" x14ac:dyDescent="0.25">
      <c r="C33" s="92" t="s">
        <v>217</v>
      </c>
      <c r="D33" s="90">
        <f>IF('BH (1)'!$D$4="Simples Nacional",Simp6!D17,'Fat6'!D14)</f>
        <v>0</v>
      </c>
      <c r="E33" s="90">
        <f>IF('BH (1)'!$D$4="Simples Nacional",Simp6!E17,'Fat6'!E14)</f>
        <v>0</v>
      </c>
      <c r="F33" s="90">
        <f>IF('BH (1)'!$D$4="Simples Nacional",Simp6!F17,'Fat6'!F14)</f>
        <v>0</v>
      </c>
      <c r="G33" s="90">
        <f>IF('BH (1)'!$D$4="Simples Nacional",Simp6!G17,'Fat6'!G14)</f>
        <v>0</v>
      </c>
      <c r="H33" s="90">
        <f>IF('BH (1)'!$D$4="Simples Nacional",Simp6!H17,'Fat6'!H14)</f>
        <v>0</v>
      </c>
      <c r="I33" s="90">
        <f>IF('BH (1)'!$D$4="Simples Nacional",Simp6!I17,'Fat6'!I14)</f>
        <v>0</v>
      </c>
      <c r="J33" s="90">
        <f>IF('BH (1)'!$D$4="Simples Nacional",Simp6!J17,'Fat6'!J14)</f>
        <v>0</v>
      </c>
      <c r="K33" s="90">
        <f>IF('BH (1)'!$D$4="Simples Nacional",Simp6!K17,'Fat6'!K14)</f>
        <v>0</v>
      </c>
      <c r="L33" s="90">
        <f>IF('BH (1)'!$D$4="Simples Nacional",Simp6!L17,'Fat6'!L14)</f>
        <v>0</v>
      </c>
      <c r="M33" s="90">
        <f>IF('BH (1)'!$D$4="Simples Nacional",Simp6!M17,'Fat6'!M14)</f>
        <v>0</v>
      </c>
      <c r="N33" s="90">
        <f>IF('BH (1)'!$D$4="Simples Nacional",Simp6!N17,'Fat6'!N14)</f>
        <v>0</v>
      </c>
      <c r="O33" s="90">
        <f>IF('BH (1)'!$D$4="Simples Nacional",Simp6!O17,'Fat6'!O14)</f>
        <v>0</v>
      </c>
      <c r="P33" s="93">
        <f t="shared" si="5"/>
        <v>0</v>
      </c>
    </row>
    <row r="34" spans="3:16" ht="24.95" customHeight="1" x14ac:dyDescent="0.25">
      <c r="C34" s="92" t="s">
        <v>218</v>
      </c>
      <c r="D34" s="90">
        <f>IF('BH (1)'!$D$4="Simples Nacional",Simp6!D18,'Fat6'!D15)</f>
        <v>0</v>
      </c>
      <c r="E34" s="90">
        <f>IF('BH (1)'!$D$4="Simples Nacional",Simp6!E18,'Fat6'!E15)</f>
        <v>0</v>
      </c>
      <c r="F34" s="90">
        <f>IF('BH (1)'!$D$4="Simples Nacional",Simp6!F18,'Fat6'!F15)</f>
        <v>0</v>
      </c>
      <c r="G34" s="90">
        <f>IF('BH (1)'!$D$4="Simples Nacional",Simp6!G18,'Fat6'!G15)</f>
        <v>0</v>
      </c>
      <c r="H34" s="90">
        <f>IF('BH (1)'!$D$4="Simples Nacional",Simp6!H18,'Fat6'!H15)</f>
        <v>0</v>
      </c>
      <c r="I34" s="90">
        <f>IF('BH (1)'!$D$4="Simples Nacional",Simp6!I18,'Fat6'!I15)</f>
        <v>0</v>
      </c>
      <c r="J34" s="90">
        <f>IF('BH (1)'!$D$4="Simples Nacional",Simp6!J18,'Fat6'!J15)</f>
        <v>0</v>
      </c>
      <c r="K34" s="90">
        <f>IF('BH (1)'!$D$4="Simples Nacional",Simp6!K18,'Fat6'!K15)</f>
        <v>0</v>
      </c>
      <c r="L34" s="90">
        <f>IF('BH (1)'!$D$4="Simples Nacional",Simp6!L18,'Fat6'!L15)</f>
        <v>0</v>
      </c>
      <c r="M34" s="90">
        <f>IF('BH (1)'!$D$4="Simples Nacional",Simp6!M18,'Fat6'!M15)</f>
        <v>0</v>
      </c>
      <c r="N34" s="90">
        <f>IF('BH (1)'!$D$4="Simples Nacional",Simp6!N18,'Fat6'!N15)</f>
        <v>0</v>
      </c>
      <c r="O34" s="90">
        <f>IF('BH (1)'!$D$4="Simples Nacional",Simp6!O18,'Fat6'!O15)</f>
        <v>0</v>
      </c>
      <c r="P34" s="93">
        <f t="shared" si="5"/>
        <v>0</v>
      </c>
    </row>
    <row r="35" spans="3:16" ht="24.95" customHeight="1" x14ac:dyDescent="0.25">
      <c r="C35" s="92" t="s">
        <v>247</v>
      </c>
      <c r="D35" s="90">
        <f>D5</f>
        <v>1212.5249999999999</v>
      </c>
      <c r="E35" s="90">
        <f t="shared" ref="E35:O35" si="7">E5</f>
        <v>975.51899999999989</v>
      </c>
      <c r="F35" s="90">
        <f t="shared" si="7"/>
        <v>1202.5169999999998</v>
      </c>
      <c r="G35" s="90">
        <f t="shared" si="7"/>
        <v>1083.204</v>
      </c>
      <c r="H35" s="90">
        <f t="shared" si="7"/>
        <v>1071.5309999999999</v>
      </c>
      <c r="I35" s="90">
        <f t="shared" si="7"/>
        <v>938.16899999999998</v>
      </c>
      <c r="J35" s="90">
        <f t="shared" si="7"/>
        <v>1113.732</v>
      </c>
      <c r="K35" s="90">
        <f t="shared" si="7"/>
        <v>923.41799999999989</v>
      </c>
      <c r="L35" s="90">
        <f t="shared" si="7"/>
        <v>987.8309999999999</v>
      </c>
      <c r="M35" s="90">
        <f t="shared" si="7"/>
        <v>1040.9309999999998</v>
      </c>
      <c r="N35" s="90">
        <f t="shared" si="7"/>
        <v>994.77899999999988</v>
      </c>
      <c r="O35" s="90">
        <f t="shared" si="7"/>
        <v>985.79699999999991</v>
      </c>
      <c r="P35" s="93">
        <f>SUM(D35:O35)</f>
        <v>12529.953000000001</v>
      </c>
    </row>
    <row r="36" spans="3:16" ht="24.95" customHeight="1" x14ac:dyDescent="0.25">
      <c r="C36" s="94" t="s">
        <v>248</v>
      </c>
      <c r="D36" s="99">
        <f>D6</f>
        <v>134.72499999999999</v>
      </c>
      <c r="E36" s="99">
        <f t="shared" ref="E36:O36" si="8">E6</f>
        <v>108.39100000000001</v>
      </c>
      <c r="F36" s="99">
        <f t="shared" si="8"/>
        <v>133.613</v>
      </c>
      <c r="G36" s="99">
        <f t="shared" si="8"/>
        <v>120.35600000000001</v>
      </c>
      <c r="H36" s="99">
        <f t="shared" si="8"/>
        <v>119.059</v>
      </c>
      <c r="I36" s="99">
        <f t="shared" si="8"/>
        <v>104.241</v>
      </c>
      <c r="J36" s="99">
        <f t="shared" si="8"/>
        <v>123.748</v>
      </c>
      <c r="K36" s="99">
        <f t="shared" si="8"/>
        <v>102.602</v>
      </c>
      <c r="L36" s="99">
        <f t="shared" si="8"/>
        <v>109.759</v>
      </c>
      <c r="M36" s="99">
        <f t="shared" si="8"/>
        <v>115.65900000000001</v>
      </c>
      <c r="N36" s="99">
        <f t="shared" si="8"/>
        <v>110.53100000000001</v>
      </c>
      <c r="O36" s="99">
        <f t="shared" si="8"/>
        <v>109.533</v>
      </c>
      <c r="P36" s="93">
        <f>SUM(D36:O36)</f>
        <v>1392.2169999999999</v>
      </c>
    </row>
    <row r="37" spans="3:16" ht="24.95" customHeight="1" x14ac:dyDescent="0.25">
      <c r="C37" s="190" t="s">
        <v>211</v>
      </c>
      <c r="D37" s="97">
        <f>D29-SUM(D30:D36)</f>
        <v>112883.383</v>
      </c>
      <c r="E37" s="97">
        <f t="shared" ref="E37:O37" si="9">E29-SUM(E30:E36)</f>
        <v>90818.651079999996</v>
      </c>
      <c r="F37" s="97">
        <f t="shared" si="9"/>
        <v>111951.66044000001</v>
      </c>
      <c r="G37" s="97">
        <f t="shared" si="9"/>
        <v>100843.88528</v>
      </c>
      <c r="H37" s="97">
        <f t="shared" si="9"/>
        <v>99757.154920000001</v>
      </c>
      <c r="I37" s="97">
        <f t="shared" si="9"/>
        <v>87341.449079999991</v>
      </c>
      <c r="J37" s="97">
        <f t="shared" si="9"/>
        <v>103685.97424</v>
      </c>
      <c r="K37" s="97">
        <f t="shared" si="9"/>
        <v>85968.163759999996</v>
      </c>
      <c r="L37" s="97">
        <f t="shared" si="9"/>
        <v>91964.870920000001</v>
      </c>
      <c r="M37" s="97">
        <f t="shared" si="9"/>
        <v>96908.36292</v>
      </c>
      <c r="N37" s="97">
        <f t="shared" si="9"/>
        <v>92611.71428</v>
      </c>
      <c r="O37" s="97">
        <f t="shared" si="9"/>
        <v>91775.510039999994</v>
      </c>
      <c r="P37" s="93">
        <f>SUM(D37:O37)</f>
        <v>1166510.7799600002</v>
      </c>
    </row>
    <row r="38" spans="3:16" ht="24.95" customHeight="1" x14ac:dyDescent="0.25">
      <c r="C38" s="89" t="s">
        <v>219</v>
      </c>
      <c r="D38" s="90">
        <f>Cus!D5</f>
        <v>0</v>
      </c>
      <c r="E38" s="90">
        <f>Cus!E5</f>
        <v>0</v>
      </c>
      <c r="F38" s="90">
        <f>Cus!F5</f>
        <v>0</v>
      </c>
      <c r="G38" s="90">
        <f>Cus!G5</f>
        <v>0</v>
      </c>
      <c r="H38" s="90">
        <f>Cus!H5</f>
        <v>0</v>
      </c>
      <c r="I38" s="90">
        <f>Cus!I5</f>
        <v>0</v>
      </c>
      <c r="J38" s="90">
        <f>Cus!J5</f>
        <v>0</v>
      </c>
      <c r="K38" s="90">
        <f>Cus!K5</f>
        <v>0</v>
      </c>
      <c r="L38" s="90">
        <f>Cus!L5</f>
        <v>0</v>
      </c>
      <c r="M38" s="90">
        <f>Cus!M5</f>
        <v>0</v>
      </c>
      <c r="N38" s="90">
        <f>Cus!N5</f>
        <v>0</v>
      </c>
      <c r="O38" s="90">
        <f>Cus!O5</f>
        <v>0</v>
      </c>
      <c r="P38" s="93">
        <f t="shared" ref="P38:P47" si="10">SUM(D38:O38)</f>
        <v>0</v>
      </c>
    </row>
    <row r="39" spans="3:16" ht="24.95" customHeight="1" x14ac:dyDescent="0.25">
      <c r="C39" s="92" t="s">
        <v>220</v>
      </c>
      <c r="D39" s="90">
        <f>Cus!D6</f>
        <v>38671</v>
      </c>
      <c r="E39" s="90">
        <f>Cus!E6</f>
        <v>35038</v>
      </c>
      <c r="F39" s="90">
        <f>Cus!F6</f>
        <v>38988</v>
      </c>
      <c r="G39" s="90">
        <f>Cus!G6</f>
        <v>36366</v>
      </c>
      <c r="H39" s="90">
        <f>Cus!H6</f>
        <v>36221</v>
      </c>
      <c r="I39" s="90">
        <f>Cus!I6</f>
        <v>36625</v>
      </c>
      <c r="J39" s="90">
        <f>Cus!J6</f>
        <v>37727</v>
      </c>
      <c r="K39" s="90">
        <f>Cus!K6</f>
        <v>38303</v>
      </c>
      <c r="L39" s="90">
        <f>Cus!L6</f>
        <v>39407</v>
      </c>
      <c r="M39" s="90">
        <f>Cus!M6</f>
        <v>36094</v>
      </c>
      <c r="N39" s="90">
        <f>Cus!N6</f>
        <v>37011</v>
      </c>
      <c r="O39" s="90">
        <f>Cus!O6</f>
        <v>39167</v>
      </c>
      <c r="P39" s="93">
        <f t="shared" si="10"/>
        <v>449618</v>
      </c>
    </row>
    <row r="40" spans="3:16" ht="24.95" customHeight="1" x14ac:dyDescent="0.25">
      <c r="C40" s="92" t="s">
        <v>221</v>
      </c>
      <c r="D40" s="90">
        <f>Cus!D7</f>
        <v>0</v>
      </c>
      <c r="E40" s="90">
        <f>Cus!E7</f>
        <v>0</v>
      </c>
      <c r="F40" s="90">
        <f>Cus!F7</f>
        <v>0</v>
      </c>
      <c r="G40" s="90">
        <f>Cus!G7</f>
        <v>0</v>
      </c>
      <c r="H40" s="90">
        <f>Cus!H7</f>
        <v>0</v>
      </c>
      <c r="I40" s="90">
        <f>Cus!I7</f>
        <v>0</v>
      </c>
      <c r="J40" s="90">
        <f>Cus!J7</f>
        <v>0</v>
      </c>
      <c r="K40" s="90">
        <f>Cus!K7</f>
        <v>0</v>
      </c>
      <c r="L40" s="90">
        <f>Cus!L7</f>
        <v>0</v>
      </c>
      <c r="M40" s="90">
        <f>Cus!M7</f>
        <v>0</v>
      </c>
      <c r="N40" s="90">
        <f>Cus!N7</f>
        <v>0</v>
      </c>
      <c r="O40" s="90">
        <f>Cus!O7</f>
        <v>0</v>
      </c>
      <c r="P40" s="93">
        <f t="shared" si="10"/>
        <v>0</v>
      </c>
    </row>
    <row r="41" spans="3:16" ht="24.95" customHeight="1" x14ac:dyDescent="0.25">
      <c r="C41" s="228" t="str">
        <f>IF('BH (1)'!$D$4="Simples Nacional","","(+) Créditos")</f>
        <v>(+) Créditos</v>
      </c>
      <c r="D41" s="263">
        <f>IF('BH (1)'!$D$4="Simples Nacional",0,Lançamentos!D15)</f>
        <v>7457.8601562499998</v>
      </c>
      <c r="E41" s="263">
        <f>IF('BH (1)'!$D$4="Simples Nacional",0,Lançamentos!E15)</f>
        <v>7254.5693750000009</v>
      </c>
      <c r="F41" s="263">
        <f>IF('BH (1)'!$D$4="Simples Nacional",0,Lançamentos!F15)</f>
        <v>7120.8457812500001</v>
      </c>
      <c r="G41" s="263">
        <f>IF('BH (1)'!$D$4="Simples Nacional",0,Lançamentos!G15)</f>
        <v>7046.3831249999994</v>
      </c>
      <c r="H41" s="263">
        <f>IF('BH (1)'!$D$4="Simples Nacional",0,Lançamentos!H15)</f>
        <v>7108.7359374999996</v>
      </c>
      <c r="I41" s="263">
        <f>IF('BH (1)'!$D$4="Simples Nacional",0,Lançamentos!I15)</f>
        <v>7120.3304687500004</v>
      </c>
      <c r="J41" s="263">
        <f>IF('BH (1)'!$D$4="Simples Nacional",0,Lançamentos!J15)</f>
        <v>6524.6292187500003</v>
      </c>
      <c r="K41" s="263">
        <f>IF('BH (1)'!$D$4="Simples Nacional",0,Lançamentos!K15)</f>
        <v>7422.3035937499999</v>
      </c>
      <c r="L41" s="263">
        <f>IF('BH (1)'!$D$4="Simples Nacional",0,Lançamentos!L15)</f>
        <v>6540.6039062500004</v>
      </c>
      <c r="M41" s="263">
        <f>IF('BH (1)'!$D$4="Simples Nacional",0,Lançamentos!M15)</f>
        <v>7761.6368749999992</v>
      </c>
      <c r="N41" s="263">
        <f>IF('BH (1)'!$D$4="Simples Nacional",0,Lançamentos!N15)</f>
        <v>7069.0568750000002</v>
      </c>
      <c r="O41" s="263">
        <f>IF('BH (1)'!$D$4="Simples Nacional",0,Lançamentos!O15)</f>
        <v>6643.4087499999987</v>
      </c>
      <c r="P41" s="93">
        <f t="shared" si="10"/>
        <v>85070.364062499997</v>
      </c>
    </row>
    <row r="42" spans="3:16" ht="24.95" customHeight="1" x14ac:dyDescent="0.25">
      <c r="C42" s="96" t="s">
        <v>212</v>
      </c>
      <c r="D42" s="97">
        <f>IFERROR(IF(SUM(D38:D40)=0,D37-SUM(D38:D40),D37-SUM(D38:D40)+D41),0)</f>
        <v>81670.243156249999</v>
      </c>
      <c r="E42" s="97">
        <f t="shared" ref="E42:O42" si="11">IFERROR(IF(SUM(E38:E40)=0,E37-SUM(E38:E40),E37-SUM(E38:E40)+E41),0)</f>
        <v>63035.220454999995</v>
      </c>
      <c r="F42" s="97">
        <f t="shared" si="11"/>
        <v>80084.506221250005</v>
      </c>
      <c r="G42" s="97">
        <f t="shared" si="11"/>
        <v>71524.268404999995</v>
      </c>
      <c r="H42" s="97">
        <f t="shared" si="11"/>
        <v>70644.890857499995</v>
      </c>
      <c r="I42" s="97">
        <f t="shared" si="11"/>
        <v>57836.77954874999</v>
      </c>
      <c r="J42" s="97">
        <f t="shared" si="11"/>
        <v>72483.603458750003</v>
      </c>
      <c r="K42" s="97">
        <f t="shared" si="11"/>
        <v>55087.467353749998</v>
      </c>
      <c r="L42" s="97">
        <f t="shared" si="11"/>
        <v>59098.47482625</v>
      </c>
      <c r="M42" s="97">
        <f t="shared" si="11"/>
        <v>68575.999794999996</v>
      </c>
      <c r="N42" s="97">
        <f t="shared" si="11"/>
        <v>62669.771155000002</v>
      </c>
      <c r="O42" s="97">
        <f t="shared" si="11"/>
        <v>59251.918789999996</v>
      </c>
      <c r="P42" s="93">
        <f>SUM(D42:O42)</f>
        <v>801963.14402249991</v>
      </c>
    </row>
    <row r="43" spans="3:16" ht="24.95" customHeight="1" x14ac:dyDescent="0.25">
      <c r="C43" s="92" t="s">
        <v>226</v>
      </c>
      <c r="D43" s="90">
        <f>Desp!D5</f>
        <v>26739</v>
      </c>
      <c r="E43" s="90">
        <f>Desp!E5</f>
        <v>27419</v>
      </c>
      <c r="F43" s="90">
        <f>Desp!F5</f>
        <v>25474</v>
      </c>
      <c r="G43" s="90">
        <f>Desp!G5</f>
        <v>27975</v>
      </c>
      <c r="H43" s="90">
        <f>Desp!H5</f>
        <v>26284</v>
      </c>
      <c r="I43" s="90">
        <f>Desp!I5</f>
        <v>27556</v>
      </c>
      <c r="J43" s="90">
        <f>Desp!J5</f>
        <v>27311</v>
      </c>
      <c r="K43" s="90">
        <f>Desp!K5</f>
        <v>27931</v>
      </c>
      <c r="L43" s="90">
        <f>Desp!L5</f>
        <v>26172</v>
      </c>
      <c r="M43" s="90">
        <f>Desp!M5</f>
        <v>27441</v>
      </c>
      <c r="N43" s="90">
        <f>Desp!N5</f>
        <v>27567</v>
      </c>
      <c r="O43" s="90">
        <f>Desp!O5</f>
        <v>27298</v>
      </c>
      <c r="P43" s="93">
        <f t="shared" si="10"/>
        <v>325167</v>
      </c>
    </row>
    <row r="44" spans="3:16" ht="24.95" customHeight="1" x14ac:dyDescent="0.25">
      <c r="C44" s="92" t="s">
        <v>227</v>
      </c>
      <c r="D44" s="90">
        <f>Desp!D6</f>
        <v>0</v>
      </c>
      <c r="E44" s="90">
        <f>Desp!E6</f>
        <v>0</v>
      </c>
      <c r="F44" s="90">
        <f>Desp!F6</f>
        <v>0</v>
      </c>
      <c r="G44" s="90">
        <f>Desp!G6</f>
        <v>0</v>
      </c>
      <c r="H44" s="90">
        <f>Desp!H6</f>
        <v>0</v>
      </c>
      <c r="I44" s="90">
        <f>Desp!I6</f>
        <v>0</v>
      </c>
      <c r="J44" s="90">
        <f>Desp!J6</f>
        <v>0</v>
      </c>
      <c r="K44" s="90">
        <f>Desp!K6</f>
        <v>0</v>
      </c>
      <c r="L44" s="90">
        <f>Desp!L6</f>
        <v>0</v>
      </c>
      <c r="M44" s="90">
        <f>Desp!M6</f>
        <v>0</v>
      </c>
      <c r="N44" s="90">
        <f>Desp!N6</f>
        <v>0</v>
      </c>
      <c r="O44" s="90">
        <f>Desp!O6</f>
        <v>0</v>
      </c>
      <c r="P44" s="93">
        <f t="shared" si="10"/>
        <v>0</v>
      </c>
    </row>
    <row r="45" spans="3:16" ht="24.95" customHeight="1" x14ac:dyDescent="0.25">
      <c r="C45" s="92" t="s">
        <v>228</v>
      </c>
      <c r="D45" s="90">
        <f>Desp!D7</f>
        <v>0</v>
      </c>
      <c r="E45" s="90">
        <f>Desp!E7</f>
        <v>0</v>
      </c>
      <c r="F45" s="90">
        <f>Desp!F7</f>
        <v>0</v>
      </c>
      <c r="G45" s="90">
        <f>Desp!G7</f>
        <v>0</v>
      </c>
      <c r="H45" s="90">
        <f>Desp!H7</f>
        <v>0</v>
      </c>
      <c r="I45" s="90">
        <f>Desp!I7</f>
        <v>0</v>
      </c>
      <c r="J45" s="90">
        <f>Desp!J7</f>
        <v>0</v>
      </c>
      <c r="K45" s="90">
        <f>Desp!K7</f>
        <v>0</v>
      </c>
      <c r="L45" s="90">
        <f>Desp!L7</f>
        <v>0</v>
      </c>
      <c r="M45" s="90">
        <f>Desp!M7</f>
        <v>0</v>
      </c>
      <c r="N45" s="90">
        <f>Desp!N7</f>
        <v>0</v>
      </c>
      <c r="O45" s="90">
        <f>Desp!O7</f>
        <v>0</v>
      </c>
      <c r="P45" s="93">
        <f t="shared" si="10"/>
        <v>0</v>
      </c>
    </row>
    <row r="46" spans="3:16" ht="24.95" customHeight="1" x14ac:dyDescent="0.25">
      <c r="C46" s="92" t="s">
        <v>229</v>
      </c>
      <c r="D46" s="90">
        <f>Desp!D8</f>
        <v>0</v>
      </c>
      <c r="E46" s="90">
        <f>Desp!E8</f>
        <v>0</v>
      </c>
      <c r="F46" s="90">
        <f>Desp!F8</f>
        <v>0</v>
      </c>
      <c r="G46" s="90">
        <f>Desp!G8</f>
        <v>0</v>
      </c>
      <c r="H46" s="90">
        <f>Desp!H8</f>
        <v>0</v>
      </c>
      <c r="I46" s="90">
        <f>Desp!I8</f>
        <v>0</v>
      </c>
      <c r="J46" s="90">
        <f>Desp!J8</f>
        <v>0</v>
      </c>
      <c r="K46" s="90">
        <f>Desp!K8</f>
        <v>0</v>
      </c>
      <c r="L46" s="90">
        <f>Desp!L8</f>
        <v>0</v>
      </c>
      <c r="M46" s="90">
        <f>Desp!M8</f>
        <v>0</v>
      </c>
      <c r="N46" s="90">
        <f>Desp!N8</f>
        <v>0</v>
      </c>
      <c r="O46" s="90">
        <f>Desp!O8</f>
        <v>0</v>
      </c>
      <c r="P46" s="93">
        <f t="shared" si="10"/>
        <v>0</v>
      </c>
    </row>
    <row r="47" spans="3:16" ht="24.95" customHeight="1" x14ac:dyDescent="0.25">
      <c r="C47" s="92" t="s">
        <v>230</v>
      </c>
      <c r="D47" s="90">
        <f>Desp!D9</f>
        <v>0</v>
      </c>
      <c r="E47" s="90">
        <f>Desp!E9</f>
        <v>0</v>
      </c>
      <c r="F47" s="90">
        <f>Desp!F9</f>
        <v>0</v>
      </c>
      <c r="G47" s="90">
        <f>Desp!G9</f>
        <v>0</v>
      </c>
      <c r="H47" s="90">
        <f>Desp!H9</f>
        <v>0</v>
      </c>
      <c r="I47" s="90">
        <f>Desp!I9</f>
        <v>0</v>
      </c>
      <c r="J47" s="90">
        <f>Desp!J9</f>
        <v>0</v>
      </c>
      <c r="K47" s="90">
        <f>Desp!K9</f>
        <v>0</v>
      </c>
      <c r="L47" s="90">
        <f>Desp!L9</f>
        <v>0</v>
      </c>
      <c r="M47" s="90">
        <f>Desp!M9</f>
        <v>0</v>
      </c>
      <c r="N47" s="90">
        <f>Desp!N9</f>
        <v>0</v>
      </c>
      <c r="O47" s="90">
        <f>Desp!O9</f>
        <v>0</v>
      </c>
      <c r="P47" s="93">
        <f t="shared" si="10"/>
        <v>0</v>
      </c>
    </row>
    <row r="48" spans="3:16" ht="24.95" customHeight="1" x14ac:dyDescent="0.25">
      <c r="C48" s="92" t="s">
        <v>231</v>
      </c>
      <c r="D48" s="90">
        <f>Desp!D10</f>
        <v>0</v>
      </c>
      <c r="E48" s="90">
        <f>Desp!E10</f>
        <v>0</v>
      </c>
      <c r="F48" s="90">
        <f>Desp!F10</f>
        <v>0</v>
      </c>
      <c r="G48" s="90">
        <f>Desp!G10</f>
        <v>0</v>
      </c>
      <c r="H48" s="90">
        <f>Desp!H10</f>
        <v>0</v>
      </c>
      <c r="I48" s="90">
        <f>Desp!I10</f>
        <v>0</v>
      </c>
      <c r="J48" s="90">
        <f>Desp!J10</f>
        <v>0</v>
      </c>
      <c r="K48" s="90">
        <f>Desp!K10</f>
        <v>0</v>
      </c>
      <c r="L48" s="90">
        <f>Desp!L10</f>
        <v>0</v>
      </c>
      <c r="M48" s="90">
        <f>Desp!M10</f>
        <v>0</v>
      </c>
      <c r="N48" s="90">
        <f>Desp!N10</f>
        <v>0</v>
      </c>
      <c r="O48" s="90">
        <f>Desp!O10</f>
        <v>0</v>
      </c>
      <c r="P48" s="93">
        <f>SUM(D48:O48)</f>
        <v>0</v>
      </c>
    </row>
    <row r="49" spans="3:16" ht="24.95" customHeight="1" x14ac:dyDescent="0.25">
      <c r="C49" s="92" t="s">
        <v>232</v>
      </c>
      <c r="D49" s="90">
        <f>Desp!D11</f>
        <v>0</v>
      </c>
      <c r="E49" s="90">
        <f>Desp!E11</f>
        <v>0</v>
      </c>
      <c r="F49" s="90">
        <f>Desp!F11</f>
        <v>0</v>
      </c>
      <c r="G49" s="90">
        <f>Desp!G11</f>
        <v>0</v>
      </c>
      <c r="H49" s="90">
        <f>Desp!H11</f>
        <v>0</v>
      </c>
      <c r="I49" s="90">
        <f>Desp!I11</f>
        <v>0</v>
      </c>
      <c r="J49" s="90">
        <f>Desp!J11</f>
        <v>0</v>
      </c>
      <c r="K49" s="90">
        <f>Desp!K11</f>
        <v>0</v>
      </c>
      <c r="L49" s="90">
        <f>Desp!L11</f>
        <v>0</v>
      </c>
      <c r="M49" s="90">
        <f>Desp!M11</f>
        <v>0</v>
      </c>
      <c r="N49" s="90">
        <f>Desp!N11</f>
        <v>0</v>
      </c>
      <c r="O49" s="90">
        <f>Desp!O11</f>
        <v>0</v>
      </c>
      <c r="P49" s="93">
        <f>SUM(D49:O49)</f>
        <v>0</v>
      </c>
    </row>
    <row r="50" spans="3:16" ht="24.95" customHeight="1" x14ac:dyDescent="0.25">
      <c r="C50" s="92" t="s">
        <v>234</v>
      </c>
      <c r="D50" s="90">
        <f>Cus!D13</f>
        <v>12000</v>
      </c>
      <c r="E50" s="90">
        <f>Cus!E13</f>
        <v>12000</v>
      </c>
      <c r="F50" s="90">
        <f>Cus!F13</f>
        <v>12000</v>
      </c>
      <c r="G50" s="90">
        <f>Cus!G13</f>
        <v>12000</v>
      </c>
      <c r="H50" s="90">
        <f>Cus!H13</f>
        <v>12000</v>
      </c>
      <c r="I50" s="90">
        <f>Cus!I13</f>
        <v>12000</v>
      </c>
      <c r="J50" s="90">
        <f>Cus!J13</f>
        <v>12000</v>
      </c>
      <c r="K50" s="90">
        <f>Cus!K13</f>
        <v>12000</v>
      </c>
      <c r="L50" s="90">
        <f>Cus!L13</f>
        <v>12000</v>
      </c>
      <c r="M50" s="90">
        <f>Cus!M13</f>
        <v>12000</v>
      </c>
      <c r="N50" s="90">
        <f>Cus!N13</f>
        <v>12000</v>
      </c>
      <c r="O50" s="90">
        <f>Cus!O13</f>
        <v>12000</v>
      </c>
      <c r="P50" s="93">
        <f>SUM(D50:O50)</f>
        <v>144000</v>
      </c>
    </row>
    <row r="51" spans="3:16" ht="24.95" customHeight="1" x14ac:dyDescent="0.25">
      <c r="C51" s="92" t="s">
        <v>235</v>
      </c>
      <c r="D51" s="90">
        <f>Cus!D14</f>
        <v>0</v>
      </c>
      <c r="E51" s="90">
        <f>Cus!E14</f>
        <v>0</v>
      </c>
      <c r="F51" s="90">
        <f>Cus!F14</f>
        <v>0</v>
      </c>
      <c r="G51" s="90">
        <f>Cus!G14</f>
        <v>0</v>
      </c>
      <c r="H51" s="90">
        <f>Cus!H14</f>
        <v>0</v>
      </c>
      <c r="I51" s="90">
        <f>Cus!I14</f>
        <v>0</v>
      </c>
      <c r="J51" s="90">
        <f>Cus!J14</f>
        <v>0</v>
      </c>
      <c r="K51" s="90">
        <f>Cus!K14</f>
        <v>0</v>
      </c>
      <c r="L51" s="90">
        <f>Cus!L14</f>
        <v>0</v>
      </c>
      <c r="M51" s="90">
        <f>Cus!M14</f>
        <v>0</v>
      </c>
      <c r="N51" s="90">
        <f>Cus!N14</f>
        <v>0</v>
      </c>
      <c r="O51" s="90">
        <f>Cus!O14</f>
        <v>0</v>
      </c>
      <c r="P51" s="93">
        <f>SUM(D51:O51)</f>
        <v>0</v>
      </c>
    </row>
    <row r="52" spans="3:16" ht="24.95" customHeight="1" x14ac:dyDescent="0.25">
      <c r="C52" s="92" t="s">
        <v>233</v>
      </c>
      <c r="D52" s="90">
        <f>IF('BH (1)'!$D$4="Simples Nacional",Simp6!D19,Cus!D15)</f>
        <v>2400</v>
      </c>
      <c r="E52" s="90">
        <f>IF('BH (1)'!$D$4="Simples Nacional",Simp6!E19,Cus!E15)</f>
        <v>2400</v>
      </c>
      <c r="F52" s="90">
        <f>IF('BH (1)'!$D$4="Simples Nacional",Simp6!F19,Cus!F15)</f>
        <v>2400</v>
      </c>
      <c r="G52" s="90">
        <f>IF('BH (1)'!$D$4="Simples Nacional",Simp6!G19,Cus!G15)</f>
        <v>2400</v>
      </c>
      <c r="H52" s="90">
        <f>IF('BH (1)'!$D$4="Simples Nacional",Simp6!H19,Cus!H15)</f>
        <v>2400</v>
      </c>
      <c r="I52" s="90">
        <f>IF('BH (1)'!$D$4="Simples Nacional",Simp6!I19,Cus!I15)</f>
        <v>2400</v>
      </c>
      <c r="J52" s="90">
        <f>IF('BH (1)'!$D$4="Simples Nacional",Simp6!J19,Cus!J15)</f>
        <v>2400</v>
      </c>
      <c r="K52" s="90">
        <f>IF('BH (1)'!$D$4="Simples Nacional",Simp6!K19,Cus!K15)</f>
        <v>2400</v>
      </c>
      <c r="L52" s="90">
        <f>IF('BH (1)'!$D$4="Simples Nacional",Simp6!L19,Cus!L15)</f>
        <v>2400</v>
      </c>
      <c r="M52" s="90">
        <f>IF('BH (1)'!$D$4="Simples Nacional",Simp6!M19,Cus!M15)</f>
        <v>2400</v>
      </c>
      <c r="N52" s="90">
        <f>IF('BH (1)'!$D$4="Simples Nacional",Simp6!N19,Cus!N15)</f>
        <v>2400</v>
      </c>
      <c r="O52" s="90">
        <f>IF('BH (1)'!$D$4="Simples Nacional",Simp6!O19,Cus!O15)</f>
        <v>2400</v>
      </c>
      <c r="P52" s="93">
        <f>SUM(D52:O52)</f>
        <v>28800</v>
      </c>
    </row>
    <row r="53" spans="3:16" ht="24.95" customHeight="1" x14ac:dyDescent="0.25">
      <c r="C53" s="92" t="s">
        <v>236</v>
      </c>
      <c r="D53" s="90">
        <f>Cus!D18</f>
        <v>960</v>
      </c>
      <c r="E53" s="90">
        <f>Cus!E18</f>
        <v>960</v>
      </c>
      <c r="F53" s="90">
        <f>Cus!F18</f>
        <v>960</v>
      </c>
      <c r="G53" s="90">
        <f>Cus!G18</f>
        <v>960</v>
      </c>
      <c r="H53" s="90">
        <f>Cus!H18</f>
        <v>960</v>
      </c>
      <c r="I53" s="90">
        <f>Cus!I18</f>
        <v>960</v>
      </c>
      <c r="J53" s="90">
        <f>Cus!J18</f>
        <v>960</v>
      </c>
      <c r="K53" s="90">
        <f>Cus!K18</f>
        <v>960</v>
      </c>
      <c r="L53" s="90">
        <f>Cus!L18</f>
        <v>960</v>
      </c>
      <c r="M53" s="90">
        <f>Cus!M18</f>
        <v>960</v>
      </c>
      <c r="N53" s="90">
        <f>Cus!N18</f>
        <v>960</v>
      </c>
      <c r="O53" s="90">
        <f>Cus!O18</f>
        <v>960</v>
      </c>
      <c r="P53" s="93">
        <f t="shared" ref="P53:P59" si="12">SUM(D53:O53)</f>
        <v>11520</v>
      </c>
    </row>
    <row r="54" spans="3:16" ht="24.95" customHeight="1" x14ac:dyDescent="0.25">
      <c r="C54" s="92" t="str">
        <f>IF('BH (1)'!$D$4="Simples Nacional","","(-) Terceiros")</f>
        <v>(-) Terceiros</v>
      </c>
      <c r="D54" s="90">
        <f>IF('BH (1)'!$D$4="Simples Nacional","",Cus!D16)</f>
        <v>696</v>
      </c>
      <c r="E54" s="90">
        <f>IF('BH (1)'!$D$4="Simples Nacional","",Cus!E16)</f>
        <v>696</v>
      </c>
      <c r="F54" s="90">
        <f>IF('BH (1)'!$D$4="Simples Nacional","",Cus!F16)</f>
        <v>696</v>
      </c>
      <c r="G54" s="90">
        <f>IF('BH (1)'!$D$4="Simples Nacional","",Cus!G16)</f>
        <v>696</v>
      </c>
      <c r="H54" s="90">
        <f>IF('BH (1)'!$D$4="Simples Nacional","",Cus!H16)</f>
        <v>696</v>
      </c>
      <c r="I54" s="90">
        <f>IF('BH (1)'!$D$4="Simples Nacional","",Cus!I16)</f>
        <v>696</v>
      </c>
      <c r="J54" s="90">
        <f>IF('BH (1)'!$D$4="Simples Nacional","",Cus!J16)</f>
        <v>696</v>
      </c>
      <c r="K54" s="90">
        <f>IF('BH (1)'!$D$4="Simples Nacional","",Cus!K16)</f>
        <v>696</v>
      </c>
      <c r="L54" s="90">
        <f>IF('BH (1)'!$D$4="Simples Nacional","",Cus!L16)</f>
        <v>696</v>
      </c>
      <c r="M54" s="90">
        <f>IF('BH (1)'!$D$4="Simples Nacional","",Cus!M16)</f>
        <v>696</v>
      </c>
      <c r="N54" s="90">
        <f>IF('BH (1)'!$D$4="Simples Nacional","",Cus!N16)</f>
        <v>696</v>
      </c>
      <c r="O54" s="90">
        <f>IF('BH (1)'!$D$4="Simples Nacional","",Cus!O16)</f>
        <v>696</v>
      </c>
      <c r="P54" s="93">
        <f t="shared" si="12"/>
        <v>8352</v>
      </c>
    </row>
    <row r="55" spans="3:16" ht="24.95" customHeight="1" x14ac:dyDescent="0.25">
      <c r="C55" s="94" t="str">
        <f>IF('BH (1)'!$D$4="Simples Nacional","","(-) RAT")</f>
        <v>(-) RAT</v>
      </c>
      <c r="D55" s="95">
        <f>IF('BH (1)'!$D$4="Simples Nacional","",Cus!D17)</f>
        <v>240</v>
      </c>
      <c r="E55" s="95">
        <f>IF('BH (1)'!$D$4="Simples Nacional","",Cus!E17)</f>
        <v>240</v>
      </c>
      <c r="F55" s="95">
        <f>IF('BH (1)'!$D$4="Simples Nacional","",Cus!F17)</f>
        <v>240</v>
      </c>
      <c r="G55" s="95">
        <f>IF('BH (1)'!$D$4="Simples Nacional","",Cus!G17)</f>
        <v>240</v>
      </c>
      <c r="H55" s="95">
        <f>IF('BH (1)'!$D$4="Simples Nacional","",Cus!H17)</f>
        <v>240</v>
      </c>
      <c r="I55" s="95">
        <f>IF('BH (1)'!$D$4="Simples Nacional","",Cus!I17)</f>
        <v>240</v>
      </c>
      <c r="J55" s="95">
        <f>IF('BH (1)'!$D$4="Simples Nacional","",Cus!J17)</f>
        <v>240</v>
      </c>
      <c r="K55" s="95">
        <f>IF('BH (1)'!$D$4="Simples Nacional","",Cus!K17)</f>
        <v>240</v>
      </c>
      <c r="L55" s="95">
        <f>IF('BH (1)'!$D$4="Simples Nacional","",Cus!L17)</f>
        <v>240</v>
      </c>
      <c r="M55" s="95">
        <f>IF('BH (1)'!$D$4="Simples Nacional","",Cus!M17)</f>
        <v>240</v>
      </c>
      <c r="N55" s="95">
        <f>IF('BH (1)'!$D$4="Simples Nacional","",Cus!N17)</f>
        <v>240</v>
      </c>
      <c r="O55" s="95">
        <f>IF('BH (1)'!$D$4="Simples Nacional","",Cus!O17)</f>
        <v>240</v>
      </c>
      <c r="P55" s="93">
        <f t="shared" si="12"/>
        <v>2880</v>
      </c>
    </row>
    <row r="56" spans="3:16" ht="24.95" customHeight="1" x14ac:dyDescent="0.25">
      <c r="C56" s="96" t="s">
        <v>213</v>
      </c>
      <c r="D56" s="97">
        <f>D42-SUM(D43:D55)</f>
        <v>38635.243156249999</v>
      </c>
      <c r="E56" s="97">
        <f t="shared" ref="E56:O56" si="13">E42-SUM(E43:E55)</f>
        <v>19320.220454999995</v>
      </c>
      <c r="F56" s="97">
        <f t="shared" si="13"/>
        <v>38314.506221250005</v>
      </c>
      <c r="G56" s="97">
        <f t="shared" si="13"/>
        <v>27253.268404999995</v>
      </c>
      <c r="H56" s="97">
        <f t="shared" si="13"/>
        <v>28064.890857499995</v>
      </c>
      <c r="I56" s="97">
        <f t="shared" si="13"/>
        <v>13984.77954874999</v>
      </c>
      <c r="J56" s="97">
        <f t="shared" si="13"/>
        <v>28876.603458750003</v>
      </c>
      <c r="K56" s="97">
        <f t="shared" si="13"/>
        <v>10860.467353749998</v>
      </c>
      <c r="L56" s="97">
        <f t="shared" si="13"/>
        <v>16630.47482625</v>
      </c>
      <c r="M56" s="97">
        <f t="shared" si="13"/>
        <v>24838.999794999996</v>
      </c>
      <c r="N56" s="97">
        <f t="shared" si="13"/>
        <v>18806.771155000002</v>
      </c>
      <c r="O56" s="97">
        <f t="shared" si="13"/>
        <v>15657.918789999996</v>
      </c>
      <c r="P56" s="191">
        <f t="shared" si="12"/>
        <v>281244.14402250003</v>
      </c>
    </row>
    <row r="57" spans="3:16" ht="24.95" customHeight="1" x14ac:dyDescent="0.25">
      <c r="C57" s="92" t="s">
        <v>238</v>
      </c>
      <c r="D57" s="90">
        <f>IF('BH (1)'!$D$4="Lucro Real",'2026'!D66,IF('BH (1)'!$D$4="Lucro Presumido",Relatórios!D136,IF('BH (1)'!$D$4="Simples Nacional",Simp6!D21)))</f>
        <v>0</v>
      </c>
      <c r="E57" s="90">
        <f>IF('BH (1)'!$D$4="Lucro Real",'2026'!E66,IF('BH (1)'!$D$4="Lucro Presumido",Relatórios!E136,IF('BH (1)'!$D$4="Simples Nacional",Simp6!E21)))</f>
        <v>0</v>
      </c>
      <c r="F57" s="90">
        <f>IF('BH (1)'!$D$4="Lucro Real",'2026'!F66,IF('BH (1)'!$D$4="Lucro Presumido",Relatórios!F136,IF('BH (1)'!$D$4="Simples Nacional",Simp6!F21)))</f>
        <v>4520.7479999999996</v>
      </c>
      <c r="G57" s="90">
        <f>IF('BH (1)'!$D$4="Lucro Real",'2026'!G66,IF('BH (1)'!$D$4="Lucro Presumido",Relatórios!G136,IF('BH (1)'!$D$4="Simples Nacional",Simp6!G21)))</f>
        <v>0</v>
      </c>
      <c r="H57" s="90">
        <f>IF('BH (1)'!$D$4="Lucro Real",'2026'!H66,IF('BH (1)'!$D$4="Lucro Presumido",Relatórios!H136,IF('BH (1)'!$D$4="Simples Nacional",Simp6!H21)))</f>
        <v>0</v>
      </c>
      <c r="I57" s="90">
        <f>IF('BH (1)'!$D$4="Lucro Real",'2026'!I66,IF('BH (1)'!$D$4="Lucro Presumido",Relatórios!I136,IF('BH (1)'!$D$4="Simples Nacional",Simp6!I21)))</f>
        <v>4123.8719999999994</v>
      </c>
      <c r="J57" s="90">
        <f>IF('BH (1)'!$D$4="Lucro Real",'2026'!J66,IF('BH (1)'!$D$4="Lucro Presumido",Relatórios!J136,IF('BH (1)'!$D$4="Simples Nacional",Simp6!J21)))</f>
        <v>0</v>
      </c>
      <c r="K57" s="90">
        <f>IF('BH (1)'!$D$4="Lucro Real",'2026'!K66,IF('BH (1)'!$D$4="Lucro Presumido",Relatórios!K136,IF('BH (1)'!$D$4="Simples Nacional",Simp6!K21)))</f>
        <v>0</v>
      </c>
      <c r="L57" s="90">
        <f>IF('BH (1)'!$D$4="Lucro Real",'2026'!L66,IF('BH (1)'!$D$4="Lucro Presumido",Relatórios!L136,IF('BH (1)'!$D$4="Simples Nacional",Simp6!L21)))</f>
        <v>4033.308</v>
      </c>
      <c r="M57" s="90">
        <f>IF('BH (1)'!$D$4="Lucro Real",'2026'!M66,IF('BH (1)'!$D$4="Lucro Presumido",Relatórios!M136,IF('BH (1)'!$D$4="Simples Nacional",Simp6!M21)))</f>
        <v>0</v>
      </c>
      <c r="N57" s="90">
        <f>IF('BH (1)'!$D$4="Lucro Real",'2026'!N66,IF('BH (1)'!$D$4="Lucro Presumido",Relatórios!N136,IF('BH (1)'!$D$4="Simples Nacional",Simp6!N21)))</f>
        <v>0</v>
      </c>
      <c r="O57" s="90">
        <f>IF('BH (1)'!$D$4="Lucro Real",'2026'!O66,IF('BH (1)'!$D$4="Lucro Presumido",Relatórios!O136,IF('BH (1)'!$D$4="Simples Nacional",Simp6!O21)))</f>
        <v>4028.6759999999999</v>
      </c>
      <c r="P57" s="93">
        <f t="shared" si="12"/>
        <v>16706.603999999999</v>
      </c>
    </row>
    <row r="58" spans="3:16" ht="24.95" customHeight="1" x14ac:dyDescent="0.25">
      <c r="C58" s="92" t="str">
        <f>IF('BH (1)'!$D$4="Simples Nacional","","(-) Adicional")</f>
        <v>(-) Adicional</v>
      </c>
      <c r="D58" s="90">
        <f>IF('BH (1)'!$D$4="Simples Nacional","",IF('BH (1)'!$D$4="Lucro Real",'2026'!D67,IF('BH (1)'!$D$4="Lucro Presumido",Relatórios!D137)))</f>
        <v>0</v>
      </c>
      <c r="E58" s="90">
        <f>IF('BH (1)'!$D$4="Simples Nacional","",IF('BH (1)'!$D$4="Lucro Real",'2026'!E67,IF('BH (1)'!$D$4="Lucro Presumido",Relatórios!E137)))</f>
        <v>0</v>
      </c>
      <c r="F58" s="90">
        <f>IF('BH (1)'!$D$4="Simples Nacional","",IF('BH (1)'!$D$4="Lucro Real",'2026'!F67,IF('BH (1)'!$D$4="Lucro Presumido",Relatórios!F137)))</f>
        <v>0</v>
      </c>
      <c r="G58" s="90">
        <f>IF('BH (1)'!$D$4="Simples Nacional","",IF('BH (1)'!$D$4="Lucro Real",'2026'!G67,IF('BH (1)'!$D$4="Lucro Presumido",Relatórios!G137)))</f>
        <v>0</v>
      </c>
      <c r="H58" s="90">
        <f>IF('BH (1)'!$D$4="Simples Nacional","",IF('BH (1)'!$D$4="Lucro Real",'2026'!H67,IF('BH (1)'!$D$4="Lucro Presumido",Relatórios!H137)))</f>
        <v>0</v>
      </c>
      <c r="I58" s="90">
        <f>IF('BH (1)'!$D$4="Simples Nacional","",IF('BH (1)'!$D$4="Lucro Real",'2026'!I67,IF('BH (1)'!$D$4="Lucro Presumido",Relatórios!I137)))</f>
        <v>0</v>
      </c>
      <c r="J58" s="90">
        <f>IF('BH (1)'!$D$4="Simples Nacional","",IF('BH (1)'!$D$4="Lucro Real",'2026'!J67,IF('BH (1)'!$D$4="Lucro Presumido",Relatórios!J137)))</f>
        <v>0</v>
      </c>
      <c r="K58" s="90">
        <f>IF('BH (1)'!$D$4="Simples Nacional","",IF('BH (1)'!$D$4="Lucro Real",'2026'!K67,IF('BH (1)'!$D$4="Lucro Presumido",Relatórios!K137)))</f>
        <v>0</v>
      </c>
      <c r="L58" s="90">
        <f>IF('BH (1)'!$D$4="Simples Nacional","",IF('BH (1)'!$D$4="Lucro Real",'2026'!L67,IF('BH (1)'!$D$4="Lucro Presumido",Relatórios!L137)))</f>
        <v>0</v>
      </c>
      <c r="M58" s="90">
        <f>IF('BH (1)'!$D$4="Simples Nacional","",IF('BH (1)'!$D$4="Lucro Real",'2026'!M67,IF('BH (1)'!$D$4="Lucro Presumido",Relatórios!M137)))</f>
        <v>0</v>
      </c>
      <c r="N58" s="90">
        <f>IF('BH (1)'!$D$4="Simples Nacional","",IF('BH (1)'!$D$4="Lucro Real",'2026'!N67,IF('BH (1)'!$D$4="Lucro Presumido",Relatórios!N137)))</f>
        <v>0</v>
      </c>
      <c r="O58" s="90">
        <f>IF('BH (1)'!$D$4="Simples Nacional","",IF('BH (1)'!$D$4="Lucro Real",'2026'!O67,IF('BH (1)'!$D$4="Lucro Presumido",Relatórios!O137)))</f>
        <v>0</v>
      </c>
      <c r="P58" s="93">
        <f t="shared" si="12"/>
        <v>0</v>
      </c>
    </row>
    <row r="59" spans="3:16" ht="24.95" customHeight="1" x14ac:dyDescent="0.25">
      <c r="C59" s="94" t="s">
        <v>239</v>
      </c>
      <c r="D59" s="95">
        <f>IF('BH (1)'!$D$4="Lucro Real",'2026'!D68,IF('BH (1)'!$D$4="Lucro Presumido",Relatórios!D138,IF('BH (1)'!$D$4="Simples Nacional",Simp6!D20)))</f>
        <v>0</v>
      </c>
      <c r="E59" s="95">
        <f>IF('BH (1)'!$D$4="Lucro Real",'2026'!E68,IF('BH (1)'!$D$4="Lucro Presumido",Relatórios!E138,IF('BH (1)'!$D$4="Simples Nacional",Simp6!E20)))</f>
        <v>0</v>
      </c>
      <c r="F59" s="95">
        <f>IF('BH (1)'!$D$4="Lucro Real",'2026'!F68,IF('BH (1)'!$D$4="Lucro Presumido",Relatórios!F138,IF('BH (1)'!$D$4="Simples Nacional",Simp6!F20)))</f>
        <v>4068.6731999999993</v>
      </c>
      <c r="G59" s="95">
        <f>IF('BH (1)'!$D$4="Lucro Real",'2026'!G68,IF('BH (1)'!$D$4="Lucro Presumido",Relatórios!G138,IF('BH (1)'!$D$4="Simples Nacional",Simp6!G20)))</f>
        <v>0</v>
      </c>
      <c r="H59" s="95">
        <f>IF('BH (1)'!$D$4="Lucro Real",'2026'!H68,IF('BH (1)'!$D$4="Lucro Presumido",Relatórios!H138,IF('BH (1)'!$D$4="Simples Nacional",Simp6!H20)))</f>
        <v>0</v>
      </c>
      <c r="I59" s="95">
        <f>IF('BH (1)'!$D$4="Lucro Real",'2026'!I68,IF('BH (1)'!$D$4="Lucro Presumido",Relatórios!I138,IF('BH (1)'!$D$4="Simples Nacional",Simp6!I20)))</f>
        <v>3711.4848000000002</v>
      </c>
      <c r="J59" s="95">
        <f>IF('BH (1)'!$D$4="Lucro Real",'2026'!J68,IF('BH (1)'!$D$4="Lucro Presumido",Relatórios!J138,IF('BH (1)'!$D$4="Simples Nacional",Simp6!J20)))</f>
        <v>0</v>
      </c>
      <c r="K59" s="95">
        <f>IF('BH (1)'!$D$4="Lucro Real",'2026'!K68,IF('BH (1)'!$D$4="Lucro Presumido",Relatórios!K138,IF('BH (1)'!$D$4="Simples Nacional",Simp6!K20)))</f>
        <v>0</v>
      </c>
      <c r="L59" s="95">
        <f>IF('BH (1)'!$D$4="Lucro Real",'2026'!L68,IF('BH (1)'!$D$4="Lucro Presumido",Relatórios!L138,IF('BH (1)'!$D$4="Simples Nacional",Simp6!L20)))</f>
        <v>3629.9771999999998</v>
      </c>
      <c r="M59" s="95">
        <f>IF('BH (1)'!$D$4="Lucro Real",'2026'!M68,IF('BH (1)'!$D$4="Lucro Presumido",Relatórios!M138,IF('BH (1)'!$D$4="Simples Nacional",Simp6!M20)))</f>
        <v>0</v>
      </c>
      <c r="N59" s="95">
        <f>IF('BH (1)'!$D$4="Lucro Real",'2026'!N68,IF('BH (1)'!$D$4="Lucro Presumido",Relatórios!N138,IF('BH (1)'!$D$4="Simples Nacional",Simp6!N20)))</f>
        <v>0</v>
      </c>
      <c r="O59" s="95">
        <f>IF('BH (1)'!$D$4="Lucro Real",'2026'!O68,IF('BH (1)'!$D$4="Lucro Presumido",Relatórios!O138,IF('BH (1)'!$D$4="Simples Nacional",Simp6!O20)))</f>
        <v>3625.8083999999999</v>
      </c>
      <c r="P59" s="93">
        <f t="shared" si="12"/>
        <v>15035.943599999999</v>
      </c>
    </row>
    <row r="60" spans="3:16" ht="24.95" customHeight="1" x14ac:dyDescent="0.25">
      <c r="C60" s="96" t="s">
        <v>237</v>
      </c>
      <c r="D60" s="97">
        <f>D56-SUM(D57:D59)</f>
        <v>38635.243156249999</v>
      </c>
      <c r="E60" s="97">
        <f t="shared" ref="E60:O60" si="14">E56-SUM(E57:E59)</f>
        <v>19320.220454999995</v>
      </c>
      <c r="F60" s="97">
        <f t="shared" si="14"/>
        <v>29725.085021250008</v>
      </c>
      <c r="G60" s="97">
        <f t="shared" si="14"/>
        <v>27253.268404999995</v>
      </c>
      <c r="H60" s="97">
        <f t="shared" si="14"/>
        <v>28064.890857499995</v>
      </c>
      <c r="I60" s="97">
        <f t="shared" si="14"/>
        <v>6149.4227487499902</v>
      </c>
      <c r="J60" s="97">
        <f t="shared" si="14"/>
        <v>28876.603458750003</v>
      </c>
      <c r="K60" s="97">
        <f t="shared" si="14"/>
        <v>10860.467353749998</v>
      </c>
      <c r="L60" s="97">
        <f t="shared" si="14"/>
        <v>8967.1896262499995</v>
      </c>
      <c r="M60" s="97">
        <f t="shared" si="14"/>
        <v>24838.999794999996</v>
      </c>
      <c r="N60" s="97">
        <f t="shared" si="14"/>
        <v>18806.771155000002</v>
      </c>
      <c r="O60" s="97">
        <f t="shared" si="14"/>
        <v>8003.4343899999967</v>
      </c>
      <c r="P60" s="192">
        <f>SUM(D60:O60)</f>
        <v>249501.59642250001</v>
      </c>
    </row>
    <row r="61" spans="3:16" ht="24.95" hidden="1" customHeight="1" x14ac:dyDescent="0.25"/>
    <row r="62" spans="3:16" ht="15" hidden="1" customHeight="1" x14ac:dyDescent="0.25">
      <c r="C62" s="188" t="s">
        <v>240</v>
      </c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</row>
    <row r="63" spans="3:16" ht="15" hidden="1" customHeight="1" x14ac:dyDescent="0.25">
      <c r="C63" s="112" t="s">
        <v>82</v>
      </c>
      <c r="D63" s="112" t="s">
        <v>83</v>
      </c>
      <c r="E63" s="112" t="s">
        <v>84</v>
      </c>
      <c r="F63" s="112" t="s">
        <v>85</v>
      </c>
      <c r="G63" s="112" t="s">
        <v>86</v>
      </c>
      <c r="H63" s="112" t="s">
        <v>87</v>
      </c>
      <c r="I63" s="112" t="s">
        <v>88</v>
      </c>
      <c r="J63" s="112" t="s">
        <v>89</v>
      </c>
      <c r="K63" s="112" t="s">
        <v>90</v>
      </c>
      <c r="L63" s="112" t="s">
        <v>91</v>
      </c>
      <c r="M63" s="112" t="s">
        <v>92</v>
      </c>
      <c r="N63" s="112" t="s">
        <v>93</v>
      </c>
      <c r="O63" s="112" t="s">
        <v>94</v>
      </c>
      <c r="P63" s="112" t="s">
        <v>95</v>
      </c>
    </row>
    <row r="64" spans="3:16" ht="15" hidden="1" customHeight="1" x14ac:dyDescent="0.25">
      <c r="C64" s="19" t="s">
        <v>241</v>
      </c>
      <c r="D64" s="132">
        <f>D56</f>
        <v>38635.243156249999</v>
      </c>
      <c r="E64" s="132">
        <f t="shared" ref="E64:O64" si="15">E56</f>
        <v>19320.220454999995</v>
      </c>
      <c r="F64" s="132">
        <f>F56</f>
        <v>38314.506221250005</v>
      </c>
      <c r="G64" s="132">
        <f t="shared" si="15"/>
        <v>27253.268404999995</v>
      </c>
      <c r="H64" s="132">
        <f t="shared" si="15"/>
        <v>28064.890857499995</v>
      </c>
      <c r="I64" s="132">
        <f t="shared" si="15"/>
        <v>13984.77954874999</v>
      </c>
      <c r="J64" s="132">
        <f t="shared" si="15"/>
        <v>28876.603458750003</v>
      </c>
      <c r="K64" s="132">
        <f t="shared" si="15"/>
        <v>10860.467353749998</v>
      </c>
      <c r="L64" s="132">
        <f t="shared" si="15"/>
        <v>16630.47482625</v>
      </c>
      <c r="M64" s="132">
        <f t="shared" si="15"/>
        <v>24838.999794999996</v>
      </c>
      <c r="N64" s="132">
        <f t="shared" si="15"/>
        <v>18806.771155000002</v>
      </c>
      <c r="O64" s="132">
        <f t="shared" si="15"/>
        <v>15657.918789999996</v>
      </c>
      <c r="P64" s="114">
        <f>SUM(D64:O64)</f>
        <v>281244.14402250003</v>
      </c>
    </row>
    <row r="65" spans="3:16" ht="15" hidden="1" customHeight="1" x14ac:dyDescent="0.25">
      <c r="C65" s="19" t="s">
        <v>243</v>
      </c>
      <c r="D65" s="132">
        <v>0</v>
      </c>
      <c r="E65" s="132">
        <v>0</v>
      </c>
      <c r="F65" s="132">
        <f>SUM(D64:F64)</f>
        <v>96269.969832500006</v>
      </c>
      <c r="G65" s="132">
        <v>0</v>
      </c>
      <c r="H65" s="132">
        <v>0</v>
      </c>
      <c r="I65" s="132">
        <f>SUM(G64:I64)</f>
        <v>69302.938811249973</v>
      </c>
      <c r="J65" s="132">
        <v>0</v>
      </c>
      <c r="K65" s="132">
        <v>0</v>
      </c>
      <c r="L65" s="132">
        <f>SUM(J64:L64)</f>
        <v>56367.545638750002</v>
      </c>
      <c r="M65" s="132">
        <v>0</v>
      </c>
      <c r="N65" s="132">
        <v>0</v>
      </c>
      <c r="O65" s="132">
        <f>SUM(M64:O64)</f>
        <v>59303.689739999994</v>
      </c>
      <c r="P65" s="114">
        <f>SUM(D65:O65)</f>
        <v>281244.14402249997</v>
      </c>
    </row>
    <row r="66" spans="3:16" ht="15" hidden="1" customHeight="1" x14ac:dyDescent="0.25">
      <c r="C66" s="19" t="s">
        <v>40</v>
      </c>
      <c r="D66" s="132">
        <v>0</v>
      </c>
      <c r="E66" s="132">
        <v>0</v>
      </c>
      <c r="F66" s="132">
        <f>IF(F65&lt;0,0,F65*TabR!$E$10)</f>
        <v>14440.495474875001</v>
      </c>
      <c r="G66" s="132">
        <v>0</v>
      </c>
      <c r="H66" s="132">
        <v>0</v>
      </c>
      <c r="I66" s="132">
        <f>IF(I65&lt;0,0,I65*TabR!$E$10)</f>
        <v>10395.440821687496</v>
      </c>
      <c r="J66" s="132">
        <v>0</v>
      </c>
      <c r="K66" s="132">
        <v>0</v>
      </c>
      <c r="L66" s="132">
        <f>IF(L65&lt;0,0,L65*TabR!$E$10)</f>
        <v>8455.1318458125006</v>
      </c>
      <c r="M66" s="132">
        <v>0</v>
      </c>
      <c r="N66" s="132">
        <v>0</v>
      </c>
      <c r="O66" s="132">
        <f>IF(O65&lt;0,0,O65*TabR!$E$10)</f>
        <v>8895.5534609999995</v>
      </c>
      <c r="P66" s="114">
        <f>SUM(D66:O66)</f>
        <v>42186.621603374995</v>
      </c>
    </row>
    <row r="67" spans="3:16" ht="15" hidden="1" customHeight="1" x14ac:dyDescent="0.25">
      <c r="C67" s="19" t="s">
        <v>242</v>
      </c>
      <c r="D67" s="132">
        <v>0</v>
      </c>
      <c r="E67" s="132">
        <v>0</v>
      </c>
      <c r="F67" s="132">
        <f>IF(F65=0,0,IF(F65&lt;60000,0,(F65-60000)*TabR!$E$11))</f>
        <v>3626.996983250001</v>
      </c>
      <c r="G67" s="132">
        <v>0</v>
      </c>
      <c r="H67" s="132">
        <v>0</v>
      </c>
      <c r="I67" s="132">
        <f>IF(I65=0,0,IF(I65&lt;60000,0,(I65-60000)*TabR!$E$11))</f>
        <v>930.29388112499737</v>
      </c>
      <c r="J67" s="132">
        <v>0</v>
      </c>
      <c r="K67" s="132">
        <v>0</v>
      </c>
      <c r="L67" s="132">
        <f>IF(L65=0,0,IF(L65&lt;60000,0,(L65-60000)*TabR!$E$11))</f>
        <v>0</v>
      </c>
      <c r="M67" s="132">
        <v>0</v>
      </c>
      <c r="N67" s="132">
        <v>0</v>
      </c>
      <c r="O67" s="132">
        <f>IF(O65=0,0,IF(O65&lt;60000,0,(O65-60000)*TabR!$E$11))</f>
        <v>0</v>
      </c>
      <c r="P67" s="114">
        <f>SUM(D67:O67)</f>
        <v>4557.2908643749979</v>
      </c>
    </row>
    <row r="68" spans="3:16" ht="15" hidden="1" customHeight="1" x14ac:dyDescent="0.25">
      <c r="C68" s="19" t="s">
        <v>42</v>
      </c>
      <c r="D68" s="132">
        <v>0</v>
      </c>
      <c r="E68" s="132">
        <v>0</v>
      </c>
      <c r="F68" s="132">
        <f>IF(F65&lt;0,0,F65*TabR!$E$12)</f>
        <v>8664.297284925</v>
      </c>
      <c r="G68" s="132">
        <v>0</v>
      </c>
      <c r="H68" s="132">
        <v>0</v>
      </c>
      <c r="I68" s="132">
        <f>IF(I65&lt;0,0,I65*TabR!$E$12)</f>
        <v>6237.264493012497</v>
      </c>
      <c r="J68" s="132">
        <v>0</v>
      </c>
      <c r="K68" s="132">
        <v>0</v>
      </c>
      <c r="L68" s="132">
        <f>IF(L65&lt;0,0,L65*TabR!$E$12)</f>
        <v>5073.0791074874996</v>
      </c>
      <c r="M68" s="132">
        <v>0</v>
      </c>
      <c r="N68" s="132">
        <v>0</v>
      </c>
      <c r="O68" s="132">
        <f>IF(O65&lt;0,0,O65*TabR!$E$12)</f>
        <v>5337.3320765999997</v>
      </c>
      <c r="P68" s="114">
        <f>SUM(D68:O68)</f>
        <v>25311.972962024996</v>
      </c>
    </row>
    <row r="69" spans="3:16" ht="15" hidden="1" customHeight="1" x14ac:dyDescent="0.25"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</row>
    <row r="70" spans="3:16" ht="15" hidden="1" customHeight="1" x14ac:dyDescent="0.25">
      <c r="C70" s="188" t="s">
        <v>244</v>
      </c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</row>
    <row r="71" spans="3:16" ht="15" hidden="1" customHeight="1" x14ac:dyDescent="0.25">
      <c r="C71" s="112" t="s">
        <v>82</v>
      </c>
      <c r="D71" s="112" t="s">
        <v>83</v>
      </c>
      <c r="E71" s="112" t="s">
        <v>84</v>
      </c>
      <c r="F71" s="112" t="s">
        <v>85</v>
      </c>
      <c r="G71" s="112" t="s">
        <v>86</v>
      </c>
      <c r="H71" s="112" t="s">
        <v>87</v>
      </c>
      <c r="I71" s="112" t="s">
        <v>88</v>
      </c>
      <c r="J71" s="112" t="s">
        <v>89</v>
      </c>
      <c r="K71" s="112" t="s">
        <v>90</v>
      </c>
      <c r="L71" s="112" t="s">
        <v>91</v>
      </c>
      <c r="M71" s="112" t="s">
        <v>92</v>
      </c>
      <c r="N71" s="112" t="s">
        <v>93</v>
      </c>
      <c r="O71" s="112" t="s">
        <v>94</v>
      </c>
      <c r="P71" s="112" t="s">
        <v>95</v>
      </c>
    </row>
    <row r="72" spans="3:16" ht="15" hidden="1" customHeight="1" x14ac:dyDescent="0.25">
      <c r="C72" s="19" t="s">
        <v>62</v>
      </c>
      <c r="D72" s="132">
        <f>D29</f>
        <v>134725</v>
      </c>
      <c r="E72" s="132">
        <f t="shared" ref="E72:O72" si="16">E29</f>
        <v>108391</v>
      </c>
      <c r="F72" s="132">
        <f t="shared" si="16"/>
        <v>133613</v>
      </c>
      <c r="G72" s="132">
        <f t="shared" si="16"/>
        <v>120356</v>
      </c>
      <c r="H72" s="132">
        <f t="shared" si="16"/>
        <v>119059</v>
      </c>
      <c r="I72" s="132">
        <f t="shared" si="16"/>
        <v>104241</v>
      </c>
      <c r="J72" s="132">
        <f t="shared" si="16"/>
        <v>123748</v>
      </c>
      <c r="K72" s="132">
        <f t="shared" si="16"/>
        <v>102602</v>
      </c>
      <c r="L72" s="132">
        <f t="shared" si="16"/>
        <v>109759</v>
      </c>
      <c r="M72" s="132">
        <f t="shared" si="16"/>
        <v>115659</v>
      </c>
      <c r="N72" s="132">
        <f t="shared" si="16"/>
        <v>110531</v>
      </c>
      <c r="O72" s="132">
        <f t="shared" si="16"/>
        <v>109533</v>
      </c>
      <c r="P72" s="114">
        <f>SUM(D72:O72)</f>
        <v>1392217</v>
      </c>
    </row>
    <row r="73" spans="3:16" ht="15" hidden="1" customHeight="1" x14ac:dyDescent="0.25">
      <c r="C73" s="19" t="s">
        <v>243</v>
      </c>
      <c r="D73" s="132">
        <v>0</v>
      </c>
      <c r="E73" s="132">
        <v>0</v>
      </c>
      <c r="F73" s="132">
        <f>SUM(D72:F72)</f>
        <v>376729</v>
      </c>
      <c r="G73" s="132">
        <v>0</v>
      </c>
      <c r="H73" s="132">
        <v>0</v>
      </c>
      <c r="I73" s="132">
        <f>SUM(G72:I72)</f>
        <v>343656</v>
      </c>
      <c r="J73" s="132">
        <v>0</v>
      </c>
      <c r="K73" s="132">
        <v>0</v>
      </c>
      <c r="L73" s="132">
        <f>SUM(J72:L72)</f>
        <v>336109</v>
      </c>
      <c r="M73" s="132">
        <v>0</v>
      </c>
      <c r="N73" s="132">
        <v>0</v>
      </c>
      <c r="O73" s="132">
        <f>SUM(M72:O72)</f>
        <v>335723</v>
      </c>
      <c r="P73" s="114">
        <f>SUM(D73:O73)</f>
        <v>1392217</v>
      </c>
    </row>
    <row r="74" spans="3:16" ht="15" hidden="1" customHeight="1" x14ac:dyDescent="0.25">
      <c r="C74" s="19" t="s">
        <v>40</v>
      </c>
      <c r="D74" s="132">
        <v>0</v>
      </c>
      <c r="E74" s="132">
        <v>0</v>
      </c>
      <c r="F74" s="132">
        <f>IFERROR((F73*TabP!$E$10)*TabP!$F$10,0)</f>
        <v>4520.7479999999996</v>
      </c>
      <c r="G74" s="132">
        <v>0</v>
      </c>
      <c r="H74" s="132">
        <v>0</v>
      </c>
      <c r="I74" s="132">
        <f>IFERROR((I73*TabP!$E$10)*TabP!$F$10,0)</f>
        <v>4123.8719999999994</v>
      </c>
      <c r="J74" s="132">
        <v>0</v>
      </c>
      <c r="K74" s="132">
        <v>0</v>
      </c>
      <c r="L74" s="132">
        <f>IFERROR((L73*TabP!$E$10)*TabP!$F$10,0)</f>
        <v>4033.308</v>
      </c>
      <c r="M74" s="132">
        <v>0</v>
      </c>
      <c r="N74" s="132">
        <v>0</v>
      </c>
      <c r="O74" s="132">
        <f>IFERROR((O73*TabP!$E$10)*TabP!$F$10,0)</f>
        <v>4028.6759999999999</v>
      </c>
      <c r="P74" s="114">
        <f>SUM(D74:O74)</f>
        <v>16706.603999999999</v>
      </c>
    </row>
    <row r="75" spans="3:16" ht="15" hidden="1" customHeight="1" x14ac:dyDescent="0.25">
      <c r="C75" s="19" t="s">
        <v>242</v>
      </c>
      <c r="D75" s="132">
        <v>0</v>
      </c>
      <c r="E75" s="132">
        <v>0</v>
      </c>
      <c r="F75" s="132">
        <f>IF(IFERROR(((F73*TabP!$E$10)-60000)*TabP!$F$11,0)&lt;0,0,IFERROR(((F73*TabP!$E$10)-60000)*TabP!$F$11,0))</f>
        <v>0</v>
      </c>
      <c r="G75" s="132">
        <v>0</v>
      </c>
      <c r="H75" s="132">
        <v>0</v>
      </c>
      <c r="I75" s="132">
        <f>IF(IFERROR(((I73*TabP!$E$10)-60000)*TabP!$F$11,0)&lt;0,0,IFERROR(((I73*TabP!$E$10)-60000)*TabP!$F$11,0))</f>
        <v>0</v>
      </c>
      <c r="J75" s="132">
        <v>0</v>
      </c>
      <c r="K75" s="132">
        <v>0</v>
      </c>
      <c r="L75" s="132">
        <f>IF(IFERROR(((L73*TabP!$E$10)-60000)*TabP!$F$11,0)&lt;0,0,IFERROR(((L73*TabP!$E$10)-60000)*TabP!$F$11,0))</f>
        <v>0</v>
      </c>
      <c r="M75" s="132">
        <v>0</v>
      </c>
      <c r="N75" s="132">
        <v>0</v>
      </c>
      <c r="O75" s="132">
        <f>IF(IFERROR(((O73*TabP!$E$10)-60000)*TabP!$F$11,0)&lt;0,0,IFERROR(((O73*TabP!$E$10)-60000)*TabP!$F$11,0))</f>
        <v>0</v>
      </c>
      <c r="P75" s="114">
        <f>SUM(D75:O75)</f>
        <v>0</v>
      </c>
    </row>
    <row r="76" spans="3:16" ht="15" hidden="1" customHeight="1" x14ac:dyDescent="0.25">
      <c r="C76" s="19" t="s">
        <v>42</v>
      </c>
      <c r="D76" s="132">
        <v>0</v>
      </c>
      <c r="E76" s="132">
        <v>0</v>
      </c>
      <c r="F76" s="132">
        <f>IFERROR((F73*TabP!$E$12)*TabP!$F$12,0)</f>
        <v>4068.6731999999993</v>
      </c>
      <c r="G76" s="132">
        <v>0</v>
      </c>
      <c r="H76" s="132">
        <v>0</v>
      </c>
      <c r="I76" s="132">
        <f>IFERROR((I73*TabP!$E$12)*TabP!$F$12,0)</f>
        <v>3711.4848000000002</v>
      </c>
      <c r="J76" s="132">
        <v>0</v>
      </c>
      <c r="K76" s="132">
        <v>0</v>
      </c>
      <c r="L76" s="132">
        <f>IFERROR((L73*TabP!$E$12)*TabP!$F$12,0)</f>
        <v>3629.9771999999998</v>
      </c>
      <c r="M76" s="132">
        <v>0</v>
      </c>
      <c r="N76" s="132">
        <v>0</v>
      </c>
      <c r="O76" s="132">
        <f>IFERROR((O73*TabP!$E$12)*TabP!$F$12,0)</f>
        <v>3625.8083999999999</v>
      </c>
      <c r="P76" s="114">
        <f>SUM(D76:O76)</f>
        <v>15035.943599999999</v>
      </c>
    </row>
    <row r="77" spans="3:16" ht="24.95" hidden="1" customHeight="1" x14ac:dyDescent="0.25"/>
  </sheetData>
  <sheetProtection sheet="1" objects="1" scenarios="1" selectLockedCells="1" selectUnlockedCells="1"/>
  <pageMargins left="0.25" right="0.25" top="0.75" bottom="0.75" header="0.3" footer="0.3"/>
  <pageSetup paperSize="9" scale="53" fitToHeight="0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Planilha42">
    <tabColor rgb="FF0000FF"/>
    <pageSetUpPr fitToPage="1"/>
  </sheetPr>
  <dimension ref="C1:R204"/>
  <sheetViews>
    <sheetView showGridLines="0" showRowColHeaders="0" workbookViewId="0">
      <pane ySplit="4" topLeftCell="A30" activePane="bottomLeft" state="frozen"/>
      <selection activeCell="I36" sqref="I36"/>
      <selection pane="bottomLeft"/>
    </sheetView>
  </sheetViews>
  <sheetFormatPr defaultRowHeight="15" customHeight="1" x14ac:dyDescent="0.25"/>
  <cols>
    <col min="1" max="2" width="1.7109375" style="18" customWidth="1"/>
    <col min="3" max="3" width="13.7109375" style="200" customWidth="1"/>
    <col min="4" max="16" width="13.140625" style="18" customWidth="1"/>
    <col min="17" max="18" width="0" style="18" hidden="1" customWidth="1"/>
    <col min="19" max="16384" width="9.140625" style="18"/>
  </cols>
  <sheetData>
    <row r="1" spans="3:16" s="1" customFormat="1" ht="35.1" customHeight="1" x14ac:dyDescent="0.25">
      <c r="C1" s="194"/>
    </row>
    <row r="2" spans="3:16" s="3" customFormat="1" ht="30" customHeight="1" x14ac:dyDescent="0.25">
      <c r="C2" s="195"/>
    </row>
    <row r="3" spans="3:16" ht="69.95" customHeight="1" thickBot="1" x14ac:dyDescent="0.3">
      <c r="C3" s="180" t="s">
        <v>255</v>
      </c>
    </row>
    <row r="4" spans="3:16" ht="21.95" customHeight="1" x14ac:dyDescent="0.25">
      <c r="C4" s="85" t="s">
        <v>82</v>
      </c>
      <c r="D4" s="55" t="s">
        <v>83</v>
      </c>
      <c r="E4" s="55" t="s">
        <v>84</v>
      </c>
      <c r="F4" s="55" t="s">
        <v>85</v>
      </c>
      <c r="G4" s="55" t="s">
        <v>86</v>
      </c>
      <c r="H4" s="55" t="s">
        <v>87</v>
      </c>
      <c r="I4" s="55" t="s">
        <v>88</v>
      </c>
      <c r="J4" s="55" t="s">
        <v>89</v>
      </c>
      <c r="K4" s="55" t="s">
        <v>90</v>
      </c>
      <c r="L4" s="55" t="s">
        <v>91</v>
      </c>
      <c r="M4" s="55" t="s">
        <v>92</v>
      </c>
      <c r="N4" s="55" t="s">
        <v>93</v>
      </c>
      <c r="O4" s="55" t="s">
        <v>94</v>
      </c>
      <c r="P4" s="56" t="s">
        <v>294</v>
      </c>
    </row>
    <row r="5" spans="3:16" ht="21.95" customHeight="1" x14ac:dyDescent="0.25">
      <c r="C5" s="44" t="s">
        <v>43</v>
      </c>
      <c r="D5" s="90">
        <f>IF('BH (1)'!$D$4="Simples Nacional",IF('BH (1)'!$D$15="Simplificado",Simp6!D14+Simp6!D15+Simp6!D17,D83),D83)</f>
        <v>9742.3379999999997</v>
      </c>
      <c r="E5" s="90">
        <f>IF('BH (1)'!$D$4="Simples Nacional",IF('BH (1)'!$D$15="Simplificado",Simp6!E14+Simp6!E15+Simp6!E17,E83),E83)</f>
        <v>7389.6435000000001</v>
      </c>
      <c r="F5" s="90">
        <f>IF('BH (1)'!$D$4="Simples Nacional",IF('BH (1)'!$D$15="Simplificado",Simp6!F14+Simp6!F15+Simp6!F17,F83),F83)</f>
        <v>9760.3895999999986</v>
      </c>
      <c r="G5" s="90">
        <f>IF('BH (1)'!$D$4="Simples Nacional",IF('BH (1)'!$D$15="Simplificado",Simp6!G14+Simp6!G15+Simp6!G17,G83),G83)</f>
        <v>8566.0367999999999</v>
      </c>
      <c r="H5" s="90">
        <f>IF('BH (1)'!$D$4="Simples Nacional",IF('BH (1)'!$D$15="Simplificado",Simp6!H14+Simp6!H15+Simp6!H17,H83),H83)</f>
        <v>8424.294899999999</v>
      </c>
      <c r="I5" s="90">
        <f>IF('BH (1)'!$D$4="Simples Nacional",IF('BH (1)'!$D$15="Simplificado",Simp6!I14+Simp6!I15+Simp6!I17,I83),I83)</f>
        <v>7055.4126000000006</v>
      </c>
      <c r="J5" s="90">
        <f>IF('BH (1)'!$D$4="Simples Nacional",IF('BH (1)'!$D$15="Simplificado",Simp6!J14+Simp6!J15+Simp6!J17,J83),J83)</f>
        <v>9064.942500000001</v>
      </c>
      <c r="K5" s="90">
        <f>IF('BH (1)'!$D$4="Simples Nacional",IF('BH (1)'!$D$15="Simplificado",Simp6!K14+Simp6!K15+Simp6!K17,K83),K83)</f>
        <v>6796.5195000000003</v>
      </c>
      <c r="L5" s="90">
        <f>IF('BH (1)'!$D$4="Simples Nacional",IF('BH (1)'!$D$15="Simplificado",Simp6!L14+Simp6!L15+Simp6!L17,L83),L83)</f>
        <v>7770.8454000000002</v>
      </c>
      <c r="M5" s="90">
        <f>IF('BH (1)'!$D$4="Simples Nacional",IF('BH (1)'!$D$15="Simplificado",Simp6!M14+Simp6!M15+Simp6!M17,M83),M83)</f>
        <v>7877.7735000000002</v>
      </c>
      <c r="N5" s="90">
        <f>IF('BH (1)'!$D$4="Simples Nacional",IF('BH (1)'!$D$15="Simplificado",Simp6!N14+Simp6!N15+Simp6!N17,N83),N83)</f>
        <v>7653.0495000000001</v>
      </c>
      <c r="O5" s="90">
        <f>IF('BH (1)'!$D$4="Simples Nacional",IF('BH (1)'!$D$15="Simplificado",Simp6!O14+Simp6!O15+Simp6!O17,O83),O83)</f>
        <v>7713.2828999999992</v>
      </c>
      <c r="P5" s="93">
        <f>SUM(D5:O5)</f>
        <v>97814.528699999995</v>
      </c>
    </row>
    <row r="6" spans="3:16" ht="21.95" customHeight="1" x14ac:dyDescent="0.25">
      <c r="C6" s="44" t="s">
        <v>44</v>
      </c>
      <c r="D6" s="90">
        <f>IF('BH (1)'!$D$4="Simples Nacional",0,'Ref4'!D8*TransR!$D$8)</f>
        <v>134.72499999999999</v>
      </c>
      <c r="E6" s="90">
        <f>IF('BH (1)'!$D$4="Simples Nacional",0,'Ref4'!E8*TransR!$D$8)</f>
        <v>108.39100000000001</v>
      </c>
      <c r="F6" s="90">
        <f>IF('BH (1)'!$D$4="Simples Nacional",0,'Ref4'!F8*TransR!$D$8)</f>
        <v>133.613</v>
      </c>
      <c r="G6" s="90">
        <f>IF('BH (1)'!$D$4="Simples Nacional",0,'Ref4'!G8*TransR!$D$8)</f>
        <v>120.35600000000001</v>
      </c>
      <c r="H6" s="90">
        <f>IF('BH (1)'!$D$4="Simples Nacional",0,'Ref4'!H8*TransR!$D$8)</f>
        <v>119.059</v>
      </c>
      <c r="I6" s="90">
        <f>IF('BH (1)'!$D$4="Simples Nacional",0,'Ref4'!I8*TransR!$D$8)</f>
        <v>104.241</v>
      </c>
      <c r="J6" s="90">
        <f>IF('BH (1)'!$D$4="Simples Nacional",0,'Ref4'!J8*TransR!$D$8)</f>
        <v>123.748</v>
      </c>
      <c r="K6" s="90">
        <f>IF('BH (1)'!$D$4="Simples Nacional",0,'Ref4'!K8*TransR!$D$8)</f>
        <v>102.602</v>
      </c>
      <c r="L6" s="90">
        <f>IF('BH (1)'!$D$4="Simples Nacional",0,'Ref4'!L8*TransR!$D$8)</f>
        <v>109.759</v>
      </c>
      <c r="M6" s="90">
        <f>IF('BH (1)'!$D$4="Simples Nacional",0,'Ref4'!M8*TransR!$D$8)</f>
        <v>115.65900000000001</v>
      </c>
      <c r="N6" s="90">
        <f>IF('BH (1)'!$D$4="Simples Nacional",0,'Ref4'!N8*TransR!$D$8)</f>
        <v>110.53100000000001</v>
      </c>
      <c r="O6" s="90">
        <f>IF('BH (1)'!$D$4="Simples Nacional",0,'Ref4'!O8*TransR!$D$8)</f>
        <v>109.533</v>
      </c>
      <c r="P6" s="93">
        <f>SUM(D6:O6)</f>
        <v>1392.2169999999999</v>
      </c>
    </row>
    <row r="7" spans="3:16" ht="24.95" hidden="1" customHeight="1" x14ac:dyDescent="0.25">
      <c r="C7" s="44" t="s">
        <v>97</v>
      </c>
      <c r="D7" s="90">
        <v>0</v>
      </c>
      <c r="E7" s="90">
        <v>0</v>
      </c>
      <c r="F7" s="90">
        <v>0</v>
      </c>
      <c r="G7" s="90">
        <v>0</v>
      </c>
      <c r="H7" s="90">
        <v>0</v>
      </c>
      <c r="I7" s="90">
        <v>0</v>
      </c>
      <c r="J7" s="90">
        <v>0</v>
      </c>
      <c r="K7" s="90">
        <v>0</v>
      </c>
      <c r="L7" s="90">
        <v>0</v>
      </c>
      <c r="M7" s="90">
        <v>0</v>
      </c>
      <c r="N7" s="90">
        <v>0</v>
      </c>
      <c r="O7" s="90">
        <v>0</v>
      </c>
      <c r="P7" s="93">
        <f>SUM(D7:O7)</f>
        <v>0</v>
      </c>
    </row>
    <row r="8" spans="3:16" ht="24.95" hidden="1" customHeight="1" x14ac:dyDescent="0.25">
      <c r="C8" s="44" t="s">
        <v>98</v>
      </c>
      <c r="D8" s="90">
        <v>0</v>
      </c>
      <c r="E8" s="90">
        <v>0</v>
      </c>
      <c r="F8" s="90">
        <v>0</v>
      </c>
      <c r="G8" s="90">
        <v>0</v>
      </c>
      <c r="H8" s="90">
        <v>0</v>
      </c>
      <c r="I8" s="90">
        <v>0</v>
      </c>
      <c r="J8" s="90">
        <v>0</v>
      </c>
      <c r="K8" s="90">
        <v>0</v>
      </c>
      <c r="L8" s="90">
        <v>0</v>
      </c>
      <c r="M8" s="90">
        <v>0</v>
      </c>
      <c r="N8" s="90">
        <v>0</v>
      </c>
      <c r="O8" s="90">
        <v>0</v>
      </c>
      <c r="P8" s="93">
        <f>SUM(D8:O8)</f>
        <v>0</v>
      </c>
    </row>
    <row r="9" spans="3:16" ht="24.95" customHeight="1" x14ac:dyDescent="0.25">
      <c r="C9" s="44" t="s">
        <v>37</v>
      </c>
      <c r="D9" s="90">
        <f>IF('BH (1)'!$D$4="Simples Nacional",Simp6!D16,'BH (2)'!C32)</f>
        <v>11955.502500000001</v>
      </c>
      <c r="E9" s="90">
        <f>IF('BH (1)'!$D$4="Simples Nacional",Simp6!E16,'BH (2)'!D32)</f>
        <v>8910.2219999999998</v>
      </c>
      <c r="F9" s="90">
        <f>IF('BH (1)'!$D$4="Simples Nacional",Simp6!F16,'BH (2)'!E32)</f>
        <v>12012.376499999998</v>
      </c>
      <c r="G9" s="90">
        <f>IF('BH (1)'!$D$4="Simples Nacional",Simp6!G16,'BH (2)'!F32)</f>
        <v>10463.585999999999</v>
      </c>
      <c r="H9" s="90">
        <f>IF('BH (1)'!$D$4="Simples Nacional",Simp6!H16,'BH (2)'!G32)</f>
        <v>10272.735000000001</v>
      </c>
      <c r="I9" s="90">
        <f>IF('BH (1)'!$D$4="Simples Nacional",Simp6!I16,'BH (2)'!H32)</f>
        <v>8488.0275000000001</v>
      </c>
      <c r="J9" s="90">
        <f>IF('BH (1)'!$D$4="Simples Nacional",Simp6!J16,'BH (2)'!I32)</f>
        <v>11165.263500000001</v>
      </c>
      <c r="K9" s="90">
        <f>IF('BH (1)'!$D$4="Simples Nacional",Simp6!K16,'BH (2)'!J32)</f>
        <v>8120.8215</v>
      </c>
      <c r="L9" s="90">
        <f>IF('BH (1)'!$D$4="Simples Nacional",Simp6!L16,'BH (2)'!K32)</f>
        <v>9477.5625</v>
      </c>
      <c r="M9" s="90">
        <f>IF('BH (1)'!$D$4="Simples Nacional",Simp6!M16,'BH (2)'!L32)</f>
        <v>9496.0380000000005</v>
      </c>
      <c r="N9" s="90">
        <f>IF('BH (1)'!$D$4="Simples Nacional",Simp6!N16,'BH (2)'!M32)</f>
        <v>9271.7819999999992</v>
      </c>
      <c r="O9" s="90">
        <f>IF('BH (1)'!$D$4="Simples Nacional",Simp6!O16,'BH (2)'!N32)</f>
        <v>9392.387999999999</v>
      </c>
      <c r="P9" s="93">
        <f>SUM(D9:O9)</f>
        <v>119026.30499999999</v>
      </c>
    </row>
    <row r="10" spans="3:16" ht="24.95" hidden="1" customHeight="1" x14ac:dyDescent="0.25">
      <c r="C10" s="44" t="s">
        <v>38</v>
      </c>
      <c r="D10" s="90">
        <v>0</v>
      </c>
      <c r="E10" s="90">
        <v>0</v>
      </c>
      <c r="F10" s="90">
        <v>0</v>
      </c>
      <c r="G10" s="90">
        <v>0</v>
      </c>
      <c r="H10" s="90">
        <v>0</v>
      </c>
      <c r="I10" s="90">
        <v>0</v>
      </c>
      <c r="J10" s="90">
        <v>0</v>
      </c>
      <c r="K10" s="90">
        <v>0</v>
      </c>
      <c r="L10" s="90">
        <v>0</v>
      </c>
      <c r="M10" s="90">
        <v>0</v>
      </c>
      <c r="N10" s="90">
        <v>0</v>
      </c>
      <c r="O10" s="90">
        <v>0</v>
      </c>
      <c r="P10" s="93">
        <f t="shared" ref="P10:P17" si="0">SUM(D10:O10)</f>
        <v>0</v>
      </c>
    </row>
    <row r="11" spans="3:16" ht="24.95" customHeight="1" x14ac:dyDescent="0.25">
      <c r="C11" s="44" t="s">
        <v>39</v>
      </c>
      <c r="D11" s="90">
        <f>IF('BH (1)'!$D$4="Simples Nacional",Simp6!D18,'BH (2)'!C34)</f>
        <v>0</v>
      </c>
      <c r="E11" s="90">
        <f>IF('BH (1)'!$D$4="Simples Nacional",Simp6!E18,'BH (2)'!D34)</f>
        <v>0</v>
      </c>
      <c r="F11" s="90">
        <f>IF('BH (1)'!$D$4="Simples Nacional",Simp6!F18,'BH (2)'!E34)</f>
        <v>0</v>
      </c>
      <c r="G11" s="90">
        <f>IF('BH (1)'!$D$4="Simples Nacional",Simp6!G18,'BH (2)'!F34)</f>
        <v>0</v>
      </c>
      <c r="H11" s="90">
        <f>IF('BH (1)'!$D$4="Simples Nacional",Simp6!H18,'BH (2)'!G34)</f>
        <v>0</v>
      </c>
      <c r="I11" s="90">
        <f>IF('BH (1)'!$D$4="Simples Nacional",Simp6!I18,'BH (2)'!H34)</f>
        <v>0</v>
      </c>
      <c r="J11" s="90">
        <f>IF('BH (1)'!$D$4="Simples Nacional",Simp6!J18,'BH (2)'!I34)</f>
        <v>0</v>
      </c>
      <c r="K11" s="90">
        <f>IF('BH (1)'!$D$4="Simples Nacional",Simp6!K18,'BH (2)'!J34)</f>
        <v>0</v>
      </c>
      <c r="L11" s="90">
        <f>IF('BH (1)'!$D$4="Simples Nacional",Simp6!L18,'BH (2)'!K34)</f>
        <v>0</v>
      </c>
      <c r="M11" s="90">
        <f>IF('BH (1)'!$D$4="Simples Nacional",Simp6!M18,'BH (2)'!L34)</f>
        <v>0</v>
      </c>
      <c r="N11" s="90">
        <f>IF('BH (1)'!$D$4="Simples Nacional",Simp6!N18,'BH (2)'!M34)</f>
        <v>0</v>
      </c>
      <c r="O11" s="90">
        <f>IF('BH (1)'!$D$4="Simples Nacional",Simp6!O18,'BH (2)'!N34)</f>
        <v>0</v>
      </c>
      <c r="P11" s="93">
        <f t="shared" si="0"/>
        <v>0</v>
      </c>
    </row>
    <row r="12" spans="3:16" ht="24.95" customHeight="1" x14ac:dyDescent="0.25">
      <c r="C12" s="44" t="s">
        <v>129</v>
      </c>
      <c r="D12" s="90">
        <f>D50</f>
        <v>2400</v>
      </c>
      <c r="E12" s="90">
        <f t="shared" ref="E12:O12" si="1">E50</f>
        <v>2400</v>
      </c>
      <c r="F12" s="90">
        <f t="shared" si="1"/>
        <v>2400</v>
      </c>
      <c r="G12" s="90">
        <f t="shared" si="1"/>
        <v>2400</v>
      </c>
      <c r="H12" s="90">
        <f t="shared" si="1"/>
        <v>2400</v>
      </c>
      <c r="I12" s="90">
        <f t="shared" si="1"/>
        <v>2400</v>
      </c>
      <c r="J12" s="90">
        <f t="shared" si="1"/>
        <v>2400</v>
      </c>
      <c r="K12" s="90">
        <f t="shared" si="1"/>
        <v>2400</v>
      </c>
      <c r="L12" s="90">
        <f t="shared" si="1"/>
        <v>2400</v>
      </c>
      <c r="M12" s="90">
        <f t="shared" si="1"/>
        <v>2400</v>
      </c>
      <c r="N12" s="90">
        <f t="shared" si="1"/>
        <v>2400</v>
      </c>
      <c r="O12" s="90">
        <f t="shared" si="1"/>
        <v>2400</v>
      </c>
      <c r="P12" s="93">
        <f t="shared" si="0"/>
        <v>28800</v>
      </c>
    </row>
    <row r="13" spans="3:16" ht="24.95" customHeight="1" x14ac:dyDescent="0.25">
      <c r="C13" s="44" t="s">
        <v>42</v>
      </c>
      <c r="D13" s="90">
        <f>D57</f>
        <v>0</v>
      </c>
      <c r="E13" s="90">
        <f t="shared" ref="E13:O13" si="2">E57</f>
        <v>0</v>
      </c>
      <c r="F13" s="90">
        <f t="shared" si="2"/>
        <v>4068.6731999999993</v>
      </c>
      <c r="G13" s="90">
        <f t="shared" si="2"/>
        <v>0</v>
      </c>
      <c r="H13" s="90">
        <f t="shared" si="2"/>
        <v>0</v>
      </c>
      <c r="I13" s="90">
        <f t="shared" si="2"/>
        <v>3711.4848000000002</v>
      </c>
      <c r="J13" s="90">
        <f t="shared" si="2"/>
        <v>0</v>
      </c>
      <c r="K13" s="90">
        <f t="shared" si="2"/>
        <v>0</v>
      </c>
      <c r="L13" s="90">
        <f t="shared" si="2"/>
        <v>3629.9771999999998</v>
      </c>
      <c r="M13" s="90">
        <f t="shared" si="2"/>
        <v>0</v>
      </c>
      <c r="N13" s="90">
        <f t="shared" si="2"/>
        <v>0</v>
      </c>
      <c r="O13" s="90">
        <f t="shared" si="2"/>
        <v>3625.8083999999999</v>
      </c>
      <c r="P13" s="93">
        <f>IF('BH (1)'!$D$4="Lucro Presumido",Relatórios!P11,SUM(D13:O13))</f>
        <v>15035.943599999999</v>
      </c>
    </row>
    <row r="14" spans="3:16" ht="24.95" customHeight="1" x14ac:dyDescent="0.25">
      <c r="C14" s="44" t="s">
        <v>40</v>
      </c>
      <c r="D14" s="90">
        <f>IF('BH (1)'!$D$4="Simples Nacional",D55,D55+D56)</f>
        <v>0</v>
      </c>
      <c r="E14" s="90">
        <f>IF('BH (1)'!$D$4="Simples Nacional",E55,E55+E56)</f>
        <v>0</v>
      </c>
      <c r="F14" s="90">
        <f>IF('BH (1)'!$D$4="Simples Nacional",F55,F55+F56)</f>
        <v>4520.7479999999996</v>
      </c>
      <c r="G14" s="90">
        <f>IF('BH (1)'!$D$4="Simples Nacional",G55,G55+G56)</f>
        <v>0</v>
      </c>
      <c r="H14" s="90">
        <f>IF('BH (1)'!$D$4="Simples Nacional",H55,H55+H56)</f>
        <v>0</v>
      </c>
      <c r="I14" s="90">
        <f>IF('BH (1)'!$D$4="Simples Nacional",I55,I55+I56)</f>
        <v>4123.8719999999994</v>
      </c>
      <c r="J14" s="90">
        <f>IF('BH (1)'!$D$4="Simples Nacional",J55,J55+J56)</f>
        <v>0</v>
      </c>
      <c r="K14" s="90">
        <f>IF('BH (1)'!$D$4="Simples Nacional",K55,K55+K56)</f>
        <v>0</v>
      </c>
      <c r="L14" s="90">
        <f>IF('BH (1)'!$D$4="Simples Nacional",L55,L55+L56)</f>
        <v>4033.308</v>
      </c>
      <c r="M14" s="90">
        <f>IF('BH (1)'!$D$4="Simples Nacional",M55,M55+M56)</f>
        <v>0</v>
      </c>
      <c r="N14" s="90">
        <f>IF('BH (1)'!$D$4="Simples Nacional",N55,N55+N56)</f>
        <v>0</v>
      </c>
      <c r="O14" s="90">
        <f>IF('BH (1)'!$D$4="Simples Nacional",O55,O55+O56)</f>
        <v>4028.6759999999999</v>
      </c>
      <c r="P14" s="93">
        <f>IF('BH (1)'!$D$4="Lucro Presumido",Relatórios!P12,SUM(D14:O14))</f>
        <v>16706.603999999999</v>
      </c>
    </row>
    <row r="15" spans="3:16" ht="24.95" customHeight="1" x14ac:dyDescent="0.25">
      <c r="C15" s="44" t="s">
        <v>155</v>
      </c>
      <c r="D15" s="90">
        <f>D51</f>
        <v>960</v>
      </c>
      <c r="E15" s="90">
        <f t="shared" ref="E15:O15" si="3">E51</f>
        <v>960</v>
      </c>
      <c r="F15" s="90">
        <f t="shared" si="3"/>
        <v>960</v>
      </c>
      <c r="G15" s="90">
        <f t="shared" si="3"/>
        <v>960</v>
      </c>
      <c r="H15" s="90">
        <f t="shared" si="3"/>
        <v>960</v>
      </c>
      <c r="I15" s="90">
        <f t="shared" si="3"/>
        <v>960</v>
      </c>
      <c r="J15" s="90">
        <f t="shared" si="3"/>
        <v>960</v>
      </c>
      <c r="K15" s="90">
        <f t="shared" si="3"/>
        <v>960</v>
      </c>
      <c r="L15" s="90">
        <f t="shared" si="3"/>
        <v>960</v>
      </c>
      <c r="M15" s="90">
        <f t="shared" si="3"/>
        <v>960</v>
      </c>
      <c r="N15" s="90">
        <f t="shared" si="3"/>
        <v>960</v>
      </c>
      <c r="O15" s="90">
        <f t="shared" si="3"/>
        <v>960</v>
      </c>
      <c r="P15" s="93">
        <f t="shared" si="0"/>
        <v>11520</v>
      </c>
    </row>
    <row r="16" spans="3:16" ht="24.95" customHeight="1" x14ac:dyDescent="0.25">
      <c r="C16" s="44" t="str">
        <f>IF('BH (1)'!D4="Simples Nacional","","Terceiros")</f>
        <v>Terceiros</v>
      </c>
      <c r="D16" s="90">
        <f>D52</f>
        <v>696</v>
      </c>
      <c r="E16" s="90">
        <f t="shared" ref="E16:O16" si="4">E52</f>
        <v>696</v>
      </c>
      <c r="F16" s="90">
        <f t="shared" si="4"/>
        <v>696</v>
      </c>
      <c r="G16" s="90">
        <f t="shared" si="4"/>
        <v>696</v>
      </c>
      <c r="H16" s="90">
        <f t="shared" si="4"/>
        <v>696</v>
      </c>
      <c r="I16" s="90">
        <f t="shared" si="4"/>
        <v>696</v>
      </c>
      <c r="J16" s="90">
        <f t="shared" si="4"/>
        <v>696</v>
      </c>
      <c r="K16" s="90">
        <f t="shared" si="4"/>
        <v>696</v>
      </c>
      <c r="L16" s="90">
        <f t="shared" si="4"/>
        <v>696</v>
      </c>
      <c r="M16" s="90">
        <f t="shared" si="4"/>
        <v>696</v>
      </c>
      <c r="N16" s="90">
        <f t="shared" si="4"/>
        <v>696</v>
      </c>
      <c r="O16" s="90">
        <f t="shared" si="4"/>
        <v>696</v>
      </c>
      <c r="P16" s="93">
        <f t="shared" si="0"/>
        <v>8352</v>
      </c>
    </row>
    <row r="17" spans="3:16" ht="24.95" customHeight="1" x14ac:dyDescent="0.25">
      <c r="C17" s="198" t="str">
        <f>IF('BH (1)'!D4="Simples Nacional","","RAT")</f>
        <v>RAT</v>
      </c>
      <c r="D17" s="189">
        <f>D53</f>
        <v>240</v>
      </c>
      <c r="E17" s="189">
        <f t="shared" ref="E17:O17" si="5">E53</f>
        <v>240</v>
      </c>
      <c r="F17" s="189">
        <f t="shared" si="5"/>
        <v>240</v>
      </c>
      <c r="G17" s="189">
        <f t="shared" si="5"/>
        <v>240</v>
      </c>
      <c r="H17" s="189">
        <f t="shared" si="5"/>
        <v>240</v>
      </c>
      <c r="I17" s="189">
        <f t="shared" si="5"/>
        <v>240</v>
      </c>
      <c r="J17" s="189">
        <f t="shared" si="5"/>
        <v>240</v>
      </c>
      <c r="K17" s="189">
        <f t="shared" si="5"/>
        <v>240</v>
      </c>
      <c r="L17" s="189">
        <f t="shared" si="5"/>
        <v>240</v>
      </c>
      <c r="M17" s="189">
        <f t="shared" si="5"/>
        <v>240</v>
      </c>
      <c r="N17" s="189">
        <f t="shared" si="5"/>
        <v>240</v>
      </c>
      <c r="O17" s="189">
        <f t="shared" si="5"/>
        <v>240</v>
      </c>
      <c r="P17" s="93">
        <f t="shared" si="0"/>
        <v>2880</v>
      </c>
    </row>
    <row r="18" spans="3:16" ht="24.95" customHeight="1" x14ac:dyDescent="0.25">
      <c r="C18" s="196" t="s">
        <v>245</v>
      </c>
      <c r="D18" s="97">
        <f>SUM(D5:D17)</f>
        <v>26128.565500000001</v>
      </c>
      <c r="E18" s="97">
        <f>SUM(E5:E17)</f>
        <v>20704.2565</v>
      </c>
      <c r="F18" s="97">
        <f>SUM(F5:F17)</f>
        <v>34791.800299999995</v>
      </c>
      <c r="G18" s="97">
        <f t="shared" ref="G18:N18" si="6">SUM(G5:G17)</f>
        <v>23445.978799999997</v>
      </c>
      <c r="H18" s="97">
        <f t="shared" si="6"/>
        <v>23112.088899999999</v>
      </c>
      <c r="I18" s="97">
        <f t="shared" si="6"/>
        <v>27779.037899999999</v>
      </c>
      <c r="J18" s="97">
        <f t="shared" si="6"/>
        <v>24649.954000000002</v>
      </c>
      <c r="K18" s="97">
        <f t="shared" si="6"/>
        <v>19315.942999999999</v>
      </c>
      <c r="L18" s="97">
        <f t="shared" si="6"/>
        <v>29317.452100000002</v>
      </c>
      <c r="M18" s="97">
        <f t="shared" si="6"/>
        <v>21785.470499999999</v>
      </c>
      <c r="N18" s="97">
        <f t="shared" si="6"/>
        <v>21331.362499999999</v>
      </c>
      <c r="O18" s="97">
        <f>SUM(O5:O17)</f>
        <v>29165.688300000002</v>
      </c>
      <c r="P18" s="98">
        <f>SUM(P5:P17)</f>
        <v>301527.59830000001</v>
      </c>
    </row>
    <row r="19" spans="3:16" ht="30" customHeight="1" thickBot="1" x14ac:dyDescent="0.3">
      <c r="C19" s="180" t="s">
        <v>256</v>
      </c>
    </row>
    <row r="20" spans="3:16" ht="21.95" customHeight="1" x14ac:dyDescent="0.25">
      <c r="C20" s="85" t="s">
        <v>82</v>
      </c>
      <c r="D20" s="55" t="s">
        <v>83</v>
      </c>
      <c r="E20" s="55" t="s">
        <v>84</v>
      </c>
      <c r="F20" s="55" t="s">
        <v>85</v>
      </c>
      <c r="G20" s="55" t="s">
        <v>86</v>
      </c>
      <c r="H20" s="55" t="s">
        <v>87</v>
      </c>
      <c r="I20" s="55" t="s">
        <v>88</v>
      </c>
      <c r="J20" s="55" t="s">
        <v>89</v>
      </c>
      <c r="K20" s="55" t="s">
        <v>90</v>
      </c>
      <c r="L20" s="55" t="s">
        <v>91</v>
      </c>
      <c r="M20" s="55" t="s">
        <v>92</v>
      </c>
      <c r="N20" s="55" t="s">
        <v>93</v>
      </c>
      <c r="O20" s="55" t="s">
        <v>94</v>
      </c>
      <c r="P20" s="56" t="s">
        <v>294</v>
      </c>
    </row>
    <row r="21" spans="3:16" ht="24.95" customHeight="1" x14ac:dyDescent="0.25">
      <c r="C21" s="197" t="str">
        <f>IF('BH (1)'!$D$4="Simples Nacional",IF('BH (1)'!$C$15=1,Simp6!C5,'Fat6'!C5),'Fat6'!C5)</f>
        <v>Indústria</v>
      </c>
      <c r="D21" s="90">
        <f>IF('BH (1)'!$D$4="Simples Nacional",IF('BH (1)'!$C$15=1,Simp6!D5,'Ref4'!D5),'Ref4'!D5)</f>
        <v>0</v>
      </c>
      <c r="E21" s="90">
        <f>IF('BH (1)'!$D$4="Simples Nacional",IF('BH (1)'!$C$15=1,Simp6!E5,'Ref4'!E5),'Ref4'!E5)</f>
        <v>0</v>
      </c>
      <c r="F21" s="90">
        <f>IF('BH (1)'!$D$4="Simples Nacional",IF('BH (1)'!$C$15=1,Simp6!F5,'Ref4'!F5),'Ref4'!F5)</f>
        <v>0</v>
      </c>
      <c r="G21" s="90">
        <f>IF('BH (1)'!$D$4="Simples Nacional",IF('BH (1)'!$C$15=1,Simp6!G5,'Ref4'!G5),'Ref4'!G5)</f>
        <v>0</v>
      </c>
      <c r="H21" s="90">
        <f>IF('BH (1)'!$D$4="Simples Nacional",IF('BH (1)'!$C$15=1,Simp6!H5,'Ref4'!H5),'Ref4'!H5)</f>
        <v>0</v>
      </c>
      <c r="I21" s="90">
        <f>IF('BH (1)'!$D$4="Simples Nacional",IF('BH (1)'!$C$15=1,Simp6!I5,'Ref4'!I5),'Ref4'!I5)</f>
        <v>0</v>
      </c>
      <c r="J21" s="90">
        <f>IF('BH (1)'!$D$4="Simples Nacional",IF('BH (1)'!$C$15=1,Simp6!J5,'Ref4'!J5),'Ref4'!J5)</f>
        <v>0</v>
      </c>
      <c r="K21" s="90">
        <f>IF('BH (1)'!$D$4="Simples Nacional",IF('BH (1)'!$C$15=1,Simp6!K5,'Ref4'!K5),'Ref4'!K5)</f>
        <v>0</v>
      </c>
      <c r="L21" s="90">
        <f>IF('BH (1)'!$D$4="Simples Nacional",IF('BH (1)'!$C$15=1,Simp6!L5,'Ref4'!L5),'Ref4'!L5)</f>
        <v>0</v>
      </c>
      <c r="M21" s="90">
        <f>IF('BH (1)'!$D$4="Simples Nacional",IF('BH (1)'!$C$15=1,Simp6!M5,'Ref4'!M5),'Ref4'!M5)</f>
        <v>0</v>
      </c>
      <c r="N21" s="90">
        <f>IF('BH (1)'!$D$4="Simples Nacional",IF('BH (1)'!$C$15=1,Simp6!N5,'Ref4'!N5),'Ref4'!N5)</f>
        <v>0</v>
      </c>
      <c r="O21" s="90">
        <f>IF('BH (1)'!$D$4="Simples Nacional",IF('BH (1)'!$C$15=1,Simp6!O5,'Ref4'!O5),'Ref4'!O5)</f>
        <v>0</v>
      </c>
      <c r="P21" s="91">
        <f>SUM(D21:O21)</f>
        <v>0</v>
      </c>
    </row>
    <row r="22" spans="3:16" ht="24.95" customHeight="1" x14ac:dyDescent="0.25">
      <c r="C22" s="44" t="str">
        <f>IF('BH (1)'!$D$4="Simples Nacional",IF('BH (1)'!$C$15=1,Simp6!C6,'Fat6'!C6),'Fat6'!C6)</f>
        <v>Comércio</v>
      </c>
      <c r="D22" s="90">
        <f>IF('BH (1)'!$D$4="Simples Nacional",IF('BH (1)'!$C$15=1,Simp6!D6,'Ref4'!D6),'Ref4'!D6)</f>
        <v>134725</v>
      </c>
      <c r="E22" s="90">
        <f>IF('BH (1)'!$D$4="Simples Nacional",IF('BH (1)'!$C$15=1,Simp6!E6,'Ref4'!E6),'Ref4'!E6)</f>
        <v>108391</v>
      </c>
      <c r="F22" s="90">
        <f>IF('BH (1)'!$D$4="Simples Nacional",IF('BH (1)'!$C$15=1,Simp6!F6,'Ref4'!F6),'Ref4'!F6)</f>
        <v>133613</v>
      </c>
      <c r="G22" s="90">
        <f>IF('BH (1)'!$D$4="Simples Nacional",IF('BH (1)'!$C$15=1,Simp6!G6,'Ref4'!G6),'Ref4'!G6)</f>
        <v>120356</v>
      </c>
      <c r="H22" s="90">
        <f>IF('BH (1)'!$D$4="Simples Nacional",IF('BH (1)'!$C$15=1,Simp6!H6,'Ref4'!H6),'Ref4'!H6)</f>
        <v>119059</v>
      </c>
      <c r="I22" s="90">
        <f>IF('BH (1)'!$D$4="Simples Nacional",IF('BH (1)'!$C$15=1,Simp6!I6,'Ref4'!I6),'Ref4'!I6)</f>
        <v>104241</v>
      </c>
      <c r="J22" s="90">
        <f>IF('BH (1)'!$D$4="Simples Nacional",IF('BH (1)'!$C$15=1,Simp6!J6,'Ref4'!J6),'Ref4'!J6)</f>
        <v>123748</v>
      </c>
      <c r="K22" s="90">
        <f>IF('BH (1)'!$D$4="Simples Nacional",IF('BH (1)'!$C$15=1,Simp6!K6,'Ref4'!K6),'Ref4'!K6)</f>
        <v>102602</v>
      </c>
      <c r="L22" s="90">
        <f>IF('BH (1)'!$D$4="Simples Nacional",IF('BH (1)'!$C$15=1,Simp6!L6,'Ref4'!L6),'Ref4'!L6)</f>
        <v>109759</v>
      </c>
      <c r="M22" s="90">
        <f>IF('BH (1)'!$D$4="Simples Nacional",IF('BH (1)'!$C$15=1,Simp6!M6,'Ref4'!M6),'Ref4'!M6)</f>
        <v>115659</v>
      </c>
      <c r="N22" s="90">
        <f>IF('BH (1)'!$D$4="Simples Nacional",IF('BH (1)'!$C$15=1,Simp6!N6,'Ref4'!N6),'Ref4'!N6)</f>
        <v>110531</v>
      </c>
      <c r="O22" s="90">
        <f>IF('BH (1)'!$D$4="Simples Nacional",IF('BH (1)'!$C$15=1,Simp6!O6,'Ref4'!O6),'Ref4'!O6)</f>
        <v>109533</v>
      </c>
      <c r="P22" s="93">
        <f>SUM(D22:O22)</f>
        <v>1392217</v>
      </c>
    </row>
    <row r="23" spans="3:16" ht="24.95" customHeight="1" x14ac:dyDescent="0.25">
      <c r="C23" s="43" t="str">
        <f>IF('BH (1)'!$D$4="Simples Nacional",IF('BH (1)'!$C$15=1,Simp6!C7,'Fat6'!C7),'Fat6'!C7)</f>
        <v>Serviços</v>
      </c>
      <c r="D23" s="90">
        <f>IF('BH (1)'!$D$4="Simples Nacional",IF('BH (1)'!$C$15=1,Simp6!D7,'Ref4'!D7),'Ref4'!D7)</f>
        <v>0</v>
      </c>
      <c r="E23" s="90">
        <f>IF('BH (1)'!$D$4="Simples Nacional",IF('BH (1)'!$C$15=1,Simp6!E7,'Ref4'!E7),'Ref4'!E7)</f>
        <v>0</v>
      </c>
      <c r="F23" s="90">
        <f>IF('BH (1)'!$D$4="Simples Nacional",IF('BH (1)'!$C$15=1,Simp6!F7,'Ref4'!F7),'Ref4'!F7)</f>
        <v>0</v>
      </c>
      <c r="G23" s="90">
        <f>IF('BH (1)'!$D$4="Simples Nacional",IF('BH (1)'!$C$15=1,Simp6!G7,'Ref4'!G7),'Ref4'!G7)</f>
        <v>0</v>
      </c>
      <c r="H23" s="90">
        <f>IF('BH (1)'!$D$4="Simples Nacional",IF('BH (1)'!$C$15=1,Simp6!H7,'Ref4'!H7),'Ref4'!H7)</f>
        <v>0</v>
      </c>
      <c r="I23" s="90">
        <f>IF('BH (1)'!$D$4="Simples Nacional",IF('BH (1)'!$C$15=1,Simp6!I7,'Ref4'!I7),'Ref4'!I7)</f>
        <v>0</v>
      </c>
      <c r="J23" s="90">
        <f>IF('BH (1)'!$D$4="Simples Nacional",IF('BH (1)'!$C$15=1,Simp6!J7,'Ref4'!J7),'Ref4'!J7)</f>
        <v>0</v>
      </c>
      <c r="K23" s="90">
        <f>IF('BH (1)'!$D$4="Simples Nacional",IF('BH (1)'!$C$15=1,Simp6!K7,'Ref4'!K7),'Ref4'!K7)</f>
        <v>0</v>
      </c>
      <c r="L23" s="90">
        <f>IF('BH (1)'!$D$4="Simples Nacional",IF('BH (1)'!$C$15=1,Simp6!L7,'Ref4'!L7),'Ref4'!L7)</f>
        <v>0</v>
      </c>
      <c r="M23" s="90">
        <f>IF('BH (1)'!$D$4="Simples Nacional",IF('BH (1)'!$C$15=1,Simp6!M7,'Ref4'!M7),'Ref4'!M7)</f>
        <v>0</v>
      </c>
      <c r="N23" s="90">
        <f>IF('BH (1)'!$D$4="Simples Nacional",IF('BH (1)'!$C$15=1,Simp6!N7,'Ref4'!N7),'Ref4'!N7)</f>
        <v>0</v>
      </c>
      <c r="O23" s="90">
        <f>IF('BH (1)'!$D$4="Simples Nacional",IF('BH (1)'!$C$15=1,Simp6!O7,'Ref4'!O7),'Ref4'!O7)</f>
        <v>0</v>
      </c>
      <c r="P23" s="93">
        <f>SUM(D23:O23)</f>
        <v>0</v>
      </c>
    </row>
    <row r="24" spans="3:16" ht="24.95" customHeight="1" x14ac:dyDescent="0.25">
      <c r="C24" s="43" t="str">
        <f>IF('BH (1)'!$D$4="Simples Nacional",IF('BH (1)'!$C$15=1,Simp6!C8,""),"")</f>
        <v/>
      </c>
      <c r="D24" s="90" t="str">
        <f>IF('BH (1)'!$D$4="Simples Nacional",IF('BH (1)'!$C$15=1,Simp6!D8,""),"")</f>
        <v/>
      </c>
      <c r="E24" s="90" t="str">
        <f>IF('BH (1)'!$D$4="Simples Nacional",IF('BH (1)'!$C$15=1,Simp6!E8,""),"")</f>
        <v/>
      </c>
      <c r="F24" s="90" t="str">
        <f>IF('BH (1)'!$D$4="Simples Nacional",IF('BH (1)'!$C$15=1,Simp6!F8,""),"")</f>
        <v/>
      </c>
      <c r="G24" s="90" t="str">
        <f>IF('BH (1)'!$D$4="Simples Nacional",IF('BH (1)'!$C$15=1,Simp6!G8,""),"")</f>
        <v/>
      </c>
      <c r="H24" s="90" t="str">
        <f>IF('BH (1)'!$D$4="Simples Nacional",IF('BH (1)'!$C$15=1,Simp6!H8,""),"")</f>
        <v/>
      </c>
      <c r="I24" s="90" t="str">
        <f>IF('BH (1)'!$D$4="Simples Nacional",IF('BH (1)'!$C$15=1,Simp6!I8,""),"")</f>
        <v/>
      </c>
      <c r="J24" s="90" t="str">
        <f>IF('BH (1)'!$D$4="Simples Nacional",IF('BH (1)'!$C$15=1,Simp6!J8,""),"")</f>
        <v/>
      </c>
      <c r="K24" s="90" t="str">
        <f>IF('BH (1)'!$D$4="Simples Nacional",IF('BH (1)'!$C$15=1,Simp6!K8,""),"")</f>
        <v/>
      </c>
      <c r="L24" s="90" t="str">
        <f>IF('BH (1)'!$D$4="Simples Nacional",IF('BH (1)'!$C$15=1,Simp6!L8,""),"")</f>
        <v/>
      </c>
      <c r="M24" s="90" t="str">
        <f>IF('BH (1)'!$D$4="Simples Nacional",IF('BH (1)'!$C$15=1,Simp6!M8,""),"")</f>
        <v/>
      </c>
      <c r="N24" s="90" t="str">
        <f>IF('BH (1)'!$D$4="Simples Nacional",IF('BH (1)'!$C$15=1,Simp6!N8,""),"")</f>
        <v/>
      </c>
      <c r="O24" s="90" t="str">
        <f>IF('BH (1)'!$D$4="Simples Nacional",IF('BH (1)'!$C$15=1,Simp6!O8,""),"")</f>
        <v/>
      </c>
      <c r="P24" s="93">
        <f>SUM(D24:O24)</f>
        <v>0</v>
      </c>
    </row>
    <row r="25" spans="3:16" ht="24.95" customHeight="1" x14ac:dyDescent="0.25">
      <c r="C25" s="43" t="str">
        <f>IF('BH (1)'!$D$4="Simples Nacional",IF('BH (1)'!$C$15=1,Simp6!C9,""),"")</f>
        <v/>
      </c>
      <c r="D25" s="90" t="str">
        <f>IF('BH (1)'!$D$4="Simples Nacional",IF('BH (1)'!$C$15=1,Simp6!D9,""),"")</f>
        <v/>
      </c>
      <c r="E25" s="90" t="str">
        <f>IF('BH (1)'!$D$4="Simples Nacional",IF('BH (1)'!$C$15=1,Simp6!E9,""),"")</f>
        <v/>
      </c>
      <c r="F25" s="90" t="str">
        <f>IF('BH (1)'!$D$4="Simples Nacional",IF('BH (1)'!$C$15=1,Simp6!F9,""),"")</f>
        <v/>
      </c>
      <c r="G25" s="90" t="str">
        <f>IF('BH (1)'!$D$4="Simples Nacional",IF('BH (1)'!$C$15=1,Simp6!G9,""),"")</f>
        <v/>
      </c>
      <c r="H25" s="90" t="str">
        <f>IF('BH (1)'!$D$4="Simples Nacional",IF('BH (1)'!$C$15=1,Simp6!H9,""),"")</f>
        <v/>
      </c>
      <c r="I25" s="90" t="str">
        <f>IF('BH (1)'!$D$4="Simples Nacional",IF('BH (1)'!$C$15=1,Simp6!I9,""),"")</f>
        <v/>
      </c>
      <c r="J25" s="90" t="str">
        <f>IF('BH (1)'!$D$4="Simples Nacional",IF('BH (1)'!$C$15=1,Simp6!J9,""),"")</f>
        <v/>
      </c>
      <c r="K25" s="90" t="str">
        <f>IF('BH (1)'!$D$4="Simples Nacional",IF('BH (1)'!$C$15=1,Simp6!K9,""),"")</f>
        <v/>
      </c>
      <c r="L25" s="90" t="str">
        <f>IF('BH (1)'!$D$4="Simples Nacional",IF('BH (1)'!$C$15=1,Simp6!L9,""),"")</f>
        <v/>
      </c>
      <c r="M25" s="90" t="str">
        <f>IF('BH (1)'!$D$4="Simples Nacional",IF('BH (1)'!$C$15=1,Simp6!M9,""),"")</f>
        <v/>
      </c>
      <c r="N25" s="90" t="str">
        <f>IF('BH (1)'!$D$4="Simples Nacional",IF('BH (1)'!$C$15=1,Simp6!N9,""),"")</f>
        <v/>
      </c>
      <c r="O25" s="90" t="str">
        <f>IF('BH (1)'!$D$4="Simples Nacional",IF('BH (1)'!$C$15=1,Simp6!O9,""),"")</f>
        <v/>
      </c>
      <c r="P25" s="93">
        <f t="shared" ref="P25:P34" si="7">SUM(D25:O25)</f>
        <v>0</v>
      </c>
    </row>
    <row r="26" spans="3:16" ht="24.95" customHeight="1" x14ac:dyDescent="0.25">
      <c r="C26" s="198" t="s">
        <v>209</v>
      </c>
      <c r="D26" s="100">
        <f>Desp!D19</f>
        <v>0</v>
      </c>
      <c r="E26" s="99">
        <f>Desp!E19</f>
        <v>0</v>
      </c>
      <c r="F26" s="99">
        <f>Desp!F19</f>
        <v>0</v>
      </c>
      <c r="G26" s="99">
        <f>Desp!G19</f>
        <v>0</v>
      </c>
      <c r="H26" s="99">
        <f>Desp!H19</f>
        <v>0</v>
      </c>
      <c r="I26" s="99">
        <f>Desp!I19</f>
        <v>0</v>
      </c>
      <c r="J26" s="99">
        <f>Desp!J19</f>
        <v>0</v>
      </c>
      <c r="K26" s="99">
        <f>Desp!K19</f>
        <v>0</v>
      </c>
      <c r="L26" s="99">
        <f>Desp!L19</f>
        <v>0</v>
      </c>
      <c r="M26" s="99">
        <f>Desp!M19</f>
        <v>0</v>
      </c>
      <c r="N26" s="99">
        <f>Desp!N19</f>
        <v>0</v>
      </c>
      <c r="O26" s="100">
        <f>Desp!O19</f>
        <v>0</v>
      </c>
      <c r="P26" s="93">
        <f t="shared" si="7"/>
        <v>0</v>
      </c>
    </row>
    <row r="27" spans="3:16" ht="24.95" customHeight="1" x14ac:dyDescent="0.25">
      <c r="C27" s="196" t="s">
        <v>210</v>
      </c>
      <c r="D27" s="97">
        <f>SUM(D21:D25)-D26</f>
        <v>134725</v>
      </c>
      <c r="E27" s="97">
        <f t="shared" ref="E27:O27" si="8">SUM(E21:E25)-E26</f>
        <v>108391</v>
      </c>
      <c r="F27" s="97">
        <f t="shared" si="8"/>
        <v>133613</v>
      </c>
      <c r="G27" s="97">
        <f t="shared" si="8"/>
        <v>120356</v>
      </c>
      <c r="H27" s="97">
        <f t="shared" si="8"/>
        <v>119059</v>
      </c>
      <c r="I27" s="97">
        <f t="shared" si="8"/>
        <v>104241</v>
      </c>
      <c r="J27" s="97">
        <f t="shared" si="8"/>
        <v>123748</v>
      </c>
      <c r="K27" s="97">
        <f t="shared" si="8"/>
        <v>102602</v>
      </c>
      <c r="L27" s="97">
        <f t="shared" si="8"/>
        <v>109759</v>
      </c>
      <c r="M27" s="97">
        <f t="shared" si="8"/>
        <v>115659</v>
      </c>
      <c r="N27" s="97">
        <f t="shared" si="8"/>
        <v>110531</v>
      </c>
      <c r="O27" s="97">
        <f t="shared" si="8"/>
        <v>109533</v>
      </c>
      <c r="P27" s="93">
        <f t="shared" si="7"/>
        <v>1392217</v>
      </c>
    </row>
    <row r="28" spans="3:16" ht="24.95" hidden="1" customHeight="1" x14ac:dyDescent="0.25">
      <c r="C28" s="44" t="s">
        <v>214</v>
      </c>
      <c r="D28" s="90">
        <v>0</v>
      </c>
      <c r="E28" s="90">
        <v>0</v>
      </c>
      <c r="F28" s="90">
        <v>0</v>
      </c>
      <c r="G28" s="90">
        <v>0</v>
      </c>
      <c r="H28" s="90">
        <v>0</v>
      </c>
      <c r="I28" s="90">
        <v>0</v>
      </c>
      <c r="J28" s="90">
        <v>0</v>
      </c>
      <c r="K28" s="90">
        <v>0</v>
      </c>
      <c r="L28" s="90">
        <v>0</v>
      </c>
      <c r="M28" s="90">
        <v>0</v>
      </c>
      <c r="N28" s="90">
        <v>0</v>
      </c>
      <c r="O28" s="90">
        <v>0</v>
      </c>
      <c r="P28" s="93">
        <f t="shared" si="7"/>
        <v>0</v>
      </c>
    </row>
    <row r="29" spans="3:16" ht="24.95" hidden="1" customHeight="1" x14ac:dyDescent="0.25">
      <c r="C29" s="44" t="s">
        <v>215</v>
      </c>
      <c r="D29" s="90">
        <v>0</v>
      </c>
      <c r="E29" s="90">
        <v>0</v>
      </c>
      <c r="F29" s="90">
        <v>0</v>
      </c>
      <c r="G29" s="90">
        <v>0</v>
      </c>
      <c r="H29" s="90">
        <v>0</v>
      </c>
      <c r="I29" s="90">
        <v>0</v>
      </c>
      <c r="J29" s="90">
        <v>0</v>
      </c>
      <c r="K29" s="90">
        <v>0</v>
      </c>
      <c r="L29" s="90">
        <v>0</v>
      </c>
      <c r="M29" s="90">
        <v>0</v>
      </c>
      <c r="N29" s="90">
        <v>0</v>
      </c>
      <c r="O29" s="90">
        <v>0</v>
      </c>
      <c r="P29" s="93">
        <f t="shared" si="7"/>
        <v>0</v>
      </c>
    </row>
    <row r="30" spans="3:16" ht="24.95" customHeight="1" x14ac:dyDescent="0.25">
      <c r="C30" s="44" t="s">
        <v>216</v>
      </c>
      <c r="D30" s="90">
        <f>IF('BH (1)'!$D$4="Simples Nacional",Simp6!D16,'Fat6'!D13)</f>
        <v>16167</v>
      </c>
      <c r="E30" s="90">
        <f>IF('BH (1)'!$D$4="Simples Nacional",Simp6!E16,'Fat6'!E13)</f>
        <v>13006.92</v>
      </c>
      <c r="F30" s="90">
        <f>IF('BH (1)'!$D$4="Simples Nacional",Simp6!F16,'Fat6'!F13)</f>
        <v>16033.56</v>
      </c>
      <c r="G30" s="90">
        <f>IF('BH (1)'!$D$4="Simples Nacional",Simp6!G16,'Fat6'!G13)</f>
        <v>14442.72</v>
      </c>
      <c r="H30" s="90">
        <f>IF('BH (1)'!$D$4="Simples Nacional",Simp6!H16,'Fat6'!H13)</f>
        <v>14287.08</v>
      </c>
      <c r="I30" s="90">
        <f>IF('BH (1)'!$D$4="Simples Nacional",Simp6!I16,'Fat6'!I13)</f>
        <v>12508.92</v>
      </c>
      <c r="J30" s="90">
        <f>IF('BH (1)'!$D$4="Simples Nacional",Simp6!J16,'Fat6'!J13)</f>
        <v>14849.76</v>
      </c>
      <c r="K30" s="90">
        <f>IF('BH (1)'!$D$4="Simples Nacional",Simp6!K16,'Fat6'!K13)</f>
        <v>12312.24</v>
      </c>
      <c r="L30" s="90">
        <f>IF('BH (1)'!$D$4="Simples Nacional",Simp6!L16,'Fat6'!L13)</f>
        <v>13171.08</v>
      </c>
      <c r="M30" s="90">
        <f>IF('BH (1)'!$D$4="Simples Nacional",Simp6!M16,'Fat6'!M13)</f>
        <v>13879.08</v>
      </c>
      <c r="N30" s="90">
        <f>IF('BH (1)'!$D$4="Simples Nacional",Simp6!N16,'Fat6'!N13)</f>
        <v>13263.72</v>
      </c>
      <c r="O30" s="90">
        <f>IF('BH (1)'!$D$4="Simples Nacional",Simp6!O16,'Fat6'!O13)</f>
        <v>13143.96</v>
      </c>
      <c r="P30" s="93">
        <f t="shared" si="7"/>
        <v>167066.03999999998</v>
      </c>
    </row>
    <row r="31" spans="3:16" ht="24.95" hidden="1" customHeight="1" x14ac:dyDescent="0.25">
      <c r="C31" s="44" t="s">
        <v>217</v>
      </c>
      <c r="D31" s="90">
        <v>0</v>
      </c>
      <c r="E31" s="90">
        <v>0</v>
      </c>
      <c r="F31" s="90">
        <v>0</v>
      </c>
      <c r="G31" s="90">
        <v>0</v>
      </c>
      <c r="H31" s="90">
        <v>0</v>
      </c>
      <c r="I31" s="90">
        <v>0</v>
      </c>
      <c r="J31" s="90">
        <v>0</v>
      </c>
      <c r="K31" s="90">
        <v>0</v>
      </c>
      <c r="L31" s="90">
        <v>0</v>
      </c>
      <c r="M31" s="90">
        <v>0</v>
      </c>
      <c r="N31" s="90">
        <v>0</v>
      </c>
      <c r="O31" s="90">
        <v>0</v>
      </c>
      <c r="P31" s="93">
        <f t="shared" si="7"/>
        <v>0</v>
      </c>
    </row>
    <row r="32" spans="3:16" ht="24.95" customHeight="1" x14ac:dyDescent="0.25">
      <c r="C32" s="44" t="s">
        <v>218</v>
      </c>
      <c r="D32" s="90">
        <f>IF('BH (1)'!$D$4="Simples Nacional",Simp6!D18,'Fat6'!D15)</f>
        <v>0</v>
      </c>
      <c r="E32" s="90">
        <f>IF('BH (1)'!$D$4="Simples Nacional",Simp6!E18,'Fat6'!E15)</f>
        <v>0</v>
      </c>
      <c r="F32" s="90">
        <f>IF('BH (1)'!$D$4="Simples Nacional",Simp6!F18,'Fat6'!F15)</f>
        <v>0</v>
      </c>
      <c r="G32" s="90">
        <f>IF('BH (1)'!$D$4="Simples Nacional",Simp6!G18,'Fat6'!G15)</f>
        <v>0</v>
      </c>
      <c r="H32" s="90">
        <f>IF('BH (1)'!$D$4="Simples Nacional",Simp6!H18,'Fat6'!H15)</f>
        <v>0</v>
      </c>
      <c r="I32" s="90">
        <f>IF('BH (1)'!$D$4="Simples Nacional",Simp6!I18,'Fat6'!I15)</f>
        <v>0</v>
      </c>
      <c r="J32" s="90">
        <f>IF('BH (1)'!$D$4="Simples Nacional",Simp6!J18,'Fat6'!J15)</f>
        <v>0</v>
      </c>
      <c r="K32" s="90">
        <f>IF('BH (1)'!$D$4="Simples Nacional",Simp6!K18,'Fat6'!K15)</f>
        <v>0</v>
      </c>
      <c r="L32" s="90">
        <f>IF('BH (1)'!$D$4="Simples Nacional",Simp6!L18,'Fat6'!L15)</f>
        <v>0</v>
      </c>
      <c r="M32" s="90">
        <f>IF('BH (1)'!$D$4="Simples Nacional",Simp6!M18,'Fat6'!M15)</f>
        <v>0</v>
      </c>
      <c r="N32" s="90">
        <f>IF('BH (1)'!$D$4="Simples Nacional",Simp6!N18,'Fat6'!N15)</f>
        <v>0</v>
      </c>
      <c r="O32" s="90">
        <f>IF('BH (1)'!$D$4="Simples Nacional",Simp6!O18,'Fat6'!O15)</f>
        <v>0</v>
      </c>
      <c r="P32" s="93">
        <f t="shared" si="7"/>
        <v>0</v>
      </c>
    </row>
    <row r="33" spans="3:16" ht="24.95" customHeight="1" x14ac:dyDescent="0.25">
      <c r="C33" s="44" t="s">
        <v>247</v>
      </c>
      <c r="D33" s="90">
        <f>D81</f>
        <v>12408.172500000001</v>
      </c>
      <c r="E33" s="90">
        <f t="shared" ref="E33:O33" si="9">E81</f>
        <v>9982.8111000000008</v>
      </c>
      <c r="F33" s="90">
        <f t="shared" si="9"/>
        <v>12305.757299999999</v>
      </c>
      <c r="G33" s="90">
        <f t="shared" si="9"/>
        <v>11084.7876</v>
      </c>
      <c r="H33" s="90">
        <f t="shared" si="9"/>
        <v>10965.3339</v>
      </c>
      <c r="I33" s="90">
        <f t="shared" si="9"/>
        <v>9600.5961000000007</v>
      </c>
      <c r="J33" s="90">
        <f t="shared" si="9"/>
        <v>11397.1908</v>
      </c>
      <c r="K33" s="90">
        <f t="shared" si="9"/>
        <v>9449.6442000000006</v>
      </c>
      <c r="L33" s="90">
        <f t="shared" si="9"/>
        <v>10108.803900000001</v>
      </c>
      <c r="M33" s="90">
        <f t="shared" si="9"/>
        <v>10652.1939</v>
      </c>
      <c r="N33" s="90">
        <f t="shared" si="9"/>
        <v>10179.9051</v>
      </c>
      <c r="O33" s="90">
        <f t="shared" si="9"/>
        <v>10087.989299999999</v>
      </c>
      <c r="P33" s="93">
        <f t="shared" si="7"/>
        <v>128223.18569999999</v>
      </c>
    </row>
    <row r="34" spans="3:16" ht="24.95" customHeight="1" x14ac:dyDescent="0.25">
      <c r="C34" s="198" t="s">
        <v>248</v>
      </c>
      <c r="D34" s="99">
        <f>D6</f>
        <v>134.72499999999999</v>
      </c>
      <c r="E34" s="99">
        <f t="shared" ref="E34:O34" si="10">E6</f>
        <v>108.39100000000001</v>
      </c>
      <c r="F34" s="99">
        <f t="shared" si="10"/>
        <v>133.613</v>
      </c>
      <c r="G34" s="99">
        <f t="shared" si="10"/>
        <v>120.35600000000001</v>
      </c>
      <c r="H34" s="99">
        <f t="shared" si="10"/>
        <v>119.059</v>
      </c>
      <c r="I34" s="99">
        <f t="shared" si="10"/>
        <v>104.241</v>
      </c>
      <c r="J34" s="99">
        <f t="shared" si="10"/>
        <v>123.748</v>
      </c>
      <c r="K34" s="99">
        <f t="shared" si="10"/>
        <v>102.602</v>
      </c>
      <c r="L34" s="99">
        <f t="shared" si="10"/>
        <v>109.759</v>
      </c>
      <c r="M34" s="99">
        <f t="shared" si="10"/>
        <v>115.65900000000001</v>
      </c>
      <c r="N34" s="99">
        <f t="shared" si="10"/>
        <v>110.53100000000001</v>
      </c>
      <c r="O34" s="99">
        <f t="shared" si="10"/>
        <v>109.533</v>
      </c>
      <c r="P34" s="93">
        <f t="shared" si="7"/>
        <v>1392.2169999999999</v>
      </c>
    </row>
    <row r="35" spans="3:16" ht="24.95" customHeight="1" x14ac:dyDescent="0.25">
      <c r="C35" s="199" t="s">
        <v>211</v>
      </c>
      <c r="D35" s="97">
        <f>D27-SUM(D28:D34)</f>
        <v>106015.10250000001</v>
      </c>
      <c r="E35" s="97">
        <f t="shared" ref="E35:O35" si="11">E27-SUM(E28:E34)</f>
        <v>85292.877899999992</v>
      </c>
      <c r="F35" s="97">
        <f t="shared" si="11"/>
        <v>105140.06969999999</v>
      </c>
      <c r="G35" s="97">
        <f t="shared" si="11"/>
        <v>94708.136400000003</v>
      </c>
      <c r="H35" s="97">
        <f t="shared" si="11"/>
        <v>93687.527100000007</v>
      </c>
      <c r="I35" s="97">
        <f t="shared" si="11"/>
        <v>82027.242899999997</v>
      </c>
      <c r="J35" s="97">
        <f t="shared" si="11"/>
        <v>97377.301200000002</v>
      </c>
      <c r="K35" s="97">
        <f t="shared" si="11"/>
        <v>80737.513800000001</v>
      </c>
      <c r="L35" s="97">
        <f t="shared" si="11"/>
        <v>86369.357099999994</v>
      </c>
      <c r="M35" s="97">
        <f t="shared" si="11"/>
        <v>91012.0671</v>
      </c>
      <c r="N35" s="97">
        <f t="shared" si="11"/>
        <v>86976.843900000007</v>
      </c>
      <c r="O35" s="97">
        <f t="shared" si="11"/>
        <v>86191.517699999997</v>
      </c>
      <c r="P35" s="93">
        <f>SUM(D35:O35)</f>
        <v>1095535.5573</v>
      </c>
    </row>
    <row r="36" spans="3:16" ht="24.95" customHeight="1" x14ac:dyDescent="0.25">
      <c r="C36" s="43" t="s">
        <v>219</v>
      </c>
      <c r="D36" s="90">
        <f>Cus!D5</f>
        <v>0</v>
      </c>
      <c r="E36" s="90">
        <f>Cus!E5</f>
        <v>0</v>
      </c>
      <c r="F36" s="90">
        <f>Cus!F5</f>
        <v>0</v>
      </c>
      <c r="G36" s="90">
        <f>Cus!G5</f>
        <v>0</v>
      </c>
      <c r="H36" s="90">
        <f>Cus!H5</f>
        <v>0</v>
      </c>
      <c r="I36" s="90">
        <f>Cus!I5</f>
        <v>0</v>
      </c>
      <c r="J36" s="90">
        <f>Cus!J5</f>
        <v>0</v>
      </c>
      <c r="K36" s="90">
        <f>Cus!K5</f>
        <v>0</v>
      </c>
      <c r="L36" s="90">
        <f>Cus!L5</f>
        <v>0</v>
      </c>
      <c r="M36" s="90">
        <f>Cus!M5</f>
        <v>0</v>
      </c>
      <c r="N36" s="90">
        <f>Cus!N5</f>
        <v>0</v>
      </c>
      <c r="O36" s="90">
        <f>Cus!O5</f>
        <v>0</v>
      </c>
      <c r="P36" s="93">
        <f t="shared" ref="P36:P45" si="12">SUM(D36:O36)</f>
        <v>0</v>
      </c>
    </row>
    <row r="37" spans="3:16" ht="24.95" customHeight="1" x14ac:dyDescent="0.25">
      <c r="C37" s="44" t="s">
        <v>220</v>
      </c>
      <c r="D37" s="90">
        <f>Cus!D6</f>
        <v>38671</v>
      </c>
      <c r="E37" s="90">
        <f>Cus!E6</f>
        <v>35038</v>
      </c>
      <c r="F37" s="90">
        <f>Cus!F6</f>
        <v>38988</v>
      </c>
      <c r="G37" s="90">
        <f>Cus!G6</f>
        <v>36366</v>
      </c>
      <c r="H37" s="90">
        <f>Cus!H6</f>
        <v>36221</v>
      </c>
      <c r="I37" s="90">
        <f>Cus!I6</f>
        <v>36625</v>
      </c>
      <c r="J37" s="90">
        <f>Cus!J6</f>
        <v>37727</v>
      </c>
      <c r="K37" s="90">
        <f>Cus!K6</f>
        <v>38303</v>
      </c>
      <c r="L37" s="90">
        <f>Cus!L6</f>
        <v>39407</v>
      </c>
      <c r="M37" s="90">
        <f>Cus!M6</f>
        <v>36094</v>
      </c>
      <c r="N37" s="90">
        <f>Cus!N6</f>
        <v>37011</v>
      </c>
      <c r="O37" s="90">
        <f>Cus!O6</f>
        <v>39167</v>
      </c>
      <c r="P37" s="93">
        <f t="shared" si="12"/>
        <v>449618</v>
      </c>
    </row>
    <row r="38" spans="3:16" ht="24.95" customHeight="1" x14ac:dyDescent="0.25">
      <c r="C38" s="44" t="s">
        <v>221</v>
      </c>
      <c r="D38" s="126">
        <f>Cus!D7</f>
        <v>0</v>
      </c>
      <c r="E38" s="125">
        <f>Cus!E7</f>
        <v>0</v>
      </c>
      <c r="F38" s="125">
        <f>Cus!F7</f>
        <v>0</v>
      </c>
      <c r="G38" s="125">
        <f>Cus!G7</f>
        <v>0</v>
      </c>
      <c r="H38" s="125">
        <f>Cus!H7</f>
        <v>0</v>
      </c>
      <c r="I38" s="125">
        <f>Cus!I7</f>
        <v>0</v>
      </c>
      <c r="J38" s="125">
        <f>Cus!J7</f>
        <v>0</v>
      </c>
      <c r="K38" s="125">
        <f>Cus!K7</f>
        <v>0</v>
      </c>
      <c r="L38" s="125">
        <f>Cus!L7</f>
        <v>0</v>
      </c>
      <c r="M38" s="125">
        <f>Cus!M7</f>
        <v>0</v>
      </c>
      <c r="N38" s="125">
        <f>Cus!N7</f>
        <v>0</v>
      </c>
      <c r="O38" s="126">
        <f>Cus!O7</f>
        <v>0</v>
      </c>
      <c r="P38" s="93">
        <f t="shared" si="12"/>
        <v>0</v>
      </c>
    </row>
    <row r="39" spans="3:16" ht="24.95" customHeight="1" x14ac:dyDescent="0.25">
      <c r="C39" s="228" t="s">
        <v>353</v>
      </c>
      <c r="D39" s="263">
        <f>IF('BH (1)'!$D$4="Simples Nacional",IF('BH (1)'!$C$15=1,0,D79),D79+Lançamentos!D12+Lançamentos!D13+Lançamentos!D14)</f>
        <v>6877.3319999999994</v>
      </c>
      <c r="E39" s="263">
        <f>IF('BH (1)'!$D$4="Simples Nacional",IF('BH (1)'!$C$15=1,0,E79),E79+Lançamentos!E12+Lançamentos!E13+Lançamentos!E14)</f>
        <v>6689.865600000001</v>
      </c>
      <c r="F39" s="263">
        <f>IF('BH (1)'!$D$4="Simples Nacional",IF('BH (1)'!$C$15=1,0,F79),F79+Lançamentos!F12+Lançamentos!F13+Lançamentos!F14)</f>
        <v>6566.5511999999999</v>
      </c>
      <c r="G39" s="263">
        <f>IF('BH (1)'!$D$4="Simples Nacional",IF('BH (1)'!$C$15=1,0,G79),G79+Lançamentos!G12+Lançamentos!G13+Lançamentos!G14)</f>
        <v>6497.8847999999998</v>
      </c>
      <c r="H39" s="263">
        <f>IF('BH (1)'!$D$4="Simples Nacional",IF('BH (1)'!$C$15=1,0,H79),H79+Lançamentos!H12+Lançamentos!H13+Lançamentos!H14)</f>
        <v>6555.384</v>
      </c>
      <c r="I39" s="263">
        <f>IF('BH (1)'!$D$4="Simples Nacional",IF('BH (1)'!$C$15=1,0,I79),I79+Lançamentos!I12+Lançamentos!I13+Lançamentos!I14)</f>
        <v>6566.076</v>
      </c>
      <c r="J39" s="263">
        <f>IF('BH (1)'!$D$4="Simples Nacional",IF('BH (1)'!$C$15=1,0,J79),J79+Lançamentos!J12+Lançamentos!J13+Lançamentos!J14)</f>
        <v>6016.7448000000004</v>
      </c>
      <c r="K39" s="263">
        <f>IF('BH (1)'!$D$4="Simples Nacional",IF('BH (1)'!$C$15=1,0,K79),K79+Lançamentos!K12+Lançamentos!K13+Lançamentos!K14)</f>
        <v>6844.5432000000001</v>
      </c>
      <c r="L39" s="263">
        <f>IF('BH (1)'!$D$4="Simples Nacional",IF('BH (1)'!$C$15=1,0,L79),L79+Lançamentos!L12+Lançamentos!L13+Lançamentos!L14)</f>
        <v>6031.4760000000006</v>
      </c>
      <c r="M39" s="263">
        <f>IF('BH (1)'!$D$4="Simples Nacional",IF('BH (1)'!$C$15=1,0,M79),M79+Lançamentos!M12+Lançamentos!M13+Lançamentos!M14)</f>
        <v>7157.4623999999994</v>
      </c>
      <c r="N39" s="263">
        <f>IF('BH (1)'!$D$4="Simples Nacional",IF('BH (1)'!$C$15=1,0,N79),N79+Lançamentos!N12+Lançamentos!N13+Lançamentos!N14)</f>
        <v>6518.7936</v>
      </c>
      <c r="O39" s="263">
        <f>IF('BH (1)'!$D$4="Simples Nacional",IF('BH (1)'!$C$15=1,0,O79),O79+Lançamentos!O12+Lançamentos!O13+Lançamentos!O14)</f>
        <v>6126.2783999999992</v>
      </c>
      <c r="P39" s="93">
        <f>SUM(D39:O39)</f>
        <v>78448.392000000007</v>
      </c>
    </row>
    <row r="40" spans="3:16" ht="24.95" customHeight="1" x14ac:dyDescent="0.25">
      <c r="C40" s="196" t="s">
        <v>212</v>
      </c>
      <c r="D40" s="97">
        <f>IFERROR(IF(SUM(D36:D38)=0,D35-SUM(D36:D38),D35-SUM(D36:D38)+D39),0)</f>
        <v>74221.434500000003</v>
      </c>
      <c r="E40" s="97">
        <f t="shared" ref="E40:N40" si="13">IFERROR(IF(SUM(E36:E38)=0,E35-SUM(E36:E38),E35-SUM(E36:E38)+E39),0)</f>
        <v>56944.743499999997</v>
      </c>
      <c r="F40" s="97">
        <f t="shared" si="13"/>
        <v>72718.620899999994</v>
      </c>
      <c r="G40" s="97">
        <f t="shared" si="13"/>
        <v>64840.021200000003</v>
      </c>
      <c r="H40" s="97">
        <f t="shared" si="13"/>
        <v>64021.911100000005</v>
      </c>
      <c r="I40" s="97">
        <f t="shared" si="13"/>
        <v>51968.318899999998</v>
      </c>
      <c r="J40" s="97">
        <f t="shared" si="13"/>
        <v>65667.046000000002</v>
      </c>
      <c r="K40" s="97">
        <f t="shared" si="13"/>
        <v>49279.057000000001</v>
      </c>
      <c r="L40" s="97">
        <f t="shared" si="13"/>
        <v>52993.833099999996</v>
      </c>
      <c r="M40" s="97">
        <f t="shared" si="13"/>
        <v>62075.529499999997</v>
      </c>
      <c r="N40" s="97">
        <f t="shared" si="13"/>
        <v>56484.637500000004</v>
      </c>
      <c r="O40" s="97">
        <f>IFERROR(IF(SUM(O36:O38)=0,O35-SUM(O36:O38),O35-SUM(O36:O38)+O39),0)</f>
        <v>53150.796099999992</v>
      </c>
      <c r="P40" s="93">
        <f>SUM(D40:O40)</f>
        <v>724365.94930000009</v>
      </c>
    </row>
    <row r="41" spans="3:16" ht="24.95" customHeight="1" x14ac:dyDescent="0.25">
      <c r="C41" s="44" t="s">
        <v>226</v>
      </c>
      <c r="D41" s="90">
        <f>Desp!D5</f>
        <v>26739</v>
      </c>
      <c r="E41" s="90">
        <f>Desp!E5</f>
        <v>27419</v>
      </c>
      <c r="F41" s="90">
        <f>Desp!F5</f>
        <v>25474</v>
      </c>
      <c r="G41" s="90">
        <f>Desp!G5</f>
        <v>27975</v>
      </c>
      <c r="H41" s="90">
        <f>Desp!H5</f>
        <v>26284</v>
      </c>
      <c r="I41" s="90">
        <f>Desp!I5</f>
        <v>27556</v>
      </c>
      <c r="J41" s="90">
        <f>Desp!J5</f>
        <v>27311</v>
      </c>
      <c r="K41" s="90">
        <f>Desp!K5</f>
        <v>27931</v>
      </c>
      <c r="L41" s="90">
        <f>Desp!L5</f>
        <v>26172</v>
      </c>
      <c r="M41" s="90">
        <f>Desp!M5</f>
        <v>27441</v>
      </c>
      <c r="N41" s="90">
        <f>Desp!N5</f>
        <v>27567</v>
      </c>
      <c r="O41" s="90">
        <f>Desp!O5</f>
        <v>27298</v>
      </c>
      <c r="P41" s="93">
        <f t="shared" si="12"/>
        <v>325167</v>
      </c>
    </row>
    <row r="42" spans="3:16" ht="24.95" customHeight="1" x14ac:dyDescent="0.25">
      <c r="C42" s="44" t="s">
        <v>227</v>
      </c>
      <c r="D42" s="90">
        <f>Desp!D6</f>
        <v>0</v>
      </c>
      <c r="E42" s="90">
        <f>Desp!E6</f>
        <v>0</v>
      </c>
      <c r="F42" s="90">
        <f>Desp!F6</f>
        <v>0</v>
      </c>
      <c r="G42" s="90">
        <f>Desp!G6</f>
        <v>0</v>
      </c>
      <c r="H42" s="90">
        <f>Desp!H6</f>
        <v>0</v>
      </c>
      <c r="I42" s="90">
        <f>Desp!I6</f>
        <v>0</v>
      </c>
      <c r="J42" s="90">
        <f>Desp!J6</f>
        <v>0</v>
      </c>
      <c r="K42" s="90">
        <f>Desp!K6</f>
        <v>0</v>
      </c>
      <c r="L42" s="90">
        <f>Desp!L6</f>
        <v>0</v>
      </c>
      <c r="M42" s="90">
        <f>Desp!M6</f>
        <v>0</v>
      </c>
      <c r="N42" s="90">
        <f>Desp!N6</f>
        <v>0</v>
      </c>
      <c r="O42" s="90">
        <f>Desp!O6</f>
        <v>0</v>
      </c>
      <c r="P42" s="93">
        <f t="shared" si="12"/>
        <v>0</v>
      </c>
    </row>
    <row r="43" spans="3:16" ht="24.95" customHeight="1" x14ac:dyDescent="0.25">
      <c r="C43" s="44" t="s">
        <v>228</v>
      </c>
      <c r="D43" s="90">
        <f>Desp!D7</f>
        <v>0</v>
      </c>
      <c r="E43" s="90">
        <f>Desp!E7</f>
        <v>0</v>
      </c>
      <c r="F43" s="90">
        <f>Desp!F7</f>
        <v>0</v>
      </c>
      <c r="G43" s="90">
        <f>Desp!G7</f>
        <v>0</v>
      </c>
      <c r="H43" s="90">
        <f>Desp!H7</f>
        <v>0</v>
      </c>
      <c r="I43" s="90">
        <f>Desp!I7</f>
        <v>0</v>
      </c>
      <c r="J43" s="90">
        <f>Desp!J7</f>
        <v>0</v>
      </c>
      <c r="K43" s="90">
        <f>Desp!K7</f>
        <v>0</v>
      </c>
      <c r="L43" s="90">
        <f>Desp!L7</f>
        <v>0</v>
      </c>
      <c r="M43" s="90">
        <f>Desp!M7</f>
        <v>0</v>
      </c>
      <c r="N43" s="90">
        <f>Desp!N7</f>
        <v>0</v>
      </c>
      <c r="O43" s="90">
        <f>Desp!O7</f>
        <v>0</v>
      </c>
      <c r="P43" s="93">
        <f t="shared" si="12"/>
        <v>0</v>
      </c>
    </row>
    <row r="44" spans="3:16" ht="24.95" customHeight="1" x14ac:dyDescent="0.25">
      <c r="C44" s="44" t="s">
        <v>229</v>
      </c>
      <c r="D44" s="90">
        <f>Desp!D8</f>
        <v>0</v>
      </c>
      <c r="E44" s="90">
        <f>Desp!E8</f>
        <v>0</v>
      </c>
      <c r="F44" s="90">
        <f>Desp!F8</f>
        <v>0</v>
      </c>
      <c r="G44" s="90">
        <f>Desp!G8</f>
        <v>0</v>
      </c>
      <c r="H44" s="90">
        <f>Desp!H8</f>
        <v>0</v>
      </c>
      <c r="I44" s="90">
        <f>Desp!I8</f>
        <v>0</v>
      </c>
      <c r="J44" s="90">
        <f>Desp!J8</f>
        <v>0</v>
      </c>
      <c r="K44" s="90">
        <f>Desp!K8</f>
        <v>0</v>
      </c>
      <c r="L44" s="90">
        <f>Desp!L8</f>
        <v>0</v>
      </c>
      <c r="M44" s="90">
        <f>Desp!M8</f>
        <v>0</v>
      </c>
      <c r="N44" s="90">
        <f>Desp!N8</f>
        <v>0</v>
      </c>
      <c r="O44" s="90">
        <f>Desp!O8</f>
        <v>0</v>
      </c>
      <c r="P44" s="93">
        <f t="shared" si="12"/>
        <v>0</v>
      </c>
    </row>
    <row r="45" spans="3:16" ht="24.95" customHeight="1" x14ac:dyDescent="0.25">
      <c r="C45" s="44" t="s">
        <v>230</v>
      </c>
      <c r="D45" s="90">
        <f>Desp!D9</f>
        <v>0</v>
      </c>
      <c r="E45" s="90">
        <f>Desp!E9</f>
        <v>0</v>
      </c>
      <c r="F45" s="90">
        <f>Desp!F9</f>
        <v>0</v>
      </c>
      <c r="G45" s="90">
        <f>Desp!G9</f>
        <v>0</v>
      </c>
      <c r="H45" s="90">
        <f>Desp!H9</f>
        <v>0</v>
      </c>
      <c r="I45" s="90">
        <f>Desp!I9</f>
        <v>0</v>
      </c>
      <c r="J45" s="90">
        <f>Desp!J9</f>
        <v>0</v>
      </c>
      <c r="K45" s="90">
        <f>Desp!K9</f>
        <v>0</v>
      </c>
      <c r="L45" s="90">
        <f>Desp!L9</f>
        <v>0</v>
      </c>
      <c r="M45" s="90">
        <f>Desp!M9</f>
        <v>0</v>
      </c>
      <c r="N45" s="90">
        <f>Desp!N9</f>
        <v>0</v>
      </c>
      <c r="O45" s="90">
        <f>Desp!O9</f>
        <v>0</v>
      </c>
      <c r="P45" s="93">
        <f t="shared" si="12"/>
        <v>0</v>
      </c>
    </row>
    <row r="46" spans="3:16" ht="24.95" customHeight="1" x14ac:dyDescent="0.25">
      <c r="C46" s="44" t="s">
        <v>231</v>
      </c>
      <c r="D46" s="90">
        <f>Desp!D10</f>
        <v>0</v>
      </c>
      <c r="E46" s="90">
        <f>Desp!E10</f>
        <v>0</v>
      </c>
      <c r="F46" s="90">
        <f>Desp!F10</f>
        <v>0</v>
      </c>
      <c r="G46" s="90">
        <f>Desp!G10</f>
        <v>0</v>
      </c>
      <c r="H46" s="90">
        <f>Desp!H10</f>
        <v>0</v>
      </c>
      <c r="I46" s="90">
        <f>Desp!I10</f>
        <v>0</v>
      </c>
      <c r="J46" s="90">
        <f>Desp!J10</f>
        <v>0</v>
      </c>
      <c r="K46" s="90">
        <f>Desp!K10</f>
        <v>0</v>
      </c>
      <c r="L46" s="90">
        <f>Desp!L10</f>
        <v>0</v>
      </c>
      <c r="M46" s="90">
        <f>Desp!M10</f>
        <v>0</v>
      </c>
      <c r="N46" s="90">
        <f>Desp!N10</f>
        <v>0</v>
      </c>
      <c r="O46" s="90">
        <f>Desp!O10</f>
        <v>0</v>
      </c>
      <c r="P46" s="93">
        <f>SUM(D46:O46)</f>
        <v>0</v>
      </c>
    </row>
    <row r="47" spans="3:16" ht="24.95" customHeight="1" x14ac:dyDescent="0.25">
      <c r="C47" s="44" t="s">
        <v>232</v>
      </c>
      <c r="D47" s="90">
        <f>Desp!D11</f>
        <v>0</v>
      </c>
      <c r="E47" s="90">
        <f>Desp!E11</f>
        <v>0</v>
      </c>
      <c r="F47" s="90">
        <f>Desp!F11</f>
        <v>0</v>
      </c>
      <c r="G47" s="90">
        <f>Desp!G11</f>
        <v>0</v>
      </c>
      <c r="H47" s="90">
        <f>Desp!H11</f>
        <v>0</v>
      </c>
      <c r="I47" s="90">
        <f>Desp!I11</f>
        <v>0</v>
      </c>
      <c r="J47" s="90">
        <f>Desp!J11</f>
        <v>0</v>
      </c>
      <c r="K47" s="90">
        <f>Desp!K11</f>
        <v>0</v>
      </c>
      <c r="L47" s="90">
        <f>Desp!L11</f>
        <v>0</v>
      </c>
      <c r="M47" s="90">
        <f>Desp!M11</f>
        <v>0</v>
      </c>
      <c r="N47" s="90">
        <f>Desp!N11</f>
        <v>0</v>
      </c>
      <c r="O47" s="90">
        <f>Desp!O11</f>
        <v>0</v>
      </c>
      <c r="P47" s="93">
        <f>SUM(D47:O47)</f>
        <v>0</v>
      </c>
    </row>
    <row r="48" spans="3:16" ht="24.95" customHeight="1" x14ac:dyDescent="0.25">
      <c r="C48" s="44" t="s">
        <v>234</v>
      </c>
      <c r="D48" s="90">
        <f>Cus!D13</f>
        <v>12000</v>
      </c>
      <c r="E48" s="90">
        <f>Cus!E13</f>
        <v>12000</v>
      </c>
      <c r="F48" s="90">
        <f>Cus!F13</f>
        <v>12000</v>
      </c>
      <c r="G48" s="90">
        <f>Cus!G13</f>
        <v>12000</v>
      </c>
      <c r="H48" s="90">
        <f>Cus!H13</f>
        <v>12000</v>
      </c>
      <c r="I48" s="90">
        <f>Cus!I13</f>
        <v>12000</v>
      </c>
      <c r="J48" s="90">
        <f>Cus!J13</f>
        <v>12000</v>
      </c>
      <c r="K48" s="90">
        <f>Cus!K13</f>
        <v>12000</v>
      </c>
      <c r="L48" s="90">
        <f>Cus!L13</f>
        <v>12000</v>
      </c>
      <c r="M48" s="90">
        <f>Cus!M13</f>
        <v>12000</v>
      </c>
      <c r="N48" s="90">
        <f>Cus!N13</f>
        <v>12000</v>
      </c>
      <c r="O48" s="90">
        <f>Cus!O13</f>
        <v>12000</v>
      </c>
      <c r="P48" s="93">
        <f>SUM(D48:O48)</f>
        <v>144000</v>
      </c>
    </row>
    <row r="49" spans="3:16" ht="24.95" customHeight="1" x14ac:dyDescent="0.25">
      <c r="C49" s="44" t="s">
        <v>235</v>
      </c>
      <c r="D49" s="90">
        <f>Cus!D14</f>
        <v>0</v>
      </c>
      <c r="E49" s="90">
        <f>Cus!E14</f>
        <v>0</v>
      </c>
      <c r="F49" s="90">
        <f>Cus!F14</f>
        <v>0</v>
      </c>
      <c r="G49" s="90">
        <f>Cus!G14</f>
        <v>0</v>
      </c>
      <c r="H49" s="90">
        <f>Cus!H14</f>
        <v>0</v>
      </c>
      <c r="I49" s="90">
        <f>Cus!I14</f>
        <v>0</v>
      </c>
      <c r="J49" s="90">
        <f>Cus!J14</f>
        <v>0</v>
      </c>
      <c r="K49" s="90">
        <f>Cus!K14</f>
        <v>0</v>
      </c>
      <c r="L49" s="90">
        <f>Cus!L14</f>
        <v>0</v>
      </c>
      <c r="M49" s="90">
        <f>Cus!M14</f>
        <v>0</v>
      </c>
      <c r="N49" s="90">
        <f>Cus!N14</f>
        <v>0</v>
      </c>
      <c r="O49" s="90">
        <f>Cus!O14</f>
        <v>0</v>
      </c>
      <c r="P49" s="93">
        <f>SUM(D49:O49)</f>
        <v>0</v>
      </c>
    </row>
    <row r="50" spans="3:16" ht="24.95" customHeight="1" x14ac:dyDescent="0.25">
      <c r="C50" s="44" t="s">
        <v>233</v>
      </c>
      <c r="D50" s="90">
        <f>IF('BH (1)'!$D$4="Simples Nacional",Simp6!D19,Cus!D15)</f>
        <v>2400</v>
      </c>
      <c r="E50" s="90">
        <f>IF('BH (1)'!$D$4="Simples Nacional",Simp6!E19,Cus!E15)</f>
        <v>2400</v>
      </c>
      <c r="F50" s="90">
        <f>IF('BH (1)'!$D$4="Simples Nacional",Simp6!F19,Cus!F15)</f>
        <v>2400</v>
      </c>
      <c r="G50" s="90">
        <f>IF('BH (1)'!$D$4="Simples Nacional",Simp6!G19,Cus!G15)</f>
        <v>2400</v>
      </c>
      <c r="H50" s="90">
        <f>IF('BH (1)'!$D$4="Simples Nacional",Simp6!H19,Cus!H15)</f>
        <v>2400</v>
      </c>
      <c r="I50" s="90">
        <f>IF('BH (1)'!$D$4="Simples Nacional",Simp6!I19,Cus!I15)</f>
        <v>2400</v>
      </c>
      <c r="J50" s="90">
        <f>IF('BH (1)'!$D$4="Simples Nacional",Simp6!J19,Cus!J15)</f>
        <v>2400</v>
      </c>
      <c r="K50" s="90">
        <f>IF('BH (1)'!$D$4="Simples Nacional",Simp6!K19,Cus!K15)</f>
        <v>2400</v>
      </c>
      <c r="L50" s="90">
        <f>IF('BH (1)'!$D$4="Simples Nacional",Simp6!L19,Cus!L15)</f>
        <v>2400</v>
      </c>
      <c r="M50" s="90">
        <f>IF('BH (1)'!$D$4="Simples Nacional",Simp6!M19,Cus!M15)</f>
        <v>2400</v>
      </c>
      <c r="N50" s="90">
        <f>IF('BH (1)'!$D$4="Simples Nacional",Simp6!N19,Cus!N15)</f>
        <v>2400</v>
      </c>
      <c r="O50" s="90">
        <f>IF('BH (1)'!$D$4="Simples Nacional",Simp6!O19,Cus!O15)</f>
        <v>2400</v>
      </c>
      <c r="P50" s="93">
        <f>SUM(D50:O50)</f>
        <v>28800</v>
      </c>
    </row>
    <row r="51" spans="3:16" ht="24.95" customHeight="1" x14ac:dyDescent="0.25">
      <c r="C51" s="44" t="s">
        <v>236</v>
      </c>
      <c r="D51" s="90">
        <f>Cus!D18</f>
        <v>960</v>
      </c>
      <c r="E51" s="90">
        <f>Cus!E18</f>
        <v>960</v>
      </c>
      <c r="F51" s="90">
        <f>Cus!F18</f>
        <v>960</v>
      </c>
      <c r="G51" s="90">
        <f>Cus!G18</f>
        <v>960</v>
      </c>
      <c r="H51" s="90">
        <f>Cus!H18</f>
        <v>960</v>
      </c>
      <c r="I51" s="90">
        <f>Cus!I18</f>
        <v>960</v>
      </c>
      <c r="J51" s="90">
        <f>Cus!J18</f>
        <v>960</v>
      </c>
      <c r="K51" s="90">
        <f>Cus!K18</f>
        <v>960</v>
      </c>
      <c r="L51" s="90">
        <f>Cus!L18</f>
        <v>960</v>
      </c>
      <c r="M51" s="90">
        <f>Cus!M18</f>
        <v>960</v>
      </c>
      <c r="N51" s="90">
        <f>Cus!N18</f>
        <v>960</v>
      </c>
      <c r="O51" s="90">
        <f>Cus!O18</f>
        <v>960</v>
      </c>
      <c r="P51" s="93">
        <f t="shared" ref="P51:P57" si="14">SUM(D51:O51)</f>
        <v>11520</v>
      </c>
    </row>
    <row r="52" spans="3:16" ht="24.95" customHeight="1" x14ac:dyDescent="0.25">
      <c r="C52" s="44" t="str">
        <f>IF('BH (1)'!$D$4="Simples Nacional","","(-) Terceiros")</f>
        <v>(-) Terceiros</v>
      </c>
      <c r="D52" s="90">
        <f>IF('BH (1)'!$D$4="Simples Nacional","",Cus!D16)</f>
        <v>696</v>
      </c>
      <c r="E52" s="90">
        <f>IF('BH (1)'!$D$4="Simples Nacional","",Cus!E16)</f>
        <v>696</v>
      </c>
      <c r="F52" s="90">
        <f>IF('BH (1)'!$D$4="Simples Nacional","",Cus!F16)</f>
        <v>696</v>
      </c>
      <c r="G52" s="90">
        <f>IF('BH (1)'!$D$4="Simples Nacional","",Cus!G16)</f>
        <v>696</v>
      </c>
      <c r="H52" s="90">
        <f>IF('BH (1)'!$D$4="Simples Nacional","",Cus!H16)</f>
        <v>696</v>
      </c>
      <c r="I52" s="90">
        <f>IF('BH (1)'!$D$4="Simples Nacional","",Cus!I16)</f>
        <v>696</v>
      </c>
      <c r="J52" s="90">
        <f>IF('BH (1)'!$D$4="Simples Nacional","",Cus!J16)</f>
        <v>696</v>
      </c>
      <c r="K52" s="90">
        <f>IF('BH (1)'!$D$4="Simples Nacional","",Cus!K16)</f>
        <v>696</v>
      </c>
      <c r="L52" s="90">
        <f>IF('BH (1)'!$D$4="Simples Nacional","",Cus!L16)</f>
        <v>696</v>
      </c>
      <c r="M52" s="90">
        <f>IF('BH (1)'!$D$4="Simples Nacional","",Cus!M16)</f>
        <v>696</v>
      </c>
      <c r="N52" s="90">
        <f>IF('BH (1)'!$D$4="Simples Nacional","",Cus!N16)</f>
        <v>696</v>
      </c>
      <c r="O52" s="90">
        <f>IF('BH (1)'!$D$4="Simples Nacional","",Cus!O16)</f>
        <v>696</v>
      </c>
      <c r="P52" s="93">
        <f t="shared" si="14"/>
        <v>8352</v>
      </c>
    </row>
    <row r="53" spans="3:16" ht="24.95" customHeight="1" x14ac:dyDescent="0.25">
      <c r="C53" s="198" t="str">
        <f>IF('BH (1)'!$D$4="Simples Nacional","","(-) RAT")</f>
        <v>(-) RAT</v>
      </c>
      <c r="D53" s="95">
        <f>IF('BH (1)'!$D$4="Simples Nacional","",Cus!D17)</f>
        <v>240</v>
      </c>
      <c r="E53" s="95">
        <f>IF('BH (1)'!$D$4="Simples Nacional","",Cus!E17)</f>
        <v>240</v>
      </c>
      <c r="F53" s="95">
        <f>IF('BH (1)'!$D$4="Simples Nacional","",Cus!F17)</f>
        <v>240</v>
      </c>
      <c r="G53" s="95">
        <f>IF('BH (1)'!$D$4="Simples Nacional","",Cus!G17)</f>
        <v>240</v>
      </c>
      <c r="H53" s="95">
        <f>IF('BH (1)'!$D$4="Simples Nacional","",Cus!H17)</f>
        <v>240</v>
      </c>
      <c r="I53" s="95">
        <f>IF('BH (1)'!$D$4="Simples Nacional","",Cus!I17)</f>
        <v>240</v>
      </c>
      <c r="J53" s="95">
        <f>IF('BH (1)'!$D$4="Simples Nacional","",Cus!J17)</f>
        <v>240</v>
      </c>
      <c r="K53" s="95">
        <f>IF('BH (1)'!$D$4="Simples Nacional","",Cus!K17)</f>
        <v>240</v>
      </c>
      <c r="L53" s="95">
        <f>IF('BH (1)'!$D$4="Simples Nacional","",Cus!L17)</f>
        <v>240</v>
      </c>
      <c r="M53" s="95">
        <f>IF('BH (1)'!$D$4="Simples Nacional","",Cus!M17)</f>
        <v>240</v>
      </c>
      <c r="N53" s="95">
        <f>IF('BH (1)'!$D$4="Simples Nacional","",Cus!N17)</f>
        <v>240</v>
      </c>
      <c r="O53" s="95">
        <f>IF('BH (1)'!$D$4="Simples Nacional","",Cus!O17)</f>
        <v>240</v>
      </c>
      <c r="P53" s="93">
        <f t="shared" si="14"/>
        <v>2880</v>
      </c>
    </row>
    <row r="54" spans="3:16" ht="24.95" customHeight="1" x14ac:dyDescent="0.25">
      <c r="C54" s="196" t="s">
        <v>213</v>
      </c>
      <c r="D54" s="97">
        <f>D40-SUM(D41:D53)</f>
        <v>31186.434500000003</v>
      </c>
      <c r="E54" s="97">
        <f t="shared" ref="E54:O54" si="15">E40-SUM(E41:E53)</f>
        <v>13229.743499999997</v>
      </c>
      <c r="F54" s="97">
        <f t="shared" si="15"/>
        <v>30948.620899999994</v>
      </c>
      <c r="G54" s="97">
        <f t="shared" si="15"/>
        <v>20569.021200000003</v>
      </c>
      <c r="H54" s="97">
        <f t="shared" si="15"/>
        <v>21441.911100000005</v>
      </c>
      <c r="I54" s="97">
        <f t="shared" si="15"/>
        <v>8116.3188999999984</v>
      </c>
      <c r="J54" s="97">
        <f t="shared" si="15"/>
        <v>22060.046000000002</v>
      </c>
      <c r="K54" s="97">
        <f t="shared" si="15"/>
        <v>5052.0570000000007</v>
      </c>
      <c r="L54" s="97">
        <f t="shared" si="15"/>
        <v>10525.833099999996</v>
      </c>
      <c r="M54" s="97">
        <f t="shared" si="15"/>
        <v>18338.529499999997</v>
      </c>
      <c r="N54" s="97">
        <f t="shared" si="15"/>
        <v>12621.637500000004</v>
      </c>
      <c r="O54" s="97">
        <f t="shared" si="15"/>
        <v>9556.7960999999923</v>
      </c>
      <c r="P54" s="191">
        <f t="shared" si="14"/>
        <v>203646.94930000004</v>
      </c>
    </row>
    <row r="55" spans="3:16" ht="24.95" customHeight="1" x14ac:dyDescent="0.25">
      <c r="C55" s="44" t="s">
        <v>238</v>
      </c>
      <c r="D55" s="90">
        <f>IF('BH (1)'!$D$4="Lucro Real",'2027'!D64,IF('BH (1)'!$D$4="Lucro Presumido",Relatórios!D136,IF('BH (1)'!$D$4="Simples Nacional",Simp6!D21)))</f>
        <v>0</v>
      </c>
      <c r="E55" s="90">
        <f>IF('BH (1)'!$D$4="Lucro Real",'2027'!E64,IF('BH (1)'!$D$4="Lucro Presumido",Relatórios!E136,IF('BH (1)'!$D$4="Simples Nacional",Simp6!E21)))</f>
        <v>0</v>
      </c>
      <c r="F55" s="90">
        <f>IF('BH (1)'!$D$4="Lucro Real",'2027'!F64,IF('BH (1)'!$D$4="Lucro Presumido",Relatórios!F136,IF('BH (1)'!$D$4="Simples Nacional",Simp6!F21)))</f>
        <v>4520.7479999999996</v>
      </c>
      <c r="G55" s="90">
        <f>IF('BH (1)'!$D$4="Lucro Real",'2027'!G64,IF('BH (1)'!$D$4="Lucro Presumido",Relatórios!G136,IF('BH (1)'!$D$4="Simples Nacional",Simp6!G21)))</f>
        <v>0</v>
      </c>
      <c r="H55" s="90">
        <f>IF('BH (1)'!$D$4="Lucro Real",'2027'!H64,IF('BH (1)'!$D$4="Lucro Presumido",Relatórios!H136,IF('BH (1)'!$D$4="Simples Nacional",Simp6!H21)))</f>
        <v>0</v>
      </c>
      <c r="I55" s="90">
        <f>IF('BH (1)'!$D$4="Lucro Real",'2027'!I64,IF('BH (1)'!$D$4="Lucro Presumido",Relatórios!I136,IF('BH (1)'!$D$4="Simples Nacional",Simp6!I21)))</f>
        <v>4123.8719999999994</v>
      </c>
      <c r="J55" s="90">
        <f>IF('BH (1)'!$D$4="Lucro Real",'2027'!J64,IF('BH (1)'!$D$4="Lucro Presumido",Relatórios!J136,IF('BH (1)'!$D$4="Simples Nacional",Simp6!J21)))</f>
        <v>0</v>
      </c>
      <c r="K55" s="90">
        <f>IF('BH (1)'!$D$4="Lucro Real",'2027'!K64,IF('BH (1)'!$D$4="Lucro Presumido",Relatórios!K136,IF('BH (1)'!$D$4="Simples Nacional",Simp6!K21)))</f>
        <v>0</v>
      </c>
      <c r="L55" s="90">
        <f>IF('BH (1)'!$D$4="Lucro Real",'2027'!L64,IF('BH (1)'!$D$4="Lucro Presumido",Relatórios!L136,IF('BH (1)'!$D$4="Simples Nacional",Simp6!L21)))</f>
        <v>4033.308</v>
      </c>
      <c r="M55" s="90">
        <f>IF('BH (1)'!$D$4="Lucro Real",'2027'!M64,IF('BH (1)'!$D$4="Lucro Presumido",Relatórios!M136,IF('BH (1)'!$D$4="Simples Nacional",Simp6!M21)))</f>
        <v>0</v>
      </c>
      <c r="N55" s="90">
        <f>IF('BH (1)'!$D$4="Lucro Real",'2027'!N64,IF('BH (1)'!$D$4="Lucro Presumido",Relatórios!N136,IF('BH (1)'!$D$4="Simples Nacional",Simp6!N21)))</f>
        <v>0</v>
      </c>
      <c r="O55" s="90">
        <f>IF('BH (1)'!$D$4="Lucro Real",'2027'!O64,IF('BH (1)'!$D$4="Lucro Presumido",Relatórios!O136,IF('BH (1)'!$D$4="Simples Nacional",Simp6!O21)))</f>
        <v>4028.6759999999999</v>
      </c>
      <c r="P55" s="93">
        <f t="shared" si="14"/>
        <v>16706.603999999999</v>
      </c>
    </row>
    <row r="56" spans="3:16" ht="24.95" customHeight="1" x14ac:dyDescent="0.25">
      <c r="C56" s="44" t="str">
        <f>IF('BH (1)'!$D$4="Simples Nacional","","(-) Adicional")</f>
        <v>(-) Adicional</v>
      </c>
      <c r="D56" s="90">
        <f>IF('BH (1)'!$D$4="Simples Nacional","",IF('BH (1)'!$D$4="Lucro Real",'2027'!D65,IF('BH (1)'!$D$4="Lucro Presumido",Relatórios!D137)))</f>
        <v>0</v>
      </c>
      <c r="E56" s="90">
        <f>IF('BH (1)'!$D$4="Simples Nacional","",IF('BH (1)'!$D$4="Lucro Real",'2027'!E65,IF('BH (1)'!$D$4="Lucro Presumido",Relatórios!E137)))</f>
        <v>0</v>
      </c>
      <c r="F56" s="90">
        <f>IF('BH (1)'!$D$4="Simples Nacional","",IF('BH (1)'!$D$4="Lucro Real",'2027'!F65,IF('BH (1)'!$D$4="Lucro Presumido",Relatórios!F137)))</f>
        <v>0</v>
      </c>
      <c r="G56" s="90">
        <f>IF('BH (1)'!$D$4="Simples Nacional","",IF('BH (1)'!$D$4="Lucro Real",'2027'!G65,IF('BH (1)'!$D$4="Lucro Presumido",Relatórios!G137)))</f>
        <v>0</v>
      </c>
      <c r="H56" s="90">
        <f>IF('BH (1)'!$D$4="Simples Nacional","",IF('BH (1)'!$D$4="Lucro Real",'2027'!H65,IF('BH (1)'!$D$4="Lucro Presumido",Relatórios!H137)))</f>
        <v>0</v>
      </c>
      <c r="I56" s="90">
        <f>IF('BH (1)'!$D$4="Simples Nacional","",IF('BH (1)'!$D$4="Lucro Real",'2027'!I65,IF('BH (1)'!$D$4="Lucro Presumido",Relatórios!I137)))</f>
        <v>0</v>
      </c>
      <c r="J56" s="90">
        <f>IF('BH (1)'!$D$4="Simples Nacional","",IF('BH (1)'!$D$4="Lucro Real",'2027'!J65,IF('BH (1)'!$D$4="Lucro Presumido",Relatórios!J137)))</f>
        <v>0</v>
      </c>
      <c r="K56" s="90">
        <f>IF('BH (1)'!$D$4="Simples Nacional","",IF('BH (1)'!$D$4="Lucro Real",'2027'!K65,IF('BH (1)'!$D$4="Lucro Presumido",Relatórios!K137)))</f>
        <v>0</v>
      </c>
      <c r="L56" s="90">
        <f>IF('BH (1)'!$D$4="Simples Nacional","",IF('BH (1)'!$D$4="Lucro Real",'2027'!L65,IF('BH (1)'!$D$4="Lucro Presumido",Relatórios!L137)))</f>
        <v>0</v>
      </c>
      <c r="M56" s="90">
        <f>IF('BH (1)'!$D$4="Simples Nacional","",IF('BH (1)'!$D$4="Lucro Real",'2027'!M65,IF('BH (1)'!$D$4="Lucro Presumido",Relatórios!M137)))</f>
        <v>0</v>
      </c>
      <c r="N56" s="90">
        <f>IF('BH (1)'!$D$4="Simples Nacional","",IF('BH (1)'!$D$4="Lucro Real",'2027'!N65,IF('BH (1)'!$D$4="Lucro Presumido",Relatórios!N137)))</f>
        <v>0</v>
      </c>
      <c r="O56" s="90">
        <f>IF('BH (1)'!$D$4="Simples Nacional","",IF('BH (1)'!$D$4="Lucro Real",'2027'!O65,IF('BH (1)'!$D$4="Lucro Presumido",Relatórios!O137)))</f>
        <v>0</v>
      </c>
      <c r="P56" s="93">
        <f t="shared" si="14"/>
        <v>0</v>
      </c>
    </row>
    <row r="57" spans="3:16" ht="24.95" customHeight="1" x14ac:dyDescent="0.25">
      <c r="C57" s="198" t="s">
        <v>239</v>
      </c>
      <c r="D57" s="95">
        <f>IF('BH (1)'!$D$4="Lucro Real",'2027'!D66,IF('BH (1)'!$D$4="Lucro Presumido",Relatórios!D138,IF('BH (1)'!$D$4="Simples Nacional",Simp6!D20)))</f>
        <v>0</v>
      </c>
      <c r="E57" s="95">
        <f>IF('BH (1)'!$D$4="Lucro Real",'2027'!E66,IF('BH (1)'!$D$4="Lucro Presumido",Relatórios!E138,IF('BH (1)'!$D$4="Simples Nacional",Simp6!E20)))</f>
        <v>0</v>
      </c>
      <c r="F57" s="95">
        <f>IF('BH (1)'!$D$4="Lucro Real",'2027'!F66,IF('BH (1)'!$D$4="Lucro Presumido",Relatórios!F138,IF('BH (1)'!$D$4="Simples Nacional",Simp6!F20)))</f>
        <v>4068.6731999999993</v>
      </c>
      <c r="G57" s="95">
        <f>IF('BH (1)'!$D$4="Lucro Real",'2027'!G66,IF('BH (1)'!$D$4="Lucro Presumido",Relatórios!G138,IF('BH (1)'!$D$4="Simples Nacional",Simp6!G20)))</f>
        <v>0</v>
      </c>
      <c r="H57" s="95">
        <f>IF('BH (1)'!$D$4="Lucro Real",'2027'!H66,IF('BH (1)'!$D$4="Lucro Presumido",Relatórios!H138,IF('BH (1)'!$D$4="Simples Nacional",Simp6!H20)))</f>
        <v>0</v>
      </c>
      <c r="I57" s="95">
        <f>IF('BH (1)'!$D$4="Lucro Real",'2027'!I66,IF('BH (1)'!$D$4="Lucro Presumido",Relatórios!I138,IF('BH (1)'!$D$4="Simples Nacional",Simp6!I20)))</f>
        <v>3711.4848000000002</v>
      </c>
      <c r="J57" s="95">
        <f>IF('BH (1)'!$D$4="Lucro Real",'2027'!J66,IF('BH (1)'!$D$4="Lucro Presumido",Relatórios!J138,IF('BH (1)'!$D$4="Simples Nacional",Simp6!J20)))</f>
        <v>0</v>
      </c>
      <c r="K57" s="95">
        <f>IF('BH (1)'!$D$4="Lucro Real",'2027'!K66,IF('BH (1)'!$D$4="Lucro Presumido",Relatórios!K138,IF('BH (1)'!$D$4="Simples Nacional",Simp6!K20)))</f>
        <v>0</v>
      </c>
      <c r="L57" s="95">
        <f>IF('BH (1)'!$D$4="Lucro Real",'2027'!L66,IF('BH (1)'!$D$4="Lucro Presumido",Relatórios!L138,IF('BH (1)'!$D$4="Simples Nacional",Simp6!L20)))</f>
        <v>3629.9771999999998</v>
      </c>
      <c r="M57" s="95">
        <f>IF('BH (1)'!$D$4="Lucro Real",'2027'!M66,IF('BH (1)'!$D$4="Lucro Presumido",Relatórios!M138,IF('BH (1)'!$D$4="Simples Nacional",Simp6!M20)))</f>
        <v>0</v>
      </c>
      <c r="N57" s="95">
        <f>IF('BH (1)'!$D$4="Lucro Real",'2027'!N66,IF('BH (1)'!$D$4="Lucro Presumido",Relatórios!N138,IF('BH (1)'!$D$4="Simples Nacional",Simp6!N20)))</f>
        <v>0</v>
      </c>
      <c r="O57" s="95">
        <f>IF('BH (1)'!$D$4="Lucro Real",'2027'!O66,IF('BH (1)'!$D$4="Lucro Presumido",Relatórios!O138,IF('BH (1)'!$D$4="Simples Nacional",Simp6!O20)))</f>
        <v>3625.8083999999999</v>
      </c>
      <c r="P57" s="93">
        <f t="shared" si="14"/>
        <v>15035.943599999999</v>
      </c>
    </row>
    <row r="58" spans="3:16" ht="24.95" customHeight="1" x14ac:dyDescent="0.25">
      <c r="C58" s="196" t="s">
        <v>237</v>
      </c>
      <c r="D58" s="97">
        <f>D54-SUM(D55:D57)</f>
        <v>31186.434500000003</v>
      </c>
      <c r="E58" s="97">
        <f t="shared" ref="E58:O58" si="16">E54-SUM(E55:E57)</f>
        <v>13229.743499999997</v>
      </c>
      <c r="F58" s="97">
        <f t="shared" si="16"/>
        <v>22359.199699999997</v>
      </c>
      <c r="G58" s="97">
        <f t="shared" si="16"/>
        <v>20569.021200000003</v>
      </c>
      <c r="H58" s="97">
        <f t="shared" si="16"/>
        <v>21441.911100000005</v>
      </c>
      <c r="I58" s="97">
        <f t="shared" si="16"/>
        <v>280.96209999999883</v>
      </c>
      <c r="J58" s="97">
        <f t="shared" si="16"/>
        <v>22060.046000000002</v>
      </c>
      <c r="K58" s="97">
        <f t="shared" si="16"/>
        <v>5052.0570000000007</v>
      </c>
      <c r="L58" s="97">
        <f t="shared" si="16"/>
        <v>2862.5478999999959</v>
      </c>
      <c r="M58" s="97">
        <f t="shared" si="16"/>
        <v>18338.529499999997</v>
      </c>
      <c r="N58" s="97">
        <f t="shared" si="16"/>
        <v>12621.637500000004</v>
      </c>
      <c r="O58" s="97">
        <f t="shared" si="16"/>
        <v>1902.3116999999929</v>
      </c>
      <c r="P58" s="192">
        <f>SUM(D58:O58)</f>
        <v>171904.40170000002</v>
      </c>
    </row>
    <row r="59" spans="3:16" ht="24.95" hidden="1" customHeight="1" x14ac:dyDescent="0.25"/>
    <row r="60" spans="3:16" ht="15" hidden="1" customHeight="1" x14ac:dyDescent="0.25">
      <c r="C60" s="188" t="s">
        <v>240</v>
      </c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</row>
    <row r="61" spans="3:16" ht="15" hidden="1" customHeight="1" x14ac:dyDescent="0.25">
      <c r="C61" s="112" t="s">
        <v>82</v>
      </c>
      <c r="D61" s="112" t="s">
        <v>83</v>
      </c>
      <c r="E61" s="112" t="s">
        <v>84</v>
      </c>
      <c r="F61" s="112" t="s">
        <v>85</v>
      </c>
      <c r="G61" s="112" t="s">
        <v>86</v>
      </c>
      <c r="H61" s="112" t="s">
        <v>87</v>
      </c>
      <c r="I61" s="112" t="s">
        <v>88</v>
      </c>
      <c r="J61" s="112" t="s">
        <v>89</v>
      </c>
      <c r="K61" s="112" t="s">
        <v>90</v>
      </c>
      <c r="L61" s="112" t="s">
        <v>91</v>
      </c>
      <c r="M61" s="112" t="s">
        <v>92</v>
      </c>
      <c r="N61" s="112" t="s">
        <v>93</v>
      </c>
      <c r="O61" s="112" t="s">
        <v>94</v>
      </c>
      <c r="P61" s="112" t="s">
        <v>95</v>
      </c>
    </row>
    <row r="62" spans="3:16" ht="15" hidden="1" customHeight="1" x14ac:dyDescent="0.25">
      <c r="C62" s="19" t="s">
        <v>241</v>
      </c>
      <c r="D62" s="132">
        <f>D54</f>
        <v>31186.434500000003</v>
      </c>
      <c r="E62" s="132">
        <f t="shared" ref="E62:O62" si="17">E54</f>
        <v>13229.743499999997</v>
      </c>
      <c r="F62" s="132">
        <f>F54</f>
        <v>30948.620899999994</v>
      </c>
      <c r="G62" s="132">
        <f t="shared" si="17"/>
        <v>20569.021200000003</v>
      </c>
      <c r="H62" s="132">
        <f t="shared" si="17"/>
        <v>21441.911100000005</v>
      </c>
      <c r="I62" s="132">
        <f t="shared" si="17"/>
        <v>8116.3188999999984</v>
      </c>
      <c r="J62" s="132">
        <f t="shared" si="17"/>
        <v>22060.046000000002</v>
      </c>
      <c r="K62" s="132">
        <f t="shared" si="17"/>
        <v>5052.0570000000007</v>
      </c>
      <c r="L62" s="132">
        <f t="shared" si="17"/>
        <v>10525.833099999996</v>
      </c>
      <c r="M62" s="132">
        <f t="shared" si="17"/>
        <v>18338.529499999997</v>
      </c>
      <c r="N62" s="132">
        <f t="shared" si="17"/>
        <v>12621.637500000004</v>
      </c>
      <c r="O62" s="132">
        <f t="shared" si="17"/>
        <v>9556.7960999999923</v>
      </c>
      <c r="P62" s="114">
        <f>SUM(D62:O62)</f>
        <v>203646.94930000004</v>
      </c>
    </row>
    <row r="63" spans="3:16" ht="15" hidden="1" customHeight="1" x14ac:dyDescent="0.25">
      <c r="C63" s="19" t="s">
        <v>243</v>
      </c>
      <c r="D63" s="132">
        <v>0</v>
      </c>
      <c r="E63" s="132">
        <v>0</v>
      </c>
      <c r="F63" s="132">
        <f>SUM(D62:F62)</f>
        <v>75364.798899999994</v>
      </c>
      <c r="G63" s="132">
        <v>0</v>
      </c>
      <c r="H63" s="132">
        <v>0</v>
      </c>
      <c r="I63" s="132">
        <f>SUM(G62:I62)</f>
        <v>50127.251200000006</v>
      </c>
      <c r="J63" s="132">
        <v>0</v>
      </c>
      <c r="K63" s="132">
        <v>0</v>
      </c>
      <c r="L63" s="132">
        <f>SUM(J62:L62)</f>
        <v>37637.936099999999</v>
      </c>
      <c r="M63" s="132">
        <v>0</v>
      </c>
      <c r="N63" s="132">
        <v>0</v>
      </c>
      <c r="O63" s="132">
        <f>SUM(M62:O62)</f>
        <v>40516.963099999994</v>
      </c>
      <c r="P63" s="114">
        <f>SUM(D63:O63)</f>
        <v>203646.94929999998</v>
      </c>
    </row>
    <row r="64" spans="3:16" ht="15" hidden="1" customHeight="1" x14ac:dyDescent="0.25">
      <c r="C64" s="19" t="s">
        <v>40</v>
      </c>
      <c r="D64" s="132">
        <v>0</v>
      </c>
      <c r="E64" s="132">
        <v>0</v>
      </c>
      <c r="F64" s="132">
        <f>IF(F63&lt;0,0,F63*TabR!$E$10)</f>
        <v>11304.719834999998</v>
      </c>
      <c r="G64" s="132">
        <v>0</v>
      </c>
      <c r="H64" s="132">
        <v>0</v>
      </c>
      <c r="I64" s="132">
        <f>IF(I63&lt;0,0,I63*TabR!$E$10)</f>
        <v>7519.0876800000005</v>
      </c>
      <c r="J64" s="132">
        <v>0</v>
      </c>
      <c r="K64" s="132">
        <v>0</v>
      </c>
      <c r="L64" s="132">
        <f>IF(L63&lt;0,0,L63*TabR!$E$10)</f>
        <v>5645.690415</v>
      </c>
      <c r="M64" s="132">
        <v>0</v>
      </c>
      <c r="N64" s="132">
        <v>0</v>
      </c>
      <c r="O64" s="132">
        <f>IF(O63&lt;0,0,O63*TabR!$E$10)</f>
        <v>6077.544464999999</v>
      </c>
      <c r="P64" s="114">
        <f>SUM(D64:O64)</f>
        <v>30547.042395</v>
      </c>
    </row>
    <row r="65" spans="3:18" ht="15" hidden="1" customHeight="1" x14ac:dyDescent="0.25">
      <c r="C65" s="19" t="s">
        <v>242</v>
      </c>
      <c r="D65" s="132">
        <v>0</v>
      </c>
      <c r="E65" s="132">
        <v>0</v>
      </c>
      <c r="F65" s="132">
        <f>IF(F63=0,0,IF(F63&lt;60000,0,(F63-60000)*TabR!$E$11))</f>
        <v>1536.4798899999996</v>
      </c>
      <c r="G65" s="132">
        <v>0</v>
      </c>
      <c r="H65" s="132">
        <v>0</v>
      </c>
      <c r="I65" s="132">
        <f>IF(I63=0,0,IF(I63&lt;60000,0,(I63-60000)*TabR!$E$11))</f>
        <v>0</v>
      </c>
      <c r="J65" s="132">
        <v>0</v>
      </c>
      <c r="K65" s="132">
        <v>0</v>
      </c>
      <c r="L65" s="132">
        <f>IF(L63=0,0,IF(L63&lt;60000,0,(L63-60000)*TabR!$E$11))</f>
        <v>0</v>
      </c>
      <c r="M65" s="132">
        <v>0</v>
      </c>
      <c r="N65" s="132">
        <v>0</v>
      </c>
      <c r="O65" s="132">
        <f>IF(O63=0,0,IF(O63&lt;60000,0,(O63-60000)*TabR!$E$11))</f>
        <v>0</v>
      </c>
      <c r="P65" s="114">
        <f>SUM(D65:O65)</f>
        <v>1536.4798899999996</v>
      </c>
    </row>
    <row r="66" spans="3:18" ht="15" hidden="1" customHeight="1" x14ac:dyDescent="0.25">
      <c r="C66" s="19" t="s">
        <v>42</v>
      </c>
      <c r="D66" s="132">
        <v>0</v>
      </c>
      <c r="E66" s="132">
        <v>0</v>
      </c>
      <c r="F66" s="132">
        <f>IF(F63&lt;0,0,F63*TabR!$E$12)</f>
        <v>6782.8319009999996</v>
      </c>
      <c r="G66" s="132">
        <v>0</v>
      </c>
      <c r="H66" s="132">
        <v>0</v>
      </c>
      <c r="I66" s="132">
        <f>IF(I63&lt;0,0,I63*TabR!$E$12)</f>
        <v>4511.4526080000005</v>
      </c>
      <c r="J66" s="132">
        <v>0</v>
      </c>
      <c r="K66" s="132">
        <v>0</v>
      </c>
      <c r="L66" s="132">
        <f>IF(L63&lt;0,0,L63*TabR!$E$12)</f>
        <v>3387.4142489999999</v>
      </c>
      <c r="M66" s="132">
        <v>0</v>
      </c>
      <c r="N66" s="132">
        <v>0</v>
      </c>
      <c r="O66" s="132">
        <f>IF(O63&lt;0,0,O63*TabR!$E$12)</f>
        <v>3646.5266789999991</v>
      </c>
      <c r="P66" s="114">
        <f>SUM(D66:O66)</f>
        <v>18328.225437000001</v>
      </c>
    </row>
    <row r="67" spans="3:18" ht="15" hidden="1" customHeight="1" x14ac:dyDescent="0.25"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</row>
    <row r="68" spans="3:18" ht="15" hidden="1" customHeight="1" x14ac:dyDescent="0.25">
      <c r="C68" s="188" t="s">
        <v>244</v>
      </c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</row>
    <row r="69" spans="3:18" ht="15" hidden="1" customHeight="1" x14ac:dyDescent="0.25">
      <c r="C69" s="112" t="s">
        <v>82</v>
      </c>
      <c r="D69" s="112" t="s">
        <v>83</v>
      </c>
      <c r="E69" s="112" t="s">
        <v>84</v>
      </c>
      <c r="F69" s="112" t="s">
        <v>85</v>
      </c>
      <c r="G69" s="112" t="s">
        <v>86</v>
      </c>
      <c r="H69" s="112" t="s">
        <v>87</v>
      </c>
      <c r="I69" s="112" t="s">
        <v>88</v>
      </c>
      <c r="J69" s="112" t="s">
        <v>89</v>
      </c>
      <c r="K69" s="112" t="s">
        <v>90</v>
      </c>
      <c r="L69" s="112" t="s">
        <v>91</v>
      </c>
      <c r="M69" s="112" t="s">
        <v>92</v>
      </c>
      <c r="N69" s="112" t="s">
        <v>93</v>
      </c>
      <c r="O69" s="112" t="s">
        <v>94</v>
      </c>
      <c r="P69" s="112" t="s">
        <v>95</v>
      </c>
    </row>
    <row r="70" spans="3:18" ht="15" hidden="1" customHeight="1" x14ac:dyDescent="0.25">
      <c r="C70" s="19" t="s">
        <v>62</v>
      </c>
      <c r="D70" s="132">
        <f>D27</f>
        <v>134725</v>
      </c>
      <c r="E70" s="132">
        <f t="shared" ref="E70:O70" si="18">E27</f>
        <v>108391</v>
      </c>
      <c r="F70" s="132">
        <f t="shared" si="18"/>
        <v>133613</v>
      </c>
      <c r="G70" s="132">
        <f t="shared" si="18"/>
        <v>120356</v>
      </c>
      <c r="H70" s="132">
        <f t="shared" si="18"/>
        <v>119059</v>
      </c>
      <c r="I70" s="132">
        <f t="shared" si="18"/>
        <v>104241</v>
      </c>
      <c r="J70" s="132">
        <f t="shared" si="18"/>
        <v>123748</v>
      </c>
      <c r="K70" s="132">
        <f t="shared" si="18"/>
        <v>102602</v>
      </c>
      <c r="L70" s="132">
        <f t="shared" si="18"/>
        <v>109759</v>
      </c>
      <c r="M70" s="132">
        <f t="shared" si="18"/>
        <v>115659</v>
      </c>
      <c r="N70" s="132">
        <f t="shared" si="18"/>
        <v>110531</v>
      </c>
      <c r="O70" s="132">
        <f t="shared" si="18"/>
        <v>109533</v>
      </c>
      <c r="P70" s="114">
        <f>SUM(D70:O70)</f>
        <v>1392217</v>
      </c>
    </row>
    <row r="71" spans="3:18" ht="15" hidden="1" customHeight="1" x14ac:dyDescent="0.25">
      <c r="C71" s="19" t="s">
        <v>243</v>
      </c>
      <c r="D71" s="132">
        <v>0</v>
      </c>
      <c r="E71" s="132">
        <v>0</v>
      </c>
      <c r="F71" s="132">
        <f>SUM(D70:F70)</f>
        <v>376729</v>
      </c>
      <c r="G71" s="132">
        <v>0</v>
      </c>
      <c r="H71" s="132">
        <v>0</v>
      </c>
      <c r="I71" s="132">
        <f>SUM(G70:I70)</f>
        <v>343656</v>
      </c>
      <c r="J71" s="132">
        <v>0</v>
      </c>
      <c r="K71" s="132">
        <v>0</v>
      </c>
      <c r="L71" s="132">
        <f>SUM(J70:L70)</f>
        <v>336109</v>
      </c>
      <c r="M71" s="132">
        <v>0</v>
      </c>
      <c r="N71" s="132">
        <v>0</v>
      </c>
      <c r="O71" s="132">
        <f>SUM(M70:O70)</f>
        <v>335723</v>
      </c>
      <c r="P71" s="114">
        <f>SUM(D71:O71)</f>
        <v>1392217</v>
      </c>
    </row>
    <row r="72" spans="3:18" ht="15" hidden="1" customHeight="1" x14ac:dyDescent="0.25">
      <c r="C72" s="19" t="s">
        <v>40</v>
      </c>
      <c r="D72" s="132">
        <v>0</v>
      </c>
      <c r="E72" s="132">
        <v>0</v>
      </c>
      <c r="F72" s="132">
        <f>IFERROR((F71*TabP!$E$10)*TabP!$F$10,0)</f>
        <v>4520.7479999999996</v>
      </c>
      <c r="G72" s="132">
        <v>0</v>
      </c>
      <c r="H72" s="132">
        <v>0</v>
      </c>
      <c r="I72" s="132">
        <f>IFERROR((I71*TabP!$E$10)*TabP!$F$10,0)</f>
        <v>4123.8719999999994</v>
      </c>
      <c r="J72" s="132">
        <v>0</v>
      </c>
      <c r="K72" s="132">
        <v>0</v>
      </c>
      <c r="L72" s="132">
        <f>IFERROR((L71*TabP!$E$10)*TabP!$F$10,0)</f>
        <v>4033.308</v>
      </c>
      <c r="M72" s="132">
        <v>0</v>
      </c>
      <c r="N72" s="132">
        <v>0</v>
      </c>
      <c r="O72" s="132">
        <f>IFERROR((O71*TabP!$E$10)*TabP!$F$10,0)</f>
        <v>4028.6759999999999</v>
      </c>
      <c r="P72" s="114">
        <f>SUM(D72:O72)</f>
        <v>16706.603999999999</v>
      </c>
    </row>
    <row r="73" spans="3:18" ht="15" hidden="1" customHeight="1" x14ac:dyDescent="0.25">
      <c r="C73" s="19" t="s">
        <v>242</v>
      </c>
      <c r="D73" s="132">
        <v>0</v>
      </c>
      <c r="E73" s="132">
        <v>0</v>
      </c>
      <c r="F73" s="132">
        <f>IF(IFERROR(((F71*TabP!$E$10)-60000)*TabP!$F$11,0)&lt;0,0,IFERROR(((F71*TabP!$E$10)-60000)*TabP!$F$11,0))</f>
        <v>0</v>
      </c>
      <c r="G73" s="132">
        <v>0</v>
      </c>
      <c r="H73" s="132">
        <v>0</v>
      </c>
      <c r="I73" s="132">
        <f>IF(IFERROR(((I71*TabP!$E$10)-60000)*TabP!$F$11,0)&lt;0,0,IFERROR(((I71*TabP!$E$10)-60000)*TabP!$F$11,0))</f>
        <v>0</v>
      </c>
      <c r="J73" s="132">
        <v>0</v>
      </c>
      <c r="K73" s="132">
        <v>0</v>
      </c>
      <c r="L73" s="132">
        <f>IF(IFERROR(((L71*TabP!$E$10)-60000)*TabP!$F$11,0)&lt;0,0,IFERROR(((L71*TabP!$E$10)-60000)*TabP!$F$11,0))</f>
        <v>0</v>
      </c>
      <c r="M73" s="132">
        <v>0</v>
      </c>
      <c r="N73" s="132">
        <v>0</v>
      </c>
      <c r="O73" s="132">
        <f>IF(IFERROR(((O71*TabP!$E$10)-60000)*TabP!$F$11,0)&lt;0,0,IFERROR(((O71*TabP!$E$10)-60000)*TabP!$F$11,0))</f>
        <v>0</v>
      </c>
      <c r="P73" s="114">
        <f>SUM(D73:O73)</f>
        <v>0</v>
      </c>
    </row>
    <row r="74" spans="3:18" ht="15" hidden="1" customHeight="1" x14ac:dyDescent="0.25">
      <c r="C74" s="19" t="s">
        <v>42</v>
      </c>
      <c r="D74" s="132">
        <v>0</v>
      </c>
      <c r="E74" s="132">
        <v>0</v>
      </c>
      <c r="F74" s="132">
        <f>IFERROR((F71*TabP!$E$12)*TabP!$F$12,0)</f>
        <v>4068.6731999999993</v>
      </c>
      <c r="G74" s="132">
        <v>0</v>
      </c>
      <c r="H74" s="132">
        <v>0</v>
      </c>
      <c r="I74" s="132">
        <f>IFERROR((I71*TabP!$E$12)*TabP!$F$12,0)</f>
        <v>3711.4848000000002</v>
      </c>
      <c r="J74" s="132">
        <v>0</v>
      </c>
      <c r="K74" s="132">
        <v>0</v>
      </c>
      <c r="L74" s="132">
        <f>IFERROR((L71*TabP!$E$12)*TabP!$F$12,0)</f>
        <v>3629.9771999999998</v>
      </c>
      <c r="M74" s="132">
        <v>0</v>
      </c>
      <c r="N74" s="132">
        <v>0</v>
      </c>
      <c r="O74" s="132">
        <f>IFERROR((O71*TabP!$E$12)*TabP!$F$12,0)</f>
        <v>3625.8083999999999</v>
      </c>
      <c r="P74" s="114">
        <f>SUM(D74:O74)</f>
        <v>15035.943599999999</v>
      </c>
    </row>
    <row r="75" spans="3:18" ht="15" hidden="1" customHeight="1" x14ac:dyDescent="0.25"/>
    <row r="76" spans="3:18" ht="30" customHeight="1" thickBot="1" x14ac:dyDescent="0.3">
      <c r="C76" s="180" t="s">
        <v>311</v>
      </c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</row>
    <row r="77" spans="3:18" ht="21.95" customHeight="1" x14ac:dyDescent="0.25">
      <c r="C77" s="85" t="s">
        <v>82</v>
      </c>
      <c r="D77" s="55" t="s">
        <v>83</v>
      </c>
      <c r="E77" s="55" t="s">
        <v>84</v>
      </c>
      <c r="F77" s="55" t="s">
        <v>85</v>
      </c>
      <c r="G77" s="55" t="s">
        <v>86</v>
      </c>
      <c r="H77" s="55" t="s">
        <v>87</v>
      </c>
      <c r="I77" s="55" t="s">
        <v>88</v>
      </c>
      <c r="J77" s="55" t="s">
        <v>89</v>
      </c>
      <c r="K77" s="55" t="s">
        <v>90</v>
      </c>
      <c r="L77" s="55" t="s">
        <v>91</v>
      </c>
      <c r="M77" s="55" t="s">
        <v>92</v>
      </c>
      <c r="N77" s="55" t="s">
        <v>93</v>
      </c>
      <c r="O77" s="55" t="s">
        <v>94</v>
      </c>
      <c r="P77" s="56" t="s">
        <v>95</v>
      </c>
    </row>
    <row r="78" spans="3:18" ht="24.95" hidden="1" customHeight="1" x14ac:dyDescent="0.25">
      <c r="C78" s="44" t="s">
        <v>96</v>
      </c>
      <c r="D78" s="90">
        <f>Lançamentos!D5</f>
        <v>35095.8125</v>
      </c>
      <c r="E78" s="90">
        <f>Lançamentos!E5</f>
        <v>34139.15</v>
      </c>
      <c r="F78" s="90">
        <f>Lançamentos!F5</f>
        <v>33509.862500000003</v>
      </c>
      <c r="G78" s="90">
        <f>Lançamentos!G5</f>
        <v>33159.449999999997</v>
      </c>
      <c r="H78" s="90">
        <f>Lançamentos!H5</f>
        <v>33452.875</v>
      </c>
      <c r="I78" s="90">
        <f>Lançamentos!I5</f>
        <v>33507.4375</v>
      </c>
      <c r="J78" s="90">
        <f>Lançamentos!J5</f>
        <v>30704.137500000001</v>
      </c>
      <c r="K78" s="90">
        <f>Lançamentos!K5</f>
        <v>34928.487500000003</v>
      </c>
      <c r="L78" s="90">
        <f>Lançamentos!L5</f>
        <v>30779.3125</v>
      </c>
      <c r="M78" s="90">
        <f>Lançamentos!M5</f>
        <v>36525.35</v>
      </c>
      <c r="N78" s="90">
        <f>Lançamentos!N5</f>
        <v>33266.15</v>
      </c>
      <c r="O78" s="90">
        <f>Lançamentos!O5</f>
        <v>31263.1</v>
      </c>
      <c r="P78" s="93">
        <f t="shared" ref="P78:P83" si="19">SUM(D78:O78)</f>
        <v>400331.125</v>
      </c>
      <c r="Q78" s="18" t="s">
        <v>250</v>
      </c>
      <c r="R78" s="18" t="s">
        <v>251</v>
      </c>
    </row>
    <row r="79" spans="3:18" ht="24.95" customHeight="1" x14ac:dyDescent="0.25">
      <c r="C79" s="44" t="s">
        <v>249</v>
      </c>
      <c r="D79" s="90">
        <f>IF('BH (1)'!$D$4="Simples Nacional",IF('BH (1)'!$C$15=1,0,Lançamentos!D23),Lançamentos!D23)</f>
        <v>2665.8344999999999</v>
      </c>
      <c r="E79" s="90">
        <f>IF('BH (1)'!$D$4="Simples Nacional",IF('BH (1)'!$C$15=1,0,Lançamentos!E23),Lançamentos!E23)</f>
        <v>2593.1676000000002</v>
      </c>
      <c r="F79" s="90">
        <f>IF('BH (1)'!$D$4="Simples Nacional",IF('BH (1)'!$C$15=1,0,Lançamentos!F23),Lançamentos!F23)</f>
        <v>2545.3677000000002</v>
      </c>
      <c r="G79" s="90">
        <f>IF('BH (1)'!$D$4="Simples Nacional",IF('BH (1)'!$C$15=1,0,Lançamentos!G23),Lançamentos!G23)</f>
        <v>2518.7508000000003</v>
      </c>
      <c r="H79" s="90">
        <f>IF('BH (1)'!$D$4="Simples Nacional",IF('BH (1)'!$C$15=1,0,Lançamentos!H23),Lançamentos!H23)</f>
        <v>2541.0390000000002</v>
      </c>
      <c r="I79" s="90">
        <f>IF('BH (1)'!$D$4="Simples Nacional",IF('BH (1)'!$C$15=1,0,Lançamentos!I23),Lançamentos!I23)</f>
        <v>2545.1835000000001</v>
      </c>
      <c r="J79" s="90">
        <f>IF('BH (1)'!$D$4="Simples Nacional",IF('BH (1)'!$C$15=1,0,Lançamentos!J23),Lançamentos!J23)</f>
        <v>2332.2483000000002</v>
      </c>
      <c r="K79" s="90">
        <f>IF('BH (1)'!$D$4="Simples Nacional",IF('BH (1)'!$C$15=1,0,Lançamentos!K23),Lançamentos!K23)</f>
        <v>2653.1246999999998</v>
      </c>
      <c r="L79" s="90">
        <f>IF('BH (1)'!$D$4="Simples Nacional",IF('BH (1)'!$C$15=1,0,Lançamentos!L23),Lançamentos!L23)</f>
        <v>2337.9585000000002</v>
      </c>
      <c r="M79" s="90">
        <f>IF('BH (1)'!$D$4="Simples Nacional",IF('BH (1)'!$C$15=1,0,Lançamentos!M23),Lançamentos!M23)</f>
        <v>2774.4204</v>
      </c>
      <c r="N79" s="90">
        <f>IF('BH (1)'!$D$4="Simples Nacional",IF('BH (1)'!$C$15=1,0,Lançamentos!N23),Lançamentos!N23)</f>
        <v>2526.8555999999999</v>
      </c>
      <c r="O79" s="90">
        <f>IF('BH (1)'!$D$4="Simples Nacional",IF('BH (1)'!$C$15=1,0,Lançamentos!O23),Lançamentos!O23)</f>
        <v>2374.7064</v>
      </c>
      <c r="P79" s="93">
        <f t="shared" si="19"/>
        <v>30408.656999999999</v>
      </c>
      <c r="Q79" s="201">
        <f>IF('BH (1)'!$D$4="Lucro Real",TabR!E13,IF('BH (1)'!$D$4="Lucro Presumido",TabP!F13,IF('BH (1)'!$D$4="Simples Nacional",TabS!$H$35)))</f>
        <v>9.2100000000000001E-2</v>
      </c>
      <c r="R79" s="201">
        <f>IF('BH (1)'!$D$4="Lucro Real",TabR!E15,IF('BH (1)'!$D$4="Lucro Presumido",TabP!F15,IF('BH (1)'!$D$4="Simples Nacional",TabS!$H$37)))</f>
        <v>0.6</v>
      </c>
    </row>
    <row r="80" spans="3:18" ht="24.95" hidden="1" customHeight="1" x14ac:dyDescent="0.25">
      <c r="C80" s="44" t="s">
        <v>135</v>
      </c>
      <c r="D80" s="90">
        <f>IF('BH (1)'!$B$18=1,D203+D204,D203)</f>
        <v>134725</v>
      </c>
      <c r="E80" s="90">
        <f>IF('BH (1)'!$B$18=1,E203+E204,E203)</f>
        <v>108391</v>
      </c>
      <c r="F80" s="90">
        <f>IF('BH (1)'!$B$18=1,F203+F204,F203)</f>
        <v>133613</v>
      </c>
      <c r="G80" s="90">
        <f>IF('BH (1)'!$B$18=1,G203+G204,G203)</f>
        <v>120356</v>
      </c>
      <c r="H80" s="90">
        <f>IF('BH (1)'!$B$18=1,H203+H204,H203)</f>
        <v>119059</v>
      </c>
      <c r="I80" s="90">
        <f>IF('BH (1)'!$B$18=1,I203+I204,I203)</f>
        <v>104241</v>
      </c>
      <c r="J80" s="90">
        <f>IF('BH (1)'!$B$18=1,J203+J204,J203)</f>
        <v>123748</v>
      </c>
      <c r="K80" s="90">
        <f>IF('BH (1)'!$B$18=1,K203+K204,K203)</f>
        <v>102602</v>
      </c>
      <c r="L80" s="90">
        <f>IF('BH (1)'!$B$18=1,L203+L204,L203)</f>
        <v>109759</v>
      </c>
      <c r="M80" s="90">
        <f>IF('BH (1)'!$B$18=1,M203+M204,M203)</f>
        <v>115659</v>
      </c>
      <c r="N80" s="90">
        <f>IF('BH (1)'!$B$18=1,N203+N204,N203)</f>
        <v>110531</v>
      </c>
      <c r="O80" s="90">
        <f>IF('BH (1)'!$B$18=1,O203+O204,O203)</f>
        <v>109533</v>
      </c>
      <c r="P80" s="93">
        <f>SUM(D80:O80)</f>
        <v>1392217</v>
      </c>
    </row>
    <row r="81" spans="3:16" ht="24.95" customHeight="1" x14ac:dyDescent="0.25">
      <c r="C81" s="198" t="s">
        <v>252</v>
      </c>
      <c r="D81" s="95">
        <f>IF('BH (1)'!$C$4=3,IF('BH (1)'!$C$15=1,Simp6!D14+Simp6!D15+Simp6!D17,'Ref4'!D11),'Ref4'!D11)</f>
        <v>12408.172500000001</v>
      </c>
      <c r="E81" s="95">
        <f>IF('BH (1)'!$C$4=3,IF('BH (1)'!$C$15=1,Simp6!E14+Simp6!E15+Simp6!E17,'Ref4'!E11),'Ref4'!E11)</f>
        <v>9982.8111000000008</v>
      </c>
      <c r="F81" s="95">
        <f>IF('BH (1)'!$C$4=3,IF('BH (1)'!$C$15=1,Simp6!F14+Simp6!F15+Simp6!F17,'Ref4'!F11),'Ref4'!F11)</f>
        <v>12305.757299999999</v>
      </c>
      <c r="G81" s="95">
        <f>IF('BH (1)'!$C$4=3,IF('BH (1)'!$C$15=1,Simp6!G14+Simp6!G15+Simp6!G17,'Ref4'!G11),'Ref4'!G11)</f>
        <v>11084.7876</v>
      </c>
      <c r="H81" s="95">
        <f>IF('BH (1)'!$C$4=3,IF('BH (1)'!$C$15=1,Simp6!H14+Simp6!H15+Simp6!H17,'Ref4'!H11),'Ref4'!H11)</f>
        <v>10965.3339</v>
      </c>
      <c r="I81" s="95">
        <f>IF('BH (1)'!$C$4=3,IF('BH (1)'!$C$15=1,Simp6!I14+Simp6!I15+Simp6!I17,'Ref4'!I11),'Ref4'!I11)</f>
        <v>9600.5961000000007</v>
      </c>
      <c r="J81" s="95">
        <f>IF('BH (1)'!$C$4=3,IF('BH (1)'!$C$15=1,Simp6!J14+Simp6!J15+Simp6!J17,'Ref4'!J11),'Ref4'!J11)</f>
        <v>11397.1908</v>
      </c>
      <c r="K81" s="95">
        <f>IF('BH (1)'!$C$4=3,IF('BH (1)'!$C$15=1,Simp6!K14+Simp6!K15+Simp6!K17,'Ref4'!K11),'Ref4'!K11)</f>
        <v>9449.6442000000006</v>
      </c>
      <c r="L81" s="95">
        <f>IF('BH (1)'!$C$4=3,IF('BH (1)'!$C$15=1,Simp6!L14+Simp6!L15+Simp6!L17,'Ref4'!L11),'Ref4'!L11)</f>
        <v>10108.803900000001</v>
      </c>
      <c r="M81" s="95">
        <f>IF('BH (1)'!$C$4=3,IF('BH (1)'!$C$15=1,Simp6!M14+Simp6!M15+Simp6!M17,'Ref4'!M11),'Ref4'!M11)</f>
        <v>10652.1939</v>
      </c>
      <c r="N81" s="95">
        <f>IF('BH (1)'!$C$4=3,IF('BH (1)'!$C$15=1,Simp6!N14+Simp6!N15+Simp6!N17,'Ref4'!N11),'Ref4'!N11)</f>
        <v>10179.9051</v>
      </c>
      <c r="O81" s="95">
        <f>IF('BH (1)'!$C$4=3,IF('BH (1)'!$C$15=1,Simp6!O14+Simp6!O15+Simp6!O17,'Ref4'!O11),'Ref4'!O11)</f>
        <v>10087.989299999999</v>
      </c>
      <c r="P81" s="93">
        <f>SUM(D81:O81)</f>
        <v>128223.18569999999</v>
      </c>
    </row>
    <row r="82" spans="3:16" ht="24.95" hidden="1" customHeight="1" x14ac:dyDescent="0.25">
      <c r="C82" s="228" t="s">
        <v>207</v>
      </c>
      <c r="D82" s="229">
        <f>D79-D81</f>
        <v>-9742.3379999999997</v>
      </c>
      <c r="E82" s="229">
        <f>IF(D82&lt;0,E79-E81,D82+E79-E81)</f>
        <v>-7389.6435000000001</v>
      </c>
      <c r="F82" s="229">
        <f t="shared" ref="F82:O82" si="20">IF(E82&lt;0,F79-F81,E82+F79-F81)</f>
        <v>-9760.3895999999986</v>
      </c>
      <c r="G82" s="229">
        <f t="shared" si="20"/>
        <v>-8566.0367999999999</v>
      </c>
      <c r="H82" s="229">
        <f t="shared" si="20"/>
        <v>-8424.294899999999</v>
      </c>
      <c r="I82" s="229">
        <f t="shared" si="20"/>
        <v>-7055.4126000000006</v>
      </c>
      <c r="J82" s="229">
        <f t="shared" si="20"/>
        <v>-9064.942500000001</v>
      </c>
      <c r="K82" s="229">
        <f t="shared" si="20"/>
        <v>-6796.5195000000003</v>
      </c>
      <c r="L82" s="229">
        <f t="shared" si="20"/>
        <v>-7770.8454000000002</v>
      </c>
      <c r="M82" s="229">
        <f t="shared" si="20"/>
        <v>-7877.7735000000002</v>
      </c>
      <c r="N82" s="229">
        <f t="shared" si="20"/>
        <v>-7653.0495000000001</v>
      </c>
      <c r="O82" s="229">
        <f t="shared" si="20"/>
        <v>-7713.2828999999992</v>
      </c>
      <c r="P82" s="230">
        <f t="shared" si="19"/>
        <v>-97814.528699999995</v>
      </c>
    </row>
    <row r="83" spans="3:16" ht="24.95" customHeight="1" x14ac:dyDescent="0.25">
      <c r="C83" s="199" t="s">
        <v>208</v>
      </c>
      <c r="D83" s="202">
        <f>IF(D82&lt;0,D82*-1,0)</f>
        <v>9742.3379999999997</v>
      </c>
      <c r="E83" s="202">
        <f t="shared" ref="E83:O83" si="21">IF(E82&lt;0,E82*-1,0)</f>
        <v>7389.6435000000001</v>
      </c>
      <c r="F83" s="234">
        <f t="shared" si="21"/>
        <v>9760.3895999999986</v>
      </c>
      <c r="G83" s="202">
        <f t="shared" si="21"/>
        <v>8566.0367999999999</v>
      </c>
      <c r="H83" s="202">
        <f t="shared" si="21"/>
        <v>8424.294899999999</v>
      </c>
      <c r="I83" s="202">
        <f t="shared" si="21"/>
        <v>7055.4126000000006</v>
      </c>
      <c r="J83" s="202">
        <f t="shared" si="21"/>
        <v>9064.942500000001</v>
      </c>
      <c r="K83" s="202">
        <f t="shared" si="21"/>
        <v>6796.5195000000003</v>
      </c>
      <c r="L83" s="202">
        <f t="shared" si="21"/>
        <v>7770.8454000000002</v>
      </c>
      <c r="M83" s="202">
        <f t="shared" si="21"/>
        <v>7877.7735000000002</v>
      </c>
      <c r="N83" s="202">
        <f t="shared" si="21"/>
        <v>7653.0495000000001</v>
      </c>
      <c r="O83" s="202">
        <f t="shared" si="21"/>
        <v>7713.2828999999992</v>
      </c>
      <c r="P83" s="192">
        <f t="shared" si="19"/>
        <v>97814.528699999995</v>
      </c>
    </row>
    <row r="201" spans="3:16" ht="15" hidden="1" customHeight="1" x14ac:dyDescent="0.25">
      <c r="C201" s="188" t="s">
        <v>283</v>
      </c>
      <c r="D201" s="201">
        <f>IF('BH (1)'!$C$4=1,TabR!E17,IF('BH (1)'!$C$4=2,TabP!F17,IF('BH (1)'!$C$4=3,TabS!H39)))</f>
        <v>1.5</v>
      </c>
    </row>
    <row r="202" spans="3:16" ht="15" hidden="1" customHeight="1" x14ac:dyDescent="0.25">
      <c r="C202" s="112" t="s">
        <v>82</v>
      </c>
      <c r="D202" s="112" t="s">
        <v>83</v>
      </c>
      <c r="E202" s="112" t="s">
        <v>84</v>
      </c>
      <c r="F202" s="112" t="s">
        <v>85</v>
      </c>
      <c r="G202" s="112" t="s">
        <v>86</v>
      </c>
      <c r="H202" s="112" t="s">
        <v>87</v>
      </c>
      <c r="I202" s="112" t="s">
        <v>88</v>
      </c>
      <c r="J202" s="112" t="s">
        <v>89</v>
      </c>
      <c r="K202" s="112" t="s">
        <v>90</v>
      </c>
      <c r="L202" s="112" t="s">
        <v>91</v>
      </c>
      <c r="M202" s="112" t="s">
        <v>92</v>
      </c>
      <c r="N202" s="112" t="s">
        <v>93</v>
      </c>
      <c r="O202" s="112" t="s">
        <v>94</v>
      </c>
      <c r="P202" s="112" t="s">
        <v>95</v>
      </c>
    </row>
    <row r="203" spans="3:16" ht="15" hidden="1" customHeight="1" x14ac:dyDescent="0.25">
      <c r="C203" s="200" t="s">
        <v>135</v>
      </c>
      <c r="D203" s="193">
        <f>'Ref4'!D8</f>
        <v>134725</v>
      </c>
      <c r="E203" s="193">
        <f>'Ref4'!E8</f>
        <v>108391</v>
      </c>
      <c r="F203" s="193">
        <f>'Ref4'!F8</f>
        <v>133613</v>
      </c>
      <c r="G203" s="193">
        <f>'Ref4'!G8</f>
        <v>120356</v>
      </c>
      <c r="H203" s="193">
        <f>'Ref4'!H8</f>
        <v>119059</v>
      </c>
      <c r="I203" s="193">
        <f>'Ref4'!I8</f>
        <v>104241</v>
      </c>
      <c r="J203" s="193">
        <f>'Ref4'!J8</f>
        <v>123748</v>
      </c>
      <c r="K203" s="193">
        <f>'Ref4'!K8</f>
        <v>102602</v>
      </c>
      <c r="L203" s="193">
        <f>'Ref4'!L8</f>
        <v>109759</v>
      </c>
      <c r="M203" s="193">
        <f>'Ref4'!M8</f>
        <v>115659</v>
      </c>
      <c r="N203" s="193">
        <f>'Ref4'!N8</f>
        <v>110531</v>
      </c>
      <c r="O203" s="193">
        <f>'Ref4'!O8</f>
        <v>109533</v>
      </c>
      <c r="P203" s="114">
        <f>SUM(D203:O203)</f>
        <v>1392217</v>
      </c>
    </row>
    <row r="204" spans="3:16" ht="15" hidden="1" customHeight="1" x14ac:dyDescent="0.25">
      <c r="C204" s="200" t="s">
        <v>284</v>
      </c>
      <c r="D204" s="193">
        <f>IF('BH (1)'!$B$18=1,D203*$D$201,D203)</f>
        <v>134725</v>
      </c>
      <c r="E204" s="193">
        <f>IF('BH (1)'!$B$18=1,E203*$D$201,E203)</f>
        <v>108391</v>
      </c>
      <c r="F204" s="193">
        <f>IF('BH (1)'!$B$18=1,F203*$D$201,F203)</f>
        <v>133613</v>
      </c>
      <c r="G204" s="193">
        <f>IF('BH (1)'!$B$18=1,G203*$D$201,G203)</f>
        <v>120356</v>
      </c>
      <c r="H204" s="193">
        <f>IF('BH (1)'!$B$18=1,H203*$D$201,H203)</f>
        <v>119059</v>
      </c>
      <c r="I204" s="193">
        <f>IF('BH (1)'!$B$18=1,I203*$D$201,I203)</f>
        <v>104241</v>
      </c>
      <c r="J204" s="193">
        <f>IF('BH (1)'!$B$18=1,J203*$D$201,J203)</f>
        <v>123748</v>
      </c>
      <c r="K204" s="193">
        <f>IF('BH (1)'!$B$18=1,K203*$D$201,K203)</f>
        <v>102602</v>
      </c>
      <c r="L204" s="193">
        <f>IF('BH (1)'!$B$18=1,L203*$D$201,L203)</f>
        <v>109759</v>
      </c>
      <c r="M204" s="193">
        <f>IF('BH (1)'!$B$18=1,M203*$D$201,M203)</f>
        <v>115659</v>
      </c>
      <c r="N204" s="193">
        <f>IF('BH (1)'!$B$18=1,N203*$D$201,N203)</f>
        <v>110531</v>
      </c>
      <c r="O204" s="193">
        <f>IF('BH (1)'!$B$18=1,O203*$D$201,O203)</f>
        <v>109533</v>
      </c>
      <c r="P204" s="114">
        <f>SUM(D204:O204)</f>
        <v>1392217</v>
      </c>
    </row>
  </sheetData>
  <sheetProtection sheet="1" objects="1" scenarios="1" selectLockedCells="1" selectUnlockedCells="1"/>
  <pageMargins left="0.25" right="0.25" top="0.75" bottom="0.75" header="0.3" footer="0.3"/>
  <pageSetup paperSize="9" scale="5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Drop Down 1">
              <controlPr defaultSize="0" print="0" autoLine="0" autoPict="0">
                <anchor moveWithCells="1">
                  <from>
                    <xdr:col>12</xdr:col>
                    <xdr:colOff>133350</xdr:colOff>
                    <xdr:row>2</xdr:row>
                    <xdr:rowOff>257175</xdr:rowOff>
                  </from>
                  <to>
                    <xdr:col>18</xdr:col>
                    <xdr:colOff>9525</xdr:colOff>
                    <xdr:row>2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Planilha43">
    <tabColor rgb="FF0000FF"/>
    <pageSetUpPr fitToPage="1"/>
  </sheetPr>
  <dimension ref="C1:R204"/>
  <sheetViews>
    <sheetView showGridLines="0" showRowColHeaders="0" workbookViewId="0">
      <pane ySplit="4" topLeftCell="A5" activePane="bottomLeft" state="frozen"/>
      <selection activeCell="M17" sqref="M17"/>
      <selection pane="bottomLeft"/>
    </sheetView>
  </sheetViews>
  <sheetFormatPr defaultRowHeight="15" customHeight="1" x14ac:dyDescent="0.25"/>
  <cols>
    <col min="1" max="2" width="1.7109375" style="18" customWidth="1"/>
    <col min="3" max="3" width="13.7109375" style="200" customWidth="1"/>
    <col min="4" max="16" width="13.140625" style="18" customWidth="1"/>
    <col min="17" max="18" width="0" style="18" hidden="1" customWidth="1"/>
    <col min="19" max="16384" width="9.140625" style="18"/>
  </cols>
  <sheetData>
    <row r="1" spans="3:16" s="1" customFormat="1" ht="35.1" customHeight="1" x14ac:dyDescent="0.25">
      <c r="C1" s="194"/>
    </row>
    <row r="2" spans="3:16" s="3" customFormat="1" ht="30" customHeight="1" x14ac:dyDescent="0.25">
      <c r="C2" s="195"/>
    </row>
    <row r="3" spans="3:16" ht="69.95" customHeight="1" thickBot="1" x14ac:dyDescent="0.3">
      <c r="C3" s="180" t="s">
        <v>260</v>
      </c>
    </row>
    <row r="4" spans="3:16" ht="21.95" customHeight="1" x14ac:dyDescent="0.25">
      <c r="C4" s="85" t="s">
        <v>82</v>
      </c>
      <c r="D4" s="55" t="s">
        <v>83</v>
      </c>
      <c r="E4" s="55" t="s">
        <v>84</v>
      </c>
      <c r="F4" s="55" t="s">
        <v>85</v>
      </c>
      <c r="G4" s="55" t="s">
        <v>86</v>
      </c>
      <c r="H4" s="55" t="s">
        <v>87</v>
      </c>
      <c r="I4" s="55" t="s">
        <v>88</v>
      </c>
      <c r="J4" s="55" t="s">
        <v>89</v>
      </c>
      <c r="K4" s="55" t="s">
        <v>90</v>
      </c>
      <c r="L4" s="55" t="s">
        <v>91</v>
      </c>
      <c r="M4" s="55" t="s">
        <v>92</v>
      </c>
      <c r="N4" s="55" t="s">
        <v>93</v>
      </c>
      <c r="O4" s="55" t="s">
        <v>94</v>
      </c>
      <c r="P4" s="56" t="s">
        <v>294</v>
      </c>
    </row>
    <row r="5" spans="3:16" ht="21.95" customHeight="1" x14ac:dyDescent="0.25">
      <c r="C5" s="44" t="s">
        <v>43</v>
      </c>
      <c r="D5" s="90">
        <f>IF('BH (1)'!$D$4="Simples Nacional",IF('BH (1)'!$D$15="Simplificado",Simp6!D14+Simp6!D15+Simp6!D17,D83),D83)</f>
        <v>9742.3379999999997</v>
      </c>
      <c r="E5" s="90">
        <f>IF('BH (1)'!$D$4="Simples Nacional",IF('BH (1)'!$D$15="Simplificado",Simp6!E14+Simp6!E15+Simp6!E17,E83),E83)</f>
        <v>7389.6435000000001</v>
      </c>
      <c r="F5" s="90">
        <f>IF('BH (1)'!$D$4="Simples Nacional",IF('BH (1)'!$D$15="Simplificado",Simp6!F14+Simp6!F15+Simp6!F17,F83),F83)</f>
        <v>9760.3895999999986</v>
      </c>
      <c r="G5" s="90">
        <f>IF('BH (1)'!$D$4="Simples Nacional",IF('BH (1)'!$D$15="Simplificado",Simp6!G14+Simp6!G15+Simp6!G17,G83),G83)</f>
        <v>8566.0367999999999</v>
      </c>
      <c r="H5" s="90">
        <f>IF('BH (1)'!$D$4="Simples Nacional",IF('BH (1)'!$D$15="Simplificado",Simp6!H14+Simp6!H15+Simp6!H17,H83),H83)</f>
        <v>8424.294899999999</v>
      </c>
      <c r="I5" s="90">
        <f>IF('BH (1)'!$D$4="Simples Nacional",IF('BH (1)'!$D$15="Simplificado",Simp6!I14+Simp6!I15+Simp6!I17,I83),I83)</f>
        <v>7055.4126000000006</v>
      </c>
      <c r="J5" s="90">
        <f>IF('BH (1)'!$D$4="Simples Nacional",IF('BH (1)'!$D$15="Simplificado",Simp6!J14+Simp6!J15+Simp6!J17,J83),J83)</f>
        <v>9064.942500000001</v>
      </c>
      <c r="K5" s="90">
        <f>IF('BH (1)'!$D$4="Simples Nacional",IF('BH (1)'!$D$15="Simplificado",Simp6!K14+Simp6!K15+Simp6!K17,K83),K83)</f>
        <v>6796.5195000000003</v>
      </c>
      <c r="L5" s="90">
        <f>IF('BH (1)'!$D$4="Simples Nacional",IF('BH (1)'!$D$15="Simplificado",Simp6!L14+Simp6!L15+Simp6!L17,L83),L83)</f>
        <v>7770.8454000000002</v>
      </c>
      <c r="M5" s="90">
        <f>IF('BH (1)'!$D$4="Simples Nacional",IF('BH (1)'!$D$15="Simplificado",Simp6!M14+Simp6!M15+Simp6!M17,M83),M83)</f>
        <v>7877.7735000000002</v>
      </c>
      <c r="N5" s="90">
        <f>IF('BH (1)'!$D$4="Simples Nacional",IF('BH (1)'!$D$15="Simplificado",Simp6!N14+Simp6!N15+Simp6!N17,N83),N83)</f>
        <v>7653.0495000000001</v>
      </c>
      <c r="O5" s="90">
        <f>IF('BH (1)'!$D$4="Simples Nacional",IF('BH (1)'!$D$15="Simplificado",Simp6!O14+Simp6!O15+Simp6!O17,O83),O83)</f>
        <v>7713.2828999999992</v>
      </c>
      <c r="P5" s="93">
        <f>SUM(D5:O5)</f>
        <v>97814.528699999995</v>
      </c>
    </row>
    <row r="6" spans="3:16" ht="21.95" customHeight="1" x14ac:dyDescent="0.25">
      <c r="C6" s="44" t="s">
        <v>44</v>
      </c>
      <c r="D6" s="90">
        <f>IF('BH (1)'!$D$4="Simples Nacional",0,'Fat6'!D$8*TransR!$D$8)</f>
        <v>134.72499999999999</v>
      </c>
      <c r="E6" s="90">
        <f>IF('BH (1)'!$D$4="Simples Nacional",0,'Fat6'!E$8*TransR!$D$8)</f>
        <v>108.39100000000001</v>
      </c>
      <c r="F6" s="90">
        <f>IF('BH (1)'!$D$4="Simples Nacional",0,'Fat6'!F$8*TransR!$D$8)</f>
        <v>133.613</v>
      </c>
      <c r="G6" s="90">
        <f>IF('BH (1)'!$D$4="Simples Nacional",0,'Fat6'!G$8*TransR!$D$8)</f>
        <v>120.35600000000001</v>
      </c>
      <c r="H6" s="90">
        <f>IF('BH (1)'!$D$4="Simples Nacional",0,'Fat6'!H$8*TransR!$D$8)</f>
        <v>119.059</v>
      </c>
      <c r="I6" s="90">
        <f>IF('BH (1)'!$D$4="Simples Nacional",0,'Fat6'!I$8*TransR!$D$8)</f>
        <v>104.241</v>
      </c>
      <c r="J6" s="90">
        <f>IF('BH (1)'!$D$4="Simples Nacional",0,'Fat6'!J$8*TransR!$D$8)</f>
        <v>123.748</v>
      </c>
      <c r="K6" s="90">
        <f>IF('BH (1)'!$D$4="Simples Nacional",0,'Fat6'!K$8*TransR!$D$8)</f>
        <v>102.602</v>
      </c>
      <c r="L6" s="90">
        <f>IF('BH (1)'!$D$4="Simples Nacional",0,'Fat6'!L$8*TransR!$D$8)</f>
        <v>109.759</v>
      </c>
      <c r="M6" s="90">
        <f>IF('BH (1)'!$D$4="Simples Nacional",0,'Fat6'!M$8*TransR!$D$8)</f>
        <v>115.65900000000001</v>
      </c>
      <c r="N6" s="90">
        <f>IF('BH (1)'!$D$4="Simples Nacional",0,'Fat6'!N$8*TransR!$D$8)</f>
        <v>110.53100000000001</v>
      </c>
      <c r="O6" s="90">
        <f>IF('BH (1)'!$D$4="Simples Nacional",0,'Fat6'!O$8*TransR!$D$8)</f>
        <v>109.533</v>
      </c>
      <c r="P6" s="93">
        <f>SUM(D6:O6)</f>
        <v>1392.2169999999999</v>
      </c>
    </row>
    <row r="7" spans="3:16" ht="24.95" hidden="1" customHeight="1" x14ac:dyDescent="0.25">
      <c r="C7" s="44" t="s">
        <v>97</v>
      </c>
      <c r="D7" s="90">
        <v>0</v>
      </c>
      <c r="E7" s="90">
        <v>0</v>
      </c>
      <c r="F7" s="90">
        <v>0</v>
      </c>
      <c r="G7" s="90">
        <v>0</v>
      </c>
      <c r="H7" s="90">
        <v>0</v>
      </c>
      <c r="I7" s="90">
        <v>0</v>
      </c>
      <c r="J7" s="90">
        <v>0</v>
      </c>
      <c r="K7" s="90">
        <v>0</v>
      </c>
      <c r="L7" s="90">
        <v>0</v>
      </c>
      <c r="M7" s="90">
        <v>0</v>
      </c>
      <c r="N7" s="90">
        <v>0</v>
      </c>
      <c r="O7" s="90">
        <v>0</v>
      </c>
      <c r="P7" s="93">
        <f>SUM(D7:O7)</f>
        <v>0</v>
      </c>
    </row>
    <row r="8" spans="3:16" ht="24.95" hidden="1" customHeight="1" x14ac:dyDescent="0.25">
      <c r="C8" s="44" t="s">
        <v>98</v>
      </c>
      <c r="D8" s="90">
        <v>0</v>
      </c>
      <c r="E8" s="90">
        <v>0</v>
      </c>
      <c r="F8" s="90">
        <v>0</v>
      </c>
      <c r="G8" s="90">
        <v>0</v>
      </c>
      <c r="H8" s="90">
        <v>0</v>
      </c>
      <c r="I8" s="90">
        <v>0</v>
      </c>
      <c r="J8" s="90">
        <v>0</v>
      </c>
      <c r="K8" s="90">
        <v>0</v>
      </c>
      <c r="L8" s="90">
        <v>0</v>
      </c>
      <c r="M8" s="90">
        <v>0</v>
      </c>
      <c r="N8" s="90">
        <v>0</v>
      </c>
      <c r="O8" s="90">
        <v>0</v>
      </c>
      <c r="P8" s="93">
        <f>SUM(D8:O8)</f>
        <v>0</v>
      </c>
    </row>
    <row r="9" spans="3:16" ht="24.95" customHeight="1" x14ac:dyDescent="0.25">
      <c r="C9" s="44" t="s">
        <v>37</v>
      </c>
      <c r="D9" s="90">
        <f>IF('BH (1)'!$D$4="Simples Nacional",Simp6!D16,'BH (2)'!C32)</f>
        <v>11955.502500000001</v>
      </c>
      <c r="E9" s="90">
        <f>IF('BH (1)'!$D$4="Simples Nacional",Simp6!E16,'BH (2)'!D32)</f>
        <v>8910.2219999999998</v>
      </c>
      <c r="F9" s="90">
        <f>IF('BH (1)'!$D$4="Simples Nacional",Simp6!F16,'BH (2)'!E32)</f>
        <v>12012.376499999998</v>
      </c>
      <c r="G9" s="90">
        <f>IF('BH (1)'!$D$4="Simples Nacional",Simp6!G16,'BH (2)'!F32)</f>
        <v>10463.585999999999</v>
      </c>
      <c r="H9" s="90">
        <f>IF('BH (1)'!$D$4="Simples Nacional",Simp6!H16,'BH (2)'!G32)</f>
        <v>10272.735000000001</v>
      </c>
      <c r="I9" s="90">
        <f>IF('BH (1)'!$D$4="Simples Nacional",Simp6!I16,'BH (2)'!H32)</f>
        <v>8488.0275000000001</v>
      </c>
      <c r="J9" s="90">
        <f>IF('BH (1)'!$D$4="Simples Nacional",Simp6!J16,'BH (2)'!I32)</f>
        <v>11165.263500000001</v>
      </c>
      <c r="K9" s="90">
        <f>IF('BH (1)'!$D$4="Simples Nacional",Simp6!K16,'BH (2)'!J32)</f>
        <v>8120.8215</v>
      </c>
      <c r="L9" s="90">
        <f>IF('BH (1)'!$D$4="Simples Nacional",Simp6!L16,'BH (2)'!K32)</f>
        <v>9477.5625</v>
      </c>
      <c r="M9" s="90">
        <f>IF('BH (1)'!$D$4="Simples Nacional",Simp6!M16,'BH (2)'!L32)</f>
        <v>9496.0380000000005</v>
      </c>
      <c r="N9" s="90">
        <f>IF('BH (1)'!$D$4="Simples Nacional",Simp6!N16,'BH (2)'!M32)</f>
        <v>9271.7819999999992</v>
      </c>
      <c r="O9" s="90">
        <f>IF('BH (1)'!$D$4="Simples Nacional",Simp6!O16,'BH (2)'!N32)</f>
        <v>9392.387999999999</v>
      </c>
      <c r="P9" s="93">
        <f>SUM(D9:O9)</f>
        <v>119026.30499999999</v>
      </c>
    </row>
    <row r="10" spans="3:16" ht="24.95" hidden="1" customHeight="1" x14ac:dyDescent="0.25">
      <c r="C10" s="44" t="s">
        <v>38</v>
      </c>
      <c r="D10" s="90">
        <v>0</v>
      </c>
      <c r="E10" s="90">
        <v>0</v>
      </c>
      <c r="F10" s="90">
        <v>0</v>
      </c>
      <c r="G10" s="90">
        <v>0</v>
      </c>
      <c r="H10" s="90">
        <v>0</v>
      </c>
      <c r="I10" s="90">
        <v>0</v>
      </c>
      <c r="J10" s="90">
        <v>0</v>
      </c>
      <c r="K10" s="90">
        <v>0</v>
      </c>
      <c r="L10" s="90">
        <v>0</v>
      </c>
      <c r="M10" s="90">
        <v>0</v>
      </c>
      <c r="N10" s="90">
        <v>0</v>
      </c>
      <c r="O10" s="90">
        <v>0</v>
      </c>
      <c r="P10" s="93">
        <f t="shared" ref="P10:P17" si="0">SUM(D10:O10)</f>
        <v>0</v>
      </c>
    </row>
    <row r="11" spans="3:16" ht="24.95" customHeight="1" x14ac:dyDescent="0.25">
      <c r="C11" s="44" t="s">
        <v>39</v>
      </c>
      <c r="D11" s="90">
        <f>IF('BH (1)'!$D$4="Simples Nacional",Simp6!D18,'BH (2)'!C34)</f>
        <v>0</v>
      </c>
      <c r="E11" s="90">
        <f>IF('BH (1)'!$D$4="Simples Nacional",Simp6!E18,'BH (2)'!D34)</f>
        <v>0</v>
      </c>
      <c r="F11" s="90">
        <f>IF('BH (1)'!$D$4="Simples Nacional",Simp6!F18,'BH (2)'!E34)</f>
        <v>0</v>
      </c>
      <c r="G11" s="90">
        <f>IF('BH (1)'!$D$4="Simples Nacional",Simp6!G18,'BH (2)'!F34)</f>
        <v>0</v>
      </c>
      <c r="H11" s="90">
        <f>IF('BH (1)'!$D$4="Simples Nacional",Simp6!H18,'BH (2)'!G34)</f>
        <v>0</v>
      </c>
      <c r="I11" s="90">
        <f>IF('BH (1)'!$D$4="Simples Nacional",Simp6!I18,'BH (2)'!H34)</f>
        <v>0</v>
      </c>
      <c r="J11" s="90">
        <f>IF('BH (1)'!$D$4="Simples Nacional",Simp6!J18,'BH (2)'!I34)</f>
        <v>0</v>
      </c>
      <c r="K11" s="90">
        <f>IF('BH (1)'!$D$4="Simples Nacional",Simp6!K18,'BH (2)'!J34)</f>
        <v>0</v>
      </c>
      <c r="L11" s="90">
        <f>IF('BH (1)'!$D$4="Simples Nacional",Simp6!L18,'BH (2)'!K34)</f>
        <v>0</v>
      </c>
      <c r="M11" s="90">
        <f>IF('BH (1)'!$D$4="Simples Nacional",Simp6!M18,'BH (2)'!L34)</f>
        <v>0</v>
      </c>
      <c r="N11" s="90">
        <f>IF('BH (1)'!$D$4="Simples Nacional",Simp6!N18,'BH (2)'!M34)</f>
        <v>0</v>
      </c>
      <c r="O11" s="90">
        <f>IF('BH (1)'!$D$4="Simples Nacional",Simp6!O18,'BH (2)'!N34)</f>
        <v>0</v>
      </c>
      <c r="P11" s="93">
        <f t="shared" si="0"/>
        <v>0</v>
      </c>
    </row>
    <row r="12" spans="3:16" ht="24.95" customHeight="1" x14ac:dyDescent="0.25">
      <c r="C12" s="44" t="s">
        <v>129</v>
      </c>
      <c r="D12" s="90">
        <f>D50</f>
        <v>2400</v>
      </c>
      <c r="E12" s="90">
        <f t="shared" ref="E12:O12" si="1">E50</f>
        <v>2400</v>
      </c>
      <c r="F12" s="90">
        <f t="shared" si="1"/>
        <v>2400</v>
      </c>
      <c r="G12" s="90">
        <f t="shared" si="1"/>
        <v>2400</v>
      </c>
      <c r="H12" s="90">
        <f t="shared" si="1"/>
        <v>2400</v>
      </c>
      <c r="I12" s="90">
        <f t="shared" si="1"/>
        <v>2400</v>
      </c>
      <c r="J12" s="90">
        <f t="shared" si="1"/>
        <v>2400</v>
      </c>
      <c r="K12" s="90">
        <f t="shared" si="1"/>
        <v>2400</v>
      </c>
      <c r="L12" s="90">
        <f t="shared" si="1"/>
        <v>2400</v>
      </c>
      <c r="M12" s="90">
        <f t="shared" si="1"/>
        <v>2400</v>
      </c>
      <c r="N12" s="90">
        <f t="shared" si="1"/>
        <v>2400</v>
      </c>
      <c r="O12" s="90">
        <f t="shared" si="1"/>
        <v>2400</v>
      </c>
      <c r="P12" s="93">
        <f t="shared" si="0"/>
        <v>28800</v>
      </c>
    </row>
    <row r="13" spans="3:16" ht="24.95" customHeight="1" x14ac:dyDescent="0.25">
      <c r="C13" s="44" t="s">
        <v>42</v>
      </c>
      <c r="D13" s="90">
        <f>D57</f>
        <v>0</v>
      </c>
      <c r="E13" s="90">
        <f t="shared" ref="E13:O13" si="2">E57</f>
        <v>0</v>
      </c>
      <c r="F13" s="90">
        <f t="shared" si="2"/>
        <v>4068.6731999999993</v>
      </c>
      <c r="G13" s="90">
        <f t="shared" si="2"/>
        <v>0</v>
      </c>
      <c r="H13" s="90">
        <f t="shared" si="2"/>
        <v>0</v>
      </c>
      <c r="I13" s="90">
        <f t="shared" si="2"/>
        <v>3711.4848000000002</v>
      </c>
      <c r="J13" s="90">
        <f t="shared" si="2"/>
        <v>0</v>
      </c>
      <c r="K13" s="90">
        <f t="shared" si="2"/>
        <v>0</v>
      </c>
      <c r="L13" s="90">
        <f t="shared" si="2"/>
        <v>3629.9771999999998</v>
      </c>
      <c r="M13" s="90">
        <f t="shared" si="2"/>
        <v>0</v>
      </c>
      <c r="N13" s="90">
        <f t="shared" si="2"/>
        <v>0</v>
      </c>
      <c r="O13" s="90">
        <f t="shared" si="2"/>
        <v>3625.8083999999999</v>
      </c>
      <c r="P13" s="93">
        <f>IF('BH (1)'!$D$4="Lucro Presumido",Relatórios!P11,SUM(D13:O13))</f>
        <v>15035.943599999999</v>
      </c>
    </row>
    <row r="14" spans="3:16" ht="24.95" customHeight="1" x14ac:dyDescent="0.25">
      <c r="C14" s="44" t="s">
        <v>40</v>
      </c>
      <c r="D14" s="90">
        <f>IF('BH (1)'!$D$4="Simples Nacional",D55,D55+D56)</f>
        <v>0</v>
      </c>
      <c r="E14" s="90">
        <f>IF('BH (1)'!$D$4="Simples Nacional",E55,E55+E56)</f>
        <v>0</v>
      </c>
      <c r="F14" s="90">
        <f>IF('BH (1)'!$D$4="Simples Nacional",F55,F55+F56)</f>
        <v>4520.7479999999996</v>
      </c>
      <c r="G14" s="90">
        <f>IF('BH (1)'!$D$4="Simples Nacional",G55,G55+G56)</f>
        <v>0</v>
      </c>
      <c r="H14" s="90">
        <f>IF('BH (1)'!$D$4="Simples Nacional",H55,H55+H56)</f>
        <v>0</v>
      </c>
      <c r="I14" s="90">
        <f>IF('BH (1)'!$D$4="Simples Nacional",I55,I55+I56)</f>
        <v>4123.8719999999994</v>
      </c>
      <c r="J14" s="90">
        <f>IF('BH (1)'!$D$4="Simples Nacional",J55,J55+J56)</f>
        <v>0</v>
      </c>
      <c r="K14" s="90">
        <f>IF('BH (1)'!$D$4="Simples Nacional",K55,K55+K56)</f>
        <v>0</v>
      </c>
      <c r="L14" s="90">
        <f>IF('BH (1)'!$D$4="Simples Nacional",L55,L55+L56)</f>
        <v>4033.308</v>
      </c>
      <c r="M14" s="90">
        <f>IF('BH (1)'!$D$4="Simples Nacional",M55,M55+M56)</f>
        <v>0</v>
      </c>
      <c r="N14" s="90">
        <f>IF('BH (1)'!$D$4="Simples Nacional",N55,N55+N56)</f>
        <v>0</v>
      </c>
      <c r="O14" s="90">
        <f>IF('BH (1)'!$D$4="Simples Nacional",O55,O55+O56)</f>
        <v>4028.6759999999999</v>
      </c>
      <c r="P14" s="93">
        <f>IF('BH (1)'!$D$4="Lucro Presumido",Relatórios!P12,SUM(D14:O14))</f>
        <v>16706.603999999999</v>
      </c>
    </row>
    <row r="15" spans="3:16" ht="24.95" customHeight="1" x14ac:dyDescent="0.25">
      <c r="C15" s="44" t="s">
        <v>155</v>
      </c>
      <c r="D15" s="90">
        <f>D51</f>
        <v>960</v>
      </c>
      <c r="E15" s="90">
        <f t="shared" ref="E15:O17" si="3">E51</f>
        <v>960</v>
      </c>
      <c r="F15" s="90">
        <f t="shared" si="3"/>
        <v>960</v>
      </c>
      <c r="G15" s="90">
        <f t="shared" si="3"/>
        <v>960</v>
      </c>
      <c r="H15" s="90">
        <f t="shared" si="3"/>
        <v>960</v>
      </c>
      <c r="I15" s="90">
        <f t="shared" si="3"/>
        <v>960</v>
      </c>
      <c r="J15" s="90">
        <f t="shared" si="3"/>
        <v>960</v>
      </c>
      <c r="K15" s="90">
        <f t="shared" si="3"/>
        <v>960</v>
      </c>
      <c r="L15" s="90">
        <f t="shared" si="3"/>
        <v>960</v>
      </c>
      <c r="M15" s="90">
        <f t="shared" si="3"/>
        <v>960</v>
      </c>
      <c r="N15" s="90">
        <f t="shared" si="3"/>
        <v>960</v>
      </c>
      <c r="O15" s="90">
        <f t="shared" si="3"/>
        <v>960</v>
      </c>
      <c r="P15" s="93">
        <f t="shared" si="0"/>
        <v>11520</v>
      </c>
    </row>
    <row r="16" spans="3:16" ht="24.95" customHeight="1" x14ac:dyDescent="0.25">
      <c r="C16" s="44" t="str">
        <f>IF('BH (1)'!D4="Simples Nacional","","Terceiros")</f>
        <v>Terceiros</v>
      </c>
      <c r="D16" s="90">
        <f>D52</f>
        <v>696</v>
      </c>
      <c r="E16" s="90">
        <f t="shared" si="3"/>
        <v>696</v>
      </c>
      <c r="F16" s="90">
        <f t="shared" si="3"/>
        <v>696</v>
      </c>
      <c r="G16" s="90">
        <f t="shared" si="3"/>
        <v>696</v>
      </c>
      <c r="H16" s="90">
        <f t="shared" si="3"/>
        <v>696</v>
      </c>
      <c r="I16" s="90">
        <f t="shared" si="3"/>
        <v>696</v>
      </c>
      <c r="J16" s="90">
        <f t="shared" si="3"/>
        <v>696</v>
      </c>
      <c r="K16" s="90">
        <f t="shared" si="3"/>
        <v>696</v>
      </c>
      <c r="L16" s="90">
        <f t="shared" si="3"/>
        <v>696</v>
      </c>
      <c r="M16" s="90">
        <f t="shared" si="3"/>
        <v>696</v>
      </c>
      <c r="N16" s="90">
        <f t="shared" si="3"/>
        <v>696</v>
      </c>
      <c r="O16" s="90">
        <f t="shared" si="3"/>
        <v>696</v>
      </c>
      <c r="P16" s="93">
        <f t="shared" si="0"/>
        <v>8352</v>
      </c>
    </row>
    <row r="17" spans="3:16" ht="24.95" customHeight="1" x14ac:dyDescent="0.25">
      <c r="C17" s="198" t="str">
        <f>IF('BH (1)'!D4="Simples Nacional","","RAT")</f>
        <v>RAT</v>
      </c>
      <c r="D17" s="189">
        <f>D53</f>
        <v>240</v>
      </c>
      <c r="E17" s="189">
        <f t="shared" si="3"/>
        <v>240</v>
      </c>
      <c r="F17" s="189">
        <f t="shared" si="3"/>
        <v>240</v>
      </c>
      <c r="G17" s="189">
        <f t="shared" si="3"/>
        <v>240</v>
      </c>
      <c r="H17" s="189">
        <f t="shared" si="3"/>
        <v>240</v>
      </c>
      <c r="I17" s="189">
        <f t="shared" si="3"/>
        <v>240</v>
      </c>
      <c r="J17" s="189">
        <f t="shared" si="3"/>
        <v>240</v>
      </c>
      <c r="K17" s="189">
        <f t="shared" si="3"/>
        <v>240</v>
      </c>
      <c r="L17" s="189">
        <f t="shared" si="3"/>
        <v>240</v>
      </c>
      <c r="M17" s="189">
        <f t="shared" si="3"/>
        <v>240</v>
      </c>
      <c r="N17" s="189">
        <f t="shared" si="3"/>
        <v>240</v>
      </c>
      <c r="O17" s="189">
        <f t="shared" si="3"/>
        <v>240</v>
      </c>
      <c r="P17" s="93">
        <f t="shared" si="0"/>
        <v>2880</v>
      </c>
    </row>
    <row r="18" spans="3:16" ht="24.95" customHeight="1" x14ac:dyDescent="0.25">
      <c r="C18" s="196" t="s">
        <v>245</v>
      </c>
      <c r="D18" s="97">
        <f>SUM(D5:D17)</f>
        <v>26128.565500000001</v>
      </c>
      <c r="E18" s="97">
        <f t="shared" ref="E18:O18" si="4">SUM(E5:E17)</f>
        <v>20704.2565</v>
      </c>
      <c r="F18" s="97">
        <f t="shared" si="4"/>
        <v>34791.800299999995</v>
      </c>
      <c r="G18" s="97">
        <f t="shared" si="4"/>
        <v>23445.978799999997</v>
      </c>
      <c r="H18" s="97">
        <f t="shared" si="4"/>
        <v>23112.088899999999</v>
      </c>
      <c r="I18" s="97">
        <f t="shared" si="4"/>
        <v>27779.037899999999</v>
      </c>
      <c r="J18" s="97">
        <f t="shared" si="4"/>
        <v>24649.954000000002</v>
      </c>
      <c r="K18" s="97">
        <f t="shared" si="4"/>
        <v>19315.942999999999</v>
      </c>
      <c r="L18" s="97">
        <f t="shared" si="4"/>
        <v>29317.452100000002</v>
      </c>
      <c r="M18" s="97">
        <f t="shared" si="4"/>
        <v>21785.470499999999</v>
      </c>
      <c r="N18" s="97">
        <f t="shared" si="4"/>
        <v>21331.362499999999</v>
      </c>
      <c r="O18" s="97">
        <f t="shared" si="4"/>
        <v>29165.688300000002</v>
      </c>
      <c r="P18" s="98">
        <f>SUM(P5:P17)</f>
        <v>301527.59830000001</v>
      </c>
    </row>
    <row r="19" spans="3:16" ht="30" customHeight="1" thickBot="1" x14ac:dyDescent="0.3">
      <c r="C19" s="180" t="s">
        <v>261</v>
      </c>
    </row>
    <row r="20" spans="3:16" ht="21.95" customHeight="1" x14ac:dyDescent="0.25">
      <c r="C20" s="85" t="s">
        <v>82</v>
      </c>
      <c r="D20" s="55" t="s">
        <v>83</v>
      </c>
      <c r="E20" s="55" t="s">
        <v>84</v>
      </c>
      <c r="F20" s="55" t="s">
        <v>85</v>
      </c>
      <c r="G20" s="55" t="s">
        <v>86</v>
      </c>
      <c r="H20" s="55" t="s">
        <v>87</v>
      </c>
      <c r="I20" s="55" t="s">
        <v>88</v>
      </c>
      <c r="J20" s="55" t="s">
        <v>89</v>
      </c>
      <c r="K20" s="55" t="s">
        <v>90</v>
      </c>
      <c r="L20" s="55" t="s">
        <v>91</v>
      </c>
      <c r="M20" s="55" t="s">
        <v>92</v>
      </c>
      <c r="N20" s="55" t="s">
        <v>93</v>
      </c>
      <c r="O20" s="55" t="s">
        <v>94</v>
      </c>
      <c r="P20" s="56" t="s">
        <v>294</v>
      </c>
    </row>
    <row r="21" spans="3:16" ht="24.95" customHeight="1" x14ac:dyDescent="0.25">
      <c r="C21" s="197" t="str">
        <f>'2027'!C21</f>
        <v>Indústria</v>
      </c>
      <c r="D21" s="90">
        <f>'2027'!D21</f>
        <v>0</v>
      </c>
      <c r="E21" s="90">
        <f>'2027'!E21</f>
        <v>0</v>
      </c>
      <c r="F21" s="90">
        <f>'2027'!F21</f>
        <v>0</v>
      </c>
      <c r="G21" s="90">
        <f>'2027'!G21</f>
        <v>0</v>
      </c>
      <c r="H21" s="90">
        <f>'2027'!H21</f>
        <v>0</v>
      </c>
      <c r="I21" s="90">
        <f>'2027'!I21</f>
        <v>0</v>
      </c>
      <c r="J21" s="90">
        <f>'2027'!J21</f>
        <v>0</v>
      </c>
      <c r="K21" s="90">
        <f>'2027'!K21</f>
        <v>0</v>
      </c>
      <c r="L21" s="90">
        <f>'2027'!L21</f>
        <v>0</v>
      </c>
      <c r="M21" s="90">
        <f>'2027'!M21</f>
        <v>0</v>
      </c>
      <c r="N21" s="90">
        <f>'2027'!N21</f>
        <v>0</v>
      </c>
      <c r="O21" s="90">
        <f>'2027'!O21</f>
        <v>0</v>
      </c>
      <c r="P21" s="91">
        <f>SUM(D21:O21)</f>
        <v>0</v>
      </c>
    </row>
    <row r="22" spans="3:16" ht="24.95" customHeight="1" x14ac:dyDescent="0.25">
      <c r="C22" s="44" t="str">
        <f>'2027'!C22</f>
        <v>Comércio</v>
      </c>
      <c r="D22" s="90">
        <f>'2027'!D22</f>
        <v>134725</v>
      </c>
      <c r="E22" s="90">
        <f>'2027'!E22</f>
        <v>108391</v>
      </c>
      <c r="F22" s="90">
        <f>'2027'!F22</f>
        <v>133613</v>
      </c>
      <c r="G22" s="90">
        <f>'2027'!G22</f>
        <v>120356</v>
      </c>
      <c r="H22" s="90">
        <f>'2027'!H22</f>
        <v>119059</v>
      </c>
      <c r="I22" s="90">
        <f>'2027'!I22</f>
        <v>104241</v>
      </c>
      <c r="J22" s="90">
        <f>'2027'!J22</f>
        <v>123748</v>
      </c>
      <c r="K22" s="90">
        <f>'2027'!K22</f>
        <v>102602</v>
      </c>
      <c r="L22" s="90">
        <f>'2027'!L22</f>
        <v>109759</v>
      </c>
      <c r="M22" s="90">
        <f>'2027'!M22</f>
        <v>115659</v>
      </c>
      <c r="N22" s="90">
        <f>'2027'!N22</f>
        <v>110531</v>
      </c>
      <c r="O22" s="90">
        <f>'2027'!O22</f>
        <v>109533</v>
      </c>
      <c r="P22" s="93">
        <f>SUM(D22:O22)</f>
        <v>1392217</v>
      </c>
    </row>
    <row r="23" spans="3:16" ht="24.95" customHeight="1" x14ac:dyDescent="0.25">
      <c r="C23" s="44" t="str">
        <f>'2027'!C23</f>
        <v>Serviços</v>
      </c>
      <c r="D23" s="90">
        <f>'2027'!D23</f>
        <v>0</v>
      </c>
      <c r="E23" s="90">
        <f>'2027'!E23</f>
        <v>0</v>
      </c>
      <c r="F23" s="90">
        <f>'2027'!F23</f>
        <v>0</v>
      </c>
      <c r="G23" s="90">
        <f>'2027'!G23</f>
        <v>0</v>
      </c>
      <c r="H23" s="90">
        <f>'2027'!H23</f>
        <v>0</v>
      </c>
      <c r="I23" s="90">
        <f>'2027'!I23</f>
        <v>0</v>
      </c>
      <c r="J23" s="90">
        <f>'2027'!J23</f>
        <v>0</v>
      </c>
      <c r="K23" s="90">
        <f>'2027'!K23</f>
        <v>0</v>
      </c>
      <c r="L23" s="90">
        <f>'2027'!L23</f>
        <v>0</v>
      </c>
      <c r="M23" s="90">
        <f>'2027'!M23</f>
        <v>0</v>
      </c>
      <c r="N23" s="90">
        <f>'2027'!N23</f>
        <v>0</v>
      </c>
      <c r="O23" s="90">
        <f>'2027'!O23</f>
        <v>0</v>
      </c>
      <c r="P23" s="93">
        <f>SUM(D23:O23)</f>
        <v>0</v>
      </c>
    </row>
    <row r="24" spans="3:16" ht="24.95" customHeight="1" x14ac:dyDescent="0.25">
      <c r="C24" s="43" t="str">
        <f>'2027'!C24</f>
        <v/>
      </c>
      <c r="D24" s="90" t="str">
        <f>'2027'!D24</f>
        <v/>
      </c>
      <c r="E24" s="90" t="str">
        <f>'2027'!E24</f>
        <v/>
      </c>
      <c r="F24" s="90" t="str">
        <f>'2027'!F24</f>
        <v/>
      </c>
      <c r="G24" s="90" t="str">
        <f>'2027'!G24</f>
        <v/>
      </c>
      <c r="H24" s="90" t="str">
        <f>'2027'!H24</f>
        <v/>
      </c>
      <c r="I24" s="90" t="str">
        <f>'2027'!I24</f>
        <v/>
      </c>
      <c r="J24" s="90" t="str">
        <f>'2027'!J24</f>
        <v/>
      </c>
      <c r="K24" s="90" t="str">
        <f>'2027'!K24</f>
        <v/>
      </c>
      <c r="L24" s="90" t="str">
        <f>'2027'!L24</f>
        <v/>
      </c>
      <c r="M24" s="90" t="str">
        <f>'2027'!M24</f>
        <v/>
      </c>
      <c r="N24" s="90" t="str">
        <f>'2027'!N24</f>
        <v/>
      </c>
      <c r="O24" s="90" t="str">
        <f>'2027'!O24</f>
        <v/>
      </c>
      <c r="P24" s="93">
        <f t="shared" ref="P24:P34" si="5">SUM(D24:O24)</f>
        <v>0</v>
      </c>
    </row>
    <row r="25" spans="3:16" ht="24.95" customHeight="1" x14ac:dyDescent="0.25">
      <c r="C25" s="43" t="str">
        <f>'2027'!C25</f>
        <v/>
      </c>
      <c r="D25" s="90" t="str">
        <f>'2027'!D25</f>
        <v/>
      </c>
      <c r="E25" s="90" t="str">
        <f>'2027'!E25</f>
        <v/>
      </c>
      <c r="F25" s="90" t="str">
        <f>'2027'!F25</f>
        <v/>
      </c>
      <c r="G25" s="90" t="str">
        <f>'2027'!G25</f>
        <v/>
      </c>
      <c r="H25" s="90" t="str">
        <f>'2027'!H25</f>
        <v/>
      </c>
      <c r="I25" s="90" t="str">
        <f>'2027'!I25</f>
        <v/>
      </c>
      <c r="J25" s="90" t="str">
        <f>'2027'!J25</f>
        <v/>
      </c>
      <c r="K25" s="90" t="str">
        <f>'2027'!K25</f>
        <v/>
      </c>
      <c r="L25" s="90" t="str">
        <f>'2027'!L25</f>
        <v/>
      </c>
      <c r="M25" s="90" t="str">
        <f>'2027'!M25</f>
        <v/>
      </c>
      <c r="N25" s="90" t="str">
        <f>'2027'!N25</f>
        <v/>
      </c>
      <c r="O25" s="90" t="str">
        <f>'2027'!O25</f>
        <v/>
      </c>
      <c r="P25" s="93">
        <f t="shared" si="5"/>
        <v>0</v>
      </c>
    </row>
    <row r="26" spans="3:16" ht="24.95" customHeight="1" x14ac:dyDescent="0.25">
      <c r="C26" s="198" t="s">
        <v>209</v>
      </c>
      <c r="D26" s="100">
        <f>Desp!D19</f>
        <v>0</v>
      </c>
      <c r="E26" s="99">
        <f>Desp!E19</f>
        <v>0</v>
      </c>
      <c r="F26" s="99">
        <f>Desp!F19</f>
        <v>0</v>
      </c>
      <c r="G26" s="99">
        <f>Desp!G19</f>
        <v>0</v>
      </c>
      <c r="H26" s="99">
        <f>Desp!H19</f>
        <v>0</v>
      </c>
      <c r="I26" s="99">
        <f>Desp!I19</f>
        <v>0</v>
      </c>
      <c r="J26" s="99">
        <f>Desp!J19</f>
        <v>0</v>
      </c>
      <c r="K26" s="99">
        <f>Desp!K19</f>
        <v>0</v>
      </c>
      <c r="L26" s="99">
        <f>Desp!L19</f>
        <v>0</v>
      </c>
      <c r="M26" s="99">
        <f>Desp!M19</f>
        <v>0</v>
      </c>
      <c r="N26" s="99">
        <f>Desp!N19</f>
        <v>0</v>
      </c>
      <c r="O26" s="100">
        <f>Desp!O19</f>
        <v>0</v>
      </c>
      <c r="P26" s="93">
        <f t="shared" si="5"/>
        <v>0</v>
      </c>
    </row>
    <row r="27" spans="3:16" ht="24.95" customHeight="1" x14ac:dyDescent="0.25">
      <c r="C27" s="196" t="s">
        <v>210</v>
      </c>
      <c r="D27" s="97">
        <f>SUM(D21:D25)-D26</f>
        <v>134725</v>
      </c>
      <c r="E27" s="97">
        <f t="shared" ref="E27:O27" si="6">SUM(E21:E25)-E26</f>
        <v>108391</v>
      </c>
      <c r="F27" s="97">
        <f t="shared" si="6"/>
        <v>133613</v>
      </c>
      <c r="G27" s="97">
        <f t="shared" si="6"/>
        <v>120356</v>
      </c>
      <c r="H27" s="97">
        <f t="shared" si="6"/>
        <v>119059</v>
      </c>
      <c r="I27" s="97">
        <f t="shared" si="6"/>
        <v>104241</v>
      </c>
      <c r="J27" s="97">
        <f t="shared" si="6"/>
        <v>123748</v>
      </c>
      <c r="K27" s="97">
        <f t="shared" si="6"/>
        <v>102602</v>
      </c>
      <c r="L27" s="97">
        <f t="shared" si="6"/>
        <v>109759</v>
      </c>
      <c r="M27" s="97">
        <f t="shared" si="6"/>
        <v>115659</v>
      </c>
      <c r="N27" s="97">
        <f t="shared" si="6"/>
        <v>110531</v>
      </c>
      <c r="O27" s="97">
        <f t="shared" si="6"/>
        <v>109533</v>
      </c>
      <c r="P27" s="93">
        <f t="shared" si="5"/>
        <v>1392217</v>
      </c>
    </row>
    <row r="28" spans="3:16" ht="24.95" hidden="1" customHeight="1" x14ac:dyDescent="0.25">
      <c r="C28" s="44" t="s">
        <v>214</v>
      </c>
      <c r="D28" s="90">
        <v>0</v>
      </c>
      <c r="E28" s="90">
        <v>0</v>
      </c>
      <c r="F28" s="90">
        <v>0</v>
      </c>
      <c r="G28" s="90">
        <v>0</v>
      </c>
      <c r="H28" s="90">
        <v>0</v>
      </c>
      <c r="I28" s="90">
        <v>0</v>
      </c>
      <c r="J28" s="90">
        <v>0</v>
      </c>
      <c r="K28" s="90">
        <v>0</v>
      </c>
      <c r="L28" s="90">
        <v>0</v>
      </c>
      <c r="M28" s="90">
        <v>0</v>
      </c>
      <c r="N28" s="90">
        <v>0</v>
      </c>
      <c r="O28" s="90">
        <v>0</v>
      </c>
      <c r="P28" s="93">
        <f t="shared" si="5"/>
        <v>0</v>
      </c>
    </row>
    <row r="29" spans="3:16" ht="24.95" hidden="1" customHeight="1" x14ac:dyDescent="0.25">
      <c r="C29" s="44" t="s">
        <v>215</v>
      </c>
      <c r="D29" s="90">
        <v>0</v>
      </c>
      <c r="E29" s="90">
        <v>0</v>
      </c>
      <c r="F29" s="90">
        <v>0</v>
      </c>
      <c r="G29" s="90">
        <v>0</v>
      </c>
      <c r="H29" s="90">
        <v>0</v>
      </c>
      <c r="I29" s="90">
        <v>0</v>
      </c>
      <c r="J29" s="90">
        <v>0</v>
      </c>
      <c r="K29" s="90">
        <v>0</v>
      </c>
      <c r="L29" s="90">
        <v>0</v>
      </c>
      <c r="M29" s="90">
        <v>0</v>
      </c>
      <c r="N29" s="90">
        <v>0</v>
      </c>
      <c r="O29" s="90">
        <v>0</v>
      </c>
      <c r="P29" s="93">
        <f t="shared" si="5"/>
        <v>0</v>
      </c>
    </row>
    <row r="30" spans="3:16" ht="24.95" customHeight="1" x14ac:dyDescent="0.25">
      <c r="C30" s="44" t="s">
        <v>216</v>
      </c>
      <c r="D30" s="90">
        <f>IF('BH (1)'!$D$4="Simples Nacional",Simp6!D16,'Fat6'!D13)</f>
        <v>16167</v>
      </c>
      <c r="E30" s="90">
        <f>IF('BH (1)'!$D$4="Simples Nacional",Simp6!E16,'Fat6'!E13)</f>
        <v>13006.92</v>
      </c>
      <c r="F30" s="90">
        <f>IF('BH (1)'!$D$4="Simples Nacional",Simp6!F16,'Fat6'!F13)</f>
        <v>16033.56</v>
      </c>
      <c r="G30" s="90">
        <f>IF('BH (1)'!$D$4="Simples Nacional",Simp6!G16,'Fat6'!G13)</f>
        <v>14442.72</v>
      </c>
      <c r="H30" s="90">
        <f>IF('BH (1)'!$D$4="Simples Nacional",Simp6!H16,'Fat6'!H13)</f>
        <v>14287.08</v>
      </c>
      <c r="I30" s="90">
        <f>IF('BH (1)'!$D$4="Simples Nacional",Simp6!I16,'Fat6'!I13)</f>
        <v>12508.92</v>
      </c>
      <c r="J30" s="90">
        <f>IF('BH (1)'!$D$4="Simples Nacional",Simp6!J16,'Fat6'!J13)</f>
        <v>14849.76</v>
      </c>
      <c r="K30" s="90">
        <f>IF('BH (1)'!$D$4="Simples Nacional",Simp6!K16,'Fat6'!K13)</f>
        <v>12312.24</v>
      </c>
      <c r="L30" s="90">
        <f>IF('BH (1)'!$D$4="Simples Nacional",Simp6!L16,'Fat6'!L13)</f>
        <v>13171.08</v>
      </c>
      <c r="M30" s="90">
        <f>IF('BH (1)'!$D$4="Simples Nacional",Simp6!M16,'Fat6'!M13)</f>
        <v>13879.08</v>
      </c>
      <c r="N30" s="90">
        <f>IF('BH (1)'!$D$4="Simples Nacional",Simp6!N16,'Fat6'!N13)</f>
        <v>13263.72</v>
      </c>
      <c r="O30" s="90">
        <f>IF('BH (1)'!$D$4="Simples Nacional",Simp6!O16,'Fat6'!O13)</f>
        <v>13143.96</v>
      </c>
      <c r="P30" s="93">
        <f t="shared" si="5"/>
        <v>167066.03999999998</v>
      </c>
    </row>
    <row r="31" spans="3:16" ht="24.95" hidden="1" customHeight="1" x14ac:dyDescent="0.25">
      <c r="C31" s="44" t="s">
        <v>217</v>
      </c>
      <c r="D31" s="90">
        <v>0</v>
      </c>
      <c r="E31" s="90">
        <v>0</v>
      </c>
      <c r="F31" s="90">
        <v>0</v>
      </c>
      <c r="G31" s="90">
        <v>0</v>
      </c>
      <c r="H31" s="90">
        <v>0</v>
      </c>
      <c r="I31" s="90">
        <v>0</v>
      </c>
      <c r="J31" s="90">
        <v>0</v>
      </c>
      <c r="K31" s="90">
        <v>0</v>
      </c>
      <c r="L31" s="90">
        <v>0</v>
      </c>
      <c r="M31" s="90">
        <v>0</v>
      </c>
      <c r="N31" s="90">
        <v>0</v>
      </c>
      <c r="O31" s="90">
        <v>0</v>
      </c>
      <c r="P31" s="93">
        <f t="shared" si="5"/>
        <v>0</v>
      </c>
    </row>
    <row r="32" spans="3:16" ht="24.95" customHeight="1" x14ac:dyDescent="0.25">
      <c r="C32" s="44" t="s">
        <v>218</v>
      </c>
      <c r="D32" s="90">
        <f>IF('BH (1)'!$D$4="Simples Nacional",Simp6!D18,'Fat6'!D15)</f>
        <v>0</v>
      </c>
      <c r="E32" s="90">
        <f>IF('BH (1)'!$D$4="Simples Nacional",Simp6!E18,'Fat6'!E15)</f>
        <v>0</v>
      </c>
      <c r="F32" s="90">
        <f>IF('BH (1)'!$D$4="Simples Nacional",Simp6!F18,'Fat6'!F15)</f>
        <v>0</v>
      </c>
      <c r="G32" s="90">
        <f>IF('BH (1)'!$D$4="Simples Nacional",Simp6!G18,'Fat6'!G15)</f>
        <v>0</v>
      </c>
      <c r="H32" s="90">
        <f>IF('BH (1)'!$D$4="Simples Nacional",Simp6!H18,'Fat6'!H15)</f>
        <v>0</v>
      </c>
      <c r="I32" s="90">
        <f>IF('BH (1)'!$D$4="Simples Nacional",Simp6!I18,'Fat6'!I15)</f>
        <v>0</v>
      </c>
      <c r="J32" s="90">
        <f>IF('BH (1)'!$D$4="Simples Nacional",Simp6!J18,'Fat6'!J15)</f>
        <v>0</v>
      </c>
      <c r="K32" s="90">
        <f>IF('BH (1)'!$D$4="Simples Nacional",Simp6!K18,'Fat6'!K15)</f>
        <v>0</v>
      </c>
      <c r="L32" s="90">
        <f>IF('BH (1)'!$D$4="Simples Nacional",Simp6!L18,'Fat6'!L15)</f>
        <v>0</v>
      </c>
      <c r="M32" s="90">
        <f>IF('BH (1)'!$D$4="Simples Nacional",Simp6!M18,'Fat6'!M15)</f>
        <v>0</v>
      </c>
      <c r="N32" s="90">
        <f>IF('BH (1)'!$D$4="Simples Nacional",Simp6!N18,'Fat6'!N15)</f>
        <v>0</v>
      </c>
      <c r="O32" s="90">
        <f>IF('BH (1)'!$D$4="Simples Nacional",Simp6!O18,'Fat6'!O15)</f>
        <v>0</v>
      </c>
      <c r="P32" s="93">
        <f t="shared" si="5"/>
        <v>0</v>
      </c>
    </row>
    <row r="33" spans="3:16" ht="24.95" customHeight="1" x14ac:dyDescent="0.25">
      <c r="C33" s="44" t="s">
        <v>247</v>
      </c>
      <c r="D33" s="90">
        <f>D81</f>
        <v>12408.172500000001</v>
      </c>
      <c r="E33" s="90">
        <f t="shared" ref="E33:O33" si="7">E81</f>
        <v>9982.8111000000008</v>
      </c>
      <c r="F33" s="90">
        <f t="shared" si="7"/>
        <v>12305.757299999999</v>
      </c>
      <c r="G33" s="90">
        <f t="shared" si="7"/>
        <v>11084.7876</v>
      </c>
      <c r="H33" s="90">
        <f t="shared" si="7"/>
        <v>10965.3339</v>
      </c>
      <c r="I33" s="90">
        <f t="shared" si="7"/>
        <v>9600.5961000000007</v>
      </c>
      <c r="J33" s="90">
        <f t="shared" si="7"/>
        <v>11397.1908</v>
      </c>
      <c r="K33" s="90">
        <f t="shared" si="7"/>
        <v>9449.6442000000006</v>
      </c>
      <c r="L33" s="90">
        <f t="shared" si="7"/>
        <v>10108.803900000001</v>
      </c>
      <c r="M33" s="90">
        <f t="shared" si="7"/>
        <v>10652.1939</v>
      </c>
      <c r="N33" s="90">
        <f t="shared" si="7"/>
        <v>10179.9051</v>
      </c>
      <c r="O33" s="90">
        <f t="shared" si="7"/>
        <v>10087.989299999999</v>
      </c>
      <c r="P33" s="93">
        <f t="shared" si="5"/>
        <v>128223.18569999999</v>
      </c>
    </row>
    <row r="34" spans="3:16" ht="24.95" customHeight="1" x14ac:dyDescent="0.25">
      <c r="C34" s="198" t="s">
        <v>248</v>
      </c>
      <c r="D34" s="99">
        <f>D6</f>
        <v>134.72499999999999</v>
      </c>
      <c r="E34" s="99">
        <f t="shared" ref="E34:O34" si="8">E6</f>
        <v>108.39100000000001</v>
      </c>
      <c r="F34" s="99">
        <f t="shared" si="8"/>
        <v>133.613</v>
      </c>
      <c r="G34" s="99">
        <f t="shared" si="8"/>
        <v>120.35600000000001</v>
      </c>
      <c r="H34" s="99">
        <f t="shared" si="8"/>
        <v>119.059</v>
      </c>
      <c r="I34" s="99">
        <f t="shared" si="8"/>
        <v>104.241</v>
      </c>
      <c r="J34" s="99">
        <f t="shared" si="8"/>
        <v>123.748</v>
      </c>
      <c r="K34" s="99">
        <f t="shared" si="8"/>
        <v>102.602</v>
      </c>
      <c r="L34" s="99">
        <f t="shared" si="8"/>
        <v>109.759</v>
      </c>
      <c r="M34" s="99">
        <f t="shared" si="8"/>
        <v>115.65900000000001</v>
      </c>
      <c r="N34" s="99">
        <f t="shared" si="8"/>
        <v>110.53100000000001</v>
      </c>
      <c r="O34" s="99">
        <f t="shared" si="8"/>
        <v>109.533</v>
      </c>
      <c r="P34" s="93">
        <f t="shared" si="5"/>
        <v>1392.2169999999999</v>
      </c>
    </row>
    <row r="35" spans="3:16" ht="24.95" customHeight="1" x14ac:dyDescent="0.25">
      <c r="C35" s="199" t="s">
        <v>211</v>
      </c>
      <c r="D35" s="97">
        <f>D27-SUM(D28:D34)</f>
        <v>106015.10250000001</v>
      </c>
      <c r="E35" s="97">
        <f t="shared" ref="E35:O35" si="9">E27-SUM(E28:E34)</f>
        <v>85292.877899999992</v>
      </c>
      <c r="F35" s="97">
        <f t="shared" si="9"/>
        <v>105140.06969999999</v>
      </c>
      <c r="G35" s="97">
        <f t="shared" si="9"/>
        <v>94708.136400000003</v>
      </c>
      <c r="H35" s="97">
        <f t="shared" si="9"/>
        <v>93687.527100000007</v>
      </c>
      <c r="I35" s="97">
        <f t="shared" si="9"/>
        <v>82027.242899999997</v>
      </c>
      <c r="J35" s="97">
        <f t="shared" si="9"/>
        <v>97377.301200000002</v>
      </c>
      <c r="K35" s="97">
        <f t="shared" si="9"/>
        <v>80737.513800000001</v>
      </c>
      <c r="L35" s="97">
        <f t="shared" si="9"/>
        <v>86369.357099999994</v>
      </c>
      <c r="M35" s="97">
        <f t="shared" si="9"/>
        <v>91012.0671</v>
      </c>
      <c r="N35" s="97">
        <f t="shared" si="9"/>
        <v>86976.843900000007</v>
      </c>
      <c r="O35" s="97">
        <f t="shared" si="9"/>
        <v>86191.517699999997</v>
      </c>
      <c r="P35" s="93">
        <f>SUM(D35:O35)</f>
        <v>1095535.5573</v>
      </c>
    </row>
    <row r="36" spans="3:16" ht="24.95" customHeight="1" x14ac:dyDescent="0.25">
      <c r="C36" s="43" t="s">
        <v>219</v>
      </c>
      <c r="D36" s="90">
        <f>Cus!D5</f>
        <v>0</v>
      </c>
      <c r="E36" s="90">
        <f>Cus!E5</f>
        <v>0</v>
      </c>
      <c r="F36" s="90">
        <f>Cus!F5</f>
        <v>0</v>
      </c>
      <c r="G36" s="90">
        <f>Cus!G5</f>
        <v>0</v>
      </c>
      <c r="H36" s="90">
        <f>Cus!H5</f>
        <v>0</v>
      </c>
      <c r="I36" s="90">
        <f>Cus!I5</f>
        <v>0</v>
      </c>
      <c r="J36" s="90">
        <f>Cus!J5</f>
        <v>0</v>
      </c>
      <c r="K36" s="90">
        <f>Cus!K5</f>
        <v>0</v>
      </c>
      <c r="L36" s="90">
        <f>Cus!L5</f>
        <v>0</v>
      </c>
      <c r="M36" s="90">
        <f>Cus!M5</f>
        <v>0</v>
      </c>
      <c r="N36" s="90">
        <f>Cus!N5</f>
        <v>0</v>
      </c>
      <c r="O36" s="90">
        <f>Cus!O5</f>
        <v>0</v>
      </c>
      <c r="P36" s="93">
        <f t="shared" ref="P36:P45" si="10">SUM(D36:O36)</f>
        <v>0</v>
      </c>
    </row>
    <row r="37" spans="3:16" ht="24.95" customHeight="1" x14ac:dyDescent="0.25">
      <c r="C37" s="44" t="s">
        <v>220</v>
      </c>
      <c r="D37" s="90">
        <f>Cus!D6</f>
        <v>38671</v>
      </c>
      <c r="E37" s="90">
        <f>Cus!E6</f>
        <v>35038</v>
      </c>
      <c r="F37" s="90">
        <f>Cus!F6</f>
        <v>38988</v>
      </c>
      <c r="G37" s="90">
        <f>Cus!G6</f>
        <v>36366</v>
      </c>
      <c r="H37" s="90">
        <f>Cus!H6</f>
        <v>36221</v>
      </c>
      <c r="I37" s="90">
        <f>Cus!I6</f>
        <v>36625</v>
      </c>
      <c r="J37" s="90">
        <f>Cus!J6</f>
        <v>37727</v>
      </c>
      <c r="K37" s="90">
        <f>Cus!K6</f>
        <v>38303</v>
      </c>
      <c r="L37" s="90">
        <f>Cus!L6</f>
        <v>39407</v>
      </c>
      <c r="M37" s="90">
        <f>Cus!M6</f>
        <v>36094</v>
      </c>
      <c r="N37" s="90">
        <f>Cus!N6</f>
        <v>37011</v>
      </c>
      <c r="O37" s="90">
        <f>Cus!O6</f>
        <v>39167</v>
      </c>
      <c r="P37" s="93">
        <f t="shared" si="10"/>
        <v>449618</v>
      </c>
    </row>
    <row r="38" spans="3:16" ht="24.95" customHeight="1" x14ac:dyDescent="0.25">
      <c r="C38" s="44" t="s">
        <v>221</v>
      </c>
      <c r="D38" s="126">
        <f>Cus!D7</f>
        <v>0</v>
      </c>
      <c r="E38" s="125">
        <f>Cus!E7</f>
        <v>0</v>
      </c>
      <c r="F38" s="125">
        <f>Cus!F7</f>
        <v>0</v>
      </c>
      <c r="G38" s="125">
        <f>Cus!G7</f>
        <v>0</v>
      </c>
      <c r="H38" s="125">
        <f>Cus!H7</f>
        <v>0</v>
      </c>
      <c r="I38" s="125">
        <f>Cus!I7</f>
        <v>0</v>
      </c>
      <c r="J38" s="125">
        <f>Cus!J7</f>
        <v>0</v>
      </c>
      <c r="K38" s="125">
        <f>Cus!K7</f>
        <v>0</v>
      </c>
      <c r="L38" s="125">
        <f>Cus!L7</f>
        <v>0</v>
      </c>
      <c r="M38" s="125">
        <f>Cus!M7</f>
        <v>0</v>
      </c>
      <c r="N38" s="125">
        <f>Cus!N7</f>
        <v>0</v>
      </c>
      <c r="O38" s="126">
        <f>Cus!O7</f>
        <v>0</v>
      </c>
      <c r="P38" s="93">
        <f t="shared" si="10"/>
        <v>0</v>
      </c>
    </row>
    <row r="39" spans="3:16" ht="24.95" customHeight="1" x14ac:dyDescent="0.25">
      <c r="C39" s="228" t="s">
        <v>353</v>
      </c>
      <c r="D39" s="263">
        <f>IF('BH (1)'!$D$4="Simples Nacional",IF('BH (1)'!$C$15=1,0,D79),D79+Lançamentos!D12+Lançamentos!D13+Lançamentos!D14)</f>
        <v>6877.3319999999994</v>
      </c>
      <c r="E39" s="263">
        <f>IF('BH (1)'!$D$4="Simples Nacional",IF('BH (1)'!$C$15=1,0,E79),E79+Lançamentos!E12+Lançamentos!E13+Lançamentos!E14)</f>
        <v>6689.865600000001</v>
      </c>
      <c r="F39" s="263">
        <f>IF('BH (1)'!$D$4="Simples Nacional",IF('BH (1)'!$C$15=1,0,F79),F79+Lançamentos!F12+Lançamentos!F13+Lançamentos!F14)</f>
        <v>6566.5511999999999</v>
      </c>
      <c r="G39" s="263">
        <f>IF('BH (1)'!$D$4="Simples Nacional",IF('BH (1)'!$C$15=1,0,G79),G79+Lançamentos!G12+Lançamentos!G13+Lançamentos!G14)</f>
        <v>6497.8847999999998</v>
      </c>
      <c r="H39" s="263">
        <f>IF('BH (1)'!$D$4="Simples Nacional",IF('BH (1)'!$C$15=1,0,H79),H79+Lançamentos!H12+Lançamentos!H13+Lançamentos!H14)</f>
        <v>6555.384</v>
      </c>
      <c r="I39" s="263">
        <f>IF('BH (1)'!$D$4="Simples Nacional",IF('BH (1)'!$C$15=1,0,I79),I79+Lançamentos!I12+Lançamentos!I13+Lançamentos!I14)</f>
        <v>6566.076</v>
      </c>
      <c r="J39" s="263">
        <f>IF('BH (1)'!$D$4="Simples Nacional",IF('BH (1)'!$C$15=1,0,J79),J79+Lançamentos!J12+Lançamentos!J13+Lançamentos!J14)</f>
        <v>6016.7448000000004</v>
      </c>
      <c r="K39" s="263">
        <f>IF('BH (1)'!$D$4="Simples Nacional",IF('BH (1)'!$C$15=1,0,K79),K79+Lançamentos!K12+Lançamentos!K13+Lançamentos!K14)</f>
        <v>6844.5432000000001</v>
      </c>
      <c r="L39" s="263">
        <f>IF('BH (1)'!$D$4="Simples Nacional",IF('BH (1)'!$C$15=1,0,L79),L79+Lançamentos!L12+Lançamentos!L13+Lançamentos!L14)</f>
        <v>6031.4760000000006</v>
      </c>
      <c r="M39" s="263">
        <f>IF('BH (1)'!$D$4="Simples Nacional",IF('BH (1)'!$C$15=1,0,M79),M79+Lançamentos!M12+Lançamentos!M13+Lançamentos!M14)</f>
        <v>7157.4623999999994</v>
      </c>
      <c r="N39" s="263">
        <f>IF('BH (1)'!$D$4="Simples Nacional",IF('BH (1)'!$C$15=1,0,N79),N79+Lançamentos!N12+Lançamentos!N13+Lançamentos!N14)</f>
        <v>6518.7936</v>
      </c>
      <c r="O39" s="263">
        <f>IF('BH (1)'!$D$4="Simples Nacional",IF('BH (1)'!$C$15=1,0,O79),O79+Lançamentos!O12+Lançamentos!O13+Lançamentos!O14)</f>
        <v>6126.2783999999992</v>
      </c>
      <c r="P39" s="93">
        <f>SUM(D39:O39)</f>
        <v>78448.392000000007</v>
      </c>
    </row>
    <row r="40" spans="3:16" ht="24.95" customHeight="1" x14ac:dyDescent="0.25">
      <c r="C40" s="196" t="s">
        <v>212</v>
      </c>
      <c r="D40" s="97">
        <f>IFERROR(IF(SUM(D36:D38)=0,D35-SUM(D36:D38),D35-SUM(D36:D38)+D39),0)</f>
        <v>74221.434500000003</v>
      </c>
      <c r="E40" s="97">
        <f t="shared" ref="E40:N40" si="11">IFERROR(IF(SUM(E36:E38)=0,E35-SUM(E36:E38),E35-SUM(E36:E38)+E39),0)</f>
        <v>56944.743499999997</v>
      </c>
      <c r="F40" s="97">
        <f t="shared" si="11"/>
        <v>72718.620899999994</v>
      </c>
      <c r="G40" s="97">
        <f t="shared" si="11"/>
        <v>64840.021200000003</v>
      </c>
      <c r="H40" s="97">
        <f t="shared" si="11"/>
        <v>64021.911100000005</v>
      </c>
      <c r="I40" s="97">
        <f t="shared" si="11"/>
        <v>51968.318899999998</v>
      </c>
      <c r="J40" s="97">
        <f t="shared" si="11"/>
        <v>65667.046000000002</v>
      </c>
      <c r="K40" s="97">
        <f t="shared" si="11"/>
        <v>49279.057000000001</v>
      </c>
      <c r="L40" s="97">
        <f t="shared" si="11"/>
        <v>52993.833099999996</v>
      </c>
      <c r="M40" s="97">
        <f t="shared" si="11"/>
        <v>62075.529499999997</v>
      </c>
      <c r="N40" s="97">
        <f t="shared" si="11"/>
        <v>56484.637500000004</v>
      </c>
      <c r="O40" s="97">
        <f>IFERROR(IF(SUM(O36:O38)=0,O35-SUM(O36:O38),O35-SUM(O36:O38)+O39),0)</f>
        <v>53150.796099999992</v>
      </c>
      <c r="P40" s="93">
        <f>SUM(D40:O40)</f>
        <v>724365.94930000009</v>
      </c>
    </row>
    <row r="41" spans="3:16" ht="24.95" customHeight="1" x14ac:dyDescent="0.25">
      <c r="C41" s="44" t="s">
        <v>226</v>
      </c>
      <c r="D41" s="90">
        <f>Desp!D5</f>
        <v>26739</v>
      </c>
      <c r="E41" s="90">
        <f>Desp!E5</f>
        <v>27419</v>
      </c>
      <c r="F41" s="90">
        <f>Desp!F5</f>
        <v>25474</v>
      </c>
      <c r="G41" s="90">
        <f>Desp!G5</f>
        <v>27975</v>
      </c>
      <c r="H41" s="90">
        <f>Desp!H5</f>
        <v>26284</v>
      </c>
      <c r="I41" s="90">
        <f>Desp!I5</f>
        <v>27556</v>
      </c>
      <c r="J41" s="90">
        <f>Desp!J5</f>
        <v>27311</v>
      </c>
      <c r="K41" s="90">
        <f>Desp!K5</f>
        <v>27931</v>
      </c>
      <c r="L41" s="90">
        <f>Desp!L5</f>
        <v>26172</v>
      </c>
      <c r="M41" s="90">
        <f>Desp!M5</f>
        <v>27441</v>
      </c>
      <c r="N41" s="90">
        <f>Desp!N5</f>
        <v>27567</v>
      </c>
      <c r="O41" s="90">
        <f>Desp!O5</f>
        <v>27298</v>
      </c>
      <c r="P41" s="93">
        <f t="shared" si="10"/>
        <v>325167</v>
      </c>
    </row>
    <row r="42" spans="3:16" ht="24.95" customHeight="1" x14ac:dyDescent="0.25">
      <c r="C42" s="44" t="s">
        <v>227</v>
      </c>
      <c r="D42" s="90">
        <f>Desp!D6</f>
        <v>0</v>
      </c>
      <c r="E42" s="90">
        <f>Desp!E6</f>
        <v>0</v>
      </c>
      <c r="F42" s="90">
        <f>Desp!F6</f>
        <v>0</v>
      </c>
      <c r="G42" s="90">
        <f>Desp!G6</f>
        <v>0</v>
      </c>
      <c r="H42" s="90">
        <f>Desp!H6</f>
        <v>0</v>
      </c>
      <c r="I42" s="90">
        <f>Desp!I6</f>
        <v>0</v>
      </c>
      <c r="J42" s="90">
        <f>Desp!J6</f>
        <v>0</v>
      </c>
      <c r="K42" s="90">
        <f>Desp!K6</f>
        <v>0</v>
      </c>
      <c r="L42" s="90">
        <f>Desp!L6</f>
        <v>0</v>
      </c>
      <c r="M42" s="90">
        <f>Desp!M6</f>
        <v>0</v>
      </c>
      <c r="N42" s="90">
        <f>Desp!N6</f>
        <v>0</v>
      </c>
      <c r="O42" s="90">
        <f>Desp!O6</f>
        <v>0</v>
      </c>
      <c r="P42" s="93">
        <f t="shared" si="10"/>
        <v>0</v>
      </c>
    </row>
    <row r="43" spans="3:16" ht="24.95" customHeight="1" x14ac:dyDescent="0.25">
      <c r="C43" s="44" t="s">
        <v>228</v>
      </c>
      <c r="D43" s="90">
        <f>Desp!D7</f>
        <v>0</v>
      </c>
      <c r="E43" s="90">
        <f>Desp!E7</f>
        <v>0</v>
      </c>
      <c r="F43" s="90">
        <f>Desp!F7</f>
        <v>0</v>
      </c>
      <c r="G43" s="90">
        <f>Desp!G7</f>
        <v>0</v>
      </c>
      <c r="H43" s="90">
        <f>Desp!H7</f>
        <v>0</v>
      </c>
      <c r="I43" s="90">
        <f>Desp!I7</f>
        <v>0</v>
      </c>
      <c r="J43" s="90">
        <f>Desp!J7</f>
        <v>0</v>
      </c>
      <c r="K43" s="90">
        <f>Desp!K7</f>
        <v>0</v>
      </c>
      <c r="L43" s="90">
        <f>Desp!L7</f>
        <v>0</v>
      </c>
      <c r="M43" s="90">
        <f>Desp!M7</f>
        <v>0</v>
      </c>
      <c r="N43" s="90">
        <f>Desp!N7</f>
        <v>0</v>
      </c>
      <c r="O43" s="90">
        <f>Desp!O7</f>
        <v>0</v>
      </c>
      <c r="P43" s="93">
        <f t="shared" si="10"/>
        <v>0</v>
      </c>
    </row>
    <row r="44" spans="3:16" ht="24.95" customHeight="1" x14ac:dyDescent="0.25">
      <c r="C44" s="44" t="s">
        <v>229</v>
      </c>
      <c r="D44" s="90">
        <f>Desp!D8</f>
        <v>0</v>
      </c>
      <c r="E44" s="90">
        <f>Desp!E8</f>
        <v>0</v>
      </c>
      <c r="F44" s="90">
        <f>Desp!F8</f>
        <v>0</v>
      </c>
      <c r="G44" s="90">
        <f>Desp!G8</f>
        <v>0</v>
      </c>
      <c r="H44" s="90">
        <f>Desp!H8</f>
        <v>0</v>
      </c>
      <c r="I44" s="90">
        <f>Desp!I8</f>
        <v>0</v>
      </c>
      <c r="J44" s="90">
        <f>Desp!J8</f>
        <v>0</v>
      </c>
      <c r="K44" s="90">
        <f>Desp!K8</f>
        <v>0</v>
      </c>
      <c r="L44" s="90">
        <f>Desp!L8</f>
        <v>0</v>
      </c>
      <c r="M44" s="90">
        <f>Desp!M8</f>
        <v>0</v>
      </c>
      <c r="N44" s="90">
        <f>Desp!N8</f>
        <v>0</v>
      </c>
      <c r="O44" s="90">
        <f>Desp!O8</f>
        <v>0</v>
      </c>
      <c r="P44" s="93">
        <f t="shared" si="10"/>
        <v>0</v>
      </c>
    </row>
    <row r="45" spans="3:16" ht="24.95" customHeight="1" x14ac:dyDescent="0.25">
      <c r="C45" s="44" t="s">
        <v>230</v>
      </c>
      <c r="D45" s="90">
        <f>Desp!D9</f>
        <v>0</v>
      </c>
      <c r="E45" s="90">
        <f>Desp!E9</f>
        <v>0</v>
      </c>
      <c r="F45" s="90">
        <f>Desp!F9</f>
        <v>0</v>
      </c>
      <c r="G45" s="90">
        <f>Desp!G9</f>
        <v>0</v>
      </c>
      <c r="H45" s="90">
        <f>Desp!H9</f>
        <v>0</v>
      </c>
      <c r="I45" s="90">
        <f>Desp!I9</f>
        <v>0</v>
      </c>
      <c r="J45" s="90">
        <f>Desp!J9</f>
        <v>0</v>
      </c>
      <c r="K45" s="90">
        <f>Desp!K9</f>
        <v>0</v>
      </c>
      <c r="L45" s="90">
        <f>Desp!L9</f>
        <v>0</v>
      </c>
      <c r="M45" s="90">
        <f>Desp!M9</f>
        <v>0</v>
      </c>
      <c r="N45" s="90">
        <f>Desp!N9</f>
        <v>0</v>
      </c>
      <c r="O45" s="90">
        <f>Desp!O9</f>
        <v>0</v>
      </c>
      <c r="P45" s="93">
        <f t="shared" si="10"/>
        <v>0</v>
      </c>
    </row>
    <row r="46" spans="3:16" ht="24.95" customHeight="1" x14ac:dyDescent="0.25">
      <c r="C46" s="44" t="s">
        <v>231</v>
      </c>
      <c r="D46" s="90">
        <f>Desp!D10</f>
        <v>0</v>
      </c>
      <c r="E46" s="90">
        <f>Desp!E10</f>
        <v>0</v>
      </c>
      <c r="F46" s="90">
        <f>Desp!F10</f>
        <v>0</v>
      </c>
      <c r="G46" s="90">
        <f>Desp!G10</f>
        <v>0</v>
      </c>
      <c r="H46" s="90">
        <f>Desp!H10</f>
        <v>0</v>
      </c>
      <c r="I46" s="90">
        <f>Desp!I10</f>
        <v>0</v>
      </c>
      <c r="J46" s="90">
        <f>Desp!J10</f>
        <v>0</v>
      </c>
      <c r="K46" s="90">
        <f>Desp!K10</f>
        <v>0</v>
      </c>
      <c r="L46" s="90">
        <f>Desp!L10</f>
        <v>0</v>
      </c>
      <c r="M46" s="90">
        <f>Desp!M10</f>
        <v>0</v>
      </c>
      <c r="N46" s="90">
        <f>Desp!N10</f>
        <v>0</v>
      </c>
      <c r="O46" s="90">
        <f>Desp!O10</f>
        <v>0</v>
      </c>
      <c r="P46" s="93">
        <f>SUM(D46:O46)</f>
        <v>0</v>
      </c>
    </row>
    <row r="47" spans="3:16" ht="24.95" customHeight="1" x14ac:dyDescent="0.25">
      <c r="C47" s="44" t="s">
        <v>232</v>
      </c>
      <c r="D47" s="90">
        <f>Desp!D11</f>
        <v>0</v>
      </c>
      <c r="E47" s="90">
        <f>Desp!E11</f>
        <v>0</v>
      </c>
      <c r="F47" s="90">
        <f>Desp!F11</f>
        <v>0</v>
      </c>
      <c r="G47" s="90">
        <f>Desp!G11</f>
        <v>0</v>
      </c>
      <c r="H47" s="90">
        <f>Desp!H11</f>
        <v>0</v>
      </c>
      <c r="I47" s="90">
        <f>Desp!I11</f>
        <v>0</v>
      </c>
      <c r="J47" s="90">
        <f>Desp!J11</f>
        <v>0</v>
      </c>
      <c r="K47" s="90">
        <f>Desp!K11</f>
        <v>0</v>
      </c>
      <c r="L47" s="90">
        <f>Desp!L11</f>
        <v>0</v>
      </c>
      <c r="M47" s="90">
        <f>Desp!M11</f>
        <v>0</v>
      </c>
      <c r="N47" s="90">
        <f>Desp!N11</f>
        <v>0</v>
      </c>
      <c r="O47" s="90">
        <f>Desp!O11</f>
        <v>0</v>
      </c>
      <c r="P47" s="93">
        <f>SUM(D47:O47)</f>
        <v>0</v>
      </c>
    </row>
    <row r="48" spans="3:16" ht="24.95" customHeight="1" x14ac:dyDescent="0.25">
      <c r="C48" s="44" t="s">
        <v>234</v>
      </c>
      <c r="D48" s="90">
        <f>Cus!D13</f>
        <v>12000</v>
      </c>
      <c r="E48" s="90">
        <f>Cus!E13</f>
        <v>12000</v>
      </c>
      <c r="F48" s="90">
        <f>Cus!F13</f>
        <v>12000</v>
      </c>
      <c r="G48" s="90">
        <f>Cus!G13</f>
        <v>12000</v>
      </c>
      <c r="H48" s="90">
        <f>Cus!H13</f>
        <v>12000</v>
      </c>
      <c r="I48" s="90">
        <f>Cus!I13</f>
        <v>12000</v>
      </c>
      <c r="J48" s="90">
        <f>Cus!J13</f>
        <v>12000</v>
      </c>
      <c r="K48" s="90">
        <f>Cus!K13</f>
        <v>12000</v>
      </c>
      <c r="L48" s="90">
        <f>Cus!L13</f>
        <v>12000</v>
      </c>
      <c r="M48" s="90">
        <f>Cus!M13</f>
        <v>12000</v>
      </c>
      <c r="N48" s="90">
        <f>Cus!N13</f>
        <v>12000</v>
      </c>
      <c r="O48" s="90">
        <f>Cus!O13</f>
        <v>12000</v>
      </c>
      <c r="P48" s="93">
        <f>SUM(D48:O48)</f>
        <v>144000</v>
      </c>
    </row>
    <row r="49" spans="3:16" ht="24.95" customHeight="1" x14ac:dyDescent="0.25">
      <c r="C49" s="44" t="s">
        <v>235</v>
      </c>
      <c r="D49" s="90">
        <f>Cus!D14</f>
        <v>0</v>
      </c>
      <c r="E49" s="90">
        <f>Cus!E14</f>
        <v>0</v>
      </c>
      <c r="F49" s="90">
        <f>Cus!F14</f>
        <v>0</v>
      </c>
      <c r="G49" s="90">
        <f>Cus!G14</f>
        <v>0</v>
      </c>
      <c r="H49" s="90">
        <f>Cus!H14</f>
        <v>0</v>
      </c>
      <c r="I49" s="90">
        <f>Cus!I14</f>
        <v>0</v>
      </c>
      <c r="J49" s="90">
        <f>Cus!J14</f>
        <v>0</v>
      </c>
      <c r="K49" s="90">
        <f>Cus!K14</f>
        <v>0</v>
      </c>
      <c r="L49" s="90">
        <f>Cus!L14</f>
        <v>0</v>
      </c>
      <c r="M49" s="90">
        <f>Cus!M14</f>
        <v>0</v>
      </c>
      <c r="N49" s="90">
        <f>Cus!N14</f>
        <v>0</v>
      </c>
      <c r="O49" s="90">
        <f>Cus!O14</f>
        <v>0</v>
      </c>
      <c r="P49" s="93">
        <f>SUM(D49:O49)</f>
        <v>0</v>
      </c>
    </row>
    <row r="50" spans="3:16" ht="24.95" customHeight="1" x14ac:dyDescent="0.25">
      <c r="C50" s="44" t="s">
        <v>233</v>
      </c>
      <c r="D50" s="90">
        <f>IF('BH (1)'!$D$4="Simples Nacional",Simp6!D19,Cus!D15)</f>
        <v>2400</v>
      </c>
      <c r="E50" s="90">
        <f>IF('BH (1)'!$D$4="Simples Nacional",Simp6!E19,Cus!E15)</f>
        <v>2400</v>
      </c>
      <c r="F50" s="90">
        <f>IF('BH (1)'!$D$4="Simples Nacional",Simp6!F19,Cus!F15)</f>
        <v>2400</v>
      </c>
      <c r="G50" s="90">
        <f>IF('BH (1)'!$D$4="Simples Nacional",Simp6!G19,Cus!G15)</f>
        <v>2400</v>
      </c>
      <c r="H50" s="90">
        <f>IF('BH (1)'!$D$4="Simples Nacional",Simp6!H19,Cus!H15)</f>
        <v>2400</v>
      </c>
      <c r="I50" s="90">
        <f>IF('BH (1)'!$D$4="Simples Nacional",Simp6!I19,Cus!I15)</f>
        <v>2400</v>
      </c>
      <c r="J50" s="90">
        <f>IF('BH (1)'!$D$4="Simples Nacional",Simp6!J19,Cus!J15)</f>
        <v>2400</v>
      </c>
      <c r="K50" s="90">
        <f>IF('BH (1)'!$D$4="Simples Nacional",Simp6!K19,Cus!K15)</f>
        <v>2400</v>
      </c>
      <c r="L50" s="90">
        <f>IF('BH (1)'!$D$4="Simples Nacional",Simp6!L19,Cus!L15)</f>
        <v>2400</v>
      </c>
      <c r="M50" s="90">
        <f>IF('BH (1)'!$D$4="Simples Nacional",Simp6!M19,Cus!M15)</f>
        <v>2400</v>
      </c>
      <c r="N50" s="90">
        <f>IF('BH (1)'!$D$4="Simples Nacional",Simp6!N19,Cus!N15)</f>
        <v>2400</v>
      </c>
      <c r="O50" s="90">
        <f>IF('BH (1)'!$D$4="Simples Nacional",Simp6!O19,Cus!O15)</f>
        <v>2400</v>
      </c>
      <c r="P50" s="93">
        <f>SUM(D50:O50)</f>
        <v>28800</v>
      </c>
    </row>
    <row r="51" spans="3:16" ht="24.95" customHeight="1" x14ac:dyDescent="0.25">
      <c r="C51" s="44" t="s">
        <v>236</v>
      </c>
      <c r="D51" s="90">
        <f>Cus!D18</f>
        <v>960</v>
      </c>
      <c r="E51" s="90">
        <f>Cus!E18</f>
        <v>960</v>
      </c>
      <c r="F51" s="90">
        <f>Cus!F18</f>
        <v>960</v>
      </c>
      <c r="G51" s="90">
        <f>Cus!G18</f>
        <v>960</v>
      </c>
      <c r="H51" s="90">
        <f>Cus!H18</f>
        <v>960</v>
      </c>
      <c r="I51" s="90">
        <f>Cus!I18</f>
        <v>960</v>
      </c>
      <c r="J51" s="90">
        <f>Cus!J18</f>
        <v>960</v>
      </c>
      <c r="K51" s="90">
        <f>Cus!K18</f>
        <v>960</v>
      </c>
      <c r="L51" s="90">
        <f>Cus!L18</f>
        <v>960</v>
      </c>
      <c r="M51" s="90">
        <f>Cus!M18</f>
        <v>960</v>
      </c>
      <c r="N51" s="90">
        <f>Cus!N18</f>
        <v>960</v>
      </c>
      <c r="O51" s="90">
        <f>Cus!O18</f>
        <v>960</v>
      </c>
      <c r="P51" s="93">
        <f t="shared" ref="P51:P57" si="12">SUM(D51:O51)</f>
        <v>11520</v>
      </c>
    </row>
    <row r="52" spans="3:16" ht="24.95" customHeight="1" x14ac:dyDescent="0.25">
      <c r="C52" s="44" t="str">
        <f>IF('BH (1)'!$D$4="Simples Nacional","","(-) Terceiros")</f>
        <v>(-) Terceiros</v>
      </c>
      <c r="D52" s="90">
        <f>IF('BH (1)'!$D$4="Simples Nacional","",Cus!D16)</f>
        <v>696</v>
      </c>
      <c r="E52" s="90">
        <f>IF('BH (1)'!$D$4="Simples Nacional","",Cus!E16)</f>
        <v>696</v>
      </c>
      <c r="F52" s="90">
        <f>IF('BH (1)'!$D$4="Simples Nacional","",Cus!F16)</f>
        <v>696</v>
      </c>
      <c r="G52" s="90">
        <f>IF('BH (1)'!$D$4="Simples Nacional","",Cus!G16)</f>
        <v>696</v>
      </c>
      <c r="H52" s="90">
        <f>IF('BH (1)'!$D$4="Simples Nacional","",Cus!H16)</f>
        <v>696</v>
      </c>
      <c r="I52" s="90">
        <f>IF('BH (1)'!$D$4="Simples Nacional","",Cus!I16)</f>
        <v>696</v>
      </c>
      <c r="J52" s="90">
        <f>IF('BH (1)'!$D$4="Simples Nacional","",Cus!J16)</f>
        <v>696</v>
      </c>
      <c r="K52" s="90">
        <f>IF('BH (1)'!$D$4="Simples Nacional","",Cus!K16)</f>
        <v>696</v>
      </c>
      <c r="L52" s="90">
        <f>IF('BH (1)'!$D$4="Simples Nacional","",Cus!L16)</f>
        <v>696</v>
      </c>
      <c r="M52" s="90">
        <f>IF('BH (1)'!$D$4="Simples Nacional","",Cus!M16)</f>
        <v>696</v>
      </c>
      <c r="N52" s="90">
        <f>IF('BH (1)'!$D$4="Simples Nacional","",Cus!N16)</f>
        <v>696</v>
      </c>
      <c r="O52" s="90">
        <f>IF('BH (1)'!$D$4="Simples Nacional","",Cus!O16)</f>
        <v>696</v>
      </c>
      <c r="P52" s="93">
        <f t="shared" si="12"/>
        <v>8352</v>
      </c>
    </row>
    <row r="53" spans="3:16" ht="24.95" customHeight="1" x14ac:dyDescent="0.25">
      <c r="C53" s="198" t="str">
        <f>IF('BH (1)'!$D$4="Simples Nacional","","(-) RAT")</f>
        <v>(-) RAT</v>
      </c>
      <c r="D53" s="95">
        <f>IF('BH (1)'!$D$4="Simples Nacional","",Cus!D17)</f>
        <v>240</v>
      </c>
      <c r="E53" s="95">
        <f>IF('BH (1)'!$D$4="Simples Nacional","",Cus!E17)</f>
        <v>240</v>
      </c>
      <c r="F53" s="95">
        <f>IF('BH (1)'!$D$4="Simples Nacional","",Cus!F17)</f>
        <v>240</v>
      </c>
      <c r="G53" s="95">
        <f>IF('BH (1)'!$D$4="Simples Nacional","",Cus!G17)</f>
        <v>240</v>
      </c>
      <c r="H53" s="95">
        <f>IF('BH (1)'!$D$4="Simples Nacional","",Cus!H17)</f>
        <v>240</v>
      </c>
      <c r="I53" s="95">
        <f>IF('BH (1)'!$D$4="Simples Nacional","",Cus!I17)</f>
        <v>240</v>
      </c>
      <c r="J53" s="95">
        <f>IF('BH (1)'!$D$4="Simples Nacional","",Cus!J17)</f>
        <v>240</v>
      </c>
      <c r="K53" s="95">
        <f>IF('BH (1)'!$D$4="Simples Nacional","",Cus!K17)</f>
        <v>240</v>
      </c>
      <c r="L53" s="95">
        <f>IF('BH (1)'!$D$4="Simples Nacional","",Cus!L17)</f>
        <v>240</v>
      </c>
      <c r="M53" s="95">
        <f>IF('BH (1)'!$D$4="Simples Nacional","",Cus!M17)</f>
        <v>240</v>
      </c>
      <c r="N53" s="95">
        <f>IF('BH (1)'!$D$4="Simples Nacional","",Cus!N17)</f>
        <v>240</v>
      </c>
      <c r="O53" s="95">
        <f>IF('BH (1)'!$D$4="Simples Nacional","",Cus!O17)</f>
        <v>240</v>
      </c>
      <c r="P53" s="93">
        <f t="shared" si="12"/>
        <v>2880</v>
      </c>
    </row>
    <row r="54" spans="3:16" ht="24.95" customHeight="1" x14ac:dyDescent="0.25">
      <c r="C54" s="196" t="s">
        <v>213</v>
      </c>
      <c r="D54" s="97">
        <f>D40-SUM(D41:D53)</f>
        <v>31186.434500000003</v>
      </c>
      <c r="E54" s="97">
        <f t="shared" ref="E54:O54" si="13">E40-SUM(E41:E53)</f>
        <v>13229.743499999997</v>
      </c>
      <c r="F54" s="97">
        <f t="shared" si="13"/>
        <v>30948.620899999994</v>
      </c>
      <c r="G54" s="97">
        <f t="shared" si="13"/>
        <v>20569.021200000003</v>
      </c>
      <c r="H54" s="97">
        <f t="shared" si="13"/>
        <v>21441.911100000005</v>
      </c>
      <c r="I54" s="97">
        <f t="shared" si="13"/>
        <v>8116.3188999999984</v>
      </c>
      <c r="J54" s="97">
        <f t="shared" si="13"/>
        <v>22060.046000000002</v>
      </c>
      <c r="K54" s="97">
        <f t="shared" si="13"/>
        <v>5052.0570000000007</v>
      </c>
      <c r="L54" s="97">
        <f t="shared" si="13"/>
        <v>10525.833099999996</v>
      </c>
      <c r="M54" s="97">
        <f t="shared" si="13"/>
        <v>18338.529499999997</v>
      </c>
      <c r="N54" s="97">
        <f t="shared" si="13"/>
        <v>12621.637500000004</v>
      </c>
      <c r="O54" s="97">
        <f t="shared" si="13"/>
        <v>9556.7960999999923</v>
      </c>
      <c r="P54" s="191">
        <f t="shared" si="12"/>
        <v>203646.94930000004</v>
      </c>
    </row>
    <row r="55" spans="3:16" ht="24.95" customHeight="1" x14ac:dyDescent="0.25">
      <c r="C55" s="44" t="s">
        <v>238</v>
      </c>
      <c r="D55" s="90">
        <f>IF('BH (1)'!$D$4="Lucro Real",'2028'!D64,IF('BH (1)'!$D$4="Lucro Presumido",Relatórios!D136,IF('BH (1)'!$D$4="Simples Nacional",Simp6!D21)))</f>
        <v>0</v>
      </c>
      <c r="E55" s="90">
        <f>IF('BH (1)'!$D$4="Lucro Real",'2028'!E64,IF('BH (1)'!$D$4="Lucro Presumido",Relatórios!E136,IF('BH (1)'!$D$4="Simples Nacional",Simp6!E21)))</f>
        <v>0</v>
      </c>
      <c r="F55" s="90">
        <f>IF('BH (1)'!$D$4="Lucro Real",'2028'!F64,IF('BH (1)'!$D$4="Lucro Presumido",Relatórios!F136,IF('BH (1)'!$D$4="Simples Nacional",Simp6!F21)))</f>
        <v>4520.7479999999996</v>
      </c>
      <c r="G55" s="90">
        <f>IF('BH (1)'!$D$4="Lucro Real",'2028'!G64,IF('BH (1)'!$D$4="Lucro Presumido",Relatórios!G136,IF('BH (1)'!$D$4="Simples Nacional",Simp6!G21)))</f>
        <v>0</v>
      </c>
      <c r="H55" s="90">
        <f>IF('BH (1)'!$D$4="Lucro Real",'2028'!H64,IF('BH (1)'!$D$4="Lucro Presumido",Relatórios!H136,IF('BH (1)'!$D$4="Simples Nacional",Simp6!H21)))</f>
        <v>0</v>
      </c>
      <c r="I55" s="90">
        <f>IF('BH (1)'!$D$4="Lucro Real",'2028'!I64,IF('BH (1)'!$D$4="Lucro Presumido",Relatórios!I136,IF('BH (1)'!$D$4="Simples Nacional",Simp6!I21)))</f>
        <v>4123.8719999999994</v>
      </c>
      <c r="J55" s="90">
        <f>IF('BH (1)'!$D$4="Lucro Real",'2028'!J64,IF('BH (1)'!$D$4="Lucro Presumido",Relatórios!J136,IF('BH (1)'!$D$4="Simples Nacional",Simp6!J21)))</f>
        <v>0</v>
      </c>
      <c r="K55" s="90">
        <f>IF('BH (1)'!$D$4="Lucro Real",'2028'!K64,IF('BH (1)'!$D$4="Lucro Presumido",Relatórios!K136,IF('BH (1)'!$D$4="Simples Nacional",Simp6!K21)))</f>
        <v>0</v>
      </c>
      <c r="L55" s="90">
        <f>IF('BH (1)'!$D$4="Lucro Real",'2028'!L64,IF('BH (1)'!$D$4="Lucro Presumido",Relatórios!L136,IF('BH (1)'!$D$4="Simples Nacional",Simp6!L21)))</f>
        <v>4033.308</v>
      </c>
      <c r="M55" s="90">
        <f>IF('BH (1)'!$D$4="Lucro Real",'2028'!M64,IF('BH (1)'!$D$4="Lucro Presumido",Relatórios!M136,IF('BH (1)'!$D$4="Simples Nacional",Simp6!M21)))</f>
        <v>0</v>
      </c>
      <c r="N55" s="90">
        <f>IF('BH (1)'!$D$4="Lucro Real",'2028'!N64,IF('BH (1)'!$D$4="Lucro Presumido",Relatórios!N136,IF('BH (1)'!$D$4="Simples Nacional",Simp6!N21)))</f>
        <v>0</v>
      </c>
      <c r="O55" s="90">
        <f>IF('BH (1)'!$D$4="Lucro Real",'2028'!O64,IF('BH (1)'!$D$4="Lucro Presumido",Relatórios!O136,IF('BH (1)'!$D$4="Simples Nacional",Simp6!O21)))</f>
        <v>4028.6759999999999</v>
      </c>
      <c r="P55" s="93">
        <f t="shared" si="12"/>
        <v>16706.603999999999</v>
      </c>
    </row>
    <row r="56" spans="3:16" ht="24.95" customHeight="1" x14ac:dyDescent="0.25">
      <c r="C56" s="44" t="str">
        <f>IF('BH (1)'!$D$4="Simples Nacional","","(-) Adicional")</f>
        <v>(-) Adicional</v>
      </c>
      <c r="D56" s="90">
        <f>IF('BH (1)'!$D$4="Simples Nacional","",IF('BH (1)'!$D$4="Lucro Real",'2028'!D65,IF('BH (1)'!$D$4="Lucro Presumido",Relatórios!D137)))</f>
        <v>0</v>
      </c>
      <c r="E56" s="90">
        <f>IF('BH (1)'!$D$4="Simples Nacional","",IF('BH (1)'!$D$4="Lucro Real",'2028'!E65,IF('BH (1)'!$D$4="Lucro Presumido",Relatórios!E137)))</f>
        <v>0</v>
      </c>
      <c r="F56" s="90">
        <f>IF('BH (1)'!$D$4="Simples Nacional","",IF('BH (1)'!$D$4="Lucro Real",'2028'!F65,IF('BH (1)'!$D$4="Lucro Presumido",Relatórios!F137)))</f>
        <v>0</v>
      </c>
      <c r="G56" s="90">
        <f>IF('BH (1)'!$D$4="Simples Nacional","",IF('BH (1)'!$D$4="Lucro Real",'2028'!G65,IF('BH (1)'!$D$4="Lucro Presumido",Relatórios!G137)))</f>
        <v>0</v>
      </c>
      <c r="H56" s="90">
        <f>IF('BH (1)'!$D$4="Simples Nacional","",IF('BH (1)'!$D$4="Lucro Real",'2028'!H65,IF('BH (1)'!$D$4="Lucro Presumido",Relatórios!H137)))</f>
        <v>0</v>
      </c>
      <c r="I56" s="90">
        <f>IF('BH (1)'!$D$4="Simples Nacional","",IF('BH (1)'!$D$4="Lucro Real",'2028'!I65,IF('BH (1)'!$D$4="Lucro Presumido",Relatórios!I137)))</f>
        <v>0</v>
      </c>
      <c r="J56" s="90">
        <f>IF('BH (1)'!$D$4="Simples Nacional","",IF('BH (1)'!$D$4="Lucro Real",'2028'!J65,IF('BH (1)'!$D$4="Lucro Presumido",Relatórios!J137)))</f>
        <v>0</v>
      </c>
      <c r="K56" s="90">
        <f>IF('BH (1)'!$D$4="Simples Nacional","",IF('BH (1)'!$D$4="Lucro Real",'2028'!K65,IF('BH (1)'!$D$4="Lucro Presumido",Relatórios!K137)))</f>
        <v>0</v>
      </c>
      <c r="L56" s="90">
        <f>IF('BH (1)'!$D$4="Simples Nacional","",IF('BH (1)'!$D$4="Lucro Real",'2028'!L65,IF('BH (1)'!$D$4="Lucro Presumido",Relatórios!L137)))</f>
        <v>0</v>
      </c>
      <c r="M56" s="90">
        <f>IF('BH (1)'!$D$4="Simples Nacional","",IF('BH (1)'!$D$4="Lucro Real",'2028'!M65,IF('BH (1)'!$D$4="Lucro Presumido",Relatórios!M137)))</f>
        <v>0</v>
      </c>
      <c r="N56" s="90">
        <f>IF('BH (1)'!$D$4="Simples Nacional","",IF('BH (1)'!$D$4="Lucro Real",'2028'!N65,IF('BH (1)'!$D$4="Lucro Presumido",Relatórios!N137)))</f>
        <v>0</v>
      </c>
      <c r="O56" s="90">
        <f>IF('BH (1)'!$D$4="Simples Nacional","",IF('BH (1)'!$D$4="Lucro Real",'2028'!O65,IF('BH (1)'!$D$4="Lucro Presumido",Relatórios!O137)))</f>
        <v>0</v>
      </c>
      <c r="P56" s="93">
        <f t="shared" si="12"/>
        <v>0</v>
      </c>
    </row>
    <row r="57" spans="3:16" ht="24.95" customHeight="1" x14ac:dyDescent="0.25">
      <c r="C57" s="198" t="s">
        <v>239</v>
      </c>
      <c r="D57" s="95">
        <f>IF('BH (1)'!$D$4="Lucro Real",'2028'!D66,IF('BH (1)'!$D$4="Lucro Presumido",Relatórios!D138,IF('BH (1)'!$D$4="Simples Nacional",Simp6!D20)))</f>
        <v>0</v>
      </c>
      <c r="E57" s="95">
        <f>IF('BH (1)'!$D$4="Lucro Real",'2028'!E66,IF('BH (1)'!$D$4="Lucro Presumido",Relatórios!E138,IF('BH (1)'!$D$4="Simples Nacional",Simp6!E20)))</f>
        <v>0</v>
      </c>
      <c r="F57" s="95">
        <f>IF('BH (1)'!$D$4="Lucro Real",'2028'!F66,IF('BH (1)'!$D$4="Lucro Presumido",Relatórios!F138,IF('BH (1)'!$D$4="Simples Nacional",Simp6!F20)))</f>
        <v>4068.6731999999993</v>
      </c>
      <c r="G57" s="95">
        <f>IF('BH (1)'!$D$4="Lucro Real",'2028'!G66,IF('BH (1)'!$D$4="Lucro Presumido",Relatórios!G138,IF('BH (1)'!$D$4="Simples Nacional",Simp6!G20)))</f>
        <v>0</v>
      </c>
      <c r="H57" s="95">
        <f>IF('BH (1)'!$D$4="Lucro Real",'2028'!H66,IF('BH (1)'!$D$4="Lucro Presumido",Relatórios!H138,IF('BH (1)'!$D$4="Simples Nacional",Simp6!H20)))</f>
        <v>0</v>
      </c>
      <c r="I57" s="95">
        <f>IF('BH (1)'!$D$4="Lucro Real",'2028'!I66,IF('BH (1)'!$D$4="Lucro Presumido",Relatórios!I138,IF('BH (1)'!$D$4="Simples Nacional",Simp6!I20)))</f>
        <v>3711.4848000000002</v>
      </c>
      <c r="J57" s="95">
        <f>IF('BH (1)'!$D$4="Lucro Real",'2028'!J66,IF('BH (1)'!$D$4="Lucro Presumido",Relatórios!J138,IF('BH (1)'!$D$4="Simples Nacional",Simp6!J20)))</f>
        <v>0</v>
      </c>
      <c r="K57" s="95">
        <f>IF('BH (1)'!$D$4="Lucro Real",'2028'!K66,IF('BH (1)'!$D$4="Lucro Presumido",Relatórios!K138,IF('BH (1)'!$D$4="Simples Nacional",Simp6!K20)))</f>
        <v>0</v>
      </c>
      <c r="L57" s="95">
        <f>IF('BH (1)'!$D$4="Lucro Real",'2028'!L66,IF('BH (1)'!$D$4="Lucro Presumido",Relatórios!L138,IF('BH (1)'!$D$4="Simples Nacional",Simp6!L20)))</f>
        <v>3629.9771999999998</v>
      </c>
      <c r="M57" s="95">
        <f>IF('BH (1)'!$D$4="Lucro Real",'2028'!M66,IF('BH (1)'!$D$4="Lucro Presumido",Relatórios!M138,IF('BH (1)'!$D$4="Simples Nacional",Simp6!M20)))</f>
        <v>0</v>
      </c>
      <c r="N57" s="95">
        <f>IF('BH (1)'!$D$4="Lucro Real",'2028'!N66,IF('BH (1)'!$D$4="Lucro Presumido",Relatórios!N138,IF('BH (1)'!$D$4="Simples Nacional",Simp6!N20)))</f>
        <v>0</v>
      </c>
      <c r="O57" s="95">
        <f>IF('BH (1)'!$D$4="Lucro Real",'2028'!O66,IF('BH (1)'!$D$4="Lucro Presumido",Relatórios!O138,IF('BH (1)'!$D$4="Simples Nacional",Simp6!O20)))</f>
        <v>3625.8083999999999</v>
      </c>
      <c r="P57" s="93">
        <f t="shared" si="12"/>
        <v>15035.943599999999</v>
      </c>
    </row>
    <row r="58" spans="3:16" ht="24.95" customHeight="1" x14ac:dyDescent="0.25">
      <c r="C58" s="196" t="s">
        <v>237</v>
      </c>
      <c r="D58" s="97">
        <f>D54-SUM(D55:D57)</f>
        <v>31186.434500000003</v>
      </c>
      <c r="E58" s="97">
        <f t="shared" ref="E58:O58" si="14">E54-SUM(E55:E57)</f>
        <v>13229.743499999997</v>
      </c>
      <c r="F58" s="97">
        <f t="shared" si="14"/>
        <v>22359.199699999997</v>
      </c>
      <c r="G58" s="97">
        <f t="shared" si="14"/>
        <v>20569.021200000003</v>
      </c>
      <c r="H58" s="97">
        <f t="shared" si="14"/>
        <v>21441.911100000005</v>
      </c>
      <c r="I58" s="97">
        <f t="shared" si="14"/>
        <v>280.96209999999883</v>
      </c>
      <c r="J58" s="97">
        <f t="shared" si="14"/>
        <v>22060.046000000002</v>
      </c>
      <c r="K58" s="97">
        <f t="shared" si="14"/>
        <v>5052.0570000000007</v>
      </c>
      <c r="L58" s="97">
        <f t="shared" si="14"/>
        <v>2862.5478999999959</v>
      </c>
      <c r="M58" s="97">
        <f t="shared" si="14"/>
        <v>18338.529499999997</v>
      </c>
      <c r="N58" s="97">
        <f t="shared" si="14"/>
        <v>12621.637500000004</v>
      </c>
      <c r="O58" s="97">
        <f t="shared" si="14"/>
        <v>1902.3116999999929</v>
      </c>
      <c r="P58" s="192">
        <f>SUM(D58:O58)</f>
        <v>171904.40170000002</v>
      </c>
    </row>
    <row r="59" spans="3:16" ht="24.95" hidden="1" customHeight="1" x14ac:dyDescent="0.25"/>
    <row r="60" spans="3:16" ht="15" hidden="1" customHeight="1" x14ac:dyDescent="0.25">
      <c r="C60" s="188" t="s">
        <v>240</v>
      </c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</row>
    <row r="61" spans="3:16" ht="15" hidden="1" customHeight="1" x14ac:dyDescent="0.25">
      <c r="C61" s="112" t="s">
        <v>82</v>
      </c>
      <c r="D61" s="112" t="s">
        <v>83</v>
      </c>
      <c r="E61" s="112" t="s">
        <v>84</v>
      </c>
      <c r="F61" s="112" t="s">
        <v>85</v>
      </c>
      <c r="G61" s="112" t="s">
        <v>86</v>
      </c>
      <c r="H61" s="112" t="s">
        <v>87</v>
      </c>
      <c r="I61" s="112" t="s">
        <v>88</v>
      </c>
      <c r="J61" s="112" t="s">
        <v>89</v>
      </c>
      <c r="K61" s="112" t="s">
        <v>90</v>
      </c>
      <c r="L61" s="112" t="s">
        <v>91</v>
      </c>
      <c r="M61" s="112" t="s">
        <v>92</v>
      </c>
      <c r="N61" s="112" t="s">
        <v>93</v>
      </c>
      <c r="O61" s="112" t="s">
        <v>94</v>
      </c>
      <c r="P61" s="112" t="s">
        <v>95</v>
      </c>
    </row>
    <row r="62" spans="3:16" ht="15" hidden="1" customHeight="1" x14ac:dyDescent="0.25">
      <c r="C62" s="19" t="s">
        <v>241</v>
      </c>
      <c r="D62" s="132">
        <f>D54</f>
        <v>31186.434500000003</v>
      </c>
      <c r="E62" s="132">
        <f t="shared" ref="E62:O62" si="15">E54</f>
        <v>13229.743499999997</v>
      </c>
      <c r="F62" s="132">
        <f>F54</f>
        <v>30948.620899999994</v>
      </c>
      <c r="G62" s="132">
        <f t="shared" si="15"/>
        <v>20569.021200000003</v>
      </c>
      <c r="H62" s="132">
        <f t="shared" si="15"/>
        <v>21441.911100000005</v>
      </c>
      <c r="I62" s="132">
        <f t="shared" si="15"/>
        <v>8116.3188999999984</v>
      </c>
      <c r="J62" s="132">
        <f t="shared" si="15"/>
        <v>22060.046000000002</v>
      </c>
      <c r="K62" s="132">
        <f t="shared" si="15"/>
        <v>5052.0570000000007</v>
      </c>
      <c r="L62" s="132">
        <f t="shared" si="15"/>
        <v>10525.833099999996</v>
      </c>
      <c r="M62" s="132">
        <f t="shared" si="15"/>
        <v>18338.529499999997</v>
      </c>
      <c r="N62" s="132">
        <f t="shared" si="15"/>
        <v>12621.637500000004</v>
      </c>
      <c r="O62" s="132">
        <f t="shared" si="15"/>
        <v>9556.7960999999923</v>
      </c>
      <c r="P62" s="114">
        <f>SUM(D62:O62)</f>
        <v>203646.94930000004</v>
      </c>
    </row>
    <row r="63" spans="3:16" ht="15" hidden="1" customHeight="1" x14ac:dyDescent="0.25">
      <c r="C63" s="19" t="s">
        <v>243</v>
      </c>
      <c r="D63" s="132">
        <v>0</v>
      </c>
      <c r="E63" s="132">
        <v>0</v>
      </c>
      <c r="F63" s="132">
        <f>SUM(D62:F62)</f>
        <v>75364.798899999994</v>
      </c>
      <c r="G63" s="132">
        <v>0</v>
      </c>
      <c r="H63" s="132">
        <v>0</v>
      </c>
      <c r="I63" s="132">
        <f>SUM(G62:I62)</f>
        <v>50127.251200000006</v>
      </c>
      <c r="J63" s="132">
        <v>0</v>
      </c>
      <c r="K63" s="132">
        <v>0</v>
      </c>
      <c r="L63" s="132">
        <f>SUM(J62:L62)</f>
        <v>37637.936099999999</v>
      </c>
      <c r="M63" s="132">
        <v>0</v>
      </c>
      <c r="N63" s="132">
        <v>0</v>
      </c>
      <c r="O63" s="132">
        <f>SUM(M62:O62)</f>
        <v>40516.963099999994</v>
      </c>
      <c r="P63" s="114">
        <f>SUM(D63:O63)</f>
        <v>203646.94929999998</v>
      </c>
    </row>
    <row r="64" spans="3:16" ht="15" hidden="1" customHeight="1" x14ac:dyDescent="0.25">
      <c r="C64" s="19" t="s">
        <v>40</v>
      </c>
      <c r="D64" s="132">
        <v>0</v>
      </c>
      <c r="E64" s="132">
        <v>0</v>
      </c>
      <c r="F64" s="132">
        <f>IF(F63&lt;0,0,F63*TabR!$E$10)</f>
        <v>11304.719834999998</v>
      </c>
      <c r="G64" s="132">
        <v>0</v>
      </c>
      <c r="H64" s="132">
        <v>0</v>
      </c>
      <c r="I64" s="132">
        <f>IF(I63&lt;0,0,I63*TabR!$E$10)</f>
        <v>7519.0876800000005</v>
      </c>
      <c r="J64" s="132">
        <v>0</v>
      </c>
      <c r="K64" s="132">
        <v>0</v>
      </c>
      <c r="L64" s="132">
        <f>IF(L63&lt;0,0,L63*TabR!$E$10)</f>
        <v>5645.690415</v>
      </c>
      <c r="M64" s="132">
        <v>0</v>
      </c>
      <c r="N64" s="132">
        <v>0</v>
      </c>
      <c r="O64" s="132">
        <f>IF(O63&lt;0,0,O63*TabR!$E$10)</f>
        <v>6077.544464999999</v>
      </c>
      <c r="P64" s="114">
        <f>SUM(D64:O64)</f>
        <v>30547.042395</v>
      </c>
    </row>
    <row r="65" spans="3:18" ht="15" hidden="1" customHeight="1" x14ac:dyDescent="0.25">
      <c r="C65" s="19" t="s">
        <v>242</v>
      </c>
      <c r="D65" s="132">
        <v>0</v>
      </c>
      <c r="E65" s="132">
        <v>0</v>
      </c>
      <c r="F65" s="132">
        <f>IF(F63=0,0,IF(F63&lt;60000,0,(F63-60000)*TabR!$E$11))</f>
        <v>1536.4798899999996</v>
      </c>
      <c r="G65" s="132">
        <v>0</v>
      </c>
      <c r="H65" s="132">
        <v>0</v>
      </c>
      <c r="I65" s="132">
        <f>IF(I63=0,0,IF(I63&lt;60000,0,(I63-60000)*TabR!$E$11))</f>
        <v>0</v>
      </c>
      <c r="J65" s="132">
        <v>0</v>
      </c>
      <c r="K65" s="132">
        <v>0</v>
      </c>
      <c r="L65" s="132">
        <f>IF(L63=0,0,IF(L63&lt;60000,0,(L63-60000)*TabR!$E$11))</f>
        <v>0</v>
      </c>
      <c r="M65" s="132">
        <v>0</v>
      </c>
      <c r="N65" s="132">
        <v>0</v>
      </c>
      <c r="O65" s="132">
        <f>IF(O63=0,0,IF(O63&lt;60000,0,(O63-60000)*TabR!$E$11))</f>
        <v>0</v>
      </c>
      <c r="P65" s="114">
        <f>SUM(D65:O65)</f>
        <v>1536.4798899999996</v>
      </c>
    </row>
    <row r="66" spans="3:18" ht="15" hidden="1" customHeight="1" x14ac:dyDescent="0.25">
      <c r="C66" s="19" t="s">
        <v>42</v>
      </c>
      <c r="D66" s="132">
        <v>0</v>
      </c>
      <c r="E66" s="132">
        <v>0</v>
      </c>
      <c r="F66" s="132">
        <f>IF(F63&lt;0,0,F63*TabR!$E$12)</f>
        <v>6782.8319009999996</v>
      </c>
      <c r="G66" s="132">
        <v>0</v>
      </c>
      <c r="H66" s="132">
        <v>0</v>
      </c>
      <c r="I66" s="132">
        <f>IF(I63&lt;0,0,I63*TabR!$E$12)</f>
        <v>4511.4526080000005</v>
      </c>
      <c r="J66" s="132">
        <v>0</v>
      </c>
      <c r="K66" s="132">
        <v>0</v>
      </c>
      <c r="L66" s="132">
        <f>IF(L63&lt;0,0,L63*TabR!$E$12)</f>
        <v>3387.4142489999999</v>
      </c>
      <c r="M66" s="132">
        <v>0</v>
      </c>
      <c r="N66" s="132">
        <v>0</v>
      </c>
      <c r="O66" s="132">
        <f>IF(O63&lt;0,0,O63*TabR!$E$12)</f>
        <v>3646.5266789999991</v>
      </c>
      <c r="P66" s="114">
        <f>SUM(D66:O66)</f>
        <v>18328.225437000001</v>
      </c>
    </row>
    <row r="67" spans="3:18" ht="15" hidden="1" customHeight="1" x14ac:dyDescent="0.25"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</row>
    <row r="68" spans="3:18" ht="15" hidden="1" customHeight="1" x14ac:dyDescent="0.25">
      <c r="C68" s="188" t="s">
        <v>244</v>
      </c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</row>
    <row r="69" spans="3:18" ht="15" hidden="1" customHeight="1" x14ac:dyDescent="0.25">
      <c r="C69" s="112" t="s">
        <v>82</v>
      </c>
      <c r="D69" s="112" t="s">
        <v>83</v>
      </c>
      <c r="E69" s="112" t="s">
        <v>84</v>
      </c>
      <c r="F69" s="112" t="s">
        <v>85</v>
      </c>
      <c r="G69" s="112" t="s">
        <v>86</v>
      </c>
      <c r="H69" s="112" t="s">
        <v>87</v>
      </c>
      <c r="I69" s="112" t="s">
        <v>88</v>
      </c>
      <c r="J69" s="112" t="s">
        <v>89</v>
      </c>
      <c r="K69" s="112" t="s">
        <v>90</v>
      </c>
      <c r="L69" s="112" t="s">
        <v>91</v>
      </c>
      <c r="M69" s="112" t="s">
        <v>92</v>
      </c>
      <c r="N69" s="112" t="s">
        <v>93</v>
      </c>
      <c r="O69" s="112" t="s">
        <v>94</v>
      </c>
      <c r="P69" s="112" t="s">
        <v>95</v>
      </c>
    </row>
    <row r="70" spans="3:18" ht="15" hidden="1" customHeight="1" x14ac:dyDescent="0.25">
      <c r="C70" s="19" t="s">
        <v>62</v>
      </c>
      <c r="D70" s="132">
        <f>D27</f>
        <v>134725</v>
      </c>
      <c r="E70" s="132">
        <f t="shared" ref="E70:O70" si="16">E27</f>
        <v>108391</v>
      </c>
      <c r="F70" s="132">
        <f t="shared" si="16"/>
        <v>133613</v>
      </c>
      <c r="G70" s="132">
        <f t="shared" si="16"/>
        <v>120356</v>
      </c>
      <c r="H70" s="132">
        <f t="shared" si="16"/>
        <v>119059</v>
      </c>
      <c r="I70" s="132">
        <f t="shared" si="16"/>
        <v>104241</v>
      </c>
      <c r="J70" s="132">
        <f t="shared" si="16"/>
        <v>123748</v>
      </c>
      <c r="K70" s="132">
        <f t="shared" si="16"/>
        <v>102602</v>
      </c>
      <c r="L70" s="132">
        <f t="shared" si="16"/>
        <v>109759</v>
      </c>
      <c r="M70" s="132">
        <f t="shared" si="16"/>
        <v>115659</v>
      </c>
      <c r="N70" s="132">
        <f t="shared" si="16"/>
        <v>110531</v>
      </c>
      <c r="O70" s="132">
        <f t="shared" si="16"/>
        <v>109533</v>
      </c>
      <c r="P70" s="114">
        <f>SUM(D70:O70)</f>
        <v>1392217</v>
      </c>
    </row>
    <row r="71" spans="3:18" ht="15" hidden="1" customHeight="1" x14ac:dyDescent="0.25">
      <c r="C71" s="19" t="s">
        <v>243</v>
      </c>
      <c r="D71" s="132">
        <v>0</v>
      </c>
      <c r="E71" s="132">
        <v>0</v>
      </c>
      <c r="F71" s="132">
        <f>SUM(D70:F70)</f>
        <v>376729</v>
      </c>
      <c r="G71" s="132">
        <v>0</v>
      </c>
      <c r="H71" s="132">
        <v>0</v>
      </c>
      <c r="I71" s="132">
        <f>SUM(G70:I70)</f>
        <v>343656</v>
      </c>
      <c r="J71" s="132">
        <v>0</v>
      </c>
      <c r="K71" s="132">
        <v>0</v>
      </c>
      <c r="L71" s="132">
        <f>SUM(J70:L70)</f>
        <v>336109</v>
      </c>
      <c r="M71" s="132">
        <v>0</v>
      </c>
      <c r="N71" s="132">
        <v>0</v>
      </c>
      <c r="O71" s="132">
        <f>SUM(M70:O70)</f>
        <v>335723</v>
      </c>
      <c r="P71" s="114">
        <f>SUM(D71:O71)</f>
        <v>1392217</v>
      </c>
    </row>
    <row r="72" spans="3:18" ht="15" hidden="1" customHeight="1" x14ac:dyDescent="0.25">
      <c r="C72" s="19" t="s">
        <v>40</v>
      </c>
      <c r="D72" s="132">
        <v>0</v>
      </c>
      <c r="E72" s="132">
        <v>0</v>
      </c>
      <c r="F72" s="132">
        <f>IFERROR((F71*TabP!$E$10)*TabP!$F$10,0)</f>
        <v>4520.7479999999996</v>
      </c>
      <c r="G72" s="132">
        <v>0</v>
      </c>
      <c r="H72" s="132">
        <v>0</v>
      </c>
      <c r="I72" s="132">
        <f>IFERROR((I71*TabP!$E$10)*TabP!$F$10,0)</f>
        <v>4123.8719999999994</v>
      </c>
      <c r="J72" s="132">
        <v>0</v>
      </c>
      <c r="K72" s="132">
        <v>0</v>
      </c>
      <c r="L72" s="132">
        <f>IFERROR((L71*TabP!$E$10)*TabP!$F$10,0)</f>
        <v>4033.308</v>
      </c>
      <c r="M72" s="132">
        <v>0</v>
      </c>
      <c r="N72" s="132">
        <v>0</v>
      </c>
      <c r="O72" s="132">
        <f>IFERROR((O71*TabP!$E$10)*TabP!$F$10,0)</f>
        <v>4028.6759999999999</v>
      </c>
      <c r="P72" s="114">
        <f>SUM(D72:O72)</f>
        <v>16706.603999999999</v>
      </c>
    </row>
    <row r="73" spans="3:18" ht="15" hidden="1" customHeight="1" x14ac:dyDescent="0.25">
      <c r="C73" s="19" t="s">
        <v>242</v>
      </c>
      <c r="D73" s="132">
        <v>0</v>
      </c>
      <c r="E73" s="132">
        <v>0</v>
      </c>
      <c r="F73" s="132">
        <f>IF(IFERROR(((F71*TabP!$E$10)-60000)*TabP!$F$11,0)&lt;0,0,IFERROR(((F71*TabP!$E$10)-60000)*TabP!$F$11,0))</f>
        <v>0</v>
      </c>
      <c r="G73" s="132">
        <v>0</v>
      </c>
      <c r="H73" s="132">
        <v>0</v>
      </c>
      <c r="I73" s="132">
        <f>IF(IFERROR(((I71*TabP!$E$10)-60000)*TabP!$F$11,0)&lt;0,0,IFERROR(((I71*TabP!$E$10)-60000)*TabP!$F$11,0))</f>
        <v>0</v>
      </c>
      <c r="J73" s="132">
        <v>0</v>
      </c>
      <c r="K73" s="132">
        <v>0</v>
      </c>
      <c r="L73" s="132">
        <f>IF(IFERROR(((L71*TabP!$E$10)-60000)*TabP!$F$11,0)&lt;0,0,IFERROR(((L71*TabP!$E$10)-60000)*TabP!$F$11,0))</f>
        <v>0</v>
      </c>
      <c r="M73" s="132">
        <v>0</v>
      </c>
      <c r="N73" s="132">
        <v>0</v>
      </c>
      <c r="O73" s="132">
        <f>IF(IFERROR(((O71*TabP!$E$10)-60000)*TabP!$F$11,0)&lt;0,0,IFERROR(((O71*TabP!$E$10)-60000)*TabP!$F$11,0))</f>
        <v>0</v>
      </c>
      <c r="P73" s="114">
        <f>SUM(D73:O73)</f>
        <v>0</v>
      </c>
    </row>
    <row r="74" spans="3:18" ht="15" hidden="1" customHeight="1" x14ac:dyDescent="0.25">
      <c r="C74" s="19" t="s">
        <v>42</v>
      </c>
      <c r="D74" s="132">
        <v>0</v>
      </c>
      <c r="E74" s="132">
        <v>0</v>
      </c>
      <c r="F74" s="132">
        <f>IFERROR((F71*TabP!$E$12)*TabP!$F$12,0)</f>
        <v>4068.6731999999993</v>
      </c>
      <c r="G74" s="132">
        <v>0</v>
      </c>
      <c r="H74" s="132">
        <v>0</v>
      </c>
      <c r="I74" s="132">
        <f>IFERROR((I71*TabP!$E$12)*TabP!$F$12,0)</f>
        <v>3711.4848000000002</v>
      </c>
      <c r="J74" s="132">
        <v>0</v>
      </c>
      <c r="K74" s="132">
        <v>0</v>
      </c>
      <c r="L74" s="132">
        <f>IFERROR((L71*TabP!$E$12)*TabP!$F$12,0)</f>
        <v>3629.9771999999998</v>
      </c>
      <c r="M74" s="132">
        <v>0</v>
      </c>
      <c r="N74" s="132">
        <v>0</v>
      </c>
      <c r="O74" s="132">
        <f>IFERROR((O71*TabP!$E$12)*TabP!$F$12,0)</f>
        <v>3625.8083999999999</v>
      </c>
      <c r="P74" s="114">
        <f>SUM(D74:O74)</f>
        <v>15035.943599999999</v>
      </c>
    </row>
    <row r="75" spans="3:18" ht="15" hidden="1" customHeight="1" x14ac:dyDescent="0.25"/>
    <row r="76" spans="3:18" ht="30" customHeight="1" thickBot="1" x14ac:dyDescent="0.3">
      <c r="C76" s="180" t="s">
        <v>311</v>
      </c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</row>
    <row r="77" spans="3:18" ht="21.95" customHeight="1" x14ac:dyDescent="0.25">
      <c r="C77" s="85" t="s">
        <v>82</v>
      </c>
      <c r="D77" s="55" t="s">
        <v>83</v>
      </c>
      <c r="E77" s="55" t="s">
        <v>84</v>
      </c>
      <c r="F77" s="55" t="s">
        <v>85</v>
      </c>
      <c r="G77" s="55" t="s">
        <v>86</v>
      </c>
      <c r="H77" s="55" t="s">
        <v>87</v>
      </c>
      <c r="I77" s="55" t="s">
        <v>88</v>
      </c>
      <c r="J77" s="55" t="s">
        <v>89</v>
      </c>
      <c r="K77" s="55" t="s">
        <v>90</v>
      </c>
      <c r="L77" s="55" t="s">
        <v>91</v>
      </c>
      <c r="M77" s="55" t="s">
        <v>92</v>
      </c>
      <c r="N77" s="55" t="s">
        <v>93</v>
      </c>
      <c r="O77" s="55" t="s">
        <v>94</v>
      </c>
      <c r="P77" s="56" t="s">
        <v>95</v>
      </c>
    </row>
    <row r="78" spans="3:18" ht="24.95" hidden="1" customHeight="1" x14ac:dyDescent="0.25">
      <c r="C78" s="44" t="s">
        <v>96</v>
      </c>
      <c r="D78" s="90">
        <f>'2027'!D78</f>
        <v>35095.8125</v>
      </c>
      <c r="E78" s="90">
        <f>'2027'!E78</f>
        <v>34139.15</v>
      </c>
      <c r="F78" s="90">
        <f>'2027'!F78</f>
        <v>33509.862500000003</v>
      </c>
      <c r="G78" s="90">
        <f>'2027'!G78</f>
        <v>33159.449999999997</v>
      </c>
      <c r="H78" s="90">
        <f>'2027'!H78</f>
        <v>33452.875</v>
      </c>
      <c r="I78" s="90">
        <f>'2027'!I78</f>
        <v>33507.4375</v>
      </c>
      <c r="J78" s="90">
        <f>'2027'!J78</f>
        <v>30704.137500000001</v>
      </c>
      <c r="K78" s="90">
        <f>'2027'!K78</f>
        <v>34928.487500000003</v>
      </c>
      <c r="L78" s="90">
        <f>'2027'!L78</f>
        <v>30779.3125</v>
      </c>
      <c r="M78" s="90">
        <f>'2027'!M78</f>
        <v>36525.35</v>
      </c>
      <c r="N78" s="90">
        <f>'2027'!N78</f>
        <v>33266.15</v>
      </c>
      <c r="O78" s="90">
        <f>'2027'!O78</f>
        <v>31263.1</v>
      </c>
      <c r="P78" s="93">
        <f t="shared" ref="P78:P82" si="17">SUM(D78:O78)</f>
        <v>400331.125</v>
      </c>
      <c r="Q78" s="18" t="s">
        <v>250</v>
      </c>
      <c r="R78" s="18" t="s">
        <v>251</v>
      </c>
    </row>
    <row r="79" spans="3:18" ht="24.95" customHeight="1" x14ac:dyDescent="0.25">
      <c r="C79" s="44" t="s">
        <v>249</v>
      </c>
      <c r="D79" s="90">
        <f>'2027'!D79</f>
        <v>2665.8344999999999</v>
      </c>
      <c r="E79" s="90">
        <f>'2027'!E79</f>
        <v>2593.1676000000002</v>
      </c>
      <c r="F79" s="90">
        <f>'2027'!F79</f>
        <v>2545.3677000000002</v>
      </c>
      <c r="G79" s="90">
        <f>'2027'!G79</f>
        <v>2518.7508000000003</v>
      </c>
      <c r="H79" s="90">
        <f>'2027'!H79</f>
        <v>2541.0390000000002</v>
      </c>
      <c r="I79" s="90">
        <f>'2027'!I79</f>
        <v>2545.1835000000001</v>
      </c>
      <c r="J79" s="90">
        <f>'2027'!J79</f>
        <v>2332.2483000000002</v>
      </c>
      <c r="K79" s="90">
        <f>'2027'!K79</f>
        <v>2653.1246999999998</v>
      </c>
      <c r="L79" s="90">
        <f>'2027'!L79</f>
        <v>2337.9585000000002</v>
      </c>
      <c r="M79" s="90">
        <f>'2027'!M79</f>
        <v>2774.4204</v>
      </c>
      <c r="N79" s="90">
        <f>'2027'!N79</f>
        <v>2526.8555999999999</v>
      </c>
      <c r="O79" s="90">
        <f>'2027'!O79</f>
        <v>2374.7064</v>
      </c>
      <c r="P79" s="93">
        <f t="shared" si="17"/>
        <v>30408.656999999999</v>
      </c>
      <c r="Q79" s="201">
        <f>IF('BH (1)'!$D$4="Lucro Real",TabR!E13,IF('BH (1)'!$D$4="Lucro Presumido",TabP!F13,IF('BH (1)'!$D$4="Simples Nacional",TabS!$H$35)))</f>
        <v>9.2100000000000001E-2</v>
      </c>
      <c r="R79" s="201">
        <f>IF('BH (1)'!$D$4="Lucro Real",TabR!E15,IF('BH (1)'!$D$4="Lucro Presumido",TabP!F15,IF('BH (1)'!$D$4="Simples Nacional",TabS!$H$37)))</f>
        <v>0.6</v>
      </c>
    </row>
    <row r="80" spans="3:18" ht="24.95" hidden="1" customHeight="1" x14ac:dyDescent="0.25">
      <c r="C80" s="44" t="s">
        <v>135</v>
      </c>
      <c r="D80" s="90">
        <f>'2027'!D80</f>
        <v>134725</v>
      </c>
      <c r="E80" s="90">
        <f>'2027'!E80</f>
        <v>108391</v>
      </c>
      <c r="F80" s="90">
        <f>'2027'!F80</f>
        <v>133613</v>
      </c>
      <c r="G80" s="90">
        <f>'2027'!G80</f>
        <v>120356</v>
      </c>
      <c r="H80" s="90">
        <f>'2027'!H80</f>
        <v>119059</v>
      </c>
      <c r="I80" s="90">
        <f>'2027'!I80</f>
        <v>104241</v>
      </c>
      <c r="J80" s="90">
        <f>'2027'!J80</f>
        <v>123748</v>
      </c>
      <c r="K80" s="90">
        <f>'2027'!K80</f>
        <v>102602</v>
      </c>
      <c r="L80" s="90">
        <f>'2027'!L80</f>
        <v>109759</v>
      </c>
      <c r="M80" s="90">
        <f>'2027'!M80</f>
        <v>115659</v>
      </c>
      <c r="N80" s="90">
        <f>'2027'!N80</f>
        <v>110531</v>
      </c>
      <c r="O80" s="90">
        <f>'2027'!O80</f>
        <v>109533</v>
      </c>
      <c r="P80" s="93">
        <f>SUM(D80:O80)</f>
        <v>1392217</v>
      </c>
    </row>
    <row r="81" spans="3:16" ht="24.95" customHeight="1" x14ac:dyDescent="0.25">
      <c r="C81" s="198" t="s">
        <v>252</v>
      </c>
      <c r="D81" s="95">
        <f>'2027'!D81</f>
        <v>12408.172500000001</v>
      </c>
      <c r="E81" s="95">
        <f>'2027'!E81</f>
        <v>9982.8111000000008</v>
      </c>
      <c r="F81" s="95">
        <f>'2027'!F81</f>
        <v>12305.757299999999</v>
      </c>
      <c r="G81" s="95">
        <f>'2027'!G81</f>
        <v>11084.7876</v>
      </c>
      <c r="H81" s="95">
        <f>'2027'!H81</f>
        <v>10965.3339</v>
      </c>
      <c r="I81" s="95">
        <f>'2027'!I81</f>
        <v>9600.5961000000007</v>
      </c>
      <c r="J81" s="95">
        <f>'2027'!J81</f>
        <v>11397.1908</v>
      </c>
      <c r="K81" s="95">
        <f>'2027'!K81</f>
        <v>9449.6442000000006</v>
      </c>
      <c r="L81" s="95">
        <f>'2027'!L81</f>
        <v>10108.803900000001</v>
      </c>
      <c r="M81" s="95">
        <f>'2027'!M81</f>
        <v>10652.1939</v>
      </c>
      <c r="N81" s="95">
        <f>'2027'!N81</f>
        <v>10179.9051</v>
      </c>
      <c r="O81" s="95">
        <f>'2027'!O81</f>
        <v>10087.989299999999</v>
      </c>
      <c r="P81" s="93">
        <f t="shared" si="17"/>
        <v>128223.18569999999</v>
      </c>
    </row>
    <row r="82" spans="3:16" ht="24.95" hidden="1" customHeight="1" x14ac:dyDescent="0.25">
      <c r="C82" s="255" t="s">
        <v>207</v>
      </c>
      <c r="D82" s="95">
        <f>'2027'!D82</f>
        <v>-9742.3379999999997</v>
      </c>
      <c r="E82" s="95">
        <f>'2027'!E82</f>
        <v>-7389.6435000000001</v>
      </c>
      <c r="F82" s="95">
        <f>'2027'!F82</f>
        <v>-9760.3895999999986</v>
      </c>
      <c r="G82" s="95">
        <f>'2027'!G82</f>
        <v>-8566.0367999999999</v>
      </c>
      <c r="H82" s="95">
        <f>'2027'!H82</f>
        <v>-8424.294899999999</v>
      </c>
      <c r="I82" s="95">
        <f>'2027'!I82</f>
        <v>-7055.4126000000006</v>
      </c>
      <c r="J82" s="95">
        <f>'2027'!J82</f>
        <v>-9064.942500000001</v>
      </c>
      <c r="K82" s="95">
        <f>'2027'!K82</f>
        <v>-6796.5195000000003</v>
      </c>
      <c r="L82" s="95">
        <f>'2027'!L82</f>
        <v>-7770.8454000000002</v>
      </c>
      <c r="M82" s="95">
        <f>'2027'!M82</f>
        <v>-7877.7735000000002</v>
      </c>
      <c r="N82" s="95">
        <f>'2027'!N82</f>
        <v>-7653.0495000000001</v>
      </c>
      <c r="O82" s="128">
        <f>'2027'!O82</f>
        <v>-7713.2828999999992</v>
      </c>
      <c r="P82" s="230">
        <f t="shared" si="17"/>
        <v>-97814.528699999995</v>
      </c>
    </row>
    <row r="83" spans="3:16" ht="24.95" customHeight="1" x14ac:dyDescent="0.25">
      <c r="C83" s="199" t="s">
        <v>208</v>
      </c>
      <c r="D83" s="234">
        <f>'2027'!D83</f>
        <v>9742.3379999999997</v>
      </c>
      <c r="E83" s="202">
        <f>'2027'!E83</f>
        <v>7389.6435000000001</v>
      </c>
      <c r="F83" s="202">
        <f>'2027'!F83</f>
        <v>9760.3895999999986</v>
      </c>
      <c r="G83" s="202">
        <f>'2027'!G83</f>
        <v>8566.0367999999999</v>
      </c>
      <c r="H83" s="202">
        <f>'2027'!H83</f>
        <v>8424.294899999999</v>
      </c>
      <c r="I83" s="202">
        <f>'2027'!I83</f>
        <v>7055.4126000000006</v>
      </c>
      <c r="J83" s="202">
        <f>'2027'!J83</f>
        <v>9064.942500000001</v>
      </c>
      <c r="K83" s="202">
        <f>'2027'!K83</f>
        <v>6796.5195000000003</v>
      </c>
      <c r="L83" s="202">
        <f>'2027'!L83</f>
        <v>7770.8454000000002</v>
      </c>
      <c r="M83" s="202">
        <f>'2027'!M83</f>
        <v>7877.7735000000002</v>
      </c>
      <c r="N83" s="202">
        <f>'2027'!N83</f>
        <v>7653.0495000000001</v>
      </c>
      <c r="O83" s="202">
        <f>'2027'!O83</f>
        <v>7713.2828999999992</v>
      </c>
      <c r="P83" s="192">
        <f>SUM(D83:O83)</f>
        <v>97814.528699999995</v>
      </c>
    </row>
    <row r="201" spans="3:16" ht="15" hidden="1" customHeight="1" x14ac:dyDescent="0.25">
      <c r="C201" s="188" t="s">
        <v>283</v>
      </c>
      <c r="D201" s="201">
        <f>IF('BH (1)'!$C$4=1,TabR!E17,IF('BH (1)'!$C$4=2,TabP!F17,IF('BH (1)'!$C$4=3,TabS!H39)))</f>
        <v>1.5</v>
      </c>
    </row>
    <row r="202" spans="3:16" ht="15" hidden="1" customHeight="1" x14ac:dyDescent="0.25">
      <c r="C202" s="112" t="s">
        <v>82</v>
      </c>
      <c r="D202" s="112" t="s">
        <v>83</v>
      </c>
      <c r="E202" s="112" t="s">
        <v>84</v>
      </c>
      <c r="F202" s="112" t="s">
        <v>85</v>
      </c>
      <c r="G202" s="112" t="s">
        <v>86</v>
      </c>
      <c r="H202" s="112" t="s">
        <v>87</v>
      </c>
      <c r="I202" s="112" t="s">
        <v>88</v>
      </c>
      <c r="J202" s="112" t="s">
        <v>89</v>
      </c>
      <c r="K202" s="112" t="s">
        <v>90</v>
      </c>
      <c r="L202" s="112" t="s">
        <v>91</v>
      </c>
      <c r="M202" s="112" t="s">
        <v>92</v>
      </c>
      <c r="N202" s="112" t="s">
        <v>93</v>
      </c>
      <c r="O202" s="112" t="s">
        <v>94</v>
      </c>
      <c r="P202" s="112" t="s">
        <v>95</v>
      </c>
    </row>
    <row r="203" spans="3:16" ht="15" hidden="1" customHeight="1" x14ac:dyDescent="0.25">
      <c r="C203" s="200" t="s">
        <v>135</v>
      </c>
      <c r="D203" s="193">
        <f>'2027'!D203</f>
        <v>134725</v>
      </c>
      <c r="E203" s="193">
        <f>'2027'!E203</f>
        <v>108391</v>
      </c>
      <c r="F203" s="193">
        <f>'2027'!F203</f>
        <v>133613</v>
      </c>
      <c r="G203" s="193">
        <f>'2027'!G203</f>
        <v>120356</v>
      </c>
      <c r="H203" s="193">
        <f>'2027'!H203</f>
        <v>119059</v>
      </c>
      <c r="I203" s="193">
        <f>'2027'!I203</f>
        <v>104241</v>
      </c>
      <c r="J203" s="193">
        <f>'2027'!J203</f>
        <v>123748</v>
      </c>
      <c r="K203" s="193">
        <f>'2027'!K203</f>
        <v>102602</v>
      </c>
      <c r="L203" s="193">
        <f>'2027'!L203</f>
        <v>109759</v>
      </c>
      <c r="M203" s="193">
        <f>'2027'!M203</f>
        <v>115659</v>
      </c>
      <c r="N203" s="193">
        <f>'2027'!N203</f>
        <v>110531</v>
      </c>
      <c r="O203" s="193">
        <f>'2027'!O203</f>
        <v>109533</v>
      </c>
      <c r="P203" s="114">
        <f>SUM(D203:O203)</f>
        <v>1392217</v>
      </c>
    </row>
    <row r="204" spans="3:16" ht="15" hidden="1" customHeight="1" x14ac:dyDescent="0.25">
      <c r="C204" s="200" t="s">
        <v>284</v>
      </c>
      <c r="D204" s="193">
        <f>IF('BH (1)'!$B$18=1,D203*$D$201,D203)</f>
        <v>134725</v>
      </c>
      <c r="E204" s="193">
        <f>IF('BH (1)'!$B$18=1,E203*$D$201,E203)</f>
        <v>108391</v>
      </c>
      <c r="F204" s="193">
        <f>IF('BH (1)'!$B$18=1,F203*$D$201,F203)</f>
        <v>133613</v>
      </c>
      <c r="G204" s="193">
        <f>IF('BH (1)'!$B$18=1,G203*$D$201,G203)</f>
        <v>120356</v>
      </c>
      <c r="H204" s="193">
        <f>IF('BH (1)'!$B$18=1,H203*$D$201,H203)</f>
        <v>119059</v>
      </c>
      <c r="I204" s="193">
        <f>IF('BH (1)'!$B$18=1,I203*$D$201,I203)</f>
        <v>104241</v>
      </c>
      <c r="J204" s="193">
        <f>IF('BH (1)'!$B$18=1,J203*$D$201,J203)</f>
        <v>123748</v>
      </c>
      <c r="K204" s="193">
        <f>IF('BH (1)'!$B$18=1,K203*$D$201,K203)</f>
        <v>102602</v>
      </c>
      <c r="L204" s="193">
        <f>IF('BH (1)'!$B$18=1,L203*$D$201,L203)</f>
        <v>109759</v>
      </c>
      <c r="M204" s="193">
        <f>IF('BH (1)'!$B$18=1,M203*$D$201,M203)</f>
        <v>115659</v>
      </c>
      <c r="N204" s="193">
        <f>IF('BH (1)'!$B$18=1,N203*$D$201,N203)</f>
        <v>110531</v>
      </c>
      <c r="O204" s="193">
        <f>IF('BH (1)'!$B$18=1,O203*$D$201,O203)</f>
        <v>109533</v>
      </c>
      <c r="P204" s="114">
        <f>SUM(D204:O204)</f>
        <v>1392217</v>
      </c>
    </row>
  </sheetData>
  <sheetProtection sheet="1" objects="1" scenarios="1" selectLockedCells="1" selectUnlockedCells="1"/>
  <pageMargins left="0.25" right="0.25" top="0.75" bottom="0.75" header="0.3" footer="0.3"/>
  <pageSetup paperSize="9" scale="5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Drop Down 1">
              <controlPr defaultSize="0" print="0" autoLine="0" autoPict="0">
                <anchor moveWithCells="1">
                  <from>
                    <xdr:col>12</xdr:col>
                    <xdr:colOff>133350</xdr:colOff>
                    <xdr:row>2</xdr:row>
                    <xdr:rowOff>257175</xdr:rowOff>
                  </from>
                  <to>
                    <xdr:col>18</xdr:col>
                    <xdr:colOff>9525</xdr:colOff>
                    <xdr:row>2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Planilha44">
    <tabColor rgb="FF0000FF"/>
    <pageSetUpPr fitToPage="1"/>
  </sheetPr>
  <dimension ref="C1:S204"/>
  <sheetViews>
    <sheetView showGridLines="0" showRowColHeaders="0" workbookViewId="0">
      <pane ySplit="4" topLeftCell="A5" activePane="bottomLeft" state="frozen"/>
      <selection activeCell="M17" sqref="M17"/>
      <selection pane="bottomLeft"/>
    </sheetView>
  </sheetViews>
  <sheetFormatPr defaultRowHeight="15" customHeight="1" x14ac:dyDescent="0.25"/>
  <cols>
    <col min="1" max="2" width="1.7109375" style="18" customWidth="1"/>
    <col min="3" max="3" width="13.7109375" style="200" customWidth="1"/>
    <col min="4" max="16" width="13.140625" style="18" customWidth="1"/>
    <col min="17" max="19" width="9.140625" style="18" hidden="1" customWidth="1"/>
    <col min="20" max="20" width="9.140625" style="18" customWidth="1"/>
    <col min="21" max="16384" width="9.140625" style="18"/>
  </cols>
  <sheetData>
    <row r="1" spans="3:16" s="1" customFormat="1" ht="35.1" customHeight="1" x14ac:dyDescent="0.25">
      <c r="C1" s="194"/>
    </row>
    <row r="2" spans="3:16" s="3" customFormat="1" ht="30" customHeight="1" x14ac:dyDescent="0.25">
      <c r="C2" s="195"/>
    </row>
    <row r="3" spans="3:16" ht="69.95" customHeight="1" thickBot="1" x14ac:dyDescent="0.3">
      <c r="C3" s="180" t="s">
        <v>262</v>
      </c>
    </row>
    <row r="4" spans="3:16" ht="21.95" customHeight="1" x14ac:dyDescent="0.25">
      <c r="C4" s="85" t="s">
        <v>82</v>
      </c>
      <c r="D4" s="55" t="s">
        <v>83</v>
      </c>
      <c r="E4" s="55" t="s">
        <v>84</v>
      </c>
      <c r="F4" s="55" t="s">
        <v>85</v>
      </c>
      <c r="G4" s="55" t="s">
        <v>86</v>
      </c>
      <c r="H4" s="55" t="s">
        <v>87</v>
      </c>
      <c r="I4" s="55" t="s">
        <v>88</v>
      </c>
      <c r="J4" s="55" t="s">
        <v>89</v>
      </c>
      <c r="K4" s="55" t="s">
        <v>90</v>
      </c>
      <c r="L4" s="55" t="s">
        <v>91</v>
      </c>
      <c r="M4" s="55" t="s">
        <v>92</v>
      </c>
      <c r="N4" s="55" t="s">
        <v>93</v>
      </c>
      <c r="O4" s="55" t="s">
        <v>94</v>
      </c>
      <c r="P4" s="56" t="s">
        <v>294</v>
      </c>
    </row>
    <row r="5" spans="3:16" ht="21.95" customHeight="1" x14ac:dyDescent="0.25">
      <c r="C5" s="44" t="s">
        <v>43</v>
      </c>
      <c r="D5" s="90">
        <f>IF('BH (1)'!$D$4="Simples Nacional",IF('BH (1)'!$D$15="Simplificado",Simp6!D14+Simp6!D15+Simp6!D17,D83),D83)</f>
        <v>9742.3379999999997</v>
      </c>
      <c r="E5" s="90">
        <f>IF('BH (1)'!$D$4="Simples Nacional",IF('BH (1)'!$D$15="Simplificado",Simp6!E14+Simp6!E15+Simp6!E17,E83),E83)</f>
        <v>7389.6435000000001</v>
      </c>
      <c r="F5" s="90">
        <f>IF('BH (1)'!$D$4="Simples Nacional",IF('BH (1)'!$D$15="Simplificado",Simp6!F14+Simp6!F15+Simp6!F17,F83),F83)</f>
        <v>9760.3895999999986</v>
      </c>
      <c r="G5" s="90">
        <f>IF('BH (1)'!$D$4="Simples Nacional",IF('BH (1)'!$D$15="Simplificado",Simp6!G14+Simp6!G15+Simp6!G17,G83),G83)</f>
        <v>8566.0367999999999</v>
      </c>
      <c r="H5" s="90">
        <f>IF('BH (1)'!$D$4="Simples Nacional",IF('BH (1)'!$D$15="Simplificado",Simp6!H14+Simp6!H15+Simp6!H17,H83),H83)</f>
        <v>8424.294899999999</v>
      </c>
      <c r="I5" s="90">
        <f>IF('BH (1)'!$D$4="Simples Nacional",IF('BH (1)'!$D$15="Simplificado",Simp6!I14+Simp6!I15+Simp6!I17,I83),I83)</f>
        <v>7055.4126000000006</v>
      </c>
      <c r="J5" s="90">
        <f>IF('BH (1)'!$D$4="Simples Nacional",IF('BH (1)'!$D$15="Simplificado",Simp6!J14+Simp6!J15+Simp6!J17,J83),J83)</f>
        <v>9064.942500000001</v>
      </c>
      <c r="K5" s="90">
        <f>IF('BH (1)'!$D$4="Simples Nacional",IF('BH (1)'!$D$15="Simplificado",Simp6!K14+Simp6!K15+Simp6!K17,K83),K83)</f>
        <v>6796.5195000000003</v>
      </c>
      <c r="L5" s="90">
        <f>IF('BH (1)'!$D$4="Simples Nacional",IF('BH (1)'!$D$15="Simplificado",Simp6!L14+Simp6!L15+Simp6!L17,L83),L83)</f>
        <v>7770.8454000000002</v>
      </c>
      <c r="M5" s="90">
        <f>IF('BH (1)'!$D$4="Simples Nacional",IF('BH (1)'!$D$15="Simplificado",Simp6!M14+Simp6!M15+Simp6!M17,M83),M83)</f>
        <v>7877.7735000000002</v>
      </c>
      <c r="N5" s="90">
        <f>IF('BH (1)'!$D$4="Simples Nacional",IF('BH (1)'!$D$15="Simplificado",Simp6!N14+Simp6!N15+Simp6!N17,N83),N83)</f>
        <v>7653.0495000000001</v>
      </c>
      <c r="O5" s="90">
        <f>IF('BH (1)'!$D$4="Simples Nacional",IF('BH (1)'!$D$15="Simplificado",Simp6!O14+Simp6!O15+Simp6!O17,O83),O83)</f>
        <v>7713.2828999999992</v>
      </c>
      <c r="P5" s="93">
        <f>SUM(D5:O5)</f>
        <v>97814.528699999995</v>
      </c>
    </row>
    <row r="6" spans="3:16" ht="21.95" customHeight="1" x14ac:dyDescent="0.25">
      <c r="C6" s="44" t="s">
        <v>44</v>
      </c>
      <c r="D6" s="90">
        <f>IF('BH (1)'!$D$4="Simples Nacional",IF('BH (1)'!$D$15="Simplificado",0,D101),D101)</f>
        <v>1978.0859999999998</v>
      </c>
      <c r="E6" s="90">
        <f>IF('BH (1)'!$D$4="Simples Nacional",IF('BH (1)'!$D$15="Simplificado",0,E101),E101)</f>
        <v>1500.3944999999994</v>
      </c>
      <c r="F6" s="90">
        <f>IF('BH (1)'!$D$4="Simples Nacional",IF('BH (1)'!$D$15="Simplificado",0,F101),F101)</f>
        <v>1981.7511999999997</v>
      </c>
      <c r="G6" s="90">
        <f>IF('BH (1)'!$D$4="Simples Nacional",IF('BH (1)'!$D$15="Simplificado",0,G101),G101)</f>
        <v>1739.2495999999996</v>
      </c>
      <c r="H6" s="90">
        <f>IF('BH (1)'!$D$4="Simples Nacional",IF('BH (1)'!$D$15="Simplificado",0,H101),H101)</f>
        <v>1710.4702999999995</v>
      </c>
      <c r="I6" s="90">
        <f>IF('BH (1)'!$D$4="Simples Nacional",IF('BH (1)'!$D$15="Simplificado",0,I101),I101)</f>
        <v>1432.5321999999996</v>
      </c>
      <c r="J6" s="90">
        <f>IF('BH (1)'!$D$4="Simples Nacional",IF('BH (1)'!$D$15="Simplificado",0,J101),J101)</f>
        <v>1840.5474999999994</v>
      </c>
      <c r="K6" s="90">
        <f>IF('BH (1)'!$D$4="Simples Nacional",IF('BH (1)'!$D$15="Simplificado",0,K101),K101)</f>
        <v>1379.9664999999998</v>
      </c>
      <c r="L6" s="90">
        <f>IF('BH (1)'!$D$4="Simples Nacional",IF('BH (1)'!$D$15="Simplificado",0,L101),L101)</f>
        <v>1577.7937999999997</v>
      </c>
      <c r="M6" s="90">
        <f>IF('BH (1)'!$D$4="Simples Nacional",IF('BH (1)'!$D$15="Simplificado",0,M101),M101)</f>
        <v>1599.5044999999996</v>
      </c>
      <c r="N6" s="90">
        <f>IF('BH (1)'!$D$4="Simples Nacional",IF('BH (1)'!$D$15="Simplificado",0,N101),N101)</f>
        <v>1553.8764999999994</v>
      </c>
      <c r="O6" s="90">
        <f>IF('BH (1)'!$D$4="Simples Nacional",IF('BH (1)'!$D$15="Simplificado",0,O101),O101)</f>
        <v>1566.1062999999997</v>
      </c>
      <c r="P6" s="93">
        <f>SUM(D6:O6)</f>
        <v>19860.278899999994</v>
      </c>
    </row>
    <row r="7" spans="3:16" ht="24.95" hidden="1" customHeight="1" x14ac:dyDescent="0.25">
      <c r="C7" s="44" t="s">
        <v>97</v>
      </c>
      <c r="D7" s="90">
        <v>0</v>
      </c>
      <c r="E7" s="90">
        <v>0</v>
      </c>
      <c r="F7" s="90">
        <v>0</v>
      </c>
      <c r="G7" s="90">
        <v>0</v>
      </c>
      <c r="H7" s="90">
        <v>0</v>
      </c>
      <c r="I7" s="90">
        <v>0</v>
      </c>
      <c r="J7" s="90">
        <v>0</v>
      </c>
      <c r="K7" s="90">
        <v>0</v>
      </c>
      <c r="L7" s="90">
        <v>0</v>
      </c>
      <c r="M7" s="90">
        <v>0</v>
      </c>
      <c r="N7" s="90">
        <v>0</v>
      </c>
      <c r="O7" s="90">
        <v>0</v>
      </c>
      <c r="P7" s="93">
        <f>SUM(D7:O7)</f>
        <v>0</v>
      </c>
    </row>
    <row r="8" spans="3:16" ht="24.95" hidden="1" customHeight="1" x14ac:dyDescent="0.25">
      <c r="C8" s="44" t="s">
        <v>98</v>
      </c>
      <c r="D8" s="90">
        <v>0</v>
      </c>
      <c r="E8" s="90">
        <v>0</v>
      </c>
      <c r="F8" s="90">
        <v>0</v>
      </c>
      <c r="G8" s="90">
        <v>0</v>
      </c>
      <c r="H8" s="90">
        <v>0</v>
      </c>
      <c r="I8" s="90">
        <v>0</v>
      </c>
      <c r="J8" s="90">
        <v>0</v>
      </c>
      <c r="K8" s="90">
        <v>0</v>
      </c>
      <c r="L8" s="90">
        <v>0</v>
      </c>
      <c r="M8" s="90">
        <v>0</v>
      </c>
      <c r="N8" s="90">
        <v>0</v>
      </c>
      <c r="O8" s="90">
        <v>0</v>
      </c>
      <c r="P8" s="93">
        <f>SUM(D8:O8)</f>
        <v>0</v>
      </c>
    </row>
    <row r="9" spans="3:16" ht="24.95" customHeight="1" x14ac:dyDescent="0.25">
      <c r="C9" s="44" t="s">
        <v>37</v>
      </c>
      <c r="D9" s="90">
        <f>IF('BH (1)'!$D$4="Simples Nacional",IF('BH (1)'!$D$15="Simplificado",Simp6!D16,D93),D93)</f>
        <v>10759.952250000002</v>
      </c>
      <c r="E9" s="90">
        <f>IF('BH (1)'!$D$4="Simples Nacional",IF('BH (1)'!$D$15="Simplificado",Simp6!E16,E93),E93)</f>
        <v>8019.1998000000003</v>
      </c>
      <c r="F9" s="90">
        <f>IF('BH (1)'!$D$4="Simples Nacional",IF('BH (1)'!$D$15="Simplificado",Simp6!F16,F93),F93)</f>
        <v>10811.138849999999</v>
      </c>
      <c r="G9" s="90">
        <f>IF('BH (1)'!$D$4="Simples Nacional",IF('BH (1)'!$D$15="Simplificado",Simp6!G16,G93),G93)</f>
        <v>9417.2273999999998</v>
      </c>
      <c r="H9" s="90">
        <f>IF('BH (1)'!$D$4="Simples Nacional",IF('BH (1)'!$D$15="Simplificado",Simp6!H16,H93),H93)</f>
        <v>9245.4614999999994</v>
      </c>
      <c r="I9" s="90">
        <f>IF('BH (1)'!$D$4="Simples Nacional",IF('BH (1)'!$D$15="Simplificado",Simp6!I16,I93),I93)</f>
        <v>7639.2247500000003</v>
      </c>
      <c r="J9" s="90">
        <f>IF('BH (1)'!$D$4="Simples Nacional",IF('BH (1)'!$D$15="Simplificado",Simp6!J16,J93),J93)</f>
        <v>10048.737150000001</v>
      </c>
      <c r="K9" s="90">
        <f>IF('BH (1)'!$D$4="Simples Nacional",IF('BH (1)'!$D$15="Simplificado",Simp6!K16,K93),K93)</f>
        <v>7308.7393499999998</v>
      </c>
      <c r="L9" s="90">
        <f>IF('BH (1)'!$D$4="Simples Nacional",IF('BH (1)'!$D$15="Simplificado",Simp6!L16,L93),L93)</f>
        <v>8529.8062499999996</v>
      </c>
      <c r="M9" s="90">
        <f>IF('BH (1)'!$D$4="Simples Nacional",IF('BH (1)'!$D$15="Simplificado",Simp6!M16,M93),M93)</f>
        <v>8546.4342000000015</v>
      </c>
      <c r="N9" s="90">
        <f>IF('BH (1)'!$D$4="Simples Nacional",IF('BH (1)'!$D$15="Simplificado",Simp6!N16,N93),N93)</f>
        <v>8344.6038000000008</v>
      </c>
      <c r="O9" s="90">
        <f>IF('BH (1)'!$D$4="Simples Nacional",IF('BH (1)'!$D$15="Simplificado",Simp6!O16,O93),O93)</f>
        <v>8453.1491999999998</v>
      </c>
      <c r="P9" s="93">
        <f>SUM(D9:O9)</f>
        <v>107123.67449999999</v>
      </c>
    </row>
    <row r="10" spans="3:16" ht="24.95" hidden="1" customHeight="1" x14ac:dyDescent="0.25">
      <c r="C10" s="44" t="s">
        <v>38</v>
      </c>
      <c r="D10" s="90">
        <v>0</v>
      </c>
      <c r="E10" s="90">
        <v>0</v>
      </c>
      <c r="F10" s="90">
        <v>0</v>
      </c>
      <c r="G10" s="90">
        <v>0</v>
      </c>
      <c r="H10" s="90">
        <v>0</v>
      </c>
      <c r="I10" s="90">
        <v>0</v>
      </c>
      <c r="J10" s="90">
        <v>0</v>
      </c>
      <c r="K10" s="90">
        <v>0</v>
      </c>
      <c r="L10" s="90">
        <v>0</v>
      </c>
      <c r="M10" s="90">
        <v>0</v>
      </c>
      <c r="N10" s="90">
        <v>0</v>
      </c>
      <c r="O10" s="90">
        <v>0</v>
      </c>
      <c r="P10" s="93">
        <f t="shared" ref="P10:P17" si="0">SUM(D10:O10)</f>
        <v>0</v>
      </c>
    </row>
    <row r="11" spans="3:16" ht="24.95" customHeight="1" x14ac:dyDescent="0.25">
      <c r="C11" s="44" t="s">
        <v>39</v>
      </c>
      <c r="D11" s="90">
        <f>IF('BH (1)'!$D$4="Simples Nacional",IF('BH (1)'!$D$15="Simplificado",Simp6!D18,D94),D94)</f>
        <v>0</v>
      </c>
      <c r="E11" s="90">
        <f>IF('BH (1)'!$D$4="Simples Nacional",IF('BH (1)'!$D$15="Simplificado",Simp6!E18,E94),E94)</f>
        <v>0</v>
      </c>
      <c r="F11" s="90">
        <f>IF('BH (1)'!$D$4="Simples Nacional",IF('BH (1)'!$D$15="Simplificado",Simp6!F18,F94),F94)</f>
        <v>0</v>
      </c>
      <c r="G11" s="90">
        <f>IF('BH (1)'!$D$4="Simples Nacional",IF('BH (1)'!$D$15="Simplificado",Simp6!G18,G94),G94)</f>
        <v>0</v>
      </c>
      <c r="H11" s="90">
        <f>IF('BH (1)'!$D$4="Simples Nacional",IF('BH (1)'!$D$15="Simplificado",Simp6!H18,H94),H94)</f>
        <v>0</v>
      </c>
      <c r="I11" s="90">
        <f>IF('BH (1)'!$D$4="Simples Nacional",IF('BH (1)'!$D$15="Simplificado",Simp6!I18,I94),I94)</f>
        <v>0</v>
      </c>
      <c r="J11" s="90">
        <f>IF('BH (1)'!$D$4="Simples Nacional",IF('BH (1)'!$D$15="Simplificado",Simp6!J18,J94),J94)</f>
        <v>0</v>
      </c>
      <c r="K11" s="90">
        <f>IF('BH (1)'!$D$4="Simples Nacional",IF('BH (1)'!$D$15="Simplificado",Simp6!K18,K94),K94)</f>
        <v>0</v>
      </c>
      <c r="L11" s="90">
        <f>IF('BH (1)'!$D$4="Simples Nacional",IF('BH (1)'!$D$15="Simplificado",Simp6!L18,L94),L94)</f>
        <v>0</v>
      </c>
      <c r="M11" s="90">
        <f>IF('BH (1)'!$D$4="Simples Nacional",IF('BH (1)'!$D$15="Simplificado",Simp6!M18,M94),M94)</f>
        <v>0</v>
      </c>
      <c r="N11" s="90">
        <f>IF('BH (1)'!$D$4="Simples Nacional",IF('BH (1)'!$D$15="Simplificado",Simp6!N18,N94),N94)</f>
        <v>0</v>
      </c>
      <c r="O11" s="90">
        <f>IF('BH (1)'!$D$4="Simples Nacional",IF('BH (1)'!$D$15="Simplificado",Simp6!O18,O94),O94)</f>
        <v>0</v>
      </c>
      <c r="P11" s="93">
        <f t="shared" si="0"/>
        <v>0</v>
      </c>
    </row>
    <row r="12" spans="3:16" ht="24.95" customHeight="1" x14ac:dyDescent="0.25">
      <c r="C12" s="44" t="s">
        <v>129</v>
      </c>
      <c r="D12" s="90">
        <f>D50</f>
        <v>2400</v>
      </c>
      <c r="E12" s="90">
        <f t="shared" ref="E12:O12" si="1">E50</f>
        <v>2400</v>
      </c>
      <c r="F12" s="90">
        <f t="shared" si="1"/>
        <v>2400</v>
      </c>
      <c r="G12" s="90">
        <f t="shared" si="1"/>
        <v>2400</v>
      </c>
      <c r="H12" s="90">
        <f t="shared" si="1"/>
        <v>2400</v>
      </c>
      <c r="I12" s="90">
        <f t="shared" si="1"/>
        <v>2400</v>
      </c>
      <c r="J12" s="90">
        <f t="shared" si="1"/>
        <v>2400</v>
      </c>
      <c r="K12" s="90">
        <f t="shared" si="1"/>
        <v>2400</v>
      </c>
      <c r="L12" s="90">
        <f t="shared" si="1"/>
        <v>2400</v>
      </c>
      <c r="M12" s="90">
        <f t="shared" si="1"/>
        <v>2400</v>
      </c>
      <c r="N12" s="90">
        <f t="shared" si="1"/>
        <v>2400</v>
      </c>
      <c r="O12" s="90">
        <f t="shared" si="1"/>
        <v>2400</v>
      </c>
      <c r="P12" s="93">
        <f t="shared" si="0"/>
        <v>28800</v>
      </c>
    </row>
    <row r="13" spans="3:16" ht="24.95" customHeight="1" x14ac:dyDescent="0.25">
      <c r="C13" s="44" t="s">
        <v>42</v>
      </c>
      <c r="D13" s="90">
        <f>D57</f>
        <v>0</v>
      </c>
      <c r="E13" s="90">
        <f t="shared" ref="E13:O13" si="2">E57</f>
        <v>0</v>
      </c>
      <c r="F13" s="90">
        <f t="shared" si="2"/>
        <v>4068.6731999999993</v>
      </c>
      <c r="G13" s="90">
        <f t="shared" si="2"/>
        <v>0</v>
      </c>
      <c r="H13" s="90">
        <f t="shared" si="2"/>
        <v>0</v>
      </c>
      <c r="I13" s="90">
        <f t="shared" si="2"/>
        <v>3711.4848000000002</v>
      </c>
      <c r="J13" s="90">
        <f t="shared" si="2"/>
        <v>0</v>
      </c>
      <c r="K13" s="90">
        <f t="shared" si="2"/>
        <v>0</v>
      </c>
      <c r="L13" s="90">
        <f t="shared" si="2"/>
        <v>3629.9771999999998</v>
      </c>
      <c r="M13" s="90">
        <f t="shared" si="2"/>
        <v>0</v>
      </c>
      <c r="N13" s="90">
        <f t="shared" si="2"/>
        <v>0</v>
      </c>
      <c r="O13" s="90">
        <f t="shared" si="2"/>
        <v>3625.8083999999999</v>
      </c>
      <c r="P13" s="93">
        <f>IF('BH (1)'!$D$4="Lucro Presumido",Relatórios!P11,SUM(D13:O13))</f>
        <v>15035.943599999999</v>
      </c>
    </row>
    <row r="14" spans="3:16" ht="24.95" customHeight="1" x14ac:dyDescent="0.25">
      <c r="C14" s="44" t="s">
        <v>40</v>
      </c>
      <c r="D14" s="90">
        <f>IF('BH (1)'!$D$4="Simples Nacional",D55,D55+D56)</f>
        <v>0</v>
      </c>
      <c r="E14" s="90">
        <f>IF('BH (1)'!$D$4="Simples Nacional",E55,E55+E56)</f>
        <v>0</v>
      </c>
      <c r="F14" s="90">
        <f>IF('BH (1)'!$D$4="Simples Nacional",F55,F55+F56)</f>
        <v>4520.7479999999996</v>
      </c>
      <c r="G14" s="90">
        <f>IF('BH (1)'!$D$4="Simples Nacional",G55,G55+G56)</f>
        <v>0</v>
      </c>
      <c r="H14" s="90">
        <f>IF('BH (1)'!$D$4="Simples Nacional",H55,H55+H56)</f>
        <v>0</v>
      </c>
      <c r="I14" s="90">
        <f>IF('BH (1)'!$D$4="Simples Nacional",I55,I55+I56)</f>
        <v>4123.8719999999994</v>
      </c>
      <c r="J14" s="90">
        <f>IF('BH (1)'!$D$4="Simples Nacional",J55,J55+J56)</f>
        <v>0</v>
      </c>
      <c r="K14" s="90">
        <f>IF('BH (1)'!$D$4="Simples Nacional",K55,K55+K56)</f>
        <v>0</v>
      </c>
      <c r="L14" s="90">
        <f>IF('BH (1)'!$D$4="Simples Nacional",L55,L55+L56)</f>
        <v>4033.308</v>
      </c>
      <c r="M14" s="90">
        <f>IF('BH (1)'!$D$4="Simples Nacional",M55,M55+M56)</f>
        <v>0</v>
      </c>
      <c r="N14" s="90">
        <f>IF('BH (1)'!$D$4="Simples Nacional",N55,N55+N56)</f>
        <v>0</v>
      </c>
      <c r="O14" s="90">
        <f>IF('BH (1)'!$D$4="Simples Nacional",O55,O55+O56)</f>
        <v>4028.6759999999999</v>
      </c>
      <c r="P14" s="93">
        <f>IF('BH (1)'!$D$4="Lucro Presumido",Relatórios!P12,SUM(D14:O14))</f>
        <v>16706.603999999999</v>
      </c>
    </row>
    <row r="15" spans="3:16" ht="24.95" customHeight="1" x14ac:dyDescent="0.25">
      <c r="C15" s="44" t="s">
        <v>155</v>
      </c>
      <c r="D15" s="90">
        <f>D51</f>
        <v>960</v>
      </c>
      <c r="E15" s="90">
        <f t="shared" ref="E15:O15" si="3">E51</f>
        <v>960</v>
      </c>
      <c r="F15" s="90">
        <f t="shared" si="3"/>
        <v>960</v>
      </c>
      <c r="G15" s="90">
        <f t="shared" si="3"/>
        <v>960</v>
      </c>
      <c r="H15" s="90">
        <f t="shared" si="3"/>
        <v>960</v>
      </c>
      <c r="I15" s="90">
        <f t="shared" si="3"/>
        <v>960</v>
      </c>
      <c r="J15" s="90">
        <f t="shared" si="3"/>
        <v>960</v>
      </c>
      <c r="K15" s="90">
        <f t="shared" si="3"/>
        <v>960</v>
      </c>
      <c r="L15" s="90">
        <f t="shared" si="3"/>
        <v>960</v>
      </c>
      <c r="M15" s="90">
        <f t="shared" si="3"/>
        <v>960</v>
      </c>
      <c r="N15" s="90">
        <f t="shared" si="3"/>
        <v>960</v>
      </c>
      <c r="O15" s="90">
        <f t="shared" si="3"/>
        <v>960</v>
      </c>
      <c r="P15" s="93">
        <f t="shared" si="0"/>
        <v>11520</v>
      </c>
    </row>
    <row r="16" spans="3:16" ht="24.95" customHeight="1" x14ac:dyDescent="0.25">
      <c r="C16" s="44" t="str">
        <f>IF('BH (1)'!D4="Simples Nacional","","Terceiros")</f>
        <v>Terceiros</v>
      </c>
      <c r="D16" s="90">
        <f>D52</f>
        <v>696</v>
      </c>
      <c r="E16" s="90">
        <f t="shared" ref="E16:O16" si="4">E52</f>
        <v>696</v>
      </c>
      <c r="F16" s="90">
        <f t="shared" si="4"/>
        <v>696</v>
      </c>
      <c r="G16" s="90">
        <f t="shared" si="4"/>
        <v>696</v>
      </c>
      <c r="H16" s="90">
        <f t="shared" si="4"/>
        <v>696</v>
      </c>
      <c r="I16" s="90">
        <f t="shared" si="4"/>
        <v>696</v>
      </c>
      <c r="J16" s="90">
        <f t="shared" si="4"/>
        <v>696</v>
      </c>
      <c r="K16" s="90">
        <f t="shared" si="4"/>
        <v>696</v>
      </c>
      <c r="L16" s="90">
        <f t="shared" si="4"/>
        <v>696</v>
      </c>
      <c r="M16" s="90">
        <f t="shared" si="4"/>
        <v>696</v>
      </c>
      <c r="N16" s="90">
        <f t="shared" si="4"/>
        <v>696</v>
      </c>
      <c r="O16" s="90">
        <f t="shared" si="4"/>
        <v>696</v>
      </c>
      <c r="P16" s="93">
        <f t="shared" si="0"/>
        <v>8352</v>
      </c>
    </row>
    <row r="17" spans="3:16" ht="24.95" customHeight="1" x14ac:dyDescent="0.25">
      <c r="C17" s="198" t="str">
        <f>IF('BH (1)'!D4="Simples Nacional","","RAT")</f>
        <v>RAT</v>
      </c>
      <c r="D17" s="189">
        <f>D53</f>
        <v>240</v>
      </c>
      <c r="E17" s="189">
        <f t="shared" ref="E17:O17" si="5">E53</f>
        <v>240</v>
      </c>
      <c r="F17" s="189">
        <f t="shared" si="5"/>
        <v>240</v>
      </c>
      <c r="G17" s="189">
        <f t="shared" si="5"/>
        <v>240</v>
      </c>
      <c r="H17" s="189">
        <f t="shared" si="5"/>
        <v>240</v>
      </c>
      <c r="I17" s="189">
        <f t="shared" si="5"/>
        <v>240</v>
      </c>
      <c r="J17" s="189">
        <f t="shared" si="5"/>
        <v>240</v>
      </c>
      <c r="K17" s="189">
        <f t="shared" si="5"/>
        <v>240</v>
      </c>
      <c r="L17" s="189">
        <f t="shared" si="5"/>
        <v>240</v>
      </c>
      <c r="M17" s="189">
        <f t="shared" si="5"/>
        <v>240</v>
      </c>
      <c r="N17" s="189">
        <f t="shared" si="5"/>
        <v>240</v>
      </c>
      <c r="O17" s="189">
        <f t="shared" si="5"/>
        <v>240</v>
      </c>
      <c r="P17" s="93">
        <f t="shared" si="0"/>
        <v>2880</v>
      </c>
    </row>
    <row r="18" spans="3:16" ht="24.95" customHeight="1" x14ac:dyDescent="0.25">
      <c r="C18" s="196" t="s">
        <v>245</v>
      </c>
      <c r="D18" s="97">
        <f>SUM(D5:D17)</f>
        <v>26776.376250000001</v>
      </c>
      <c r="E18" s="97">
        <f t="shared" ref="E18:O18" si="6">SUM(E5:E17)</f>
        <v>21205.237800000003</v>
      </c>
      <c r="F18" s="97">
        <f t="shared" si="6"/>
        <v>35438.700849999994</v>
      </c>
      <c r="G18" s="97">
        <f t="shared" si="6"/>
        <v>24018.513800000001</v>
      </c>
      <c r="H18" s="97">
        <f t="shared" si="6"/>
        <v>23676.226699999999</v>
      </c>
      <c r="I18" s="97">
        <f t="shared" si="6"/>
        <v>28258.526350000004</v>
      </c>
      <c r="J18" s="97">
        <f t="shared" si="6"/>
        <v>25250.227149999999</v>
      </c>
      <c r="K18" s="97">
        <f t="shared" si="6"/>
        <v>19781.225350000001</v>
      </c>
      <c r="L18" s="97">
        <f t="shared" si="6"/>
        <v>29837.730650000001</v>
      </c>
      <c r="M18" s="97">
        <f t="shared" si="6"/>
        <v>22319.712200000002</v>
      </c>
      <c r="N18" s="97">
        <f t="shared" si="6"/>
        <v>21847.5298</v>
      </c>
      <c r="O18" s="97">
        <f t="shared" si="6"/>
        <v>29683.022799999999</v>
      </c>
      <c r="P18" s="98">
        <f>SUM(P5:P17)</f>
        <v>308093.02969999996</v>
      </c>
    </row>
    <row r="19" spans="3:16" ht="30" customHeight="1" thickBot="1" x14ac:dyDescent="0.3">
      <c r="C19" s="180" t="s">
        <v>263</v>
      </c>
    </row>
    <row r="20" spans="3:16" ht="21.95" customHeight="1" x14ac:dyDescent="0.25">
      <c r="C20" s="85" t="s">
        <v>82</v>
      </c>
      <c r="D20" s="55" t="s">
        <v>83</v>
      </c>
      <c r="E20" s="55" t="s">
        <v>84</v>
      </c>
      <c r="F20" s="55" t="s">
        <v>85</v>
      </c>
      <c r="G20" s="55" t="s">
        <v>86</v>
      </c>
      <c r="H20" s="55" t="s">
        <v>87</v>
      </c>
      <c r="I20" s="55" t="s">
        <v>88</v>
      </c>
      <c r="J20" s="55" t="s">
        <v>89</v>
      </c>
      <c r="K20" s="55" t="s">
        <v>90</v>
      </c>
      <c r="L20" s="55" t="s">
        <v>91</v>
      </c>
      <c r="M20" s="55" t="s">
        <v>92</v>
      </c>
      <c r="N20" s="55" t="s">
        <v>93</v>
      </c>
      <c r="O20" s="55" t="s">
        <v>94</v>
      </c>
      <c r="P20" s="56" t="s">
        <v>294</v>
      </c>
    </row>
    <row r="21" spans="3:16" ht="24.95" customHeight="1" x14ac:dyDescent="0.25">
      <c r="C21" s="197" t="str">
        <f>'2027'!C21</f>
        <v>Indústria</v>
      </c>
      <c r="D21" s="90">
        <f>'2027'!D21</f>
        <v>0</v>
      </c>
      <c r="E21" s="90">
        <f>'2027'!E21</f>
        <v>0</v>
      </c>
      <c r="F21" s="90">
        <f>'2027'!F21</f>
        <v>0</v>
      </c>
      <c r="G21" s="90">
        <f>'2027'!G21</f>
        <v>0</v>
      </c>
      <c r="H21" s="90">
        <f>'2027'!H21</f>
        <v>0</v>
      </c>
      <c r="I21" s="90">
        <f>'2027'!I21</f>
        <v>0</v>
      </c>
      <c r="J21" s="90">
        <f>'2027'!J21</f>
        <v>0</v>
      </c>
      <c r="K21" s="90">
        <f>'2027'!K21</f>
        <v>0</v>
      </c>
      <c r="L21" s="90">
        <f>'2027'!L21</f>
        <v>0</v>
      </c>
      <c r="M21" s="90">
        <f>'2027'!M21</f>
        <v>0</v>
      </c>
      <c r="N21" s="90">
        <f>'2027'!N21</f>
        <v>0</v>
      </c>
      <c r="O21" s="90">
        <f>'2027'!O21</f>
        <v>0</v>
      </c>
      <c r="P21" s="91">
        <f>SUM(D21:O21)</f>
        <v>0</v>
      </c>
    </row>
    <row r="22" spans="3:16" ht="24.95" customHeight="1" x14ac:dyDescent="0.25">
      <c r="C22" s="44" t="str">
        <f>'2027'!C22</f>
        <v>Comércio</v>
      </c>
      <c r="D22" s="90">
        <f>'2027'!D22</f>
        <v>134725</v>
      </c>
      <c r="E22" s="90">
        <f>'2027'!E22</f>
        <v>108391</v>
      </c>
      <c r="F22" s="90">
        <f>'2027'!F22</f>
        <v>133613</v>
      </c>
      <c r="G22" s="90">
        <f>'2027'!G22</f>
        <v>120356</v>
      </c>
      <c r="H22" s="90">
        <f>'2027'!H22</f>
        <v>119059</v>
      </c>
      <c r="I22" s="90">
        <f>'2027'!I22</f>
        <v>104241</v>
      </c>
      <c r="J22" s="90">
        <f>'2027'!J22</f>
        <v>123748</v>
      </c>
      <c r="K22" s="90">
        <f>'2027'!K22</f>
        <v>102602</v>
      </c>
      <c r="L22" s="90">
        <f>'2027'!L22</f>
        <v>109759</v>
      </c>
      <c r="M22" s="90">
        <f>'2027'!M22</f>
        <v>115659</v>
      </c>
      <c r="N22" s="90">
        <f>'2027'!N22</f>
        <v>110531</v>
      </c>
      <c r="O22" s="90">
        <f>'2027'!O22</f>
        <v>109533</v>
      </c>
      <c r="P22" s="93">
        <f>SUM(D22:O22)</f>
        <v>1392217</v>
      </c>
    </row>
    <row r="23" spans="3:16" ht="24.95" customHeight="1" x14ac:dyDescent="0.25">
      <c r="C23" s="43" t="str">
        <f>'2027'!C23</f>
        <v>Serviços</v>
      </c>
      <c r="D23" s="90">
        <f>'2027'!D23</f>
        <v>0</v>
      </c>
      <c r="E23" s="90">
        <f>'2027'!E23</f>
        <v>0</v>
      </c>
      <c r="F23" s="90">
        <f>'2027'!F23</f>
        <v>0</v>
      </c>
      <c r="G23" s="90">
        <f>'2027'!G23</f>
        <v>0</v>
      </c>
      <c r="H23" s="90">
        <f>'2027'!H23</f>
        <v>0</v>
      </c>
      <c r="I23" s="90">
        <f>'2027'!I23</f>
        <v>0</v>
      </c>
      <c r="J23" s="90">
        <f>'2027'!J23</f>
        <v>0</v>
      </c>
      <c r="K23" s="90">
        <f>'2027'!K23</f>
        <v>0</v>
      </c>
      <c r="L23" s="90">
        <f>'2027'!L23</f>
        <v>0</v>
      </c>
      <c r="M23" s="90">
        <f>'2027'!M23</f>
        <v>0</v>
      </c>
      <c r="N23" s="90">
        <f>'2027'!N23</f>
        <v>0</v>
      </c>
      <c r="O23" s="90">
        <f>'2027'!O23</f>
        <v>0</v>
      </c>
      <c r="P23" s="93">
        <f>SUM(D23:O23)</f>
        <v>0</v>
      </c>
    </row>
    <row r="24" spans="3:16" ht="24.95" customHeight="1" x14ac:dyDescent="0.25">
      <c r="C24" s="43" t="str">
        <f>'2027'!C24</f>
        <v/>
      </c>
      <c r="D24" s="90" t="str">
        <f>'2027'!D24</f>
        <v/>
      </c>
      <c r="E24" s="90" t="str">
        <f>'2027'!E24</f>
        <v/>
      </c>
      <c r="F24" s="90" t="str">
        <f>'2027'!F24</f>
        <v/>
      </c>
      <c r="G24" s="90" t="str">
        <f>'2027'!G24</f>
        <v/>
      </c>
      <c r="H24" s="90" t="str">
        <f>'2027'!H24</f>
        <v/>
      </c>
      <c r="I24" s="90" t="str">
        <f>'2027'!I24</f>
        <v/>
      </c>
      <c r="J24" s="90" t="str">
        <f>'2027'!J24</f>
        <v/>
      </c>
      <c r="K24" s="90" t="str">
        <f>'2027'!K24</f>
        <v/>
      </c>
      <c r="L24" s="90" t="str">
        <f>'2027'!L24</f>
        <v/>
      </c>
      <c r="M24" s="90" t="str">
        <f>'2027'!M24</f>
        <v/>
      </c>
      <c r="N24" s="90" t="str">
        <f>'2027'!N24</f>
        <v/>
      </c>
      <c r="O24" s="90" t="str">
        <f>'2027'!O24</f>
        <v/>
      </c>
      <c r="P24" s="93">
        <f t="shared" ref="P24:P34" si="7">SUM(D24:O24)</f>
        <v>0</v>
      </c>
    </row>
    <row r="25" spans="3:16" ht="24.95" customHeight="1" x14ac:dyDescent="0.25">
      <c r="C25" s="43" t="str">
        <f>'2027'!C25</f>
        <v/>
      </c>
      <c r="D25" s="90" t="str">
        <f>'2027'!D25</f>
        <v/>
      </c>
      <c r="E25" s="90" t="str">
        <f>'2027'!E25</f>
        <v/>
      </c>
      <c r="F25" s="90" t="str">
        <f>'2027'!F25</f>
        <v/>
      </c>
      <c r="G25" s="90" t="str">
        <f>'2027'!G25</f>
        <v/>
      </c>
      <c r="H25" s="90" t="str">
        <f>'2027'!H25</f>
        <v/>
      </c>
      <c r="I25" s="90" t="str">
        <f>'2027'!I25</f>
        <v/>
      </c>
      <c r="J25" s="90" t="str">
        <f>'2027'!J25</f>
        <v/>
      </c>
      <c r="K25" s="90" t="str">
        <f>'2027'!K25</f>
        <v/>
      </c>
      <c r="L25" s="90" t="str">
        <f>'2027'!L25</f>
        <v/>
      </c>
      <c r="M25" s="90" t="str">
        <f>'2027'!M25</f>
        <v/>
      </c>
      <c r="N25" s="90" t="str">
        <f>'2027'!N25</f>
        <v/>
      </c>
      <c r="O25" s="90" t="str">
        <f>'2027'!O25</f>
        <v/>
      </c>
      <c r="P25" s="93">
        <f t="shared" si="7"/>
        <v>0</v>
      </c>
    </row>
    <row r="26" spans="3:16" ht="24.95" customHeight="1" x14ac:dyDescent="0.25">
      <c r="C26" s="198" t="s">
        <v>209</v>
      </c>
      <c r="D26" s="100">
        <f>Desp!D19</f>
        <v>0</v>
      </c>
      <c r="E26" s="99">
        <f>Desp!E19</f>
        <v>0</v>
      </c>
      <c r="F26" s="99">
        <f>Desp!F19</f>
        <v>0</v>
      </c>
      <c r="G26" s="99">
        <f>Desp!G19</f>
        <v>0</v>
      </c>
      <c r="H26" s="99">
        <f>Desp!H19</f>
        <v>0</v>
      </c>
      <c r="I26" s="99">
        <f>Desp!I19</f>
        <v>0</v>
      </c>
      <c r="J26" s="99">
        <f>Desp!J19</f>
        <v>0</v>
      </c>
      <c r="K26" s="99">
        <f>Desp!K19</f>
        <v>0</v>
      </c>
      <c r="L26" s="99">
        <f>Desp!L19</f>
        <v>0</v>
      </c>
      <c r="M26" s="99">
        <f>Desp!M19</f>
        <v>0</v>
      </c>
      <c r="N26" s="99">
        <f>Desp!N19</f>
        <v>0</v>
      </c>
      <c r="O26" s="100">
        <f>Desp!O19</f>
        <v>0</v>
      </c>
      <c r="P26" s="93">
        <f t="shared" si="7"/>
        <v>0</v>
      </c>
    </row>
    <row r="27" spans="3:16" ht="24.95" customHeight="1" x14ac:dyDescent="0.25">
      <c r="C27" s="196" t="s">
        <v>210</v>
      </c>
      <c r="D27" s="97">
        <f>SUM(D21:D25)-D26</f>
        <v>134725</v>
      </c>
      <c r="E27" s="97">
        <f t="shared" ref="E27:O27" si="8">SUM(E21:E25)-E26</f>
        <v>108391</v>
      </c>
      <c r="F27" s="97">
        <f t="shared" si="8"/>
        <v>133613</v>
      </c>
      <c r="G27" s="97">
        <f t="shared" si="8"/>
        <v>120356</v>
      </c>
      <c r="H27" s="97">
        <f t="shared" si="8"/>
        <v>119059</v>
      </c>
      <c r="I27" s="97">
        <f t="shared" si="8"/>
        <v>104241</v>
      </c>
      <c r="J27" s="97">
        <f t="shared" si="8"/>
        <v>123748</v>
      </c>
      <c r="K27" s="97">
        <f t="shared" si="8"/>
        <v>102602</v>
      </c>
      <c r="L27" s="97">
        <f t="shared" si="8"/>
        <v>109759</v>
      </c>
      <c r="M27" s="97">
        <f t="shared" si="8"/>
        <v>115659</v>
      </c>
      <c r="N27" s="97">
        <f t="shared" si="8"/>
        <v>110531</v>
      </c>
      <c r="O27" s="97">
        <f t="shared" si="8"/>
        <v>109533</v>
      </c>
      <c r="P27" s="93">
        <f t="shared" si="7"/>
        <v>1392217</v>
      </c>
    </row>
    <row r="28" spans="3:16" ht="24.95" hidden="1" customHeight="1" x14ac:dyDescent="0.25">
      <c r="C28" s="44" t="s">
        <v>214</v>
      </c>
      <c r="D28" s="90">
        <v>0</v>
      </c>
      <c r="E28" s="90">
        <v>0</v>
      </c>
      <c r="F28" s="90">
        <v>0</v>
      </c>
      <c r="G28" s="90">
        <v>0</v>
      </c>
      <c r="H28" s="90">
        <v>0</v>
      </c>
      <c r="I28" s="90">
        <v>0</v>
      </c>
      <c r="J28" s="90">
        <v>0</v>
      </c>
      <c r="K28" s="90">
        <v>0</v>
      </c>
      <c r="L28" s="90">
        <v>0</v>
      </c>
      <c r="M28" s="90">
        <v>0</v>
      </c>
      <c r="N28" s="90">
        <v>0</v>
      </c>
      <c r="O28" s="90">
        <v>0</v>
      </c>
      <c r="P28" s="93">
        <f t="shared" si="7"/>
        <v>0</v>
      </c>
    </row>
    <row r="29" spans="3:16" ht="24.95" hidden="1" customHeight="1" x14ac:dyDescent="0.25">
      <c r="C29" s="44" t="s">
        <v>215</v>
      </c>
      <c r="D29" s="90">
        <v>0</v>
      </c>
      <c r="E29" s="90">
        <v>0</v>
      </c>
      <c r="F29" s="90">
        <v>0</v>
      </c>
      <c r="G29" s="90">
        <v>0</v>
      </c>
      <c r="H29" s="90">
        <v>0</v>
      </c>
      <c r="I29" s="90">
        <v>0</v>
      </c>
      <c r="J29" s="90">
        <v>0</v>
      </c>
      <c r="K29" s="90">
        <v>0</v>
      </c>
      <c r="L29" s="90">
        <v>0</v>
      </c>
      <c r="M29" s="90">
        <v>0</v>
      </c>
      <c r="N29" s="90">
        <v>0</v>
      </c>
      <c r="O29" s="90">
        <v>0</v>
      </c>
      <c r="P29" s="93">
        <f t="shared" si="7"/>
        <v>0</v>
      </c>
    </row>
    <row r="30" spans="3:16" ht="24.95" customHeight="1" x14ac:dyDescent="0.25">
      <c r="C30" s="44" t="s">
        <v>216</v>
      </c>
      <c r="D30" s="90">
        <f>D87</f>
        <v>14550.300000000001</v>
      </c>
      <c r="E30" s="90">
        <f t="shared" ref="E30:O30" si="9">E87</f>
        <v>11706.228000000001</v>
      </c>
      <c r="F30" s="90">
        <f t="shared" si="9"/>
        <v>14430.204</v>
      </c>
      <c r="G30" s="90">
        <f t="shared" si="9"/>
        <v>12998.448</v>
      </c>
      <c r="H30" s="90">
        <f t="shared" si="9"/>
        <v>12858.371999999999</v>
      </c>
      <c r="I30" s="90">
        <f t="shared" si="9"/>
        <v>11258.028</v>
      </c>
      <c r="J30" s="90">
        <f t="shared" si="9"/>
        <v>13364.784</v>
      </c>
      <c r="K30" s="90">
        <f t="shared" si="9"/>
        <v>11081.016</v>
      </c>
      <c r="L30" s="90">
        <f t="shared" si="9"/>
        <v>11853.972</v>
      </c>
      <c r="M30" s="90">
        <f t="shared" si="9"/>
        <v>12491.172</v>
      </c>
      <c r="N30" s="90">
        <f t="shared" si="9"/>
        <v>11937.348</v>
      </c>
      <c r="O30" s="90">
        <f t="shared" si="9"/>
        <v>11829.563999999998</v>
      </c>
      <c r="P30" s="93">
        <f t="shared" si="7"/>
        <v>150359.43600000005</v>
      </c>
    </row>
    <row r="31" spans="3:16" ht="24.95" hidden="1" customHeight="1" x14ac:dyDescent="0.25">
      <c r="C31" s="44" t="s">
        <v>217</v>
      </c>
      <c r="D31" s="90">
        <v>0</v>
      </c>
      <c r="E31" s="90">
        <v>0</v>
      </c>
      <c r="F31" s="90">
        <v>0</v>
      </c>
      <c r="G31" s="90">
        <v>0</v>
      </c>
      <c r="H31" s="90">
        <v>0</v>
      </c>
      <c r="I31" s="90">
        <v>0</v>
      </c>
      <c r="J31" s="90">
        <v>0</v>
      </c>
      <c r="K31" s="90">
        <v>0</v>
      </c>
      <c r="L31" s="90">
        <v>0</v>
      </c>
      <c r="M31" s="90">
        <v>0</v>
      </c>
      <c r="N31" s="90">
        <v>0</v>
      </c>
      <c r="O31" s="90">
        <v>0</v>
      </c>
      <c r="P31" s="93">
        <f t="shared" si="7"/>
        <v>0</v>
      </c>
    </row>
    <row r="32" spans="3:16" ht="24.95" customHeight="1" x14ac:dyDescent="0.25">
      <c r="C32" s="44" t="s">
        <v>218</v>
      </c>
      <c r="D32" s="90">
        <f>D88</f>
        <v>0</v>
      </c>
      <c r="E32" s="90">
        <f t="shared" ref="E32:O32" si="10">E88</f>
        <v>0</v>
      </c>
      <c r="F32" s="90">
        <f t="shared" si="10"/>
        <v>0</v>
      </c>
      <c r="G32" s="90">
        <f t="shared" si="10"/>
        <v>0</v>
      </c>
      <c r="H32" s="90">
        <f t="shared" si="10"/>
        <v>0</v>
      </c>
      <c r="I32" s="90">
        <f t="shared" si="10"/>
        <v>0</v>
      </c>
      <c r="J32" s="90">
        <f t="shared" si="10"/>
        <v>0</v>
      </c>
      <c r="K32" s="90">
        <f t="shared" si="10"/>
        <v>0</v>
      </c>
      <c r="L32" s="90">
        <f t="shared" si="10"/>
        <v>0</v>
      </c>
      <c r="M32" s="90">
        <f t="shared" si="10"/>
        <v>0</v>
      </c>
      <c r="N32" s="90">
        <f t="shared" si="10"/>
        <v>0</v>
      </c>
      <c r="O32" s="90">
        <f t="shared" si="10"/>
        <v>0</v>
      </c>
      <c r="P32" s="93">
        <f t="shared" si="7"/>
        <v>0</v>
      </c>
    </row>
    <row r="33" spans="3:16" ht="24.95" customHeight="1" x14ac:dyDescent="0.25">
      <c r="C33" s="44" t="s">
        <v>247</v>
      </c>
      <c r="D33" s="90">
        <f>D81</f>
        <v>12408.172500000001</v>
      </c>
      <c r="E33" s="90">
        <f t="shared" ref="E33:O33" si="11">E81</f>
        <v>9982.8111000000008</v>
      </c>
      <c r="F33" s="90">
        <f t="shared" si="11"/>
        <v>12305.757299999999</v>
      </c>
      <c r="G33" s="90">
        <f t="shared" si="11"/>
        <v>11084.7876</v>
      </c>
      <c r="H33" s="90">
        <f t="shared" si="11"/>
        <v>10965.3339</v>
      </c>
      <c r="I33" s="90">
        <f t="shared" si="11"/>
        <v>9600.5961000000007</v>
      </c>
      <c r="J33" s="90">
        <f t="shared" si="11"/>
        <v>11397.1908</v>
      </c>
      <c r="K33" s="90">
        <f t="shared" si="11"/>
        <v>9449.6442000000006</v>
      </c>
      <c r="L33" s="90">
        <f t="shared" si="11"/>
        <v>10108.803900000001</v>
      </c>
      <c r="M33" s="90">
        <f t="shared" si="11"/>
        <v>10652.1939</v>
      </c>
      <c r="N33" s="90">
        <f t="shared" si="11"/>
        <v>10179.9051</v>
      </c>
      <c r="O33" s="90">
        <f t="shared" si="11"/>
        <v>10087.989299999999</v>
      </c>
      <c r="P33" s="93">
        <f t="shared" si="7"/>
        <v>128223.18569999999</v>
      </c>
    </row>
    <row r="34" spans="3:16" ht="24.95" customHeight="1" x14ac:dyDescent="0.25">
      <c r="C34" s="198" t="s">
        <v>248</v>
      </c>
      <c r="D34" s="99">
        <f>D98</f>
        <v>2519.3574999999996</v>
      </c>
      <c r="E34" s="99">
        <f t="shared" ref="E34:O34" si="12">E98</f>
        <v>2026.9116999999994</v>
      </c>
      <c r="F34" s="99">
        <f t="shared" si="12"/>
        <v>2498.5630999999994</v>
      </c>
      <c r="G34" s="99">
        <f t="shared" si="12"/>
        <v>2250.6571999999996</v>
      </c>
      <c r="H34" s="99">
        <f t="shared" si="12"/>
        <v>2226.4032999999995</v>
      </c>
      <c r="I34" s="99">
        <f t="shared" si="12"/>
        <v>1949.3066999999994</v>
      </c>
      <c r="J34" s="99">
        <f t="shared" si="12"/>
        <v>2314.0875999999994</v>
      </c>
      <c r="K34" s="99">
        <f t="shared" si="12"/>
        <v>1918.6573999999996</v>
      </c>
      <c r="L34" s="99">
        <f t="shared" si="12"/>
        <v>2052.4932999999996</v>
      </c>
      <c r="M34" s="99">
        <f t="shared" si="12"/>
        <v>2162.8232999999996</v>
      </c>
      <c r="N34" s="99">
        <f t="shared" si="12"/>
        <v>2066.9296999999992</v>
      </c>
      <c r="O34" s="99">
        <f t="shared" si="12"/>
        <v>2048.2670999999996</v>
      </c>
      <c r="P34" s="93">
        <f t="shared" si="7"/>
        <v>26034.457899999994</v>
      </c>
    </row>
    <row r="35" spans="3:16" ht="24.95" customHeight="1" x14ac:dyDescent="0.25">
      <c r="C35" s="199" t="s">
        <v>211</v>
      </c>
      <c r="D35" s="97">
        <f>D27-SUM(D28:D34)</f>
        <v>105247.17</v>
      </c>
      <c r="E35" s="97">
        <f t="shared" ref="E35:O35" si="13">E27-SUM(E28:E34)</f>
        <v>84675.049199999994</v>
      </c>
      <c r="F35" s="97">
        <f t="shared" si="13"/>
        <v>104378.47560000001</v>
      </c>
      <c r="G35" s="97">
        <f t="shared" si="13"/>
        <v>94022.107199999999</v>
      </c>
      <c r="H35" s="97">
        <f t="shared" si="13"/>
        <v>93008.890799999994</v>
      </c>
      <c r="I35" s="97">
        <f t="shared" si="13"/>
        <v>81433.069199999998</v>
      </c>
      <c r="J35" s="97">
        <f t="shared" si="13"/>
        <v>96671.937600000005</v>
      </c>
      <c r="K35" s="97">
        <f t="shared" si="13"/>
        <v>80152.682400000005</v>
      </c>
      <c r="L35" s="97">
        <f t="shared" si="13"/>
        <v>85743.730800000005</v>
      </c>
      <c r="M35" s="97">
        <f t="shared" si="13"/>
        <v>90352.810800000007</v>
      </c>
      <c r="N35" s="97">
        <f t="shared" si="13"/>
        <v>86346.81719999999</v>
      </c>
      <c r="O35" s="97">
        <f t="shared" si="13"/>
        <v>85567.179600000003</v>
      </c>
      <c r="P35" s="93">
        <f>SUM(D35:O35)</f>
        <v>1087599.9203999999</v>
      </c>
    </row>
    <row r="36" spans="3:16" ht="24.95" customHeight="1" x14ac:dyDescent="0.25">
      <c r="C36" s="43" t="s">
        <v>219</v>
      </c>
      <c r="D36" s="90">
        <f>Cus!D5</f>
        <v>0</v>
      </c>
      <c r="E36" s="90">
        <f>Cus!E5</f>
        <v>0</v>
      </c>
      <c r="F36" s="90">
        <f>Cus!F5</f>
        <v>0</v>
      </c>
      <c r="G36" s="90">
        <f>Cus!G5</f>
        <v>0</v>
      </c>
      <c r="H36" s="90">
        <f>Cus!H5</f>
        <v>0</v>
      </c>
      <c r="I36" s="90">
        <f>Cus!I5</f>
        <v>0</v>
      </c>
      <c r="J36" s="90">
        <f>Cus!J5</f>
        <v>0</v>
      </c>
      <c r="K36" s="90">
        <f>Cus!K5</f>
        <v>0</v>
      </c>
      <c r="L36" s="90">
        <f>Cus!L5</f>
        <v>0</v>
      </c>
      <c r="M36" s="90">
        <f>Cus!M5</f>
        <v>0</v>
      </c>
      <c r="N36" s="90">
        <f>Cus!N5</f>
        <v>0</v>
      </c>
      <c r="O36" s="90">
        <f>Cus!O5</f>
        <v>0</v>
      </c>
      <c r="P36" s="93">
        <f t="shared" ref="P36:P45" si="14">SUM(D36:O36)</f>
        <v>0</v>
      </c>
    </row>
    <row r="37" spans="3:16" ht="24.95" customHeight="1" x14ac:dyDescent="0.25">
      <c r="C37" s="44" t="s">
        <v>220</v>
      </c>
      <c r="D37" s="90">
        <f>Cus!D6</f>
        <v>38671</v>
      </c>
      <c r="E37" s="90">
        <f>Cus!E6</f>
        <v>35038</v>
      </c>
      <c r="F37" s="90">
        <f>Cus!F6</f>
        <v>38988</v>
      </c>
      <c r="G37" s="90">
        <f>Cus!G6</f>
        <v>36366</v>
      </c>
      <c r="H37" s="90">
        <f>Cus!H6</f>
        <v>36221</v>
      </c>
      <c r="I37" s="90">
        <f>Cus!I6</f>
        <v>36625</v>
      </c>
      <c r="J37" s="90">
        <f>Cus!J6</f>
        <v>37727</v>
      </c>
      <c r="K37" s="90">
        <f>Cus!K6</f>
        <v>38303</v>
      </c>
      <c r="L37" s="90">
        <f>Cus!L6</f>
        <v>39407</v>
      </c>
      <c r="M37" s="90">
        <f>Cus!M6</f>
        <v>36094</v>
      </c>
      <c r="N37" s="90">
        <f>Cus!N6</f>
        <v>37011</v>
      </c>
      <c r="O37" s="90">
        <f>Cus!O6</f>
        <v>39167</v>
      </c>
      <c r="P37" s="93">
        <f t="shared" si="14"/>
        <v>449618</v>
      </c>
    </row>
    <row r="38" spans="3:16" ht="24.95" customHeight="1" x14ac:dyDescent="0.25">
      <c r="C38" s="44" t="s">
        <v>221</v>
      </c>
      <c r="D38" s="126">
        <f>Cus!D7</f>
        <v>0</v>
      </c>
      <c r="E38" s="125">
        <f>Cus!E7</f>
        <v>0</v>
      </c>
      <c r="F38" s="125">
        <f>Cus!F7</f>
        <v>0</v>
      </c>
      <c r="G38" s="125">
        <f>Cus!G7</f>
        <v>0</v>
      </c>
      <c r="H38" s="125">
        <f>Cus!H7</f>
        <v>0</v>
      </c>
      <c r="I38" s="125">
        <f>Cus!I7</f>
        <v>0</v>
      </c>
      <c r="J38" s="125">
        <f>Cus!J7</f>
        <v>0</v>
      </c>
      <c r="K38" s="125">
        <f>Cus!K7</f>
        <v>0</v>
      </c>
      <c r="L38" s="125">
        <f>Cus!L7</f>
        <v>0</v>
      </c>
      <c r="M38" s="125">
        <f>Cus!M7</f>
        <v>0</v>
      </c>
      <c r="N38" s="125">
        <f>Cus!N7</f>
        <v>0</v>
      </c>
      <c r="O38" s="126">
        <f>Cus!O7</f>
        <v>0</v>
      </c>
      <c r="P38" s="93">
        <f t="shared" si="14"/>
        <v>0</v>
      </c>
    </row>
    <row r="39" spans="3:16" ht="24.95" customHeight="1" x14ac:dyDescent="0.25">
      <c r="C39" s="228" t="s">
        <v>353</v>
      </c>
      <c r="D39" s="263">
        <f>IF('BH (1)'!$D$4="Simples Nacional",IF('BH (1)'!$C$15=1,0,D79+D99),D79+D89+D90+D99)</f>
        <v>6997.4537499999997</v>
      </c>
      <c r="E39" s="263">
        <f>IF('BH (1)'!$D$4="Simples Nacional",IF('BH (1)'!$C$15=1,0,E79+E99),E79+E89+E90+E99)</f>
        <v>6806.7130000000006</v>
      </c>
      <c r="F39" s="263">
        <f>IF('BH (1)'!$D$4="Simples Nacional",IF('BH (1)'!$C$15=1,0,F79+F99),F79+F89+F90+F99)</f>
        <v>6681.2447500000007</v>
      </c>
      <c r="G39" s="263">
        <f>IF('BH (1)'!$D$4="Simples Nacional",IF('BH (1)'!$C$15=1,0,G79+G99),G79+G89+G90+G99)</f>
        <v>6611.3789999999999</v>
      </c>
      <c r="H39" s="263">
        <f>IF('BH (1)'!$D$4="Simples Nacional",IF('BH (1)'!$C$15=1,0,H79+H99),H79+H89+H90+H99)</f>
        <v>6669.8825000000006</v>
      </c>
      <c r="I39" s="263">
        <f>IF('BH (1)'!$D$4="Simples Nacional",IF('BH (1)'!$C$15=1,0,I79+I99),I79+I89+I90+I99)</f>
        <v>6680.7612499999996</v>
      </c>
      <c r="J39" s="263">
        <f>IF('BH (1)'!$D$4="Simples Nacional",IF('BH (1)'!$C$15=1,0,J79+J99),J79+J89+J90+J99)</f>
        <v>6121.8352500000001</v>
      </c>
      <c r="K39" s="263">
        <f>IF('BH (1)'!$D$4="Simples Nacional",IF('BH (1)'!$C$15=1,0,K79+K99),K79+K89+K90+K99)</f>
        <v>6964.0922499999997</v>
      </c>
      <c r="L39" s="263">
        <f>IF('BH (1)'!$D$4="Simples Nacional",IF('BH (1)'!$C$15=1,0,L79+L99),L79+L89+L90+L99)</f>
        <v>6136.8237500000005</v>
      </c>
      <c r="M39" s="263">
        <f>IF('BH (1)'!$D$4="Simples Nacional",IF('BH (1)'!$C$15=1,0,M79+M99),M79+M89+M90+M99)</f>
        <v>7282.4769999999999</v>
      </c>
      <c r="N39" s="263">
        <f>IF('BH (1)'!$D$4="Simples Nacional",IF('BH (1)'!$C$15=1,0,N79+N99),N79+N89+N90+N99)</f>
        <v>6632.6530000000002</v>
      </c>
      <c r="O39" s="263">
        <f>IF('BH (1)'!$D$4="Simples Nacional",IF('BH (1)'!$C$15=1,0,O79+O99),O79+O89+O90+O99)</f>
        <v>6233.2819999999992</v>
      </c>
      <c r="P39" s="93">
        <f>SUM(D39:O39)</f>
        <v>79818.597500000033</v>
      </c>
    </row>
    <row r="40" spans="3:16" ht="24.95" customHeight="1" x14ac:dyDescent="0.25">
      <c r="C40" s="196" t="s">
        <v>212</v>
      </c>
      <c r="D40" s="97">
        <f>IFERROR(IF(SUM(D36:D38)=0,D35-SUM(D36:D38),D35-SUM(D36:D38)+D39),0)</f>
        <v>73573.623749999999</v>
      </c>
      <c r="E40" s="97">
        <f t="shared" ref="E40:N40" si="15">IFERROR(IF(SUM(E36:E38)=0,E35-SUM(E36:E38),E35-SUM(E36:E38)+E39),0)</f>
        <v>56443.762199999997</v>
      </c>
      <c r="F40" s="97">
        <f t="shared" si="15"/>
        <v>72071.720350000003</v>
      </c>
      <c r="G40" s="97">
        <f t="shared" si="15"/>
        <v>64267.486199999999</v>
      </c>
      <c r="H40" s="97">
        <f t="shared" si="15"/>
        <v>63457.773299999993</v>
      </c>
      <c r="I40" s="97">
        <f t="shared" si="15"/>
        <v>51488.830449999994</v>
      </c>
      <c r="J40" s="97">
        <f t="shared" si="15"/>
        <v>65066.772850000008</v>
      </c>
      <c r="K40" s="97">
        <f t="shared" si="15"/>
        <v>48813.774650000007</v>
      </c>
      <c r="L40" s="97">
        <f t="shared" si="15"/>
        <v>52473.554550000008</v>
      </c>
      <c r="M40" s="97">
        <f t="shared" si="15"/>
        <v>61541.287800000006</v>
      </c>
      <c r="N40" s="97">
        <f t="shared" si="15"/>
        <v>55968.470199999989</v>
      </c>
      <c r="O40" s="97">
        <f>IFERROR(IF(SUM(O36:O38)=0,O35-SUM(O36:O38),O35-SUM(O36:O38)+O39),0)</f>
        <v>52633.461600000002</v>
      </c>
      <c r="P40" s="93">
        <f>SUM(D40:O40)</f>
        <v>717800.51790000009</v>
      </c>
    </row>
    <row r="41" spans="3:16" ht="24.95" customHeight="1" x14ac:dyDescent="0.25">
      <c r="C41" s="44" t="s">
        <v>226</v>
      </c>
      <c r="D41" s="90">
        <f>Desp!D5</f>
        <v>26739</v>
      </c>
      <c r="E41" s="90">
        <f>Desp!E5</f>
        <v>27419</v>
      </c>
      <c r="F41" s="90">
        <f>Desp!F5</f>
        <v>25474</v>
      </c>
      <c r="G41" s="90">
        <f>Desp!G5</f>
        <v>27975</v>
      </c>
      <c r="H41" s="90">
        <f>Desp!H5</f>
        <v>26284</v>
      </c>
      <c r="I41" s="90">
        <f>Desp!I5</f>
        <v>27556</v>
      </c>
      <c r="J41" s="90">
        <f>Desp!J5</f>
        <v>27311</v>
      </c>
      <c r="K41" s="90">
        <f>Desp!K5</f>
        <v>27931</v>
      </c>
      <c r="L41" s="90">
        <f>Desp!L5</f>
        <v>26172</v>
      </c>
      <c r="M41" s="90">
        <f>Desp!M5</f>
        <v>27441</v>
      </c>
      <c r="N41" s="90">
        <f>Desp!N5</f>
        <v>27567</v>
      </c>
      <c r="O41" s="90">
        <f>Desp!O5</f>
        <v>27298</v>
      </c>
      <c r="P41" s="93">
        <f t="shared" si="14"/>
        <v>325167</v>
      </c>
    </row>
    <row r="42" spans="3:16" ht="24.95" customHeight="1" x14ac:dyDescent="0.25">
      <c r="C42" s="44" t="s">
        <v>227</v>
      </c>
      <c r="D42" s="90">
        <f>Desp!D6</f>
        <v>0</v>
      </c>
      <c r="E42" s="90">
        <f>Desp!E6</f>
        <v>0</v>
      </c>
      <c r="F42" s="90">
        <f>Desp!F6</f>
        <v>0</v>
      </c>
      <c r="G42" s="90">
        <f>Desp!G6</f>
        <v>0</v>
      </c>
      <c r="H42" s="90">
        <f>Desp!H6</f>
        <v>0</v>
      </c>
      <c r="I42" s="90">
        <f>Desp!I6</f>
        <v>0</v>
      </c>
      <c r="J42" s="90">
        <f>Desp!J6</f>
        <v>0</v>
      </c>
      <c r="K42" s="90">
        <f>Desp!K6</f>
        <v>0</v>
      </c>
      <c r="L42" s="90">
        <f>Desp!L6</f>
        <v>0</v>
      </c>
      <c r="M42" s="90">
        <f>Desp!M6</f>
        <v>0</v>
      </c>
      <c r="N42" s="90">
        <f>Desp!N6</f>
        <v>0</v>
      </c>
      <c r="O42" s="90">
        <f>Desp!O6</f>
        <v>0</v>
      </c>
      <c r="P42" s="93">
        <f t="shared" si="14"/>
        <v>0</v>
      </c>
    </row>
    <row r="43" spans="3:16" ht="24.95" customHeight="1" x14ac:dyDescent="0.25">
      <c r="C43" s="44" t="s">
        <v>228</v>
      </c>
      <c r="D43" s="90">
        <f>Desp!D7</f>
        <v>0</v>
      </c>
      <c r="E43" s="90">
        <f>Desp!E7</f>
        <v>0</v>
      </c>
      <c r="F43" s="90">
        <f>Desp!F7</f>
        <v>0</v>
      </c>
      <c r="G43" s="90">
        <f>Desp!G7</f>
        <v>0</v>
      </c>
      <c r="H43" s="90">
        <f>Desp!H7</f>
        <v>0</v>
      </c>
      <c r="I43" s="90">
        <f>Desp!I7</f>
        <v>0</v>
      </c>
      <c r="J43" s="90">
        <f>Desp!J7</f>
        <v>0</v>
      </c>
      <c r="K43" s="90">
        <f>Desp!K7</f>
        <v>0</v>
      </c>
      <c r="L43" s="90">
        <f>Desp!L7</f>
        <v>0</v>
      </c>
      <c r="M43" s="90">
        <f>Desp!M7</f>
        <v>0</v>
      </c>
      <c r="N43" s="90">
        <f>Desp!N7</f>
        <v>0</v>
      </c>
      <c r="O43" s="90">
        <f>Desp!O7</f>
        <v>0</v>
      </c>
      <c r="P43" s="93">
        <f t="shared" si="14"/>
        <v>0</v>
      </c>
    </row>
    <row r="44" spans="3:16" ht="24.95" customHeight="1" x14ac:dyDescent="0.25">
      <c r="C44" s="44" t="s">
        <v>229</v>
      </c>
      <c r="D44" s="90">
        <f>Desp!D8</f>
        <v>0</v>
      </c>
      <c r="E44" s="90">
        <f>Desp!E8</f>
        <v>0</v>
      </c>
      <c r="F44" s="90">
        <f>Desp!F8</f>
        <v>0</v>
      </c>
      <c r="G44" s="90">
        <f>Desp!G8</f>
        <v>0</v>
      </c>
      <c r="H44" s="90">
        <f>Desp!H8</f>
        <v>0</v>
      </c>
      <c r="I44" s="90">
        <f>Desp!I8</f>
        <v>0</v>
      </c>
      <c r="J44" s="90">
        <f>Desp!J8</f>
        <v>0</v>
      </c>
      <c r="K44" s="90">
        <f>Desp!K8</f>
        <v>0</v>
      </c>
      <c r="L44" s="90">
        <f>Desp!L8</f>
        <v>0</v>
      </c>
      <c r="M44" s="90">
        <f>Desp!M8</f>
        <v>0</v>
      </c>
      <c r="N44" s="90">
        <f>Desp!N8</f>
        <v>0</v>
      </c>
      <c r="O44" s="90">
        <f>Desp!O8</f>
        <v>0</v>
      </c>
      <c r="P44" s="93">
        <f t="shared" si="14"/>
        <v>0</v>
      </c>
    </row>
    <row r="45" spans="3:16" ht="24.95" customHeight="1" x14ac:dyDescent="0.25">
      <c r="C45" s="44" t="s">
        <v>230</v>
      </c>
      <c r="D45" s="90">
        <f>Desp!D9</f>
        <v>0</v>
      </c>
      <c r="E45" s="90">
        <f>Desp!E9</f>
        <v>0</v>
      </c>
      <c r="F45" s="90">
        <f>Desp!F9</f>
        <v>0</v>
      </c>
      <c r="G45" s="90">
        <f>Desp!G9</f>
        <v>0</v>
      </c>
      <c r="H45" s="90">
        <f>Desp!H9</f>
        <v>0</v>
      </c>
      <c r="I45" s="90">
        <f>Desp!I9</f>
        <v>0</v>
      </c>
      <c r="J45" s="90">
        <f>Desp!J9</f>
        <v>0</v>
      </c>
      <c r="K45" s="90">
        <f>Desp!K9</f>
        <v>0</v>
      </c>
      <c r="L45" s="90">
        <f>Desp!L9</f>
        <v>0</v>
      </c>
      <c r="M45" s="90">
        <f>Desp!M9</f>
        <v>0</v>
      </c>
      <c r="N45" s="90">
        <f>Desp!N9</f>
        <v>0</v>
      </c>
      <c r="O45" s="90">
        <f>Desp!O9</f>
        <v>0</v>
      </c>
      <c r="P45" s="93">
        <f t="shared" si="14"/>
        <v>0</v>
      </c>
    </row>
    <row r="46" spans="3:16" ht="24.95" customHeight="1" x14ac:dyDescent="0.25">
      <c r="C46" s="44" t="s">
        <v>231</v>
      </c>
      <c r="D46" s="90">
        <f>Desp!D10</f>
        <v>0</v>
      </c>
      <c r="E46" s="90">
        <f>Desp!E10</f>
        <v>0</v>
      </c>
      <c r="F46" s="90">
        <f>Desp!F10</f>
        <v>0</v>
      </c>
      <c r="G46" s="90">
        <f>Desp!G10</f>
        <v>0</v>
      </c>
      <c r="H46" s="90">
        <f>Desp!H10</f>
        <v>0</v>
      </c>
      <c r="I46" s="90">
        <f>Desp!I10</f>
        <v>0</v>
      </c>
      <c r="J46" s="90">
        <f>Desp!J10</f>
        <v>0</v>
      </c>
      <c r="K46" s="90">
        <f>Desp!K10</f>
        <v>0</v>
      </c>
      <c r="L46" s="90">
        <f>Desp!L10</f>
        <v>0</v>
      </c>
      <c r="M46" s="90">
        <f>Desp!M10</f>
        <v>0</v>
      </c>
      <c r="N46" s="90">
        <f>Desp!N10</f>
        <v>0</v>
      </c>
      <c r="O46" s="90">
        <f>Desp!O10</f>
        <v>0</v>
      </c>
      <c r="P46" s="93">
        <f t="shared" ref="P46:P58" si="16">SUM(D46:O46)</f>
        <v>0</v>
      </c>
    </row>
    <row r="47" spans="3:16" ht="24.95" customHeight="1" x14ac:dyDescent="0.25">
      <c r="C47" s="44" t="s">
        <v>232</v>
      </c>
      <c r="D47" s="90">
        <f>Desp!D11</f>
        <v>0</v>
      </c>
      <c r="E47" s="90">
        <f>Desp!E11</f>
        <v>0</v>
      </c>
      <c r="F47" s="90">
        <f>Desp!F11</f>
        <v>0</v>
      </c>
      <c r="G47" s="90">
        <f>Desp!G11</f>
        <v>0</v>
      </c>
      <c r="H47" s="90">
        <f>Desp!H11</f>
        <v>0</v>
      </c>
      <c r="I47" s="90">
        <f>Desp!I11</f>
        <v>0</v>
      </c>
      <c r="J47" s="90">
        <f>Desp!J11</f>
        <v>0</v>
      </c>
      <c r="K47" s="90">
        <f>Desp!K11</f>
        <v>0</v>
      </c>
      <c r="L47" s="90">
        <f>Desp!L11</f>
        <v>0</v>
      </c>
      <c r="M47" s="90">
        <f>Desp!M11</f>
        <v>0</v>
      </c>
      <c r="N47" s="90">
        <f>Desp!N11</f>
        <v>0</v>
      </c>
      <c r="O47" s="90">
        <f>Desp!O11</f>
        <v>0</v>
      </c>
      <c r="P47" s="93">
        <f t="shared" si="16"/>
        <v>0</v>
      </c>
    </row>
    <row r="48" spans="3:16" ht="24.95" customHeight="1" x14ac:dyDescent="0.25">
      <c r="C48" s="44" t="s">
        <v>234</v>
      </c>
      <c r="D48" s="90">
        <f>Cus!D13</f>
        <v>12000</v>
      </c>
      <c r="E48" s="90">
        <f>Cus!E13</f>
        <v>12000</v>
      </c>
      <c r="F48" s="90">
        <f>Cus!F13</f>
        <v>12000</v>
      </c>
      <c r="G48" s="90">
        <f>Cus!G13</f>
        <v>12000</v>
      </c>
      <c r="H48" s="90">
        <f>Cus!H13</f>
        <v>12000</v>
      </c>
      <c r="I48" s="90">
        <f>Cus!I13</f>
        <v>12000</v>
      </c>
      <c r="J48" s="90">
        <f>Cus!J13</f>
        <v>12000</v>
      </c>
      <c r="K48" s="90">
        <f>Cus!K13</f>
        <v>12000</v>
      </c>
      <c r="L48" s="90">
        <f>Cus!L13</f>
        <v>12000</v>
      </c>
      <c r="M48" s="90">
        <f>Cus!M13</f>
        <v>12000</v>
      </c>
      <c r="N48" s="90">
        <f>Cus!N13</f>
        <v>12000</v>
      </c>
      <c r="O48" s="90">
        <f>Cus!O13</f>
        <v>12000</v>
      </c>
      <c r="P48" s="93">
        <f t="shared" si="16"/>
        <v>144000</v>
      </c>
    </row>
    <row r="49" spans="3:16" ht="24.95" customHeight="1" x14ac:dyDescent="0.25">
      <c r="C49" s="44" t="s">
        <v>235</v>
      </c>
      <c r="D49" s="90">
        <f>Cus!D14</f>
        <v>0</v>
      </c>
      <c r="E49" s="90">
        <f>Cus!E14</f>
        <v>0</v>
      </c>
      <c r="F49" s="90">
        <f>Cus!F14</f>
        <v>0</v>
      </c>
      <c r="G49" s="90">
        <f>Cus!G14</f>
        <v>0</v>
      </c>
      <c r="H49" s="90">
        <f>Cus!H14</f>
        <v>0</v>
      </c>
      <c r="I49" s="90">
        <f>Cus!I14</f>
        <v>0</v>
      </c>
      <c r="J49" s="90">
        <f>Cus!J14</f>
        <v>0</v>
      </c>
      <c r="K49" s="90">
        <f>Cus!K14</f>
        <v>0</v>
      </c>
      <c r="L49" s="90">
        <f>Cus!L14</f>
        <v>0</v>
      </c>
      <c r="M49" s="90">
        <f>Cus!M14</f>
        <v>0</v>
      </c>
      <c r="N49" s="90">
        <f>Cus!N14</f>
        <v>0</v>
      </c>
      <c r="O49" s="90">
        <f>Cus!O14</f>
        <v>0</v>
      </c>
      <c r="P49" s="93">
        <f t="shared" si="16"/>
        <v>0</v>
      </c>
    </row>
    <row r="50" spans="3:16" ht="24.95" customHeight="1" x14ac:dyDescent="0.25">
      <c r="C50" s="44" t="s">
        <v>233</v>
      </c>
      <c r="D50" s="90">
        <f>IF('BH (1)'!$D$4="Simples Nacional",Simp6!D19,Cus!D15)</f>
        <v>2400</v>
      </c>
      <c r="E50" s="90">
        <f>IF('BH (1)'!$D$4="Simples Nacional",Simp6!E19,Cus!E15)</f>
        <v>2400</v>
      </c>
      <c r="F50" s="90">
        <f>IF('BH (1)'!$D$4="Simples Nacional",Simp6!F19,Cus!F15)</f>
        <v>2400</v>
      </c>
      <c r="G50" s="90">
        <f>IF('BH (1)'!$D$4="Simples Nacional",Simp6!G19,Cus!G15)</f>
        <v>2400</v>
      </c>
      <c r="H50" s="90">
        <f>IF('BH (1)'!$D$4="Simples Nacional",Simp6!H19,Cus!H15)</f>
        <v>2400</v>
      </c>
      <c r="I50" s="90">
        <f>IF('BH (1)'!$D$4="Simples Nacional",Simp6!I19,Cus!I15)</f>
        <v>2400</v>
      </c>
      <c r="J50" s="90">
        <f>IF('BH (1)'!$D$4="Simples Nacional",Simp6!J19,Cus!J15)</f>
        <v>2400</v>
      </c>
      <c r="K50" s="90">
        <f>IF('BH (1)'!$D$4="Simples Nacional",Simp6!K19,Cus!K15)</f>
        <v>2400</v>
      </c>
      <c r="L50" s="90">
        <f>IF('BH (1)'!$D$4="Simples Nacional",Simp6!L19,Cus!L15)</f>
        <v>2400</v>
      </c>
      <c r="M50" s="90">
        <f>IF('BH (1)'!$D$4="Simples Nacional",Simp6!M19,Cus!M15)</f>
        <v>2400</v>
      </c>
      <c r="N50" s="90">
        <f>IF('BH (1)'!$D$4="Simples Nacional",Simp6!N19,Cus!N15)</f>
        <v>2400</v>
      </c>
      <c r="O50" s="90">
        <f>IF('BH (1)'!$D$4="Simples Nacional",Simp6!O19,Cus!O15)</f>
        <v>2400</v>
      </c>
      <c r="P50" s="93">
        <f t="shared" si="16"/>
        <v>28800</v>
      </c>
    </row>
    <row r="51" spans="3:16" ht="24.95" customHeight="1" x14ac:dyDescent="0.25">
      <c r="C51" s="44" t="s">
        <v>236</v>
      </c>
      <c r="D51" s="90">
        <f>Cus!D18</f>
        <v>960</v>
      </c>
      <c r="E51" s="90">
        <f>Cus!E18</f>
        <v>960</v>
      </c>
      <c r="F51" s="90">
        <f>Cus!F18</f>
        <v>960</v>
      </c>
      <c r="G51" s="90">
        <f>Cus!G18</f>
        <v>960</v>
      </c>
      <c r="H51" s="90">
        <f>Cus!H18</f>
        <v>960</v>
      </c>
      <c r="I51" s="90">
        <f>Cus!I18</f>
        <v>960</v>
      </c>
      <c r="J51" s="90">
        <f>Cus!J18</f>
        <v>960</v>
      </c>
      <c r="K51" s="90">
        <f>Cus!K18</f>
        <v>960</v>
      </c>
      <c r="L51" s="90">
        <f>Cus!L18</f>
        <v>960</v>
      </c>
      <c r="M51" s="90">
        <f>Cus!M18</f>
        <v>960</v>
      </c>
      <c r="N51" s="90">
        <f>Cus!N18</f>
        <v>960</v>
      </c>
      <c r="O51" s="90">
        <f>Cus!O18</f>
        <v>960</v>
      </c>
      <c r="P51" s="93">
        <f t="shared" si="16"/>
        <v>11520</v>
      </c>
    </row>
    <row r="52" spans="3:16" ht="24.95" customHeight="1" x14ac:dyDescent="0.25">
      <c r="C52" s="44" t="str">
        <f>IF('BH (1)'!$D$4="Simples Nacional","","(-) Terceiros")</f>
        <v>(-) Terceiros</v>
      </c>
      <c r="D52" s="90">
        <f>IF('BH (1)'!$D$4="Simples Nacional","",Cus!D16)</f>
        <v>696</v>
      </c>
      <c r="E52" s="90">
        <f>IF('BH (1)'!$D$4="Simples Nacional","",Cus!E16)</f>
        <v>696</v>
      </c>
      <c r="F52" s="90">
        <f>IF('BH (1)'!$D$4="Simples Nacional","",Cus!F16)</f>
        <v>696</v>
      </c>
      <c r="G52" s="90">
        <f>IF('BH (1)'!$D$4="Simples Nacional","",Cus!G16)</f>
        <v>696</v>
      </c>
      <c r="H52" s="90">
        <f>IF('BH (1)'!$D$4="Simples Nacional","",Cus!H16)</f>
        <v>696</v>
      </c>
      <c r="I52" s="90">
        <f>IF('BH (1)'!$D$4="Simples Nacional","",Cus!I16)</f>
        <v>696</v>
      </c>
      <c r="J52" s="90">
        <f>IF('BH (1)'!$D$4="Simples Nacional","",Cus!J16)</f>
        <v>696</v>
      </c>
      <c r="K52" s="90">
        <f>IF('BH (1)'!$D$4="Simples Nacional","",Cus!K16)</f>
        <v>696</v>
      </c>
      <c r="L52" s="90">
        <f>IF('BH (1)'!$D$4="Simples Nacional","",Cus!L16)</f>
        <v>696</v>
      </c>
      <c r="M52" s="90">
        <f>IF('BH (1)'!$D$4="Simples Nacional","",Cus!M16)</f>
        <v>696</v>
      </c>
      <c r="N52" s="90">
        <f>IF('BH (1)'!$D$4="Simples Nacional","",Cus!N16)</f>
        <v>696</v>
      </c>
      <c r="O52" s="90">
        <f>IF('BH (1)'!$D$4="Simples Nacional","",Cus!O16)</f>
        <v>696</v>
      </c>
      <c r="P52" s="93">
        <f t="shared" si="16"/>
        <v>8352</v>
      </c>
    </row>
    <row r="53" spans="3:16" ht="24.95" customHeight="1" x14ac:dyDescent="0.25">
      <c r="C53" s="198" t="str">
        <f>IF('BH (1)'!$D$4="Simples Nacional","","(-) RAT")</f>
        <v>(-) RAT</v>
      </c>
      <c r="D53" s="95">
        <f>IF('BH (1)'!$D$4="Simples Nacional","",Cus!D17)</f>
        <v>240</v>
      </c>
      <c r="E53" s="95">
        <f>IF('BH (1)'!$D$4="Simples Nacional","",Cus!E17)</f>
        <v>240</v>
      </c>
      <c r="F53" s="95">
        <f>IF('BH (1)'!$D$4="Simples Nacional","",Cus!F17)</f>
        <v>240</v>
      </c>
      <c r="G53" s="95">
        <f>IF('BH (1)'!$D$4="Simples Nacional","",Cus!G17)</f>
        <v>240</v>
      </c>
      <c r="H53" s="95">
        <f>IF('BH (1)'!$D$4="Simples Nacional","",Cus!H17)</f>
        <v>240</v>
      </c>
      <c r="I53" s="95">
        <f>IF('BH (1)'!$D$4="Simples Nacional","",Cus!I17)</f>
        <v>240</v>
      </c>
      <c r="J53" s="95">
        <f>IF('BH (1)'!$D$4="Simples Nacional","",Cus!J17)</f>
        <v>240</v>
      </c>
      <c r="K53" s="95">
        <f>IF('BH (1)'!$D$4="Simples Nacional","",Cus!K17)</f>
        <v>240</v>
      </c>
      <c r="L53" s="95">
        <f>IF('BH (1)'!$D$4="Simples Nacional","",Cus!L17)</f>
        <v>240</v>
      </c>
      <c r="M53" s="95">
        <f>IF('BH (1)'!$D$4="Simples Nacional","",Cus!M17)</f>
        <v>240</v>
      </c>
      <c r="N53" s="95">
        <f>IF('BH (1)'!$D$4="Simples Nacional","",Cus!N17)</f>
        <v>240</v>
      </c>
      <c r="O53" s="95">
        <f>IF('BH (1)'!$D$4="Simples Nacional","",Cus!O17)</f>
        <v>240</v>
      </c>
      <c r="P53" s="93">
        <f t="shared" si="16"/>
        <v>2880</v>
      </c>
    </row>
    <row r="54" spans="3:16" ht="24.95" customHeight="1" x14ac:dyDescent="0.25">
      <c r="C54" s="196" t="s">
        <v>213</v>
      </c>
      <c r="D54" s="97">
        <f>D40-SUM(D41:D53)</f>
        <v>30538.623749999999</v>
      </c>
      <c r="E54" s="97">
        <f t="shared" ref="E54:O54" si="17">E40-SUM(E41:E53)</f>
        <v>12728.762199999997</v>
      </c>
      <c r="F54" s="97">
        <f t="shared" si="17"/>
        <v>30301.720350000003</v>
      </c>
      <c r="G54" s="97">
        <f t="shared" si="17"/>
        <v>19996.486199999999</v>
      </c>
      <c r="H54" s="97">
        <f t="shared" si="17"/>
        <v>20877.773299999993</v>
      </c>
      <c r="I54" s="97">
        <f t="shared" si="17"/>
        <v>7636.830449999994</v>
      </c>
      <c r="J54" s="97">
        <f t="shared" si="17"/>
        <v>21459.772850000008</v>
      </c>
      <c r="K54" s="97">
        <f t="shared" si="17"/>
        <v>4586.7746500000067</v>
      </c>
      <c r="L54" s="97">
        <f t="shared" si="17"/>
        <v>10005.554550000008</v>
      </c>
      <c r="M54" s="97">
        <f t="shared" si="17"/>
        <v>17804.287800000006</v>
      </c>
      <c r="N54" s="97">
        <f t="shared" si="17"/>
        <v>12105.470199999989</v>
      </c>
      <c r="O54" s="97">
        <f t="shared" si="17"/>
        <v>9039.4616000000024</v>
      </c>
      <c r="P54" s="191">
        <f t="shared" si="16"/>
        <v>197081.51790000001</v>
      </c>
    </row>
    <row r="55" spans="3:16" ht="24.95" customHeight="1" x14ac:dyDescent="0.25">
      <c r="C55" s="44" t="s">
        <v>238</v>
      </c>
      <c r="D55" s="90">
        <f>IF('BH (1)'!$D$4="Lucro Real",'2029'!D64,IF('BH (1)'!$D$4="Lucro Presumido",Relatórios!D136,IF('BH (1)'!$D$4="Simples Nacional",Simp6!D21)))</f>
        <v>0</v>
      </c>
      <c r="E55" s="90">
        <f>IF('BH (1)'!$D$4="Lucro Real",'2029'!E64,IF('BH (1)'!$D$4="Lucro Presumido",Relatórios!E136,IF('BH (1)'!$D$4="Simples Nacional",Simp6!E21)))</f>
        <v>0</v>
      </c>
      <c r="F55" s="90">
        <f>IF('BH (1)'!$D$4="Lucro Real",'2029'!F64,IF('BH (1)'!$D$4="Lucro Presumido",Relatórios!F136,IF('BH (1)'!$D$4="Simples Nacional",Simp6!F21)))</f>
        <v>4520.7479999999996</v>
      </c>
      <c r="G55" s="90">
        <f>IF('BH (1)'!$D$4="Lucro Real",'2029'!G64,IF('BH (1)'!$D$4="Lucro Presumido",Relatórios!G136,IF('BH (1)'!$D$4="Simples Nacional",Simp6!G21)))</f>
        <v>0</v>
      </c>
      <c r="H55" s="90">
        <f>IF('BH (1)'!$D$4="Lucro Real",'2029'!H64,IF('BH (1)'!$D$4="Lucro Presumido",Relatórios!H136,IF('BH (1)'!$D$4="Simples Nacional",Simp6!H21)))</f>
        <v>0</v>
      </c>
      <c r="I55" s="90">
        <f>IF('BH (1)'!$D$4="Lucro Real",'2029'!I64,IF('BH (1)'!$D$4="Lucro Presumido",Relatórios!I136,IF('BH (1)'!$D$4="Simples Nacional",Simp6!I21)))</f>
        <v>4123.8719999999994</v>
      </c>
      <c r="J55" s="90">
        <f>IF('BH (1)'!$D$4="Lucro Real",'2029'!J64,IF('BH (1)'!$D$4="Lucro Presumido",Relatórios!J136,IF('BH (1)'!$D$4="Simples Nacional",Simp6!J21)))</f>
        <v>0</v>
      </c>
      <c r="K55" s="90">
        <f>IF('BH (1)'!$D$4="Lucro Real",'2029'!K64,IF('BH (1)'!$D$4="Lucro Presumido",Relatórios!K136,IF('BH (1)'!$D$4="Simples Nacional",Simp6!K21)))</f>
        <v>0</v>
      </c>
      <c r="L55" s="90">
        <f>IF('BH (1)'!$D$4="Lucro Real",'2029'!L64,IF('BH (1)'!$D$4="Lucro Presumido",Relatórios!L136,IF('BH (1)'!$D$4="Simples Nacional",Simp6!L21)))</f>
        <v>4033.308</v>
      </c>
      <c r="M55" s="90">
        <f>IF('BH (1)'!$D$4="Lucro Real",'2029'!M64,IF('BH (1)'!$D$4="Lucro Presumido",Relatórios!M136,IF('BH (1)'!$D$4="Simples Nacional",Simp6!M21)))</f>
        <v>0</v>
      </c>
      <c r="N55" s="90">
        <f>IF('BH (1)'!$D$4="Lucro Real",'2029'!N64,IF('BH (1)'!$D$4="Lucro Presumido",Relatórios!N136,IF('BH (1)'!$D$4="Simples Nacional",Simp6!N21)))</f>
        <v>0</v>
      </c>
      <c r="O55" s="90">
        <f>IF('BH (1)'!$D$4="Lucro Real",'2029'!O64,IF('BH (1)'!$D$4="Lucro Presumido",Relatórios!O136,IF('BH (1)'!$D$4="Simples Nacional",Simp6!O21)))</f>
        <v>4028.6759999999999</v>
      </c>
      <c r="P55" s="93">
        <f t="shared" si="16"/>
        <v>16706.603999999999</v>
      </c>
    </row>
    <row r="56" spans="3:16" ht="24.95" customHeight="1" x14ac:dyDescent="0.25">
      <c r="C56" s="44" t="str">
        <f>IF('BH (1)'!$D$4="Simples Nacional","","(-) Adicional")</f>
        <v>(-) Adicional</v>
      </c>
      <c r="D56" s="90">
        <f>IF('BH (1)'!$D$4="Simples Nacional","",IF('BH (1)'!$D$4="Lucro Real",'2029'!D65,IF('BH (1)'!$D$4="Lucro Presumido",Relatórios!D137)))</f>
        <v>0</v>
      </c>
      <c r="E56" s="90">
        <f>IF('BH (1)'!$D$4="Simples Nacional","",IF('BH (1)'!$D$4="Lucro Real",'2029'!E65,IF('BH (1)'!$D$4="Lucro Presumido",Relatórios!E137)))</f>
        <v>0</v>
      </c>
      <c r="F56" s="90">
        <f>IF('BH (1)'!$D$4="Simples Nacional","",IF('BH (1)'!$D$4="Lucro Real",'2029'!F65,IF('BH (1)'!$D$4="Lucro Presumido",Relatórios!F137)))</f>
        <v>0</v>
      </c>
      <c r="G56" s="90">
        <f>IF('BH (1)'!$D$4="Simples Nacional","",IF('BH (1)'!$D$4="Lucro Real",'2029'!G65,IF('BH (1)'!$D$4="Lucro Presumido",Relatórios!G137)))</f>
        <v>0</v>
      </c>
      <c r="H56" s="90">
        <f>IF('BH (1)'!$D$4="Simples Nacional","",IF('BH (1)'!$D$4="Lucro Real",'2029'!H65,IF('BH (1)'!$D$4="Lucro Presumido",Relatórios!H137)))</f>
        <v>0</v>
      </c>
      <c r="I56" s="90">
        <f>IF('BH (1)'!$D$4="Simples Nacional","",IF('BH (1)'!$D$4="Lucro Real",'2029'!I65,IF('BH (1)'!$D$4="Lucro Presumido",Relatórios!I137)))</f>
        <v>0</v>
      </c>
      <c r="J56" s="90">
        <f>IF('BH (1)'!$D$4="Simples Nacional","",IF('BH (1)'!$D$4="Lucro Real",'2029'!J65,IF('BH (1)'!$D$4="Lucro Presumido",Relatórios!J137)))</f>
        <v>0</v>
      </c>
      <c r="K56" s="90">
        <f>IF('BH (1)'!$D$4="Simples Nacional","",IF('BH (1)'!$D$4="Lucro Real",'2029'!K65,IF('BH (1)'!$D$4="Lucro Presumido",Relatórios!K137)))</f>
        <v>0</v>
      </c>
      <c r="L56" s="90">
        <f>IF('BH (1)'!$D$4="Simples Nacional","",IF('BH (1)'!$D$4="Lucro Real",'2029'!L65,IF('BH (1)'!$D$4="Lucro Presumido",Relatórios!L137)))</f>
        <v>0</v>
      </c>
      <c r="M56" s="90">
        <f>IF('BH (1)'!$D$4="Simples Nacional","",IF('BH (1)'!$D$4="Lucro Real",'2029'!M65,IF('BH (1)'!$D$4="Lucro Presumido",Relatórios!M137)))</f>
        <v>0</v>
      </c>
      <c r="N56" s="90">
        <f>IF('BH (1)'!$D$4="Simples Nacional","",IF('BH (1)'!$D$4="Lucro Real",'2029'!N65,IF('BH (1)'!$D$4="Lucro Presumido",Relatórios!N137)))</f>
        <v>0</v>
      </c>
      <c r="O56" s="90">
        <f>IF('BH (1)'!$D$4="Simples Nacional","",IF('BH (1)'!$D$4="Lucro Real",'2029'!O65,IF('BH (1)'!$D$4="Lucro Presumido",Relatórios!O137)))</f>
        <v>0</v>
      </c>
      <c r="P56" s="93">
        <f t="shared" si="16"/>
        <v>0</v>
      </c>
    </row>
    <row r="57" spans="3:16" ht="24.95" customHeight="1" x14ac:dyDescent="0.25">
      <c r="C57" s="198" t="s">
        <v>239</v>
      </c>
      <c r="D57" s="95">
        <f>IF('BH (1)'!$D$4="Lucro Real",'2029'!D66,IF('BH (1)'!$D$4="Lucro Presumido",Relatórios!D138,IF('BH (1)'!$D$4="Simples Nacional",Simp6!D20)))</f>
        <v>0</v>
      </c>
      <c r="E57" s="95">
        <f>IF('BH (1)'!$D$4="Lucro Real",'2029'!E66,IF('BH (1)'!$D$4="Lucro Presumido",Relatórios!E138,IF('BH (1)'!$D$4="Simples Nacional",Simp6!E20)))</f>
        <v>0</v>
      </c>
      <c r="F57" s="95">
        <f>IF('BH (1)'!$D$4="Lucro Real",'2029'!F66,IF('BH (1)'!$D$4="Lucro Presumido",Relatórios!F138,IF('BH (1)'!$D$4="Simples Nacional",Simp6!F20)))</f>
        <v>4068.6731999999993</v>
      </c>
      <c r="G57" s="95">
        <f>IF('BH (1)'!$D$4="Lucro Real",'2029'!G66,IF('BH (1)'!$D$4="Lucro Presumido",Relatórios!G138,IF('BH (1)'!$D$4="Simples Nacional",Simp6!G20)))</f>
        <v>0</v>
      </c>
      <c r="H57" s="95">
        <f>IF('BH (1)'!$D$4="Lucro Real",'2029'!H66,IF('BH (1)'!$D$4="Lucro Presumido",Relatórios!H138,IF('BH (1)'!$D$4="Simples Nacional",Simp6!H20)))</f>
        <v>0</v>
      </c>
      <c r="I57" s="95">
        <f>IF('BH (1)'!$D$4="Lucro Real",'2029'!I66,IF('BH (1)'!$D$4="Lucro Presumido",Relatórios!I138,IF('BH (1)'!$D$4="Simples Nacional",Simp6!I20)))</f>
        <v>3711.4848000000002</v>
      </c>
      <c r="J57" s="95">
        <f>IF('BH (1)'!$D$4="Lucro Real",'2029'!J66,IF('BH (1)'!$D$4="Lucro Presumido",Relatórios!J138,IF('BH (1)'!$D$4="Simples Nacional",Simp6!J20)))</f>
        <v>0</v>
      </c>
      <c r="K57" s="95">
        <f>IF('BH (1)'!$D$4="Lucro Real",'2029'!K66,IF('BH (1)'!$D$4="Lucro Presumido",Relatórios!K138,IF('BH (1)'!$D$4="Simples Nacional",Simp6!K20)))</f>
        <v>0</v>
      </c>
      <c r="L57" s="95">
        <f>IF('BH (1)'!$D$4="Lucro Real",'2029'!L66,IF('BH (1)'!$D$4="Lucro Presumido",Relatórios!L138,IF('BH (1)'!$D$4="Simples Nacional",Simp6!L20)))</f>
        <v>3629.9771999999998</v>
      </c>
      <c r="M57" s="95">
        <f>IF('BH (1)'!$D$4="Lucro Real",'2029'!M66,IF('BH (1)'!$D$4="Lucro Presumido",Relatórios!M138,IF('BH (1)'!$D$4="Simples Nacional",Simp6!M20)))</f>
        <v>0</v>
      </c>
      <c r="N57" s="95">
        <f>IF('BH (1)'!$D$4="Lucro Real",'2029'!N66,IF('BH (1)'!$D$4="Lucro Presumido",Relatórios!N138,IF('BH (1)'!$D$4="Simples Nacional",Simp6!N20)))</f>
        <v>0</v>
      </c>
      <c r="O57" s="95">
        <f>IF('BH (1)'!$D$4="Lucro Real",'2029'!O66,IF('BH (1)'!$D$4="Lucro Presumido",Relatórios!O138,IF('BH (1)'!$D$4="Simples Nacional",Simp6!O20)))</f>
        <v>3625.8083999999999</v>
      </c>
      <c r="P57" s="93">
        <f t="shared" si="16"/>
        <v>15035.943599999999</v>
      </c>
    </row>
    <row r="58" spans="3:16" ht="24.95" customHeight="1" x14ac:dyDescent="0.25">
      <c r="C58" s="196" t="s">
        <v>237</v>
      </c>
      <c r="D58" s="97">
        <f>D54-SUM(D55:D57)</f>
        <v>30538.623749999999</v>
      </c>
      <c r="E58" s="97">
        <f t="shared" ref="E58:O58" si="18">E54-SUM(E55:E57)</f>
        <v>12728.762199999997</v>
      </c>
      <c r="F58" s="97">
        <f t="shared" si="18"/>
        <v>21712.299150000006</v>
      </c>
      <c r="G58" s="97">
        <f t="shared" si="18"/>
        <v>19996.486199999999</v>
      </c>
      <c r="H58" s="97">
        <f t="shared" si="18"/>
        <v>20877.773299999993</v>
      </c>
      <c r="I58" s="97">
        <f t="shared" si="18"/>
        <v>-198.52635000000555</v>
      </c>
      <c r="J58" s="97">
        <f t="shared" si="18"/>
        <v>21459.772850000008</v>
      </c>
      <c r="K58" s="97">
        <f t="shared" si="18"/>
        <v>4586.7746500000067</v>
      </c>
      <c r="L58" s="97">
        <f t="shared" si="18"/>
        <v>2342.2693500000078</v>
      </c>
      <c r="M58" s="97">
        <f t="shared" si="18"/>
        <v>17804.287800000006</v>
      </c>
      <c r="N58" s="97">
        <f t="shared" si="18"/>
        <v>12105.470199999989</v>
      </c>
      <c r="O58" s="97">
        <f t="shared" si="18"/>
        <v>1384.977200000003</v>
      </c>
      <c r="P58" s="192">
        <f t="shared" si="16"/>
        <v>165338.97030000002</v>
      </c>
    </row>
    <row r="59" spans="3:16" ht="24.95" hidden="1" customHeight="1" x14ac:dyDescent="0.25"/>
    <row r="60" spans="3:16" ht="15" hidden="1" customHeight="1" x14ac:dyDescent="0.25">
      <c r="C60" s="188" t="s">
        <v>240</v>
      </c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</row>
    <row r="61" spans="3:16" ht="15" hidden="1" customHeight="1" x14ac:dyDescent="0.25">
      <c r="C61" s="112" t="s">
        <v>82</v>
      </c>
      <c r="D61" s="112" t="s">
        <v>83</v>
      </c>
      <c r="E61" s="112" t="s">
        <v>84</v>
      </c>
      <c r="F61" s="112" t="s">
        <v>85</v>
      </c>
      <c r="G61" s="112" t="s">
        <v>86</v>
      </c>
      <c r="H61" s="112" t="s">
        <v>87</v>
      </c>
      <c r="I61" s="112" t="s">
        <v>88</v>
      </c>
      <c r="J61" s="112" t="s">
        <v>89</v>
      </c>
      <c r="K61" s="112" t="s">
        <v>90</v>
      </c>
      <c r="L61" s="112" t="s">
        <v>91</v>
      </c>
      <c r="M61" s="112" t="s">
        <v>92</v>
      </c>
      <c r="N61" s="112" t="s">
        <v>93</v>
      </c>
      <c r="O61" s="112" t="s">
        <v>94</v>
      </c>
      <c r="P61" s="112" t="s">
        <v>95</v>
      </c>
    </row>
    <row r="62" spans="3:16" ht="15" hidden="1" customHeight="1" x14ac:dyDescent="0.25">
      <c r="C62" s="19" t="s">
        <v>241</v>
      </c>
      <c r="D62" s="132">
        <f>D54</f>
        <v>30538.623749999999</v>
      </c>
      <c r="E62" s="132">
        <f t="shared" ref="E62:O62" si="19">E54</f>
        <v>12728.762199999997</v>
      </c>
      <c r="F62" s="132">
        <f>F54</f>
        <v>30301.720350000003</v>
      </c>
      <c r="G62" s="132">
        <f t="shared" si="19"/>
        <v>19996.486199999999</v>
      </c>
      <c r="H62" s="132">
        <f t="shared" si="19"/>
        <v>20877.773299999993</v>
      </c>
      <c r="I62" s="132">
        <f t="shared" si="19"/>
        <v>7636.830449999994</v>
      </c>
      <c r="J62" s="132">
        <f t="shared" si="19"/>
        <v>21459.772850000008</v>
      </c>
      <c r="K62" s="132">
        <f t="shared" si="19"/>
        <v>4586.7746500000067</v>
      </c>
      <c r="L62" s="132">
        <f t="shared" si="19"/>
        <v>10005.554550000008</v>
      </c>
      <c r="M62" s="132">
        <f t="shared" si="19"/>
        <v>17804.287800000006</v>
      </c>
      <c r="N62" s="132">
        <f t="shared" si="19"/>
        <v>12105.470199999989</v>
      </c>
      <c r="O62" s="132">
        <f t="shared" si="19"/>
        <v>9039.4616000000024</v>
      </c>
      <c r="P62" s="114">
        <f>SUM(D62:O62)</f>
        <v>197081.51790000001</v>
      </c>
    </row>
    <row r="63" spans="3:16" ht="15" hidden="1" customHeight="1" x14ac:dyDescent="0.25">
      <c r="C63" s="19" t="s">
        <v>243</v>
      </c>
      <c r="D63" s="132">
        <v>0</v>
      </c>
      <c r="E63" s="132">
        <v>0</v>
      </c>
      <c r="F63" s="132">
        <f>SUM(D62:F62)</f>
        <v>73569.106299999999</v>
      </c>
      <c r="G63" s="132">
        <v>0</v>
      </c>
      <c r="H63" s="132">
        <v>0</v>
      </c>
      <c r="I63" s="132">
        <f>SUM(G62:I62)</f>
        <v>48511.089949999987</v>
      </c>
      <c r="J63" s="132">
        <v>0</v>
      </c>
      <c r="K63" s="132">
        <v>0</v>
      </c>
      <c r="L63" s="132">
        <f>SUM(J62:L62)</f>
        <v>36052.102050000023</v>
      </c>
      <c r="M63" s="132">
        <v>0</v>
      </c>
      <c r="N63" s="132">
        <v>0</v>
      </c>
      <c r="O63" s="132">
        <f>SUM(M62:O62)</f>
        <v>38949.219599999997</v>
      </c>
      <c r="P63" s="114">
        <f>SUM(D63:O63)</f>
        <v>197081.51789999998</v>
      </c>
    </row>
    <row r="64" spans="3:16" ht="15" hidden="1" customHeight="1" x14ac:dyDescent="0.25">
      <c r="C64" s="19" t="s">
        <v>40</v>
      </c>
      <c r="D64" s="132">
        <v>0</v>
      </c>
      <c r="E64" s="132">
        <v>0</v>
      </c>
      <c r="F64" s="132">
        <f>IF(F63&lt;0,0,F63*TabR!$E$10)</f>
        <v>11035.365945</v>
      </c>
      <c r="G64" s="132">
        <v>0</v>
      </c>
      <c r="H64" s="132">
        <v>0</v>
      </c>
      <c r="I64" s="132">
        <f>IF(I63&lt;0,0,I63*TabR!$E$10)</f>
        <v>7276.663492499998</v>
      </c>
      <c r="J64" s="132">
        <v>0</v>
      </c>
      <c r="K64" s="132">
        <v>0</v>
      </c>
      <c r="L64" s="132">
        <f>IF(L63&lt;0,0,L63*TabR!$E$10)</f>
        <v>5407.8153075000037</v>
      </c>
      <c r="M64" s="132">
        <v>0</v>
      </c>
      <c r="N64" s="132">
        <v>0</v>
      </c>
      <c r="O64" s="132">
        <f>IF(O63&lt;0,0,O63*TabR!$E$10)</f>
        <v>5842.3829399999995</v>
      </c>
      <c r="P64" s="114">
        <f>SUM(D64:O64)</f>
        <v>29562.227685000002</v>
      </c>
    </row>
    <row r="65" spans="3:18" ht="15" hidden="1" customHeight="1" x14ac:dyDescent="0.25">
      <c r="C65" s="19" t="s">
        <v>242</v>
      </c>
      <c r="D65" s="132">
        <v>0</v>
      </c>
      <c r="E65" s="132">
        <v>0</v>
      </c>
      <c r="F65" s="132">
        <f>IF(F63=0,0,IF(F63&lt;60000,0,(F63-60000)*TabR!$E$11))</f>
        <v>1356.9106300000001</v>
      </c>
      <c r="G65" s="132">
        <v>0</v>
      </c>
      <c r="H65" s="132">
        <v>0</v>
      </c>
      <c r="I65" s="132">
        <f>IF(I63=0,0,IF(I63&lt;60000,0,(I63-60000)*TabR!$E$11))</f>
        <v>0</v>
      </c>
      <c r="J65" s="132">
        <v>0</v>
      </c>
      <c r="K65" s="132">
        <v>0</v>
      </c>
      <c r="L65" s="132">
        <f>IF(L63=0,0,IF(L63&lt;60000,0,(L63-60000)*TabR!$E$11))</f>
        <v>0</v>
      </c>
      <c r="M65" s="132">
        <v>0</v>
      </c>
      <c r="N65" s="132">
        <v>0</v>
      </c>
      <c r="O65" s="132">
        <f>IF(O63=0,0,IF(O63&lt;60000,0,(O63-60000)*TabR!$E$11))</f>
        <v>0</v>
      </c>
      <c r="P65" s="114">
        <f>SUM(D65:O65)</f>
        <v>1356.9106300000001</v>
      </c>
    </row>
    <row r="66" spans="3:18" ht="15" hidden="1" customHeight="1" x14ac:dyDescent="0.25">
      <c r="C66" s="19" t="s">
        <v>42</v>
      </c>
      <c r="D66" s="132">
        <v>0</v>
      </c>
      <c r="E66" s="132">
        <v>0</v>
      </c>
      <c r="F66" s="132">
        <f>IF(F63&lt;0,0,F63*TabR!$E$12)</f>
        <v>6621.2195670000001</v>
      </c>
      <c r="G66" s="132">
        <v>0</v>
      </c>
      <c r="H66" s="132">
        <v>0</v>
      </c>
      <c r="I66" s="132">
        <f>IF(I63&lt;0,0,I63*TabR!$E$12)</f>
        <v>4365.9980954999983</v>
      </c>
      <c r="J66" s="132">
        <v>0</v>
      </c>
      <c r="K66" s="132">
        <v>0</v>
      </c>
      <c r="L66" s="132">
        <f>IF(L63&lt;0,0,L63*TabR!$E$12)</f>
        <v>3244.6891845000018</v>
      </c>
      <c r="M66" s="132">
        <v>0</v>
      </c>
      <c r="N66" s="132">
        <v>0</v>
      </c>
      <c r="O66" s="132">
        <f>IF(O63&lt;0,0,O63*TabR!$E$12)</f>
        <v>3505.4297639999995</v>
      </c>
      <c r="P66" s="114">
        <f>SUM(D66:O66)</f>
        <v>17737.336611000002</v>
      </c>
    </row>
    <row r="67" spans="3:18" ht="15" hidden="1" customHeight="1" x14ac:dyDescent="0.25"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</row>
    <row r="68" spans="3:18" ht="15" hidden="1" customHeight="1" x14ac:dyDescent="0.25">
      <c r="C68" s="188" t="s">
        <v>244</v>
      </c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</row>
    <row r="69" spans="3:18" ht="15" hidden="1" customHeight="1" x14ac:dyDescent="0.25">
      <c r="C69" s="112" t="s">
        <v>82</v>
      </c>
      <c r="D69" s="112" t="s">
        <v>83</v>
      </c>
      <c r="E69" s="112" t="s">
        <v>84</v>
      </c>
      <c r="F69" s="112" t="s">
        <v>85</v>
      </c>
      <c r="G69" s="112" t="s">
        <v>86</v>
      </c>
      <c r="H69" s="112" t="s">
        <v>87</v>
      </c>
      <c r="I69" s="112" t="s">
        <v>88</v>
      </c>
      <c r="J69" s="112" t="s">
        <v>89</v>
      </c>
      <c r="K69" s="112" t="s">
        <v>90</v>
      </c>
      <c r="L69" s="112" t="s">
        <v>91</v>
      </c>
      <c r="M69" s="112" t="s">
        <v>92</v>
      </c>
      <c r="N69" s="112" t="s">
        <v>93</v>
      </c>
      <c r="O69" s="112" t="s">
        <v>94</v>
      </c>
      <c r="P69" s="112" t="s">
        <v>95</v>
      </c>
    </row>
    <row r="70" spans="3:18" ht="15" hidden="1" customHeight="1" x14ac:dyDescent="0.25">
      <c r="C70" s="19" t="s">
        <v>62</v>
      </c>
      <c r="D70" s="132">
        <f>D27</f>
        <v>134725</v>
      </c>
      <c r="E70" s="132">
        <f t="shared" ref="E70:O70" si="20">E27</f>
        <v>108391</v>
      </c>
      <c r="F70" s="132">
        <f t="shared" si="20"/>
        <v>133613</v>
      </c>
      <c r="G70" s="132">
        <f t="shared" si="20"/>
        <v>120356</v>
      </c>
      <c r="H70" s="132">
        <f t="shared" si="20"/>
        <v>119059</v>
      </c>
      <c r="I70" s="132">
        <f t="shared" si="20"/>
        <v>104241</v>
      </c>
      <c r="J70" s="132">
        <f t="shared" si="20"/>
        <v>123748</v>
      </c>
      <c r="K70" s="132">
        <f t="shared" si="20"/>
        <v>102602</v>
      </c>
      <c r="L70" s="132">
        <f t="shared" si="20"/>
        <v>109759</v>
      </c>
      <c r="M70" s="132">
        <f t="shared" si="20"/>
        <v>115659</v>
      </c>
      <c r="N70" s="132">
        <f t="shared" si="20"/>
        <v>110531</v>
      </c>
      <c r="O70" s="132">
        <f t="shared" si="20"/>
        <v>109533</v>
      </c>
      <c r="P70" s="114">
        <f>SUM(D70:O70)</f>
        <v>1392217</v>
      </c>
    </row>
    <row r="71" spans="3:18" ht="15" hidden="1" customHeight="1" x14ac:dyDescent="0.25">
      <c r="C71" s="19" t="s">
        <v>243</v>
      </c>
      <c r="D71" s="132">
        <v>0</v>
      </c>
      <c r="E71" s="132">
        <v>0</v>
      </c>
      <c r="F71" s="132">
        <f>SUM(D70:F70)</f>
        <v>376729</v>
      </c>
      <c r="G71" s="132">
        <v>0</v>
      </c>
      <c r="H71" s="132">
        <v>0</v>
      </c>
      <c r="I71" s="132">
        <f>SUM(G70:I70)</f>
        <v>343656</v>
      </c>
      <c r="J71" s="132">
        <v>0</v>
      </c>
      <c r="K71" s="132">
        <v>0</v>
      </c>
      <c r="L71" s="132">
        <f>SUM(J70:L70)</f>
        <v>336109</v>
      </c>
      <c r="M71" s="132">
        <v>0</v>
      </c>
      <c r="N71" s="132">
        <v>0</v>
      </c>
      <c r="O71" s="132">
        <f>SUM(M70:O70)</f>
        <v>335723</v>
      </c>
      <c r="P71" s="114">
        <f>SUM(D71:O71)</f>
        <v>1392217</v>
      </c>
    </row>
    <row r="72" spans="3:18" ht="15" hidden="1" customHeight="1" x14ac:dyDescent="0.25">
      <c r="C72" s="19" t="s">
        <v>40</v>
      </c>
      <c r="D72" s="132">
        <v>0</v>
      </c>
      <c r="E72" s="132">
        <v>0</v>
      </c>
      <c r="F72" s="132">
        <f>IFERROR((F71*TabP!$E$10)*TabP!$F$10,0)</f>
        <v>4520.7479999999996</v>
      </c>
      <c r="G72" s="132">
        <v>0</v>
      </c>
      <c r="H72" s="132">
        <v>0</v>
      </c>
      <c r="I72" s="132">
        <f>IFERROR((I71*TabP!$E$10)*TabP!$F$10,0)</f>
        <v>4123.8719999999994</v>
      </c>
      <c r="J72" s="132">
        <v>0</v>
      </c>
      <c r="K72" s="132">
        <v>0</v>
      </c>
      <c r="L72" s="132">
        <f>IFERROR((L71*TabP!$E$10)*TabP!$F$10,0)</f>
        <v>4033.308</v>
      </c>
      <c r="M72" s="132">
        <v>0</v>
      </c>
      <c r="N72" s="132">
        <v>0</v>
      </c>
      <c r="O72" s="132">
        <f>IFERROR((O71*TabP!$E$10)*TabP!$F$10,0)</f>
        <v>4028.6759999999999</v>
      </c>
      <c r="P72" s="114">
        <f>SUM(D72:O72)</f>
        <v>16706.603999999999</v>
      </c>
    </row>
    <row r="73" spans="3:18" ht="15" hidden="1" customHeight="1" x14ac:dyDescent="0.25">
      <c r="C73" s="19" t="s">
        <v>242</v>
      </c>
      <c r="D73" s="132">
        <v>0</v>
      </c>
      <c r="E73" s="132">
        <v>0</v>
      </c>
      <c r="F73" s="132">
        <f>IF(IFERROR(((F71*TabP!$E$10)-60000)*TabP!$F$11,0)&lt;0,0,IFERROR(((F71*TabP!$E$10)-60000)*TabP!$F$11,0))</f>
        <v>0</v>
      </c>
      <c r="G73" s="132">
        <v>0</v>
      </c>
      <c r="H73" s="132">
        <v>0</v>
      </c>
      <c r="I73" s="132">
        <f>IF(IFERROR(((I71*TabP!$E$10)-60000)*TabP!$F$11,0)&lt;0,0,IFERROR(((I71*TabP!$E$10)-60000)*TabP!$F$11,0))</f>
        <v>0</v>
      </c>
      <c r="J73" s="132">
        <v>0</v>
      </c>
      <c r="K73" s="132">
        <v>0</v>
      </c>
      <c r="L73" s="132">
        <f>IF(IFERROR(((L71*TabP!$E$10)-60000)*TabP!$F$11,0)&lt;0,0,IFERROR(((L71*TabP!$E$10)-60000)*TabP!$F$11,0))</f>
        <v>0</v>
      </c>
      <c r="M73" s="132">
        <v>0</v>
      </c>
      <c r="N73" s="132">
        <v>0</v>
      </c>
      <c r="O73" s="132">
        <f>IF(IFERROR(((O71*TabP!$E$10)-60000)*TabP!$F$11,0)&lt;0,0,IFERROR(((O71*TabP!$E$10)-60000)*TabP!$F$11,0))</f>
        <v>0</v>
      </c>
      <c r="P73" s="114">
        <f>SUM(D73:O73)</f>
        <v>0</v>
      </c>
    </row>
    <row r="74" spans="3:18" ht="15" hidden="1" customHeight="1" x14ac:dyDescent="0.25">
      <c r="C74" s="19" t="s">
        <v>42</v>
      </c>
      <c r="D74" s="132">
        <v>0</v>
      </c>
      <c r="E74" s="132">
        <v>0</v>
      </c>
      <c r="F74" s="132">
        <f>IFERROR((F71*TabP!$E$12)*TabP!$F$12,0)</f>
        <v>4068.6731999999993</v>
      </c>
      <c r="G74" s="132">
        <v>0</v>
      </c>
      <c r="H74" s="132">
        <v>0</v>
      </c>
      <c r="I74" s="132">
        <f>IFERROR((I71*TabP!$E$12)*TabP!$F$12,0)</f>
        <v>3711.4848000000002</v>
      </c>
      <c r="J74" s="132">
        <v>0</v>
      </c>
      <c r="K74" s="132">
        <v>0</v>
      </c>
      <c r="L74" s="132">
        <f>IFERROR((L71*TabP!$E$12)*TabP!$F$12,0)</f>
        <v>3629.9771999999998</v>
      </c>
      <c r="M74" s="132">
        <v>0</v>
      </c>
      <c r="N74" s="132">
        <v>0</v>
      </c>
      <c r="O74" s="132">
        <f>IFERROR((O71*TabP!$E$12)*TabP!$F$12,0)</f>
        <v>3625.8083999999999</v>
      </c>
      <c r="P74" s="114">
        <f>SUM(D74:O74)</f>
        <v>15035.943599999999</v>
      </c>
    </row>
    <row r="75" spans="3:18" ht="15" hidden="1" customHeight="1" x14ac:dyDescent="0.25"/>
    <row r="76" spans="3:18" ht="30" customHeight="1" thickBot="1" x14ac:dyDescent="0.3">
      <c r="C76" s="180" t="s">
        <v>311</v>
      </c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</row>
    <row r="77" spans="3:18" ht="21.95" customHeight="1" x14ac:dyDescent="0.25">
      <c r="C77" s="85" t="s">
        <v>82</v>
      </c>
      <c r="D77" s="55" t="s">
        <v>83</v>
      </c>
      <c r="E77" s="55" t="s">
        <v>84</v>
      </c>
      <c r="F77" s="55" t="s">
        <v>85</v>
      </c>
      <c r="G77" s="55" t="s">
        <v>86</v>
      </c>
      <c r="H77" s="55" t="s">
        <v>87</v>
      </c>
      <c r="I77" s="55" t="s">
        <v>88</v>
      </c>
      <c r="J77" s="55" t="s">
        <v>89</v>
      </c>
      <c r="K77" s="55" t="s">
        <v>90</v>
      </c>
      <c r="L77" s="55" t="s">
        <v>91</v>
      </c>
      <c r="M77" s="55" t="s">
        <v>92</v>
      </c>
      <c r="N77" s="55" t="s">
        <v>93</v>
      </c>
      <c r="O77" s="55" t="s">
        <v>94</v>
      </c>
      <c r="P77" s="56" t="s">
        <v>95</v>
      </c>
    </row>
    <row r="78" spans="3:18" ht="24.95" hidden="1" customHeight="1" x14ac:dyDescent="0.25">
      <c r="C78" s="44" t="s">
        <v>96</v>
      </c>
      <c r="D78" s="90">
        <f>'2027'!D78</f>
        <v>35095.8125</v>
      </c>
      <c r="E78" s="90">
        <f>'2027'!E78</f>
        <v>34139.15</v>
      </c>
      <c r="F78" s="90">
        <f>'2027'!F78</f>
        <v>33509.862500000003</v>
      </c>
      <c r="G78" s="90">
        <f>'2027'!G78</f>
        <v>33159.449999999997</v>
      </c>
      <c r="H78" s="90">
        <f>'2027'!H78</f>
        <v>33452.875</v>
      </c>
      <c r="I78" s="90">
        <f>'2027'!I78</f>
        <v>33507.4375</v>
      </c>
      <c r="J78" s="90">
        <f>'2027'!J78</f>
        <v>30704.137500000001</v>
      </c>
      <c r="K78" s="90">
        <f>'2027'!K78</f>
        <v>34928.487500000003</v>
      </c>
      <c r="L78" s="90">
        <f>'2027'!L78</f>
        <v>30779.3125</v>
      </c>
      <c r="M78" s="90">
        <f>'2027'!M78</f>
        <v>36525.35</v>
      </c>
      <c r="N78" s="90">
        <f>'2027'!N78</f>
        <v>33266.15</v>
      </c>
      <c r="O78" s="90">
        <f>'2027'!O78</f>
        <v>31263.1</v>
      </c>
      <c r="P78" s="93">
        <f t="shared" ref="P78:P83" si="21">SUM(D78:O78)</f>
        <v>400331.125</v>
      </c>
      <c r="Q78" s="18" t="s">
        <v>250</v>
      </c>
      <c r="R78" s="18" t="s">
        <v>251</v>
      </c>
    </row>
    <row r="79" spans="3:18" ht="24.95" customHeight="1" x14ac:dyDescent="0.25">
      <c r="C79" s="44" t="s">
        <v>249</v>
      </c>
      <c r="D79" s="90">
        <f>'2027'!D79</f>
        <v>2665.8344999999999</v>
      </c>
      <c r="E79" s="90">
        <f>'2027'!E79</f>
        <v>2593.1676000000002</v>
      </c>
      <c r="F79" s="90">
        <f>'2027'!F79</f>
        <v>2545.3677000000002</v>
      </c>
      <c r="G79" s="90">
        <f>'2027'!G79</f>
        <v>2518.7508000000003</v>
      </c>
      <c r="H79" s="90">
        <f>'2027'!H79</f>
        <v>2541.0390000000002</v>
      </c>
      <c r="I79" s="90">
        <f>'2027'!I79</f>
        <v>2545.1835000000001</v>
      </c>
      <c r="J79" s="90">
        <f>'2027'!J79</f>
        <v>2332.2483000000002</v>
      </c>
      <c r="K79" s="90">
        <f>'2027'!K79</f>
        <v>2653.1246999999998</v>
      </c>
      <c r="L79" s="90">
        <f>'2027'!L79</f>
        <v>2337.9585000000002</v>
      </c>
      <c r="M79" s="90">
        <f>'2027'!M79</f>
        <v>2774.4204</v>
      </c>
      <c r="N79" s="90">
        <f>'2027'!N79</f>
        <v>2526.8555999999999</v>
      </c>
      <c r="O79" s="90">
        <f>'2027'!O79</f>
        <v>2374.7064</v>
      </c>
      <c r="P79" s="93">
        <f>SUM(D79:O79)</f>
        <v>30408.656999999999</v>
      </c>
      <c r="Q79" s="201">
        <f>IF('BH (1)'!$D$4="Lucro Real",TabR!E13,IF('BH (1)'!$D$4="Lucro Presumido",TabP!F13,IF('BH (1)'!$D$4="Simples Nacional",TabS!$H$35)))</f>
        <v>9.2100000000000001E-2</v>
      </c>
      <c r="R79" s="201">
        <f>IF('BH (1)'!$D$4="Lucro Real",TabR!E15,IF('BH (1)'!$D$4="Lucro Presumido",TabP!F15,IF('BH (1)'!$D$4="Simples Nacional",TabS!$H$37)))</f>
        <v>0.6</v>
      </c>
    </row>
    <row r="80" spans="3:18" ht="24.95" hidden="1" customHeight="1" x14ac:dyDescent="0.25">
      <c r="C80" s="44" t="s">
        <v>135</v>
      </c>
      <c r="D80" s="90">
        <f>'2027'!D80</f>
        <v>134725</v>
      </c>
      <c r="E80" s="90">
        <f>'2027'!E80</f>
        <v>108391</v>
      </c>
      <c r="F80" s="90">
        <f>'2027'!F80</f>
        <v>133613</v>
      </c>
      <c r="G80" s="90">
        <f>'2027'!G80</f>
        <v>120356</v>
      </c>
      <c r="H80" s="90">
        <f>'2027'!H80</f>
        <v>119059</v>
      </c>
      <c r="I80" s="90">
        <f>'2027'!I80</f>
        <v>104241</v>
      </c>
      <c r="J80" s="90">
        <f>'2027'!J80</f>
        <v>123748</v>
      </c>
      <c r="K80" s="90">
        <f>'2027'!K80</f>
        <v>102602</v>
      </c>
      <c r="L80" s="90">
        <f>'2027'!L80</f>
        <v>109759</v>
      </c>
      <c r="M80" s="90">
        <f>'2027'!M80</f>
        <v>115659</v>
      </c>
      <c r="N80" s="90">
        <f>'2027'!N80</f>
        <v>110531</v>
      </c>
      <c r="O80" s="90">
        <f>'2027'!O80</f>
        <v>109533</v>
      </c>
      <c r="P80" s="93">
        <f>SUM(D80:O80)</f>
        <v>1392217</v>
      </c>
    </row>
    <row r="81" spans="3:18" ht="24.95" customHeight="1" x14ac:dyDescent="0.25">
      <c r="C81" s="198" t="s">
        <v>252</v>
      </c>
      <c r="D81" s="95">
        <f>'2027'!D81</f>
        <v>12408.172500000001</v>
      </c>
      <c r="E81" s="95">
        <f>'2027'!E81</f>
        <v>9982.8111000000008</v>
      </c>
      <c r="F81" s="95">
        <f>'2027'!F81</f>
        <v>12305.757299999999</v>
      </c>
      <c r="G81" s="95">
        <f>'2027'!G81</f>
        <v>11084.7876</v>
      </c>
      <c r="H81" s="95">
        <f>'2027'!H81</f>
        <v>10965.3339</v>
      </c>
      <c r="I81" s="95">
        <f>'2027'!I81</f>
        <v>9600.5961000000007</v>
      </c>
      <c r="J81" s="95">
        <f>'2027'!J81</f>
        <v>11397.1908</v>
      </c>
      <c r="K81" s="95">
        <f>'2027'!K81</f>
        <v>9449.6442000000006</v>
      </c>
      <c r="L81" s="95">
        <f>'2027'!L81</f>
        <v>10108.803900000001</v>
      </c>
      <c r="M81" s="95">
        <f>'2027'!M81</f>
        <v>10652.1939</v>
      </c>
      <c r="N81" s="95">
        <f>'2027'!N81</f>
        <v>10179.9051</v>
      </c>
      <c r="O81" s="95">
        <f>'2027'!O81</f>
        <v>10087.989299999999</v>
      </c>
      <c r="P81" s="93">
        <f>SUM(D81:O81)</f>
        <v>128223.18569999999</v>
      </c>
    </row>
    <row r="82" spans="3:18" ht="24.95" hidden="1" customHeight="1" x14ac:dyDescent="0.25">
      <c r="C82" s="228" t="s">
        <v>207</v>
      </c>
      <c r="D82" s="229">
        <f>'2027'!D82</f>
        <v>-9742.3379999999997</v>
      </c>
      <c r="E82" s="229">
        <f>'2027'!E82</f>
        <v>-7389.6435000000001</v>
      </c>
      <c r="F82" s="229">
        <f>'2027'!F82</f>
        <v>-9760.3895999999986</v>
      </c>
      <c r="G82" s="229">
        <f>'2027'!G82</f>
        <v>-8566.0367999999999</v>
      </c>
      <c r="H82" s="229">
        <f>'2027'!H82</f>
        <v>-8424.294899999999</v>
      </c>
      <c r="I82" s="229">
        <f>'2027'!I82</f>
        <v>-7055.4126000000006</v>
      </c>
      <c r="J82" s="229">
        <f>'2027'!J82</f>
        <v>-9064.942500000001</v>
      </c>
      <c r="K82" s="229">
        <f>'2027'!K82</f>
        <v>-6796.5195000000003</v>
      </c>
      <c r="L82" s="229">
        <f>'2027'!L82</f>
        <v>-7770.8454000000002</v>
      </c>
      <c r="M82" s="229">
        <f>'2027'!M82</f>
        <v>-7877.7735000000002</v>
      </c>
      <c r="N82" s="229">
        <f>'2027'!N82</f>
        <v>-7653.0495000000001</v>
      </c>
      <c r="O82" s="229">
        <f>'2027'!O82</f>
        <v>-7713.2828999999992</v>
      </c>
      <c r="P82" s="230">
        <f t="shared" si="21"/>
        <v>-97814.528699999995</v>
      </c>
    </row>
    <row r="83" spans="3:18" ht="24.95" customHeight="1" x14ac:dyDescent="0.25">
      <c r="C83" s="199" t="s">
        <v>321</v>
      </c>
      <c r="D83" s="202">
        <f>'2027'!D83</f>
        <v>9742.3379999999997</v>
      </c>
      <c r="E83" s="202">
        <f>'2027'!E83</f>
        <v>7389.6435000000001</v>
      </c>
      <c r="F83" s="202">
        <f>'2027'!F83</f>
        <v>9760.3895999999986</v>
      </c>
      <c r="G83" s="202">
        <f>'2027'!G83</f>
        <v>8566.0367999999999</v>
      </c>
      <c r="H83" s="202">
        <f>'2027'!H83</f>
        <v>8424.294899999999</v>
      </c>
      <c r="I83" s="202">
        <f>'2027'!I83</f>
        <v>7055.4126000000006</v>
      </c>
      <c r="J83" s="202">
        <f>'2027'!J83</f>
        <v>9064.942500000001</v>
      </c>
      <c r="K83" s="202">
        <f>'2027'!K83</f>
        <v>6796.5195000000003</v>
      </c>
      <c r="L83" s="202">
        <f>'2027'!L83</f>
        <v>7770.8454000000002</v>
      </c>
      <c r="M83" s="202">
        <f>'2027'!M83</f>
        <v>7877.7735000000002</v>
      </c>
      <c r="N83" s="202">
        <f>'2027'!N83</f>
        <v>7653.0495000000001</v>
      </c>
      <c r="O83" s="202">
        <f>'2027'!O83</f>
        <v>7713.2828999999992</v>
      </c>
      <c r="P83" s="93">
        <f t="shared" si="21"/>
        <v>97814.528699999995</v>
      </c>
    </row>
    <row r="84" spans="3:18" ht="24.95" hidden="1" customHeight="1" x14ac:dyDescent="0.25">
      <c r="D84" s="202">
        <f>'2027'!D84</f>
        <v>0</v>
      </c>
    </row>
    <row r="85" spans="3:18" ht="30" customHeight="1" thickBot="1" x14ac:dyDescent="0.3">
      <c r="C85" s="288" t="s">
        <v>312</v>
      </c>
      <c r="D85" s="288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231"/>
    </row>
    <row r="86" spans="3:18" ht="21.95" customHeight="1" x14ac:dyDescent="0.25">
      <c r="C86" s="85" t="s">
        <v>82</v>
      </c>
      <c r="D86" s="55" t="s">
        <v>83</v>
      </c>
      <c r="E86" s="55" t="s">
        <v>84</v>
      </c>
      <c r="F86" s="55" t="s">
        <v>85</v>
      </c>
      <c r="G86" s="55" t="s">
        <v>86</v>
      </c>
      <c r="H86" s="55" t="s">
        <v>87</v>
      </c>
      <c r="I86" s="55" t="s">
        <v>88</v>
      </c>
      <c r="J86" s="55" t="s">
        <v>89</v>
      </c>
      <c r="K86" s="55" t="s">
        <v>90</v>
      </c>
      <c r="L86" s="55" t="s">
        <v>91</v>
      </c>
      <c r="M86" s="55" t="s">
        <v>92</v>
      </c>
      <c r="N86" s="55" t="s">
        <v>93</v>
      </c>
      <c r="O86" s="55" t="s">
        <v>94</v>
      </c>
      <c r="P86" s="56" t="s">
        <v>95</v>
      </c>
      <c r="Q86" s="18" t="s">
        <v>251</v>
      </c>
      <c r="R86" s="18" t="s">
        <v>264</v>
      </c>
    </row>
    <row r="87" spans="3:18" ht="24.95" customHeight="1" x14ac:dyDescent="0.25">
      <c r="C87" s="44" t="s">
        <v>316</v>
      </c>
      <c r="D87" s="90">
        <f>IF('BH (1)'!$D$4="Simples Nacional",IF('BH (1)'!$C$15=1,Simp6!D16,Simp6!D16-(Simp6!D16*$R$87)),'Fat6'!D13-('Fat6'!D13*$R$87))</f>
        <v>14550.300000000001</v>
      </c>
      <c r="E87" s="90">
        <f>IF('BH (1)'!$D$4="Simples Nacional",IF('BH (1)'!$C$15=1,Simp6!E16,Simp6!E16-(Simp6!E16*$R$87)),'Fat6'!E13-('Fat6'!E13*$R$87))</f>
        <v>11706.228000000001</v>
      </c>
      <c r="F87" s="90">
        <f>IF('BH (1)'!$D$4="Simples Nacional",IF('BH (1)'!$C$15=1,Simp6!F16,Simp6!F16-(Simp6!F16*$R$87)),'Fat6'!F13-('Fat6'!F13*$R$87))</f>
        <v>14430.204</v>
      </c>
      <c r="G87" s="90">
        <f>IF('BH (1)'!$D$4="Simples Nacional",IF('BH (1)'!$C$15=1,Simp6!G16,Simp6!G16-(Simp6!G16*$R$87)),'Fat6'!G13-('Fat6'!G13*$R$87))</f>
        <v>12998.448</v>
      </c>
      <c r="H87" s="90">
        <f>IF('BH (1)'!$D$4="Simples Nacional",IF('BH (1)'!$C$15=1,Simp6!H16,Simp6!H16-(Simp6!H16*$R$87)),'Fat6'!H13-('Fat6'!H13*$R$87))</f>
        <v>12858.371999999999</v>
      </c>
      <c r="I87" s="90">
        <f>IF('BH (1)'!$D$4="Simples Nacional",IF('BH (1)'!$C$15=1,Simp6!I16,Simp6!I16-(Simp6!I16*$R$87)),'Fat6'!I13-('Fat6'!I13*$R$87))</f>
        <v>11258.028</v>
      </c>
      <c r="J87" s="90">
        <f>IF('BH (1)'!$D$4="Simples Nacional",IF('BH (1)'!$C$15=1,Simp6!J16,Simp6!J16-(Simp6!J16*$R$87)),'Fat6'!J13-('Fat6'!J13*$R$87))</f>
        <v>13364.784</v>
      </c>
      <c r="K87" s="90">
        <f>IF('BH (1)'!$D$4="Simples Nacional",IF('BH (1)'!$C$15=1,Simp6!K16,Simp6!K16-(Simp6!K16*$R$87)),'Fat6'!K13-('Fat6'!K13*$R$87))</f>
        <v>11081.016</v>
      </c>
      <c r="L87" s="90">
        <f>IF('BH (1)'!$D$4="Simples Nacional",IF('BH (1)'!$C$15=1,Simp6!L16,Simp6!L16-(Simp6!L16*$R$87)),'Fat6'!L13-('Fat6'!L13*$R$87))</f>
        <v>11853.972</v>
      </c>
      <c r="M87" s="90">
        <f>IF('BH (1)'!$D$4="Simples Nacional",IF('BH (1)'!$C$15=1,Simp6!M16,Simp6!M16-(Simp6!M16*$R$87)),'Fat6'!M13-('Fat6'!M13*$R$87))</f>
        <v>12491.172</v>
      </c>
      <c r="N87" s="90">
        <f>IF('BH (1)'!$D$4="Simples Nacional",IF('BH (1)'!$C$15=1,Simp6!N16,Simp6!N16-(Simp6!N16*$R$87)),'Fat6'!N13-('Fat6'!N13*$R$87))</f>
        <v>11937.348</v>
      </c>
      <c r="O87" s="90">
        <f>IF('BH (1)'!$D$4="Simples Nacional",IF('BH (1)'!$C$15=1,Simp6!O16,Simp6!O16-(Simp6!O16*$R$87)),'Fat6'!O13-('Fat6'!O13*$R$87))</f>
        <v>11829.563999999998</v>
      </c>
      <c r="P87" s="93">
        <f>SUM(D87:O87)</f>
        <v>150359.43600000005</v>
      </c>
      <c r="Q87" s="203">
        <f>TransR!M9</f>
        <v>0.9</v>
      </c>
      <c r="R87" s="203">
        <f>100%-Q87</f>
        <v>9.9999999999999978E-2</v>
      </c>
    </row>
    <row r="88" spans="3:18" ht="24.95" customHeight="1" x14ac:dyDescent="0.25">
      <c r="C88" s="44" t="s">
        <v>317</v>
      </c>
      <c r="D88" s="90">
        <f>IF('BH (1)'!$D$4="Simples Nacional",IF('BH (1)'!$C$15=1,Simp6!D18,Simp6!D18-(Simp6!D18*$R$87)),'Fat6'!D15-('Fat6'!D15*$R$87))</f>
        <v>0</v>
      </c>
      <c r="E88" s="90">
        <f>IF('BH (1)'!$D$4="Simples Nacional",IF('BH (1)'!$C$15=1,Simp6!E18,Simp6!E18-(Simp6!E18*$R$87)),'Fat6'!E15-('Fat6'!E15*$R$87))</f>
        <v>0</v>
      </c>
      <c r="F88" s="90">
        <f>IF('BH (1)'!$D$4="Simples Nacional",IF('BH (1)'!$C$15=1,Simp6!F18,Simp6!F18-(Simp6!F18*$R$87)),'Fat6'!F15-('Fat6'!F15*$R$87))</f>
        <v>0</v>
      </c>
      <c r="G88" s="90">
        <f>IF('BH (1)'!$D$4="Simples Nacional",IF('BH (1)'!$C$15=1,Simp6!G18,Simp6!G18-(Simp6!G18*$R$87)),'Fat6'!G15-('Fat6'!G15*$R$87))</f>
        <v>0</v>
      </c>
      <c r="H88" s="90">
        <f>IF('BH (1)'!$D$4="Simples Nacional",IF('BH (1)'!$C$15=1,Simp6!H18,Simp6!H18-(Simp6!H18*$R$87)),'Fat6'!H15-('Fat6'!H15*$R$87))</f>
        <v>0</v>
      </c>
      <c r="I88" s="90">
        <f>IF('BH (1)'!$D$4="Simples Nacional",IF('BH (1)'!$C$15=1,Simp6!I18,Simp6!I18-(Simp6!I18*$R$87)),'Fat6'!I15-('Fat6'!I15*$R$87))</f>
        <v>0</v>
      </c>
      <c r="J88" s="90">
        <f>IF('BH (1)'!$D$4="Simples Nacional",IF('BH (1)'!$C$15=1,Simp6!J18,Simp6!J18-(Simp6!J18*$R$87)),'Fat6'!J15-('Fat6'!J15*$R$87))</f>
        <v>0</v>
      </c>
      <c r="K88" s="90">
        <f>IF('BH (1)'!$D$4="Simples Nacional",IF('BH (1)'!$C$15=1,Simp6!K18,Simp6!K18-(Simp6!K18*$R$87)),'Fat6'!K15-('Fat6'!K15*$R$87))</f>
        <v>0</v>
      </c>
      <c r="L88" s="90">
        <f>IF('BH (1)'!$D$4="Simples Nacional",IF('BH (1)'!$C$15=1,Simp6!L18,Simp6!L18-(Simp6!L18*$R$87)),'Fat6'!L15-('Fat6'!L15*$R$87))</f>
        <v>0</v>
      </c>
      <c r="M88" s="90">
        <f>IF('BH (1)'!$D$4="Simples Nacional",IF('BH (1)'!$C$15=1,Simp6!M18,Simp6!M18-(Simp6!M18*$R$87)),'Fat6'!M15-('Fat6'!M15*$R$87))</f>
        <v>0</v>
      </c>
      <c r="N88" s="90">
        <f>IF('BH (1)'!$D$4="Simples Nacional",IF('BH (1)'!$C$15=1,Simp6!N18,Simp6!N18-(Simp6!N18*$R$87)),'Fat6'!N15-('Fat6'!N15*$R$87))</f>
        <v>0</v>
      </c>
      <c r="O88" s="90">
        <f>IF('BH (1)'!$D$4="Simples Nacional",IF('BH (1)'!$C$15=1,Simp6!O18,Simp6!O18-(Simp6!O18*$R$87)),'Fat6'!O15-('Fat6'!O15*$R$87))</f>
        <v>0</v>
      </c>
      <c r="P88" s="93">
        <f>SUM(D88:O88)</f>
        <v>0</v>
      </c>
    </row>
    <row r="89" spans="3:18" ht="24.95" customHeight="1" x14ac:dyDescent="0.25">
      <c r="C89" s="44" t="s">
        <v>318</v>
      </c>
      <c r="D89" s="90">
        <f>IF('BH (1)'!$D$4="Simples Nacional",0,Lançamentos!D12-(Lançamentos!D12*$R$87))</f>
        <v>3790.3477499999995</v>
      </c>
      <c r="E89" s="90">
        <f>IF('BH (1)'!$D$4="Simples Nacional",0,Lançamentos!E12-(Lançamentos!E12*$R$87))</f>
        <v>3687.0282000000002</v>
      </c>
      <c r="F89" s="90">
        <f>IF('BH (1)'!$D$4="Simples Nacional",0,Lançamentos!F12-(Lançamentos!F12*$R$87))</f>
        <v>3619.0651500000004</v>
      </c>
      <c r="G89" s="90">
        <f>IF('BH (1)'!$D$4="Simples Nacional",0,Lançamentos!G12-(Lançamentos!G12*$R$87))</f>
        <v>3581.2205999999996</v>
      </c>
      <c r="H89" s="90">
        <f>IF('BH (1)'!$D$4="Simples Nacional",0,Lançamentos!H12-(Lançamentos!H12*$R$87))</f>
        <v>3612.9105</v>
      </c>
      <c r="I89" s="90">
        <f>IF('BH (1)'!$D$4="Simples Nacional",0,Lançamentos!I12-(Lançamentos!I12*$R$87))</f>
        <v>3618.8032499999999</v>
      </c>
      <c r="J89" s="90">
        <f>IF('BH (1)'!$D$4="Simples Nacional",0,Lançamentos!J12-(Lançamentos!J12*$R$87))</f>
        <v>3316.0468499999997</v>
      </c>
      <c r="K89" s="90">
        <f>IF('BH (1)'!$D$4="Simples Nacional",0,Lançamentos!K12-(Lançamentos!K12*$R$87))</f>
        <v>3772.2766499999998</v>
      </c>
      <c r="L89" s="90">
        <f>IF('BH (1)'!$D$4="Simples Nacional",0,Lançamentos!L12-(Lançamentos!L12*$R$87))</f>
        <v>3324.1657500000001</v>
      </c>
      <c r="M89" s="90">
        <f>IF('BH (1)'!$D$4="Simples Nacional",0,Lançamentos!M12-(Lançamentos!M12*$R$87))</f>
        <v>3944.7377999999994</v>
      </c>
      <c r="N89" s="90">
        <f>IF('BH (1)'!$D$4="Simples Nacional",0,Lançamentos!N12-(Lançamentos!N12*$R$87))</f>
        <v>3592.7442000000001</v>
      </c>
      <c r="O89" s="90">
        <f>IF('BH (1)'!$D$4="Simples Nacional",0,Lançamentos!O12-(Lançamentos!O12*$R$87))</f>
        <v>3376.4147999999996</v>
      </c>
      <c r="P89" s="93">
        <f t="shared" ref="P89:P94" si="22">SUM(D89:O89)</f>
        <v>43235.761500000001</v>
      </c>
    </row>
    <row r="90" spans="3:18" ht="24.95" customHeight="1" x14ac:dyDescent="0.25">
      <c r="C90" s="198" t="s">
        <v>319</v>
      </c>
      <c r="D90" s="99">
        <f>IF('BH (1)'!$D$4="Simples Nacional",0,Lançamentos!D14-(Lançamentos!D14*$R$87))</f>
        <v>0</v>
      </c>
      <c r="E90" s="99">
        <f>IF('BH (1)'!$D$4="Simples Nacional",0,Lançamentos!E14-(Lançamentos!E14*$R$87))</f>
        <v>0</v>
      </c>
      <c r="F90" s="99">
        <f>IF('BH (1)'!$D$4="Simples Nacional",0,Lançamentos!F14-(Lançamentos!F14*$R$87))</f>
        <v>0</v>
      </c>
      <c r="G90" s="99">
        <f>IF('BH (1)'!$D$4="Simples Nacional",0,Lançamentos!G14-(Lançamentos!G14*$R$87))</f>
        <v>0</v>
      </c>
      <c r="H90" s="99">
        <f>IF('BH (1)'!$D$4="Simples Nacional",0,Lançamentos!H14-(Lançamentos!H14*$R$87))</f>
        <v>0</v>
      </c>
      <c r="I90" s="99">
        <f>IF('BH (1)'!$D$4="Simples Nacional",0,Lançamentos!I14-(Lançamentos!I14*$R$87))</f>
        <v>0</v>
      </c>
      <c r="J90" s="99">
        <f>IF('BH (1)'!$D$4="Simples Nacional",0,Lançamentos!J14-(Lançamentos!J14*$R$87))</f>
        <v>0</v>
      </c>
      <c r="K90" s="99">
        <f>IF('BH (1)'!$D$4="Simples Nacional",0,Lançamentos!K14-(Lançamentos!K14*$R$87))</f>
        <v>0</v>
      </c>
      <c r="L90" s="99">
        <f>IF('BH (1)'!$D$4="Simples Nacional",0,Lançamentos!L14-(Lançamentos!L14*$R$87))</f>
        <v>0</v>
      </c>
      <c r="M90" s="99">
        <f>IF('BH (1)'!$D$4="Simples Nacional",0,Lançamentos!M14-(Lançamentos!M14*$R$87))</f>
        <v>0</v>
      </c>
      <c r="N90" s="99">
        <f>IF('BH (1)'!$D$4="Simples Nacional",0,Lançamentos!N14-(Lançamentos!N14*$R$87))</f>
        <v>0</v>
      </c>
      <c r="O90" s="100">
        <f>IF('BH (1)'!$D$4="Simples Nacional",0,Lançamentos!O14-(Lançamentos!O14*$R$87))</f>
        <v>0</v>
      </c>
      <c r="P90" s="93">
        <f t="shared" si="22"/>
        <v>0</v>
      </c>
    </row>
    <row r="91" spans="3:18" ht="24.95" hidden="1" customHeight="1" x14ac:dyDescent="0.25">
      <c r="C91" s="43" t="s">
        <v>265</v>
      </c>
      <c r="D91" s="90">
        <f>IFERROR(D89-D87,0)</f>
        <v>-10759.952250000002</v>
      </c>
      <c r="E91" s="90">
        <f>IFERROR(IF(D91&lt;0,E89-E87,D91+E89-E87),0)</f>
        <v>-8019.1998000000003</v>
      </c>
      <c r="F91" s="90">
        <f t="shared" ref="F91:O92" si="23">IFERROR(IF(E91&lt;0,F89-F87,E91+F89-F87),0)</f>
        <v>-10811.138849999999</v>
      </c>
      <c r="G91" s="90">
        <f t="shared" si="23"/>
        <v>-9417.2273999999998</v>
      </c>
      <c r="H91" s="90">
        <f t="shared" si="23"/>
        <v>-9245.4614999999994</v>
      </c>
      <c r="I91" s="90">
        <f t="shared" si="23"/>
        <v>-7639.2247500000003</v>
      </c>
      <c r="J91" s="90">
        <f t="shared" si="23"/>
        <v>-10048.737150000001</v>
      </c>
      <c r="K91" s="90">
        <f t="shared" si="23"/>
        <v>-7308.7393499999998</v>
      </c>
      <c r="L91" s="90">
        <f t="shared" si="23"/>
        <v>-8529.8062499999996</v>
      </c>
      <c r="M91" s="90">
        <f t="shared" si="23"/>
        <v>-8546.4342000000015</v>
      </c>
      <c r="N91" s="90">
        <f t="shared" si="23"/>
        <v>-8344.6038000000008</v>
      </c>
      <c r="O91" s="90">
        <f t="shared" si="23"/>
        <v>-8453.1491999999998</v>
      </c>
      <c r="P91" s="93">
        <f t="shared" si="22"/>
        <v>-107123.67449999999</v>
      </c>
    </row>
    <row r="92" spans="3:18" ht="24.95" hidden="1" customHeight="1" x14ac:dyDescent="0.25">
      <c r="C92" s="198" t="s">
        <v>266</v>
      </c>
      <c r="D92" s="95">
        <f>IFERROR(D90-D88,0)</f>
        <v>0</v>
      </c>
      <c r="E92" s="95">
        <f>IFERROR(IF(D92&lt;0,E90-E88,D92+E90-E88),0)</f>
        <v>0</v>
      </c>
      <c r="F92" s="95">
        <f t="shared" si="23"/>
        <v>0</v>
      </c>
      <c r="G92" s="95">
        <f t="shared" si="23"/>
        <v>0</v>
      </c>
      <c r="H92" s="95">
        <f t="shared" si="23"/>
        <v>0</v>
      </c>
      <c r="I92" s="95">
        <f t="shared" si="23"/>
        <v>0</v>
      </c>
      <c r="J92" s="95">
        <f t="shared" si="23"/>
        <v>0</v>
      </c>
      <c r="K92" s="95">
        <f t="shared" si="23"/>
        <v>0</v>
      </c>
      <c r="L92" s="95">
        <f t="shared" si="23"/>
        <v>0</v>
      </c>
      <c r="M92" s="95">
        <f t="shared" si="23"/>
        <v>0</v>
      </c>
      <c r="N92" s="95">
        <f t="shared" si="23"/>
        <v>0</v>
      </c>
      <c r="O92" s="95">
        <f t="shared" si="23"/>
        <v>0</v>
      </c>
      <c r="P92" s="93">
        <f t="shared" si="22"/>
        <v>0</v>
      </c>
    </row>
    <row r="93" spans="3:18" ht="24.95" customHeight="1" x14ac:dyDescent="0.25">
      <c r="C93" s="232" t="s">
        <v>267</v>
      </c>
      <c r="D93" s="233">
        <f>IF(D91&lt;0,D91*-1,0)</f>
        <v>10759.952250000002</v>
      </c>
      <c r="E93" s="233">
        <f t="shared" ref="E93:O93" si="24">IF(E91&lt;0,E91*-1,0)</f>
        <v>8019.1998000000003</v>
      </c>
      <c r="F93" s="233">
        <f t="shared" si="24"/>
        <v>10811.138849999999</v>
      </c>
      <c r="G93" s="233">
        <f t="shared" si="24"/>
        <v>9417.2273999999998</v>
      </c>
      <c r="H93" s="233">
        <f t="shared" si="24"/>
        <v>9245.4614999999994</v>
      </c>
      <c r="I93" s="233">
        <f t="shared" si="24"/>
        <v>7639.2247500000003</v>
      </c>
      <c r="J93" s="233">
        <f t="shared" si="24"/>
        <v>10048.737150000001</v>
      </c>
      <c r="K93" s="233">
        <f t="shared" si="24"/>
        <v>7308.7393499999998</v>
      </c>
      <c r="L93" s="233">
        <f t="shared" si="24"/>
        <v>8529.8062499999996</v>
      </c>
      <c r="M93" s="233">
        <f t="shared" si="24"/>
        <v>8546.4342000000015</v>
      </c>
      <c r="N93" s="233">
        <f t="shared" si="24"/>
        <v>8344.6038000000008</v>
      </c>
      <c r="O93" s="233">
        <f t="shared" si="24"/>
        <v>8453.1491999999998</v>
      </c>
      <c r="P93" s="191">
        <f t="shared" si="22"/>
        <v>107123.67449999999</v>
      </c>
    </row>
    <row r="94" spans="3:18" ht="24.95" customHeight="1" x14ac:dyDescent="0.25">
      <c r="C94" s="196" t="s">
        <v>268</v>
      </c>
      <c r="D94" s="97">
        <f>IF(D92&lt;0,D92*-1,0)</f>
        <v>0</v>
      </c>
      <c r="E94" s="97">
        <f t="shared" ref="E94:O94" si="25">IF(E92&lt;0,E92*-1,0)</f>
        <v>0</v>
      </c>
      <c r="F94" s="97">
        <f t="shared" si="25"/>
        <v>0</v>
      </c>
      <c r="G94" s="97">
        <f t="shared" si="25"/>
        <v>0</v>
      </c>
      <c r="H94" s="97">
        <f t="shared" si="25"/>
        <v>0</v>
      </c>
      <c r="I94" s="97">
        <f t="shared" si="25"/>
        <v>0</v>
      </c>
      <c r="J94" s="97">
        <f t="shared" si="25"/>
        <v>0</v>
      </c>
      <c r="K94" s="97">
        <f t="shared" si="25"/>
        <v>0</v>
      </c>
      <c r="L94" s="97">
        <f t="shared" si="25"/>
        <v>0</v>
      </c>
      <c r="M94" s="97">
        <f t="shared" si="25"/>
        <v>0</v>
      </c>
      <c r="N94" s="97">
        <f t="shared" si="25"/>
        <v>0</v>
      </c>
      <c r="O94" s="97">
        <f t="shared" si="25"/>
        <v>0</v>
      </c>
      <c r="P94" s="98">
        <f t="shared" si="22"/>
        <v>0</v>
      </c>
    </row>
    <row r="95" spans="3:18" ht="24.95" hidden="1" customHeight="1" x14ac:dyDescent="0.25"/>
    <row r="96" spans="3:18" ht="30" customHeight="1" thickBot="1" x14ac:dyDescent="0.3">
      <c r="C96" s="288" t="s">
        <v>313</v>
      </c>
      <c r="D96" s="288"/>
    </row>
    <row r="97" spans="3:18" ht="21.95" customHeight="1" x14ac:dyDescent="0.25">
      <c r="C97" s="85" t="s">
        <v>82</v>
      </c>
      <c r="D97" s="55" t="s">
        <v>83</v>
      </c>
      <c r="E97" s="55" t="s">
        <v>84</v>
      </c>
      <c r="F97" s="55" t="s">
        <v>85</v>
      </c>
      <c r="G97" s="55" t="s">
        <v>86</v>
      </c>
      <c r="H97" s="55" t="s">
        <v>87</v>
      </c>
      <c r="I97" s="55" t="s">
        <v>88</v>
      </c>
      <c r="J97" s="55" t="s">
        <v>89</v>
      </c>
      <c r="K97" s="55" t="s">
        <v>90</v>
      </c>
      <c r="L97" s="55" t="s">
        <v>91</v>
      </c>
      <c r="M97" s="55" t="s">
        <v>92</v>
      </c>
      <c r="N97" s="55" t="s">
        <v>93</v>
      </c>
      <c r="O97" s="55" t="s">
        <v>94</v>
      </c>
      <c r="P97" s="56" t="s">
        <v>95</v>
      </c>
      <c r="Q97" s="18" t="s">
        <v>269</v>
      </c>
      <c r="R97" s="18" t="s">
        <v>251</v>
      </c>
    </row>
    <row r="98" spans="3:18" ht="24.95" customHeight="1" x14ac:dyDescent="0.25">
      <c r="C98" s="44" t="s">
        <v>314</v>
      </c>
      <c r="D98" s="90">
        <f>IF('BH (1)'!$D$4="Simples Nacional",IF('BH (1)'!$C$15=1,0,'Ref4'!D12*$R$101),'Ref4'!D12*$R$101)</f>
        <v>2519.3574999999996</v>
      </c>
      <c r="E98" s="90">
        <f>IF('BH (1)'!$D$4="Simples Nacional",IF('BH (1)'!$C$15=1,0,'Ref4'!E12*$R$101),'Ref4'!E12*$R$101)</f>
        <v>2026.9116999999994</v>
      </c>
      <c r="F98" s="90">
        <f>IF('BH (1)'!$D$4="Simples Nacional",IF('BH (1)'!$C$15=1,0,'Ref4'!F12*$R$101),'Ref4'!F12*$R$101)</f>
        <v>2498.5630999999994</v>
      </c>
      <c r="G98" s="90">
        <f>IF('BH (1)'!$D$4="Simples Nacional",IF('BH (1)'!$C$15=1,0,'Ref4'!G12*$R$101),'Ref4'!G12*$R$101)</f>
        <v>2250.6571999999996</v>
      </c>
      <c r="H98" s="90">
        <f>IF('BH (1)'!$D$4="Simples Nacional",IF('BH (1)'!$C$15=1,0,'Ref4'!H12*$R$101),'Ref4'!H12*$R$101)</f>
        <v>2226.4032999999995</v>
      </c>
      <c r="I98" s="90">
        <f>IF('BH (1)'!$D$4="Simples Nacional",IF('BH (1)'!$C$15=1,0,'Ref4'!I12*$R$101),'Ref4'!I12*$R$101)</f>
        <v>1949.3066999999994</v>
      </c>
      <c r="J98" s="90">
        <f>IF('BH (1)'!$D$4="Simples Nacional",IF('BH (1)'!$C$15=1,0,'Ref4'!J12*$R$101),'Ref4'!J12*$R$101)</f>
        <v>2314.0875999999994</v>
      </c>
      <c r="K98" s="90">
        <f>IF('BH (1)'!$D$4="Simples Nacional",IF('BH (1)'!$C$15=1,0,'Ref4'!K12*$R$101),'Ref4'!K12*$R$101)</f>
        <v>1918.6573999999996</v>
      </c>
      <c r="L98" s="90">
        <f>IF('BH (1)'!$D$4="Simples Nacional",IF('BH (1)'!$C$15=1,0,'Ref4'!L12*$R$101),'Ref4'!L12*$R$101)</f>
        <v>2052.4932999999996</v>
      </c>
      <c r="M98" s="90">
        <f>IF('BH (1)'!$D$4="Simples Nacional",IF('BH (1)'!$C$15=1,0,'Ref4'!M12*$R$101),'Ref4'!M12*$R$101)</f>
        <v>2162.8232999999996</v>
      </c>
      <c r="N98" s="90">
        <f>IF('BH (1)'!$D$4="Simples Nacional",IF('BH (1)'!$C$15=1,0,'Ref4'!N12*$R$101),'Ref4'!N12*$R$101)</f>
        <v>2066.9296999999992</v>
      </c>
      <c r="O98" s="90">
        <f>IF('BH (1)'!$D$4="Simples Nacional",IF('BH (1)'!$C$15=1,0,'Ref4'!O12*$R$101),'Ref4'!O12*$R$101)</f>
        <v>2048.2670999999996</v>
      </c>
      <c r="P98" s="93">
        <f>SUM(D98:O98)</f>
        <v>26034.457899999994</v>
      </c>
      <c r="Q98" s="203">
        <f>IF('BH (1)'!$D$4="Lucro Real",TabR!E14,IF('BH (1)'!$D$4="Lucro Presumido",TabP!F14,IF('BH (1)'!$D$4="Simples Nacional",TabS!$H$36)))</f>
        <v>0.187</v>
      </c>
      <c r="R98" s="203">
        <f>IF('BH (1)'!$D$4="Lucro Real",TabR!E16,IF('BH (1)'!$D$4="Lucro Presumido",TabP!F16,IF('BH (1)'!$D$4="Simples Nacional",TabS!$H$38)))</f>
        <v>0.6</v>
      </c>
    </row>
    <row r="99" spans="3:18" ht="24.95" customHeight="1" x14ac:dyDescent="0.25">
      <c r="C99" s="198" t="s">
        <v>315</v>
      </c>
      <c r="D99" s="99">
        <f>IF('BH (1)'!$D$4="Simples Nacional",IF('BH (1)'!$C$15=1,0,Lançamentos!D24*$R$101),Lançamentos!D24*$R$101)</f>
        <v>541.27149999999995</v>
      </c>
      <c r="E99" s="99">
        <f>IF('BH (1)'!$D$4="Simples Nacional",IF('BH (1)'!$C$15=1,0,Lançamentos!E24*$R$101),Lançamentos!E24*$R$101)</f>
        <v>526.51719999999989</v>
      </c>
      <c r="F99" s="99">
        <f>IF('BH (1)'!$D$4="Simples Nacional",IF('BH (1)'!$C$15=1,0,Lançamentos!F24*$R$101),Lançamentos!F24*$R$101)</f>
        <v>516.81189999999981</v>
      </c>
      <c r="G99" s="99">
        <f>IF('BH (1)'!$D$4="Simples Nacional",IF('BH (1)'!$C$15=1,0,Lançamentos!G24*$R$101),Lançamentos!G24*$R$101)</f>
        <v>511.40759999999989</v>
      </c>
      <c r="H99" s="99">
        <f>IF('BH (1)'!$D$4="Simples Nacional",IF('BH (1)'!$C$15=1,0,Lançamentos!H24*$R$101),Lançamentos!H24*$R$101)</f>
        <v>515.93299999999988</v>
      </c>
      <c r="I99" s="99">
        <f>IF('BH (1)'!$D$4="Simples Nacional",IF('BH (1)'!$C$15=1,0,Lançamentos!I24*$R$101),Lançamentos!I24*$R$101)</f>
        <v>516.77449999999988</v>
      </c>
      <c r="J99" s="99">
        <f>IF('BH (1)'!$D$4="Simples Nacional",IF('BH (1)'!$C$15=1,0,Lançamentos!J24*$R$101),Lançamentos!J24*$R$101)</f>
        <v>473.54009999999988</v>
      </c>
      <c r="K99" s="99">
        <f>IF('BH (1)'!$D$4="Simples Nacional",IF('BH (1)'!$C$15=1,0,Lançamentos!K24*$R$101),Lançamentos!K24*$R$101)</f>
        <v>538.69089999999983</v>
      </c>
      <c r="L99" s="99">
        <f>IF('BH (1)'!$D$4="Simples Nacional",IF('BH (1)'!$C$15=1,0,Lançamentos!L24*$R$101),Lançamentos!L24*$R$101)</f>
        <v>474.69949999999989</v>
      </c>
      <c r="M99" s="99">
        <f>IF('BH (1)'!$D$4="Simples Nacional",IF('BH (1)'!$C$15=1,0,Lançamentos!M24*$R$101),Lançamentos!M24*$R$101)</f>
        <v>563.3187999999999</v>
      </c>
      <c r="N99" s="99">
        <f>IF('BH (1)'!$D$4="Simples Nacional",IF('BH (1)'!$C$15=1,0,Lançamentos!N24*$R$101),Lançamentos!N24*$R$101)</f>
        <v>513.05319999999995</v>
      </c>
      <c r="O99" s="99">
        <f>IF('BH (1)'!$D$4="Simples Nacional",IF('BH (1)'!$C$15=1,0,Lançamentos!O24*$R$101),Lançamentos!O24*$R$101)</f>
        <v>482.16079999999994</v>
      </c>
      <c r="P99" s="93">
        <f>SUM(D99:O99)</f>
        <v>6174.1789999999992</v>
      </c>
      <c r="Q99" s="18" t="s">
        <v>270</v>
      </c>
    </row>
    <row r="100" spans="3:18" ht="24.95" hidden="1" customHeight="1" x14ac:dyDescent="0.25">
      <c r="C100" s="228" t="s">
        <v>207</v>
      </c>
      <c r="D100" s="229">
        <f>D99-D98</f>
        <v>-1978.0859999999998</v>
      </c>
      <c r="E100" s="229">
        <f>IF(D100&lt;0,E99-E98,D100+E99-E98)</f>
        <v>-1500.3944999999994</v>
      </c>
      <c r="F100" s="229">
        <f t="shared" ref="F100:O100" si="26">IF(E100&lt;0,F99-F98,E100+F99-F98)</f>
        <v>-1981.7511999999997</v>
      </c>
      <c r="G100" s="229">
        <f t="shared" si="26"/>
        <v>-1739.2495999999996</v>
      </c>
      <c r="H100" s="229">
        <f t="shared" si="26"/>
        <v>-1710.4702999999995</v>
      </c>
      <c r="I100" s="229">
        <f t="shared" si="26"/>
        <v>-1432.5321999999996</v>
      </c>
      <c r="J100" s="229">
        <f t="shared" si="26"/>
        <v>-1840.5474999999994</v>
      </c>
      <c r="K100" s="229">
        <f t="shared" si="26"/>
        <v>-1379.9664999999998</v>
      </c>
      <c r="L100" s="229">
        <f t="shared" si="26"/>
        <v>-1577.7937999999997</v>
      </c>
      <c r="M100" s="229">
        <f t="shared" si="26"/>
        <v>-1599.5044999999996</v>
      </c>
      <c r="N100" s="229">
        <f t="shared" si="26"/>
        <v>-1553.8764999999994</v>
      </c>
      <c r="O100" s="229">
        <f t="shared" si="26"/>
        <v>-1566.1062999999997</v>
      </c>
      <c r="P100" s="230">
        <f>SUM(D100:O100)</f>
        <v>-19860.278899999994</v>
      </c>
      <c r="Q100" s="203">
        <f>IFERROR(Q98-(Q98*R98),0)</f>
        <v>7.4800000000000005E-2</v>
      </c>
    </row>
    <row r="101" spans="3:18" ht="24.95" customHeight="1" x14ac:dyDescent="0.25">
      <c r="C101" s="199" t="s">
        <v>320</v>
      </c>
      <c r="D101" s="202">
        <f>IF(D100&lt;0,D100*-1,0)</f>
        <v>1978.0859999999998</v>
      </c>
      <c r="E101" s="202">
        <f t="shared" ref="E101:O101" si="27">IF(E100&lt;0,E100*-1,0)</f>
        <v>1500.3944999999994</v>
      </c>
      <c r="F101" s="202">
        <f t="shared" si="27"/>
        <v>1981.7511999999997</v>
      </c>
      <c r="G101" s="202">
        <f t="shared" si="27"/>
        <v>1739.2495999999996</v>
      </c>
      <c r="H101" s="202">
        <f t="shared" si="27"/>
        <v>1710.4702999999995</v>
      </c>
      <c r="I101" s="202">
        <f t="shared" si="27"/>
        <v>1432.5321999999996</v>
      </c>
      <c r="J101" s="202">
        <f t="shared" si="27"/>
        <v>1840.5474999999994</v>
      </c>
      <c r="K101" s="202">
        <f t="shared" si="27"/>
        <v>1379.9664999999998</v>
      </c>
      <c r="L101" s="202">
        <f t="shared" si="27"/>
        <v>1577.7937999999997</v>
      </c>
      <c r="M101" s="202">
        <f t="shared" si="27"/>
        <v>1599.5044999999996</v>
      </c>
      <c r="N101" s="202">
        <f t="shared" si="27"/>
        <v>1553.8764999999994</v>
      </c>
      <c r="O101" s="202">
        <f t="shared" si="27"/>
        <v>1566.1062999999997</v>
      </c>
      <c r="P101" s="192">
        <f>SUM(D101:O101)</f>
        <v>19860.278899999994</v>
      </c>
      <c r="Q101" s="203">
        <f>Q87</f>
        <v>0.9</v>
      </c>
      <c r="R101" s="203">
        <f>R87</f>
        <v>9.9999999999999978E-2</v>
      </c>
    </row>
    <row r="102" spans="3:18" ht="15" customHeight="1" x14ac:dyDescent="0.25">
      <c r="Q102" s="203">
        <f>IFERROR(Q100*R101,0)</f>
        <v>7.4799999999999988E-3</v>
      </c>
    </row>
    <row r="200" spans="3:16" ht="15" hidden="1" customHeight="1" x14ac:dyDescent="0.25"/>
    <row r="201" spans="3:16" ht="15" hidden="1" customHeight="1" x14ac:dyDescent="0.25">
      <c r="C201" s="188" t="s">
        <v>283</v>
      </c>
      <c r="D201" s="201">
        <f>IF('BH (1)'!$C$4=1,TabR!E17,IF('BH (1)'!$C$4=2,TabP!F17,IF('BH (1)'!$C$4=3,TabS!H39)))</f>
        <v>1.5</v>
      </c>
    </row>
    <row r="202" spans="3:16" ht="15" hidden="1" customHeight="1" x14ac:dyDescent="0.25">
      <c r="C202" s="112" t="s">
        <v>82</v>
      </c>
      <c r="D202" s="112" t="s">
        <v>83</v>
      </c>
      <c r="E202" s="112" t="s">
        <v>84</v>
      </c>
      <c r="F202" s="112" t="s">
        <v>85</v>
      </c>
      <c r="G202" s="112" t="s">
        <v>86</v>
      </c>
      <c r="H202" s="112" t="s">
        <v>87</v>
      </c>
      <c r="I202" s="112" t="s">
        <v>88</v>
      </c>
      <c r="J202" s="112" t="s">
        <v>89</v>
      </c>
      <c r="K202" s="112" t="s">
        <v>90</v>
      </c>
      <c r="L202" s="112" t="s">
        <v>91</v>
      </c>
      <c r="M202" s="112" t="s">
        <v>92</v>
      </c>
      <c r="N202" s="112" t="s">
        <v>93</v>
      </c>
      <c r="O202" s="112" t="s">
        <v>94</v>
      </c>
      <c r="P202" s="112" t="s">
        <v>95</v>
      </c>
    </row>
    <row r="203" spans="3:16" ht="15" hidden="1" customHeight="1" x14ac:dyDescent="0.25">
      <c r="C203" s="200" t="s">
        <v>135</v>
      </c>
      <c r="D203" s="193">
        <f>'Ref4'!D8</f>
        <v>134725</v>
      </c>
      <c r="E203" s="193">
        <f>'Ref4'!E8</f>
        <v>108391</v>
      </c>
      <c r="F203" s="193">
        <f>'Ref4'!F8</f>
        <v>133613</v>
      </c>
      <c r="G203" s="193">
        <f>'Ref4'!G8</f>
        <v>120356</v>
      </c>
      <c r="H203" s="193">
        <f>'Ref4'!H8</f>
        <v>119059</v>
      </c>
      <c r="I203" s="193">
        <f>'Ref4'!I8</f>
        <v>104241</v>
      </c>
      <c r="J203" s="193">
        <f>'Ref4'!J8</f>
        <v>123748</v>
      </c>
      <c r="K203" s="193">
        <f>'Ref4'!K8</f>
        <v>102602</v>
      </c>
      <c r="L203" s="193">
        <f>'Ref4'!L8</f>
        <v>109759</v>
      </c>
      <c r="M203" s="193">
        <f>'Ref4'!M8</f>
        <v>115659</v>
      </c>
      <c r="N203" s="193">
        <f>'Ref4'!N8</f>
        <v>110531</v>
      </c>
      <c r="O203" s="193">
        <f>'Ref4'!O8</f>
        <v>109533</v>
      </c>
      <c r="P203" s="114">
        <f>SUM(D203:O203)</f>
        <v>1392217</v>
      </c>
    </row>
    <row r="204" spans="3:16" ht="15" hidden="1" customHeight="1" x14ac:dyDescent="0.25">
      <c r="C204" s="200" t="s">
        <v>284</v>
      </c>
      <c r="D204" s="193">
        <f>IF('BH (1)'!$B$18=1,D203*$D$201,D203)</f>
        <v>134725</v>
      </c>
      <c r="E204" s="193">
        <f>IF('BH (1)'!$B$18=1,E203*$D$201,E203)</f>
        <v>108391</v>
      </c>
      <c r="F204" s="193">
        <f>IF('BH (1)'!$B$18=1,F203*$D$201,F203)</f>
        <v>133613</v>
      </c>
      <c r="G204" s="193">
        <f>IF('BH (1)'!$B$18=1,G203*$D$201,G203)</f>
        <v>120356</v>
      </c>
      <c r="H204" s="193">
        <f>IF('BH (1)'!$B$18=1,H203*$D$201,H203)</f>
        <v>119059</v>
      </c>
      <c r="I204" s="193">
        <f>IF('BH (1)'!$B$18=1,I203*$D$201,I203)</f>
        <v>104241</v>
      </c>
      <c r="J204" s="193">
        <f>IF('BH (1)'!$B$18=1,J203*$D$201,J203)</f>
        <v>123748</v>
      </c>
      <c r="K204" s="193">
        <f>IF('BH (1)'!$B$18=1,K203*$D$201,K203)</f>
        <v>102602</v>
      </c>
      <c r="L204" s="193">
        <f>IF('BH (1)'!$B$18=1,L203*$D$201,L203)</f>
        <v>109759</v>
      </c>
      <c r="M204" s="193">
        <f>IF('BH (1)'!$B$18=1,M203*$D$201,M203)</f>
        <v>115659</v>
      </c>
      <c r="N204" s="193">
        <f>IF('BH (1)'!$B$18=1,N203*$D$201,N203)</f>
        <v>110531</v>
      </c>
      <c r="O204" s="193">
        <f>IF('BH (1)'!$B$18=1,O203*$D$201,O203)</f>
        <v>109533</v>
      </c>
      <c r="P204" s="114">
        <f>SUM(D204:O204)</f>
        <v>1392217</v>
      </c>
    </row>
  </sheetData>
  <sheetProtection sheet="1" objects="1" scenarios="1" selectLockedCells="1" selectUnlockedCells="1"/>
  <mergeCells count="2">
    <mergeCell ref="C85:D85"/>
    <mergeCell ref="C96:D96"/>
  </mergeCells>
  <pageMargins left="0.25" right="0.25" top="0.75" bottom="0.75" header="0.3" footer="0.3"/>
  <pageSetup paperSize="9" scale="5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Drop Down 1">
              <controlPr defaultSize="0" print="0" autoLine="0" autoPict="0">
                <anchor moveWithCells="1">
                  <from>
                    <xdr:col>12</xdr:col>
                    <xdr:colOff>133350</xdr:colOff>
                    <xdr:row>2</xdr:row>
                    <xdr:rowOff>257175</xdr:rowOff>
                  </from>
                  <to>
                    <xdr:col>19</xdr:col>
                    <xdr:colOff>9525</xdr:colOff>
                    <xdr:row>2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Planilha45">
    <tabColor rgb="FF0000FF"/>
    <pageSetUpPr fitToPage="1"/>
  </sheetPr>
  <dimension ref="C1:R204"/>
  <sheetViews>
    <sheetView showGridLines="0" showRowColHeaders="0" workbookViewId="0">
      <pane ySplit="4" topLeftCell="A5" activePane="bottomLeft" state="frozen"/>
      <selection activeCell="U93" sqref="U93"/>
      <selection pane="bottomLeft"/>
    </sheetView>
  </sheetViews>
  <sheetFormatPr defaultRowHeight="15" customHeight="1" x14ac:dyDescent="0.25"/>
  <cols>
    <col min="1" max="2" width="1.7109375" style="18" customWidth="1"/>
    <col min="3" max="3" width="13.7109375" style="200" customWidth="1"/>
    <col min="4" max="16" width="13.140625" style="18" customWidth="1"/>
    <col min="17" max="18" width="9.140625" style="18" hidden="1" customWidth="1"/>
    <col min="19" max="20" width="0" style="18" hidden="1" customWidth="1"/>
    <col min="21" max="16384" width="9.140625" style="18"/>
  </cols>
  <sheetData>
    <row r="1" spans="3:16" s="1" customFormat="1" ht="35.1" customHeight="1" x14ac:dyDescent="0.25">
      <c r="C1" s="194"/>
    </row>
    <row r="2" spans="3:16" s="3" customFormat="1" ht="30" customHeight="1" x14ac:dyDescent="0.25">
      <c r="C2" s="195"/>
    </row>
    <row r="3" spans="3:16" ht="69.95" customHeight="1" thickBot="1" x14ac:dyDescent="0.3">
      <c r="C3" s="180" t="s">
        <v>271</v>
      </c>
    </row>
    <row r="4" spans="3:16" ht="21.95" customHeight="1" x14ac:dyDescent="0.25">
      <c r="C4" s="85" t="s">
        <v>82</v>
      </c>
      <c r="D4" s="55" t="s">
        <v>83</v>
      </c>
      <c r="E4" s="55" t="s">
        <v>84</v>
      </c>
      <c r="F4" s="55" t="s">
        <v>85</v>
      </c>
      <c r="G4" s="55" t="s">
        <v>86</v>
      </c>
      <c r="H4" s="55" t="s">
        <v>87</v>
      </c>
      <c r="I4" s="55" t="s">
        <v>88</v>
      </c>
      <c r="J4" s="55" t="s">
        <v>89</v>
      </c>
      <c r="K4" s="55" t="s">
        <v>90</v>
      </c>
      <c r="L4" s="55" t="s">
        <v>91</v>
      </c>
      <c r="M4" s="55" t="s">
        <v>92</v>
      </c>
      <c r="N4" s="55" t="s">
        <v>93</v>
      </c>
      <c r="O4" s="55" t="s">
        <v>94</v>
      </c>
      <c r="P4" s="56" t="s">
        <v>294</v>
      </c>
    </row>
    <row r="5" spans="3:16" ht="21.95" customHeight="1" x14ac:dyDescent="0.25">
      <c r="C5" s="44" t="s">
        <v>43</v>
      </c>
      <c r="D5" s="90">
        <f>IF('BH (1)'!$D$4="Simples Nacional",IF('BH (1)'!$D$15="Simplificado",Simp6!D14+Simp6!D15+Simp6!D17,D83),D83)</f>
        <v>9742.3379999999997</v>
      </c>
      <c r="E5" s="90">
        <f>IF('BH (1)'!$D$4="Simples Nacional",IF('BH (1)'!$D$15="Simplificado",Simp6!E14+Simp6!E15+Simp6!E17,E83),E83)</f>
        <v>7389.6435000000001</v>
      </c>
      <c r="F5" s="90">
        <f>IF('BH (1)'!$D$4="Simples Nacional",IF('BH (1)'!$D$15="Simplificado",Simp6!F14+Simp6!F15+Simp6!F17,F83),F83)</f>
        <v>9760.3895999999986</v>
      </c>
      <c r="G5" s="90">
        <f>IF('BH (1)'!$D$4="Simples Nacional",IF('BH (1)'!$D$15="Simplificado",Simp6!G14+Simp6!G15+Simp6!G17,G83),G83)</f>
        <v>8566.0367999999999</v>
      </c>
      <c r="H5" s="90">
        <f>IF('BH (1)'!$D$4="Simples Nacional",IF('BH (1)'!$D$15="Simplificado",Simp6!H14+Simp6!H15+Simp6!H17,H83),H83)</f>
        <v>8424.294899999999</v>
      </c>
      <c r="I5" s="90">
        <f>IF('BH (1)'!$D$4="Simples Nacional",IF('BH (1)'!$D$15="Simplificado",Simp6!I14+Simp6!I15+Simp6!I17,I83),I83)</f>
        <v>7055.4126000000006</v>
      </c>
      <c r="J5" s="90">
        <f>IF('BH (1)'!$D$4="Simples Nacional",IF('BH (1)'!$D$15="Simplificado",Simp6!J14+Simp6!J15+Simp6!J17,J83),J83)</f>
        <v>9064.942500000001</v>
      </c>
      <c r="K5" s="90">
        <f>IF('BH (1)'!$D$4="Simples Nacional",IF('BH (1)'!$D$15="Simplificado",Simp6!K14+Simp6!K15+Simp6!K17,K83),K83)</f>
        <v>6796.5195000000003</v>
      </c>
      <c r="L5" s="90">
        <f>IF('BH (1)'!$D$4="Simples Nacional",IF('BH (1)'!$D$15="Simplificado",Simp6!L14+Simp6!L15+Simp6!L17,L83),L83)</f>
        <v>7770.8454000000002</v>
      </c>
      <c r="M5" s="90">
        <f>IF('BH (1)'!$D$4="Simples Nacional",IF('BH (1)'!$D$15="Simplificado",Simp6!M14+Simp6!M15+Simp6!M17,M83),M83)</f>
        <v>7877.7735000000002</v>
      </c>
      <c r="N5" s="90">
        <f>IF('BH (1)'!$D$4="Simples Nacional",IF('BH (1)'!$D$15="Simplificado",Simp6!N14+Simp6!N15+Simp6!N17,N83),N83)</f>
        <v>7653.0495000000001</v>
      </c>
      <c r="O5" s="90">
        <f>IF('BH (1)'!$D$4="Simples Nacional",IF('BH (1)'!$D$15="Simplificado",Simp6!O14+Simp6!O15+Simp6!O17,O83),O83)</f>
        <v>7713.2828999999992</v>
      </c>
      <c r="P5" s="93">
        <f>SUM(D5:O5)</f>
        <v>97814.528699999995</v>
      </c>
    </row>
    <row r="6" spans="3:16" ht="21.95" customHeight="1" x14ac:dyDescent="0.25">
      <c r="C6" s="44" t="s">
        <v>44</v>
      </c>
      <c r="D6" s="90">
        <f>IF('BH (1)'!$D$4="Simples Nacional",IF('BH (1)'!$D$15="Simplificado",0,D101),D101)</f>
        <v>3956.1719999999996</v>
      </c>
      <c r="E6" s="90">
        <f>IF('BH (1)'!$D$4="Simples Nacional",IF('BH (1)'!$D$15="Simplificado",0,E101),E101)</f>
        <v>3000.7889999999989</v>
      </c>
      <c r="F6" s="90">
        <f>IF('BH (1)'!$D$4="Simples Nacional",IF('BH (1)'!$D$15="Simplificado",0,F101),F101)</f>
        <v>3963.5023999999994</v>
      </c>
      <c r="G6" s="90">
        <f>IF('BH (1)'!$D$4="Simples Nacional",IF('BH (1)'!$D$15="Simplificado",0,G101),G101)</f>
        <v>3478.4991999999993</v>
      </c>
      <c r="H6" s="90">
        <f>IF('BH (1)'!$D$4="Simples Nacional",IF('BH (1)'!$D$15="Simplificado",0,H101),H101)</f>
        <v>3420.940599999999</v>
      </c>
      <c r="I6" s="90">
        <f>IF('BH (1)'!$D$4="Simples Nacional",IF('BH (1)'!$D$15="Simplificado",0,I101),I101)</f>
        <v>2865.0643999999993</v>
      </c>
      <c r="J6" s="90">
        <f>IF('BH (1)'!$D$4="Simples Nacional",IF('BH (1)'!$D$15="Simplificado",0,J101),J101)</f>
        <v>3681.0949999999989</v>
      </c>
      <c r="K6" s="90">
        <f>IF('BH (1)'!$D$4="Simples Nacional",IF('BH (1)'!$D$15="Simplificado",0,K101),K101)</f>
        <v>2759.9329999999995</v>
      </c>
      <c r="L6" s="90">
        <f>IF('BH (1)'!$D$4="Simples Nacional",IF('BH (1)'!$D$15="Simplificado",0,L101),L101)</f>
        <v>3155.5875999999994</v>
      </c>
      <c r="M6" s="90">
        <f>IF('BH (1)'!$D$4="Simples Nacional",IF('BH (1)'!$D$15="Simplificado",0,M101),M101)</f>
        <v>3199.0089999999991</v>
      </c>
      <c r="N6" s="90">
        <f>IF('BH (1)'!$D$4="Simples Nacional",IF('BH (1)'!$D$15="Simplificado",0,N101),N101)</f>
        <v>3107.7529999999988</v>
      </c>
      <c r="O6" s="90">
        <f>IF('BH (1)'!$D$4="Simples Nacional",IF('BH (1)'!$D$15="Simplificado",0,O101),O101)</f>
        <v>3132.2125999999994</v>
      </c>
      <c r="P6" s="93">
        <f>SUM(D6:O6)</f>
        <v>39720.557799999988</v>
      </c>
    </row>
    <row r="7" spans="3:16" ht="24.95" hidden="1" customHeight="1" x14ac:dyDescent="0.25">
      <c r="C7" s="44" t="s">
        <v>97</v>
      </c>
      <c r="D7" s="90">
        <v>0</v>
      </c>
      <c r="E7" s="90">
        <v>0</v>
      </c>
      <c r="F7" s="90">
        <v>0</v>
      </c>
      <c r="G7" s="90">
        <v>0</v>
      </c>
      <c r="H7" s="90">
        <v>0</v>
      </c>
      <c r="I7" s="90">
        <v>0</v>
      </c>
      <c r="J7" s="90">
        <v>0</v>
      </c>
      <c r="K7" s="90">
        <v>0</v>
      </c>
      <c r="L7" s="90">
        <v>0</v>
      </c>
      <c r="M7" s="90">
        <v>0</v>
      </c>
      <c r="N7" s="90">
        <v>0</v>
      </c>
      <c r="O7" s="90">
        <v>0</v>
      </c>
      <c r="P7" s="93">
        <f>SUM(D7:O7)</f>
        <v>0</v>
      </c>
    </row>
    <row r="8" spans="3:16" ht="24.95" hidden="1" customHeight="1" x14ac:dyDescent="0.25">
      <c r="C8" s="44" t="s">
        <v>98</v>
      </c>
      <c r="D8" s="90">
        <v>0</v>
      </c>
      <c r="E8" s="90">
        <v>0</v>
      </c>
      <c r="F8" s="90">
        <v>0</v>
      </c>
      <c r="G8" s="90">
        <v>0</v>
      </c>
      <c r="H8" s="90">
        <v>0</v>
      </c>
      <c r="I8" s="90">
        <v>0</v>
      </c>
      <c r="J8" s="90">
        <v>0</v>
      </c>
      <c r="K8" s="90">
        <v>0</v>
      </c>
      <c r="L8" s="90">
        <v>0</v>
      </c>
      <c r="M8" s="90">
        <v>0</v>
      </c>
      <c r="N8" s="90">
        <v>0</v>
      </c>
      <c r="O8" s="90">
        <v>0</v>
      </c>
      <c r="P8" s="93">
        <f>SUM(D8:O8)</f>
        <v>0</v>
      </c>
    </row>
    <row r="9" spans="3:16" ht="24.95" customHeight="1" x14ac:dyDescent="0.25">
      <c r="C9" s="44" t="s">
        <v>37</v>
      </c>
      <c r="D9" s="90">
        <f>IF('BH (1)'!$D$4="Simples Nacional",IF('BH (1)'!$D$15="Simplificado",Simp6!D16,D93),D93)</f>
        <v>9564.402</v>
      </c>
      <c r="E9" s="90">
        <f>IF('BH (1)'!$D$4="Simples Nacional",IF('BH (1)'!$D$15="Simplificado",Simp6!E16,E93),E93)</f>
        <v>7128.1775999999991</v>
      </c>
      <c r="F9" s="90">
        <f>IF('BH (1)'!$D$4="Simples Nacional",IF('BH (1)'!$D$15="Simplificado",Simp6!F16,F93),F93)</f>
        <v>9609.9012000000002</v>
      </c>
      <c r="G9" s="90">
        <f>IF('BH (1)'!$D$4="Simples Nacional",IF('BH (1)'!$D$15="Simplificado",Simp6!G16,G93),G93)</f>
        <v>8370.8688000000002</v>
      </c>
      <c r="H9" s="90">
        <f>IF('BH (1)'!$D$4="Simples Nacional",IF('BH (1)'!$D$15="Simplificado",Simp6!H16,H93),H93)</f>
        <v>8218.1880000000001</v>
      </c>
      <c r="I9" s="90">
        <f>IF('BH (1)'!$D$4="Simples Nacional",IF('BH (1)'!$D$15="Simplificado",Simp6!I16,I93),I93)</f>
        <v>6790.4220000000005</v>
      </c>
      <c r="J9" s="90">
        <f>IF('BH (1)'!$D$4="Simples Nacional",IF('BH (1)'!$D$15="Simplificado",Simp6!J16,J93),J93)</f>
        <v>8932.2108000000007</v>
      </c>
      <c r="K9" s="90">
        <f>IF('BH (1)'!$D$4="Simples Nacional",IF('BH (1)'!$D$15="Simplificado",Simp6!K16,K93),K93)</f>
        <v>6496.6572000000015</v>
      </c>
      <c r="L9" s="90">
        <f>IF('BH (1)'!$D$4="Simples Nacional",IF('BH (1)'!$D$15="Simplificado",Simp6!L16,L93),L93)</f>
        <v>7582.0500000000011</v>
      </c>
      <c r="M9" s="90">
        <f>IF('BH (1)'!$D$4="Simples Nacional",IF('BH (1)'!$D$15="Simplificado",Simp6!M16,M93),M93)</f>
        <v>7596.8304000000007</v>
      </c>
      <c r="N9" s="90">
        <f>IF('BH (1)'!$D$4="Simples Nacional",IF('BH (1)'!$D$15="Simplificado",Simp6!N16,N93),N93)</f>
        <v>7417.4256000000005</v>
      </c>
      <c r="O9" s="90">
        <f>IF('BH (1)'!$D$4="Simples Nacional",IF('BH (1)'!$D$15="Simplificado",Simp6!O16,O93),O93)</f>
        <v>7513.9103999999998</v>
      </c>
      <c r="P9" s="93">
        <f>SUM(D9:O9)</f>
        <v>95221.044000000009</v>
      </c>
    </row>
    <row r="10" spans="3:16" ht="24.95" hidden="1" customHeight="1" x14ac:dyDescent="0.25">
      <c r="C10" s="44" t="s">
        <v>38</v>
      </c>
      <c r="D10" s="90">
        <v>0</v>
      </c>
      <c r="E10" s="90">
        <v>0</v>
      </c>
      <c r="F10" s="90">
        <v>0</v>
      </c>
      <c r="G10" s="90">
        <v>0</v>
      </c>
      <c r="H10" s="90">
        <v>0</v>
      </c>
      <c r="I10" s="90">
        <v>0</v>
      </c>
      <c r="J10" s="90">
        <v>0</v>
      </c>
      <c r="K10" s="90">
        <v>0</v>
      </c>
      <c r="L10" s="90">
        <v>0</v>
      </c>
      <c r="M10" s="90">
        <v>0</v>
      </c>
      <c r="N10" s="90">
        <v>0</v>
      </c>
      <c r="O10" s="90">
        <v>0</v>
      </c>
      <c r="P10" s="93">
        <f t="shared" ref="P10:P17" si="0">SUM(D10:O10)</f>
        <v>0</v>
      </c>
    </row>
    <row r="11" spans="3:16" ht="24.95" customHeight="1" x14ac:dyDescent="0.25">
      <c r="C11" s="44" t="s">
        <v>39</v>
      </c>
      <c r="D11" s="90">
        <f>IF('BH (1)'!$D$4="Simples Nacional",IF('BH (1)'!$D$15="Simplificado",Simp6!D18,D94),D94)</f>
        <v>0</v>
      </c>
      <c r="E11" s="90">
        <f>IF('BH (1)'!$D$4="Simples Nacional",IF('BH (1)'!$D$15="Simplificado",Simp6!E18,E94),E94)</f>
        <v>0</v>
      </c>
      <c r="F11" s="90">
        <f>IF('BH (1)'!$D$4="Simples Nacional",IF('BH (1)'!$D$15="Simplificado",Simp6!F18,F94),F94)</f>
        <v>0</v>
      </c>
      <c r="G11" s="90">
        <f>IF('BH (1)'!$D$4="Simples Nacional",IF('BH (1)'!$D$15="Simplificado",Simp6!G18,G94),G94)</f>
        <v>0</v>
      </c>
      <c r="H11" s="90">
        <f>IF('BH (1)'!$D$4="Simples Nacional",IF('BH (1)'!$D$15="Simplificado",Simp6!H18,H94),H94)</f>
        <v>0</v>
      </c>
      <c r="I11" s="90">
        <f>IF('BH (1)'!$D$4="Simples Nacional",IF('BH (1)'!$D$15="Simplificado",Simp6!I18,I94),I94)</f>
        <v>0</v>
      </c>
      <c r="J11" s="90">
        <f>IF('BH (1)'!$D$4="Simples Nacional",IF('BH (1)'!$D$15="Simplificado",Simp6!J18,J94),J94)</f>
        <v>0</v>
      </c>
      <c r="K11" s="90">
        <f>IF('BH (1)'!$D$4="Simples Nacional",IF('BH (1)'!$D$15="Simplificado",Simp6!K18,K94),K94)</f>
        <v>0</v>
      </c>
      <c r="L11" s="90">
        <f>IF('BH (1)'!$D$4="Simples Nacional",IF('BH (1)'!$D$15="Simplificado",Simp6!L18,L94),L94)</f>
        <v>0</v>
      </c>
      <c r="M11" s="90">
        <f>IF('BH (1)'!$D$4="Simples Nacional",IF('BH (1)'!$D$15="Simplificado",Simp6!M18,M94),M94)</f>
        <v>0</v>
      </c>
      <c r="N11" s="90">
        <f>IF('BH (1)'!$D$4="Simples Nacional",IF('BH (1)'!$D$15="Simplificado",Simp6!N18,N94),N94)</f>
        <v>0</v>
      </c>
      <c r="O11" s="90">
        <f>IF('BH (1)'!$D$4="Simples Nacional",IF('BH (1)'!$D$15="Simplificado",Simp6!O18,O94),O94)</f>
        <v>0</v>
      </c>
      <c r="P11" s="93">
        <f t="shared" si="0"/>
        <v>0</v>
      </c>
    </row>
    <row r="12" spans="3:16" ht="24.95" customHeight="1" x14ac:dyDescent="0.25">
      <c r="C12" s="44" t="s">
        <v>129</v>
      </c>
      <c r="D12" s="90">
        <f>D50</f>
        <v>2400</v>
      </c>
      <c r="E12" s="90">
        <f t="shared" ref="E12:O12" si="1">E50</f>
        <v>2400</v>
      </c>
      <c r="F12" s="90">
        <f t="shared" si="1"/>
        <v>2400</v>
      </c>
      <c r="G12" s="90">
        <f t="shared" si="1"/>
        <v>2400</v>
      </c>
      <c r="H12" s="90">
        <f t="shared" si="1"/>
        <v>2400</v>
      </c>
      <c r="I12" s="90">
        <f t="shared" si="1"/>
        <v>2400</v>
      </c>
      <c r="J12" s="90">
        <f t="shared" si="1"/>
        <v>2400</v>
      </c>
      <c r="K12" s="90">
        <f t="shared" si="1"/>
        <v>2400</v>
      </c>
      <c r="L12" s="90">
        <f t="shared" si="1"/>
        <v>2400</v>
      </c>
      <c r="M12" s="90">
        <f t="shared" si="1"/>
        <v>2400</v>
      </c>
      <c r="N12" s="90">
        <f t="shared" si="1"/>
        <v>2400</v>
      </c>
      <c r="O12" s="90">
        <f t="shared" si="1"/>
        <v>2400</v>
      </c>
      <c r="P12" s="93">
        <f t="shared" si="0"/>
        <v>28800</v>
      </c>
    </row>
    <row r="13" spans="3:16" ht="24.95" customHeight="1" x14ac:dyDescent="0.25">
      <c r="C13" s="44" t="s">
        <v>42</v>
      </c>
      <c r="D13" s="90">
        <f>D57</f>
        <v>0</v>
      </c>
      <c r="E13" s="90">
        <f t="shared" ref="E13:O13" si="2">E57</f>
        <v>0</v>
      </c>
      <c r="F13" s="90">
        <f t="shared" si="2"/>
        <v>4068.6731999999993</v>
      </c>
      <c r="G13" s="90">
        <f t="shared" si="2"/>
        <v>0</v>
      </c>
      <c r="H13" s="90">
        <f t="shared" si="2"/>
        <v>0</v>
      </c>
      <c r="I13" s="90">
        <f t="shared" si="2"/>
        <v>3711.4848000000002</v>
      </c>
      <c r="J13" s="90">
        <f t="shared" si="2"/>
        <v>0</v>
      </c>
      <c r="K13" s="90">
        <f t="shared" si="2"/>
        <v>0</v>
      </c>
      <c r="L13" s="90">
        <f t="shared" si="2"/>
        <v>3629.9771999999998</v>
      </c>
      <c r="M13" s="90">
        <f t="shared" si="2"/>
        <v>0</v>
      </c>
      <c r="N13" s="90">
        <f t="shared" si="2"/>
        <v>0</v>
      </c>
      <c r="O13" s="90">
        <f t="shared" si="2"/>
        <v>3625.8083999999999</v>
      </c>
      <c r="P13" s="93">
        <f>IF('BH (1)'!$D$4="Lucro Presumido",Relatórios!P11,SUM(D13:O13))</f>
        <v>15035.943599999999</v>
      </c>
    </row>
    <row r="14" spans="3:16" ht="24.95" customHeight="1" x14ac:dyDescent="0.25">
      <c r="C14" s="44" t="s">
        <v>40</v>
      </c>
      <c r="D14" s="90">
        <f>IF('BH (1)'!$D$4="Simples Nacional",D55,D55+D56)</f>
        <v>0</v>
      </c>
      <c r="E14" s="90">
        <f>IF('BH (1)'!$D$4="Simples Nacional",E55,E55+E56)</f>
        <v>0</v>
      </c>
      <c r="F14" s="90">
        <f>IF('BH (1)'!$D$4="Simples Nacional",F55,F55+F56)</f>
        <v>4520.7479999999996</v>
      </c>
      <c r="G14" s="90">
        <f>IF('BH (1)'!$D$4="Simples Nacional",G55,G55+G56)</f>
        <v>0</v>
      </c>
      <c r="H14" s="90">
        <f>IF('BH (1)'!$D$4="Simples Nacional",H55,H55+H56)</f>
        <v>0</v>
      </c>
      <c r="I14" s="90">
        <f>IF('BH (1)'!$D$4="Simples Nacional",I55,I55+I56)</f>
        <v>4123.8719999999994</v>
      </c>
      <c r="J14" s="90">
        <f>IF('BH (1)'!$D$4="Simples Nacional",J55,J55+J56)</f>
        <v>0</v>
      </c>
      <c r="K14" s="90">
        <f>IF('BH (1)'!$D$4="Simples Nacional",K55,K55+K56)</f>
        <v>0</v>
      </c>
      <c r="L14" s="90">
        <f>IF('BH (1)'!$D$4="Simples Nacional",L55,L55+L56)</f>
        <v>4033.308</v>
      </c>
      <c r="M14" s="90">
        <f>IF('BH (1)'!$D$4="Simples Nacional",M55,M55+M56)</f>
        <v>0</v>
      </c>
      <c r="N14" s="90">
        <f>IF('BH (1)'!$D$4="Simples Nacional",N55,N55+N56)</f>
        <v>0</v>
      </c>
      <c r="O14" s="90">
        <f>IF('BH (1)'!$D$4="Simples Nacional",O55,O55+O56)</f>
        <v>4028.6759999999999</v>
      </c>
      <c r="P14" s="93">
        <f>IF('BH (1)'!$D$4="Lucro Presumido",Relatórios!P12,SUM(D14:O14))</f>
        <v>16706.603999999999</v>
      </c>
    </row>
    <row r="15" spans="3:16" ht="24.95" customHeight="1" x14ac:dyDescent="0.25">
      <c r="C15" s="44" t="s">
        <v>155</v>
      </c>
      <c r="D15" s="90">
        <f>D51</f>
        <v>960</v>
      </c>
      <c r="E15" s="90">
        <f t="shared" ref="E15:O17" si="3">E51</f>
        <v>960</v>
      </c>
      <c r="F15" s="90">
        <f t="shared" si="3"/>
        <v>960</v>
      </c>
      <c r="G15" s="90">
        <f t="shared" si="3"/>
        <v>960</v>
      </c>
      <c r="H15" s="90">
        <f t="shared" si="3"/>
        <v>960</v>
      </c>
      <c r="I15" s="90">
        <f t="shared" si="3"/>
        <v>960</v>
      </c>
      <c r="J15" s="90">
        <f t="shared" si="3"/>
        <v>960</v>
      </c>
      <c r="K15" s="90">
        <f t="shared" si="3"/>
        <v>960</v>
      </c>
      <c r="L15" s="90">
        <f t="shared" si="3"/>
        <v>960</v>
      </c>
      <c r="M15" s="90">
        <f t="shared" si="3"/>
        <v>960</v>
      </c>
      <c r="N15" s="90">
        <f t="shared" si="3"/>
        <v>960</v>
      </c>
      <c r="O15" s="90">
        <f t="shared" si="3"/>
        <v>960</v>
      </c>
      <c r="P15" s="93">
        <f t="shared" si="0"/>
        <v>11520</v>
      </c>
    </row>
    <row r="16" spans="3:16" ht="24.95" customHeight="1" x14ac:dyDescent="0.25">
      <c r="C16" s="44" t="str">
        <f>IF('BH (1)'!D4="Simples Nacional","","Terceiros")</f>
        <v>Terceiros</v>
      </c>
      <c r="D16" s="90">
        <f>D52</f>
        <v>696</v>
      </c>
      <c r="E16" s="90">
        <f t="shared" si="3"/>
        <v>696</v>
      </c>
      <c r="F16" s="90">
        <f t="shared" si="3"/>
        <v>696</v>
      </c>
      <c r="G16" s="90">
        <f t="shared" si="3"/>
        <v>696</v>
      </c>
      <c r="H16" s="90">
        <f t="shared" si="3"/>
        <v>696</v>
      </c>
      <c r="I16" s="90">
        <f t="shared" si="3"/>
        <v>696</v>
      </c>
      <c r="J16" s="90">
        <f t="shared" si="3"/>
        <v>696</v>
      </c>
      <c r="K16" s="90">
        <f t="shared" si="3"/>
        <v>696</v>
      </c>
      <c r="L16" s="90">
        <f t="shared" si="3"/>
        <v>696</v>
      </c>
      <c r="M16" s="90">
        <f t="shared" si="3"/>
        <v>696</v>
      </c>
      <c r="N16" s="90">
        <f t="shared" si="3"/>
        <v>696</v>
      </c>
      <c r="O16" s="90">
        <f t="shared" si="3"/>
        <v>696</v>
      </c>
      <c r="P16" s="93">
        <f t="shared" si="0"/>
        <v>8352</v>
      </c>
    </row>
    <row r="17" spans="3:16" ht="24.95" customHeight="1" x14ac:dyDescent="0.25">
      <c r="C17" s="198" t="str">
        <f>IF('BH (1)'!D4="Simples Nacional","","RAT")</f>
        <v>RAT</v>
      </c>
      <c r="D17" s="189">
        <f>D53</f>
        <v>240</v>
      </c>
      <c r="E17" s="189">
        <f t="shared" si="3"/>
        <v>240</v>
      </c>
      <c r="F17" s="189">
        <f t="shared" si="3"/>
        <v>240</v>
      </c>
      <c r="G17" s="189">
        <f t="shared" si="3"/>
        <v>240</v>
      </c>
      <c r="H17" s="189">
        <f t="shared" si="3"/>
        <v>240</v>
      </c>
      <c r="I17" s="189">
        <f t="shared" si="3"/>
        <v>240</v>
      </c>
      <c r="J17" s="189">
        <f t="shared" si="3"/>
        <v>240</v>
      </c>
      <c r="K17" s="189">
        <f t="shared" si="3"/>
        <v>240</v>
      </c>
      <c r="L17" s="189">
        <f t="shared" si="3"/>
        <v>240</v>
      </c>
      <c r="M17" s="189">
        <f t="shared" si="3"/>
        <v>240</v>
      </c>
      <c r="N17" s="189">
        <f t="shared" si="3"/>
        <v>240</v>
      </c>
      <c r="O17" s="189">
        <f t="shared" si="3"/>
        <v>240</v>
      </c>
      <c r="P17" s="93">
        <f t="shared" si="0"/>
        <v>2880</v>
      </c>
    </row>
    <row r="18" spans="3:16" ht="24.95" customHeight="1" x14ac:dyDescent="0.25">
      <c r="C18" s="196" t="s">
        <v>245</v>
      </c>
      <c r="D18" s="97">
        <f>SUM(D5:D17)</f>
        <v>27558.911999999997</v>
      </c>
      <c r="E18" s="97">
        <f t="shared" ref="E18:O18" si="4">SUM(E5:E17)</f>
        <v>21814.610099999998</v>
      </c>
      <c r="F18" s="97">
        <f t="shared" si="4"/>
        <v>36219.214399999997</v>
      </c>
      <c r="G18" s="97">
        <f t="shared" si="4"/>
        <v>24711.4048</v>
      </c>
      <c r="H18" s="97">
        <f t="shared" si="4"/>
        <v>24359.423499999997</v>
      </c>
      <c r="I18" s="97">
        <f t="shared" si="4"/>
        <v>28842.255799999995</v>
      </c>
      <c r="J18" s="97">
        <f t="shared" si="4"/>
        <v>25974.248299999999</v>
      </c>
      <c r="K18" s="97">
        <f t="shared" si="4"/>
        <v>20349.109700000001</v>
      </c>
      <c r="L18" s="97">
        <f t="shared" si="4"/>
        <v>30467.768200000002</v>
      </c>
      <c r="M18" s="97">
        <f t="shared" si="4"/>
        <v>22969.6129</v>
      </c>
      <c r="N18" s="97">
        <f t="shared" si="4"/>
        <v>22474.2281</v>
      </c>
      <c r="O18" s="97">
        <f t="shared" si="4"/>
        <v>30309.890299999999</v>
      </c>
      <c r="P18" s="98">
        <f>SUM(P5:P17)</f>
        <v>316050.67809999996</v>
      </c>
    </row>
    <row r="19" spans="3:16" ht="30" customHeight="1" thickBot="1" x14ac:dyDescent="0.3">
      <c r="C19" s="180" t="s">
        <v>272</v>
      </c>
    </row>
    <row r="20" spans="3:16" ht="21.95" customHeight="1" x14ac:dyDescent="0.25">
      <c r="C20" s="85" t="s">
        <v>82</v>
      </c>
      <c r="D20" s="55" t="s">
        <v>83</v>
      </c>
      <c r="E20" s="55" t="s">
        <v>84</v>
      </c>
      <c r="F20" s="55" t="s">
        <v>85</v>
      </c>
      <c r="G20" s="55" t="s">
        <v>86</v>
      </c>
      <c r="H20" s="55" t="s">
        <v>87</v>
      </c>
      <c r="I20" s="55" t="s">
        <v>88</v>
      </c>
      <c r="J20" s="55" t="s">
        <v>89</v>
      </c>
      <c r="K20" s="55" t="s">
        <v>90</v>
      </c>
      <c r="L20" s="55" t="s">
        <v>91</v>
      </c>
      <c r="M20" s="55" t="s">
        <v>92</v>
      </c>
      <c r="N20" s="55" t="s">
        <v>93</v>
      </c>
      <c r="O20" s="55" t="s">
        <v>94</v>
      </c>
      <c r="P20" s="56" t="s">
        <v>294</v>
      </c>
    </row>
    <row r="21" spans="3:16" ht="24.95" customHeight="1" x14ac:dyDescent="0.25">
      <c r="C21" s="197" t="str">
        <f>'2027'!C21</f>
        <v>Indústria</v>
      </c>
      <c r="D21" s="90">
        <f>'2027'!D21</f>
        <v>0</v>
      </c>
      <c r="E21" s="90">
        <f>'2027'!E21</f>
        <v>0</v>
      </c>
      <c r="F21" s="90">
        <f>'2027'!F21</f>
        <v>0</v>
      </c>
      <c r="G21" s="90">
        <f>'2027'!G21</f>
        <v>0</v>
      </c>
      <c r="H21" s="90">
        <f>'2027'!H21</f>
        <v>0</v>
      </c>
      <c r="I21" s="90">
        <f>'2027'!I21</f>
        <v>0</v>
      </c>
      <c r="J21" s="90">
        <f>'2027'!J21</f>
        <v>0</v>
      </c>
      <c r="K21" s="90">
        <f>'2027'!K21</f>
        <v>0</v>
      </c>
      <c r="L21" s="90">
        <f>'2027'!L21</f>
        <v>0</v>
      </c>
      <c r="M21" s="90">
        <f>'2027'!M21</f>
        <v>0</v>
      </c>
      <c r="N21" s="90">
        <f>'2027'!N21</f>
        <v>0</v>
      </c>
      <c r="O21" s="90">
        <f>'2027'!O21</f>
        <v>0</v>
      </c>
      <c r="P21" s="91">
        <f>SUM(D21:O21)</f>
        <v>0</v>
      </c>
    </row>
    <row r="22" spans="3:16" ht="24.95" customHeight="1" x14ac:dyDescent="0.25">
      <c r="C22" s="44" t="str">
        <f>'2027'!C22</f>
        <v>Comércio</v>
      </c>
      <c r="D22" s="90">
        <f>'2027'!D22</f>
        <v>134725</v>
      </c>
      <c r="E22" s="90">
        <f>'2027'!E22</f>
        <v>108391</v>
      </c>
      <c r="F22" s="90">
        <f>'2027'!F22</f>
        <v>133613</v>
      </c>
      <c r="G22" s="90">
        <f>'2027'!G22</f>
        <v>120356</v>
      </c>
      <c r="H22" s="90">
        <f>'2027'!H22</f>
        <v>119059</v>
      </c>
      <c r="I22" s="90">
        <f>'2027'!I22</f>
        <v>104241</v>
      </c>
      <c r="J22" s="90">
        <f>'2027'!J22</f>
        <v>123748</v>
      </c>
      <c r="K22" s="90">
        <f>'2027'!K22</f>
        <v>102602</v>
      </c>
      <c r="L22" s="90">
        <f>'2027'!L22</f>
        <v>109759</v>
      </c>
      <c r="M22" s="90">
        <f>'2027'!M22</f>
        <v>115659</v>
      </c>
      <c r="N22" s="90">
        <f>'2027'!N22</f>
        <v>110531</v>
      </c>
      <c r="O22" s="90">
        <f>'2027'!O22</f>
        <v>109533</v>
      </c>
      <c r="P22" s="93">
        <f>SUM(D22:O22)</f>
        <v>1392217</v>
      </c>
    </row>
    <row r="23" spans="3:16" ht="24.95" customHeight="1" x14ac:dyDescent="0.25">
      <c r="C23" s="44" t="str">
        <f>'2027'!C23</f>
        <v>Serviços</v>
      </c>
      <c r="D23" s="90">
        <f>'2027'!D23</f>
        <v>0</v>
      </c>
      <c r="E23" s="90">
        <f>'2027'!E23</f>
        <v>0</v>
      </c>
      <c r="F23" s="90">
        <f>'2027'!F23</f>
        <v>0</v>
      </c>
      <c r="G23" s="90">
        <f>'2027'!G23</f>
        <v>0</v>
      </c>
      <c r="H23" s="90">
        <f>'2027'!H23</f>
        <v>0</v>
      </c>
      <c r="I23" s="90">
        <f>'2027'!I23</f>
        <v>0</v>
      </c>
      <c r="J23" s="90">
        <f>'2027'!J23</f>
        <v>0</v>
      </c>
      <c r="K23" s="90">
        <f>'2027'!K23</f>
        <v>0</v>
      </c>
      <c r="L23" s="90">
        <f>'2027'!L23</f>
        <v>0</v>
      </c>
      <c r="M23" s="90">
        <f>'2027'!M23</f>
        <v>0</v>
      </c>
      <c r="N23" s="90">
        <f>'2027'!N23</f>
        <v>0</v>
      </c>
      <c r="O23" s="90">
        <f>'2027'!O23</f>
        <v>0</v>
      </c>
      <c r="P23" s="93">
        <f>SUM(D23:O23)</f>
        <v>0</v>
      </c>
    </row>
    <row r="24" spans="3:16" ht="24.95" customHeight="1" x14ac:dyDescent="0.25">
      <c r="C24" s="43" t="str">
        <f>'2027'!C24</f>
        <v/>
      </c>
      <c r="D24" s="90" t="str">
        <f>'2027'!D24</f>
        <v/>
      </c>
      <c r="E24" s="90" t="str">
        <f>'2027'!E24</f>
        <v/>
      </c>
      <c r="F24" s="90" t="str">
        <f>'2027'!F24</f>
        <v/>
      </c>
      <c r="G24" s="90" t="str">
        <f>'2027'!G24</f>
        <v/>
      </c>
      <c r="H24" s="90" t="str">
        <f>'2027'!H24</f>
        <v/>
      </c>
      <c r="I24" s="90" t="str">
        <f>'2027'!I24</f>
        <v/>
      </c>
      <c r="J24" s="90" t="str">
        <f>'2027'!J24</f>
        <v/>
      </c>
      <c r="K24" s="90" t="str">
        <f>'2027'!K24</f>
        <v/>
      </c>
      <c r="L24" s="90" t="str">
        <f>'2027'!L24</f>
        <v/>
      </c>
      <c r="M24" s="90" t="str">
        <f>'2027'!M24</f>
        <v/>
      </c>
      <c r="N24" s="90" t="str">
        <f>'2027'!N24</f>
        <v/>
      </c>
      <c r="O24" s="90" t="str">
        <f>'2027'!O24</f>
        <v/>
      </c>
      <c r="P24" s="93">
        <f t="shared" ref="P24:P34" si="5">SUM(D24:O24)</f>
        <v>0</v>
      </c>
    </row>
    <row r="25" spans="3:16" ht="24.95" customHeight="1" x14ac:dyDescent="0.25">
      <c r="C25" s="43" t="str">
        <f>'2027'!C25</f>
        <v/>
      </c>
      <c r="D25" s="90" t="str">
        <f>'2027'!D25</f>
        <v/>
      </c>
      <c r="E25" s="90" t="str">
        <f>'2027'!E25</f>
        <v/>
      </c>
      <c r="F25" s="90" t="str">
        <f>'2027'!F25</f>
        <v/>
      </c>
      <c r="G25" s="90" t="str">
        <f>'2027'!G25</f>
        <v/>
      </c>
      <c r="H25" s="90" t="str">
        <f>'2027'!H25</f>
        <v/>
      </c>
      <c r="I25" s="90" t="str">
        <f>'2027'!I25</f>
        <v/>
      </c>
      <c r="J25" s="90" t="str">
        <f>'2027'!J25</f>
        <v/>
      </c>
      <c r="K25" s="90" t="str">
        <f>'2027'!K25</f>
        <v/>
      </c>
      <c r="L25" s="90" t="str">
        <f>'2027'!L25</f>
        <v/>
      </c>
      <c r="M25" s="90" t="str">
        <f>'2027'!M25</f>
        <v/>
      </c>
      <c r="N25" s="90" t="str">
        <f>'2027'!N25</f>
        <v/>
      </c>
      <c r="O25" s="90" t="str">
        <f>'2027'!O25</f>
        <v/>
      </c>
      <c r="P25" s="93">
        <f t="shared" si="5"/>
        <v>0</v>
      </c>
    </row>
    <row r="26" spans="3:16" ht="24.95" customHeight="1" x14ac:dyDescent="0.25">
      <c r="C26" s="198" t="s">
        <v>209</v>
      </c>
      <c r="D26" s="100">
        <f>Desp!D19</f>
        <v>0</v>
      </c>
      <c r="E26" s="99">
        <f>Desp!E19</f>
        <v>0</v>
      </c>
      <c r="F26" s="99">
        <f>Desp!F19</f>
        <v>0</v>
      </c>
      <c r="G26" s="99">
        <f>Desp!G19</f>
        <v>0</v>
      </c>
      <c r="H26" s="99">
        <f>Desp!H19</f>
        <v>0</v>
      </c>
      <c r="I26" s="99">
        <f>Desp!I19</f>
        <v>0</v>
      </c>
      <c r="J26" s="99">
        <f>Desp!J19</f>
        <v>0</v>
      </c>
      <c r="K26" s="99">
        <f>Desp!K19</f>
        <v>0</v>
      </c>
      <c r="L26" s="99">
        <f>Desp!L19</f>
        <v>0</v>
      </c>
      <c r="M26" s="99">
        <f>Desp!M19</f>
        <v>0</v>
      </c>
      <c r="N26" s="99">
        <f>Desp!N19</f>
        <v>0</v>
      </c>
      <c r="O26" s="100">
        <f>Desp!O19</f>
        <v>0</v>
      </c>
      <c r="P26" s="93">
        <f t="shared" si="5"/>
        <v>0</v>
      </c>
    </row>
    <row r="27" spans="3:16" ht="24.95" customHeight="1" x14ac:dyDescent="0.25">
      <c r="C27" s="196" t="s">
        <v>210</v>
      </c>
      <c r="D27" s="97">
        <f>SUM(D21:D25)-D26</f>
        <v>134725</v>
      </c>
      <c r="E27" s="97">
        <f t="shared" ref="E27:O27" si="6">SUM(E21:E25)-E26</f>
        <v>108391</v>
      </c>
      <c r="F27" s="97">
        <f t="shared" si="6"/>
        <v>133613</v>
      </c>
      <c r="G27" s="97">
        <f t="shared" si="6"/>
        <v>120356</v>
      </c>
      <c r="H27" s="97">
        <f t="shared" si="6"/>
        <v>119059</v>
      </c>
      <c r="I27" s="97">
        <f t="shared" si="6"/>
        <v>104241</v>
      </c>
      <c r="J27" s="97">
        <f t="shared" si="6"/>
        <v>123748</v>
      </c>
      <c r="K27" s="97">
        <f t="shared" si="6"/>
        <v>102602</v>
      </c>
      <c r="L27" s="97">
        <f t="shared" si="6"/>
        <v>109759</v>
      </c>
      <c r="M27" s="97">
        <f t="shared" si="6"/>
        <v>115659</v>
      </c>
      <c r="N27" s="97">
        <f t="shared" si="6"/>
        <v>110531</v>
      </c>
      <c r="O27" s="97">
        <f t="shared" si="6"/>
        <v>109533</v>
      </c>
      <c r="P27" s="93">
        <f t="shared" si="5"/>
        <v>1392217</v>
      </c>
    </row>
    <row r="28" spans="3:16" ht="24.95" hidden="1" customHeight="1" x14ac:dyDescent="0.25">
      <c r="C28" s="44" t="s">
        <v>214</v>
      </c>
      <c r="D28" s="90">
        <v>0</v>
      </c>
      <c r="E28" s="90">
        <v>0</v>
      </c>
      <c r="F28" s="90">
        <v>0</v>
      </c>
      <c r="G28" s="90">
        <v>0</v>
      </c>
      <c r="H28" s="90">
        <v>0</v>
      </c>
      <c r="I28" s="90">
        <v>0</v>
      </c>
      <c r="J28" s="90">
        <v>0</v>
      </c>
      <c r="K28" s="90">
        <v>0</v>
      </c>
      <c r="L28" s="90">
        <v>0</v>
      </c>
      <c r="M28" s="90">
        <v>0</v>
      </c>
      <c r="N28" s="90">
        <v>0</v>
      </c>
      <c r="O28" s="90">
        <v>0</v>
      </c>
      <c r="P28" s="93">
        <f t="shared" si="5"/>
        <v>0</v>
      </c>
    </row>
    <row r="29" spans="3:16" ht="24.95" hidden="1" customHeight="1" x14ac:dyDescent="0.25">
      <c r="C29" s="44" t="s">
        <v>215</v>
      </c>
      <c r="D29" s="90">
        <v>0</v>
      </c>
      <c r="E29" s="90">
        <v>0</v>
      </c>
      <c r="F29" s="90">
        <v>0</v>
      </c>
      <c r="G29" s="90">
        <v>0</v>
      </c>
      <c r="H29" s="90">
        <v>0</v>
      </c>
      <c r="I29" s="90">
        <v>0</v>
      </c>
      <c r="J29" s="90">
        <v>0</v>
      </c>
      <c r="K29" s="90">
        <v>0</v>
      </c>
      <c r="L29" s="90">
        <v>0</v>
      </c>
      <c r="M29" s="90">
        <v>0</v>
      </c>
      <c r="N29" s="90">
        <v>0</v>
      </c>
      <c r="O29" s="90">
        <v>0</v>
      </c>
      <c r="P29" s="93">
        <f t="shared" si="5"/>
        <v>0</v>
      </c>
    </row>
    <row r="30" spans="3:16" ht="24.95" customHeight="1" x14ac:dyDescent="0.25">
      <c r="C30" s="44" t="s">
        <v>216</v>
      </c>
      <c r="D30" s="90">
        <f>D87</f>
        <v>12933.6</v>
      </c>
      <c r="E30" s="90">
        <f t="shared" ref="E30:O30" si="7">E87</f>
        <v>10405.536</v>
      </c>
      <c r="F30" s="90">
        <f t="shared" si="7"/>
        <v>12826.848</v>
      </c>
      <c r="G30" s="90">
        <f t="shared" si="7"/>
        <v>11554.175999999999</v>
      </c>
      <c r="H30" s="90">
        <f t="shared" si="7"/>
        <v>11429.664000000001</v>
      </c>
      <c r="I30" s="90">
        <f t="shared" si="7"/>
        <v>10007.136</v>
      </c>
      <c r="J30" s="90">
        <f t="shared" si="7"/>
        <v>11879.808000000001</v>
      </c>
      <c r="K30" s="90">
        <f t="shared" si="7"/>
        <v>9849.7920000000013</v>
      </c>
      <c r="L30" s="90">
        <f t="shared" si="7"/>
        <v>10536.864000000001</v>
      </c>
      <c r="M30" s="90">
        <f t="shared" si="7"/>
        <v>11103.264000000001</v>
      </c>
      <c r="N30" s="90">
        <f t="shared" si="7"/>
        <v>10610.976000000001</v>
      </c>
      <c r="O30" s="90">
        <f t="shared" si="7"/>
        <v>10515.168</v>
      </c>
      <c r="P30" s="93">
        <f t="shared" si="5"/>
        <v>133652.83199999999</v>
      </c>
    </row>
    <row r="31" spans="3:16" ht="24.95" hidden="1" customHeight="1" x14ac:dyDescent="0.25">
      <c r="C31" s="44" t="s">
        <v>217</v>
      </c>
      <c r="D31" s="90">
        <v>0</v>
      </c>
      <c r="E31" s="90">
        <v>0</v>
      </c>
      <c r="F31" s="90">
        <v>0</v>
      </c>
      <c r="G31" s="90">
        <v>0</v>
      </c>
      <c r="H31" s="90">
        <v>0</v>
      </c>
      <c r="I31" s="90">
        <v>0</v>
      </c>
      <c r="J31" s="90">
        <v>0</v>
      </c>
      <c r="K31" s="90">
        <v>0</v>
      </c>
      <c r="L31" s="90">
        <v>0</v>
      </c>
      <c r="M31" s="90">
        <v>0</v>
      </c>
      <c r="N31" s="90">
        <v>0</v>
      </c>
      <c r="O31" s="90">
        <v>0</v>
      </c>
      <c r="P31" s="93">
        <f t="shared" si="5"/>
        <v>0</v>
      </c>
    </row>
    <row r="32" spans="3:16" ht="24.95" customHeight="1" x14ac:dyDescent="0.25">
      <c r="C32" s="44" t="s">
        <v>218</v>
      </c>
      <c r="D32" s="90">
        <f>D88</f>
        <v>0</v>
      </c>
      <c r="E32" s="90">
        <f t="shared" ref="E32:O32" si="8">E88</f>
        <v>0</v>
      </c>
      <c r="F32" s="90">
        <f t="shared" si="8"/>
        <v>0</v>
      </c>
      <c r="G32" s="90">
        <f t="shared" si="8"/>
        <v>0</v>
      </c>
      <c r="H32" s="90">
        <f t="shared" si="8"/>
        <v>0</v>
      </c>
      <c r="I32" s="90">
        <f t="shared" si="8"/>
        <v>0</v>
      </c>
      <c r="J32" s="90">
        <f t="shared" si="8"/>
        <v>0</v>
      </c>
      <c r="K32" s="90">
        <f t="shared" si="8"/>
        <v>0</v>
      </c>
      <c r="L32" s="90">
        <f t="shared" si="8"/>
        <v>0</v>
      </c>
      <c r="M32" s="90">
        <f t="shared" si="8"/>
        <v>0</v>
      </c>
      <c r="N32" s="90">
        <f t="shared" si="8"/>
        <v>0</v>
      </c>
      <c r="O32" s="90">
        <f t="shared" si="8"/>
        <v>0</v>
      </c>
      <c r="P32" s="93">
        <f t="shared" si="5"/>
        <v>0</v>
      </c>
    </row>
    <row r="33" spans="3:16" ht="24.95" customHeight="1" x14ac:dyDescent="0.25">
      <c r="C33" s="44" t="s">
        <v>247</v>
      </c>
      <c r="D33" s="90">
        <f>D81</f>
        <v>12408.172500000001</v>
      </c>
      <c r="E33" s="90">
        <f t="shared" ref="E33:O33" si="9">E81</f>
        <v>9982.8111000000008</v>
      </c>
      <c r="F33" s="90">
        <f t="shared" si="9"/>
        <v>12305.757299999999</v>
      </c>
      <c r="G33" s="90">
        <f t="shared" si="9"/>
        <v>11084.7876</v>
      </c>
      <c r="H33" s="90">
        <f t="shared" si="9"/>
        <v>10965.3339</v>
      </c>
      <c r="I33" s="90">
        <f t="shared" si="9"/>
        <v>9600.5961000000007</v>
      </c>
      <c r="J33" s="90">
        <f t="shared" si="9"/>
        <v>11397.1908</v>
      </c>
      <c r="K33" s="90">
        <f t="shared" si="9"/>
        <v>9449.6442000000006</v>
      </c>
      <c r="L33" s="90">
        <f t="shared" si="9"/>
        <v>10108.803900000001</v>
      </c>
      <c r="M33" s="90">
        <f t="shared" si="9"/>
        <v>10652.1939</v>
      </c>
      <c r="N33" s="90">
        <f t="shared" si="9"/>
        <v>10179.9051</v>
      </c>
      <c r="O33" s="90">
        <f t="shared" si="9"/>
        <v>10087.989299999999</v>
      </c>
      <c r="P33" s="93">
        <f t="shared" si="5"/>
        <v>128223.18569999999</v>
      </c>
    </row>
    <row r="34" spans="3:16" ht="24.95" customHeight="1" x14ac:dyDescent="0.25">
      <c r="C34" s="198" t="s">
        <v>248</v>
      </c>
      <c r="D34" s="99">
        <f>D98</f>
        <v>5038.7149999999992</v>
      </c>
      <c r="E34" s="99">
        <f t="shared" ref="E34:O34" si="10">E98</f>
        <v>4053.8233999999989</v>
      </c>
      <c r="F34" s="99">
        <f t="shared" si="10"/>
        <v>4997.1261999999988</v>
      </c>
      <c r="G34" s="99">
        <f t="shared" si="10"/>
        <v>4501.3143999999993</v>
      </c>
      <c r="H34" s="99">
        <f t="shared" si="10"/>
        <v>4452.806599999999</v>
      </c>
      <c r="I34" s="99">
        <f t="shared" si="10"/>
        <v>3898.6133999999988</v>
      </c>
      <c r="J34" s="99">
        <f t="shared" si="10"/>
        <v>4628.1751999999988</v>
      </c>
      <c r="K34" s="99">
        <f t="shared" si="10"/>
        <v>3837.3147999999992</v>
      </c>
      <c r="L34" s="99">
        <f t="shared" si="10"/>
        <v>4104.9865999999993</v>
      </c>
      <c r="M34" s="99">
        <f t="shared" si="10"/>
        <v>4325.6465999999991</v>
      </c>
      <c r="N34" s="99">
        <f t="shared" si="10"/>
        <v>4133.8593999999985</v>
      </c>
      <c r="O34" s="99">
        <f t="shared" si="10"/>
        <v>4096.5341999999991</v>
      </c>
      <c r="P34" s="93">
        <f t="shared" si="5"/>
        <v>52068.915799999988</v>
      </c>
    </row>
    <row r="35" spans="3:16" ht="24.95" customHeight="1" x14ac:dyDescent="0.25">
      <c r="C35" s="199" t="s">
        <v>211</v>
      </c>
      <c r="D35" s="97">
        <f>D27-SUM(D28:D34)</f>
        <v>104344.5125</v>
      </c>
      <c r="E35" s="97">
        <f t="shared" ref="E35:O35" si="11">E27-SUM(E28:E34)</f>
        <v>83948.829500000007</v>
      </c>
      <c r="F35" s="97">
        <f t="shared" si="11"/>
        <v>103483.26850000001</v>
      </c>
      <c r="G35" s="97">
        <f t="shared" si="11"/>
        <v>93215.722000000009</v>
      </c>
      <c r="H35" s="97">
        <f t="shared" si="11"/>
        <v>92211.195500000002</v>
      </c>
      <c r="I35" s="97">
        <f t="shared" si="11"/>
        <v>80734.654500000004</v>
      </c>
      <c r="J35" s="97">
        <f t="shared" si="11"/>
        <v>95842.826000000001</v>
      </c>
      <c r="K35" s="97">
        <f t="shared" si="11"/>
        <v>79465.248999999996</v>
      </c>
      <c r="L35" s="97">
        <f t="shared" si="11"/>
        <v>85008.345499999996</v>
      </c>
      <c r="M35" s="97">
        <f t="shared" si="11"/>
        <v>89577.895499999999</v>
      </c>
      <c r="N35" s="97">
        <f t="shared" si="11"/>
        <v>85606.2595</v>
      </c>
      <c r="O35" s="97">
        <f t="shared" si="11"/>
        <v>84833.308499999999</v>
      </c>
      <c r="P35" s="93">
        <f>SUM(D35:O35)</f>
        <v>1078272.0665000002</v>
      </c>
    </row>
    <row r="36" spans="3:16" ht="24.95" customHeight="1" x14ac:dyDescent="0.25">
      <c r="C36" s="43" t="s">
        <v>219</v>
      </c>
      <c r="D36" s="90">
        <f>Cus!D5</f>
        <v>0</v>
      </c>
      <c r="E36" s="90">
        <f>Cus!E5</f>
        <v>0</v>
      </c>
      <c r="F36" s="90">
        <f>Cus!F5</f>
        <v>0</v>
      </c>
      <c r="G36" s="90">
        <f>Cus!G5</f>
        <v>0</v>
      </c>
      <c r="H36" s="90">
        <f>Cus!H5</f>
        <v>0</v>
      </c>
      <c r="I36" s="90">
        <f>Cus!I5</f>
        <v>0</v>
      </c>
      <c r="J36" s="90">
        <f>Cus!J5</f>
        <v>0</v>
      </c>
      <c r="K36" s="90">
        <f>Cus!K5</f>
        <v>0</v>
      </c>
      <c r="L36" s="90">
        <f>Cus!L5</f>
        <v>0</v>
      </c>
      <c r="M36" s="90">
        <f>Cus!M5</f>
        <v>0</v>
      </c>
      <c r="N36" s="90">
        <f>Cus!N5</f>
        <v>0</v>
      </c>
      <c r="O36" s="90">
        <f>Cus!O5</f>
        <v>0</v>
      </c>
      <c r="P36" s="93">
        <f t="shared" ref="P36:P45" si="12">SUM(D36:O36)</f>
        <v>0</v>
      </c>
    </row>
    <row r="37" spans="3:16" ht="24.95" customHeight="1" x14ac:dyDescent="0.25">
      <c r="C37" s="44" t="s">
        <v>220</v>
      </c>
      <c r="D37" s="90">
        <f>Cus!D6</f>
        <v>38671</v>
      </c>
      <c r="E37" s="90">
        <f>Cus!E6</f>
        <v>35038</v>
      </c>
      <c r="F37" s="90">
        <f>Cus!F6</f>
        <v>38988</v>
      </c>
      <c r="G37" s="90">
        <f>Cus!G6</f>
        <v>36366</v>
      </c>
      <c r="H37" s="90">
        <f>Cus!H6</f>
        <v>36221</v>
      </c>
      <c r="I37" s="90">
        <f>Cus!I6</f>
        <v>36625</v>
      </c>
      <c r="J37" s="90">
        <f>Cus!J6</f>
        <v>37727</v>
      </c>
      <c r="K37" s="90">
        <f>Cus!K6</f>
        <v>38303</v>
      </c>
      <c r="L37" s="90">
        <f>Cus!L6</f>
        <v>39407</v>
      </c>
      <c r="M37" s="90">
        <f>Cus!M6</f>
        <v>36094</v>
      </c>
      <c r="N37" s="90">
        <f>Cus!N6</f>
        <v>37011</v>
      </c>
      <c r="O37" s="90">
        <f>Cus!O6</f>
        <v>39167</v>
      </c>
      <c r="P37" s="93">
        <f t="shared" si="12"/>
        <v>449618</v>
      </c>
    </row>
    <row r="38" spans="3:16" ht="24.95" customHeight="1" x14ac:dyDescent="0.25">
      <c r="C38" s="44" t="s">
        <v>221</v>
      </c>
      <c r="D38" s="126">
        <f>Cus!D7</f>
        <v>0</v>
      </c>
      <c r="E38" s="125">
        <f>Cus!E7</f>
        <v>0</v>
      </c>
      <c r="F38" s="125">
        <f>Cus!F7</f>
        <v>0</v>
      </c>
      <c r="G38" s="125">
        <f>Cus!G7</f>
        <v>0</v>
      </c>
      <c r="H38" s="125">
        <f>Cus!H7</f>
        <v>0</v>
      </c>
      <c r="I38" s="125">
        <f>Cus!I7</f>
        <v>0</v>
      </c>
      <c r="J38" s="125">
        <f>Cus!J7</f>
        <v>0</v>
      </c>
      <c r="K38" s="125">
        <f>Cus!K7</f>
        <v>0</v>
      </c>
      <c r="L38" s="125">
        <f>Cus!L7</f>
        <v>0</v>
      </c>
      <c r="M38" s="125">
        <f>Cus!M7</f>
        <v>0</v>
      </c>
      <c r="N38" s="125">
        <f>Cus!N7</f>
        <v>0</v>
      </c>
      <c r="O38" s="126">
        <f>Cus!O7</f>
        <v>0</v>
      </c>
      <c r="P38" s="93">
        <f t="shared" si="12"/>
        <v>0</v>
      </c>
    </row>
    <row r="39" spans="3:16" ht="24.95" customHeight="1" x14ac:dyDescent="0.25">
      <c r="C39" s="228" t="s">
        <v>353</v>
      </c>
      <c r="D39" s="263">
        <f>IF('BH (1)'!$D$4="Simples Nacional",IF('BH (1)'!$C$15=1,0,D79+D99),D79+D89+D90+D99)</f>
        <v>7117.575499999999</v>
      </c>
      <c r="E39" s="263">
        <f>IF('BH (1)'!$D$4="Simples Nacional",IF('BH (1)'!$C$15=1,0,E79+E99),E79+E89+E90+E99)</f>
        <v>6923.5604000000003</v>
      </c>
      <c r="F39" s="263">
        <f>IF('BH (1)'!$D$4="Simples Nacional",IF('BH (1)'!$C$15=1,0,F79+F99),F79+F89+F90+F99)</f>
        <v>6795.9382999999998</v>
      </c>
      <c r="G39" s="263">
        <f>IF('BH (1)'!$D$4="Simples Nacional",IF('BH (1)'!$C$15=1,0,G79+G99),G79+G89+G90+G99)</f>
        <v>6724.8732</v>
      </c>
      <c r="H39" s="263">
        <f>IF('BH (1)'!$D$4="Simples Nacional",IF('BH (1)'!$C$15=1,0,H79+H99),H79+H89+H90+H99)</f>
        <v>6784.3810000000003</v>
      </c>
      <c r="I39" s="263">
        <f>IF('BH (1)'!$D$4="Simples Nacional",IF('BH (1)'!$C$15=1,0,I79+I99),I79+I89+I90+I99)</f>
        <v>6795.4465</v>
      </c>
      <c r="J39" s="263">
        <f>IF('BH (1)'!$D$4="Simples Nacional",IF('BH (1)'!$C$15=1,0,J79+J99),J79+J89+J90+J99)</f>
        <v>6226.9256999999998</v>
      </c>
      <c r="K39" s="263">
        <f>IF('BH (1)'!$D$4="Simples Nacional",IF('BH (1)'!$C$15=1,0,K79+K99),K79+K89+K90+K99)</f>
        <v>7083.6412999999993</v>
      </c>
      <c r="L39" s="263">
        <f>IF('BH (1)'!$D$4="Simples Nacional",IF('BH (1)'!$C$15=1,0,L79+L99),L79+L89+L90+L99)</f>
        <v>6242.1715000000004</v>
      </c>
      <c r="M39" s="263">
        <f>IF('BH (1)'!$D$4="Simples Nacional",IF('BH (1)'!$C$15=1,0,M79+M99),M79+M89+M90+M99)</f>
        <v>7407.4915999999994</v>
      </c>
      <c r="N39" s="263">
        <f>IF('BH (1)'!$D$4="Simples Nacional",IF('BH (1)'!$C$15=1,0,N79+N99),N79+N89+N90+N99)</f>
        <v>6746.5123999999996</v>
      </c>
      <c r="O39" s="263">
        <f>IF('BH (1)'!$D$4="Simples Nacional",IF('BH (1)'!$C$15=1,0,O79+O99),O79+O89+O90+O99)</f>
        <v>6340.2856000000002</v>
      </c>
      <c r="P39" s="93">
        <f>SUM(D39:O39)</f>
        <v>81188.802999999985</v>
      </c>
    </row>
    <row r="40" spans="3:16" ht="24.95" customHeight="1" x14ac:dyDescent="0.25">
      <c r="C40" s="196" t="s">
        <v>212</v>
      </c>
      <c r="D40" s="97">
        <f>IFERROR(IF(SUM(D36:D38)=0,D35-SUM(D36:D38),D35-SUM(D36:D38)+D39),0)</f>
        <v>72791.087999999989</v>
      </c>
      <c r="E40" s="97">
        <f t="shared" ref="E40:O40" si="13">IFERROR(IF(SUM(E36:E38)=0,E35-SUM(E36:E38),E35-SUM(E36:E38)+E39),0)</f>
        <v>55834.389900000009</v>
      </c>
      <c r="F40" s="97">
        <f t="shared" si="13"/>
        <v>71291.2068</v>
      </c>
      <c r="G40" s="97">
        <f t="shared" si="13"/>
        <v>63574.595200000011</v>
      </c>
      <c r="H40" s="97">
        <f t="shared" si="13"/>
        <v>62774.576500000003</v>
      </c>
      <c r="I40" s="97">
        <f t="shared" si="13"/>
        <v>50905.101000000002</v>
      </c>
      <c r="J40" s="97">
        <f t="shared" si="13"/>
        <v>64342.751700000001</v>
      </c>
      <c r="K40" s="97">
        <f t="shared" si="13"/>
        <v>48245.890299999999</v>
      </c>
      <c r="L40" s="97">
        <f t="shared" si="13"/>
        <v>51843.516999999993</v>
      </c>
      <c r="M40" s="97">
        <f t="shared" si="13"/>
        <v>60891.3871</v>
      </c>
      <c r="N40" s="97">
        <f t="shared" si="13"/>
        <v>55341.7719</v>
      </c>
      <c r="O40" s="97">
        <f t="shared" si="13"/>
        <v>52006.594100000002</v>
      </c>
      <c r="P40" s="93">
        <f>SUM(D40:O40)</f>
        <v>709842.86950000015</v>
      </c>
    </row>
    <row r="41" spans="3:16" ht="24.95" customHeight="1" x14ac:dyDescent="0.25">
      <c r="C41" s="44" t="s">
        <v>226</v>
      </c>
      <c r="D41" s="90">
        <f>Desp!D5</f>
        <v>26739</v>
      </c>
      <c r="E41" s="90">
        <f>Desp!E5</f>
        <v>27419</v>
      </c>
      <c r="F41" s="90">
        <f>Desp!F5</f>
        <v>25474</v>
      </c>
      <c r="G41" s="90">
        <f>Desp!G5</f>
        <v>27975</v>
      </c>
      <c r="H41" s="90">
        <f>Desp!H5</f>
        <v>26284</v>
      </c>
      <c r="I41" s="90">
        <f>Desp!I5</f>
        <v>27556</v>
      </c>
      <c r="J41" s="90">
        <f>Desp!J5</f>
        <v>27311</v>
      </c>
      <c r="K41" s="90">
        <f>Desp!K5</f>
        <v>27931</v>
      </c>
      <c r="L41" s="90">
        <f>Desp!L5</f>
        <v>26172</v>
      </c>
      <c r="M41" s="90">
        <f>Desp!M5</f>
        <v>27441</v>
      </c>
      <c r="N41" s="90">
        <f>Desp!N5</f>
        <v>27567</v>
      </c>
      <c r="O41" s="90">
        <f>Desp!O5</f>
        <v>27298</v>
      </c>
      <c r="P41" s="93">
        <f t="shared" si="12"/>
        <v>325167</v>
      </c>
    </row>
    <row r="42" spans="3:16" ht="24.95" customHeight="1" x14ac:dyDescent="0.25">
      <c r="C42" s="44" t="s">
        <v>227</v>
      </c>
      <c r="D42" s="90">
        <f>Desp!D6</f>
        <v>0</v>
      </c>
      <c r="E42" s="90">
        <f>Desp!E6</f>
        <v>0</v>
      </c>
      <c r="F42" s="90">
        <f>Desp!F6</f>
        <v>0</v>
      </c>
      <c r="G42" s="90">
        <f>Desp!G6</f>
        <v>0</v>
      </c>
      <c r="H42" s="90">
        <f>Desp!H6</f>
        <v>0</v>
      </c>
      <c r="I42" s="90">
        <f>Desp!I6</f>
        <v>0</v>
      </c>
      <c r="J42" s="90">
        <f>Desp!J6</f>
        <v>0</v>
      </c>
      <c r="K42" s="90">
        <f>Desp!K6</f>
        <v>0</v>
      </c>
      <c r="L42" s="90">
        <f>Desp!L6</f>
        <v>0</v>
      </c>
      <c r="M42" s="90">
        <f>Desp!M6</f>
        <v>0</v>
      </c>
      <c r="N42" s="90">
        <f>Desp!N6</f>
        <v>0</v>
      </c>
      <c r="O42" s="90">
        <f>Desp!O6</f>
        <v>0</v>
      </c>
      <c r="P42" s="93">
        <f t="shared" si="12"/>
        <v>0</v>
      </c>
    </row>
    <row r="43" spans="3:16" ht="24.95" customHeight="1" x14ac:dyDescent="0.25">
      <c r="C43" s="44" t="s">
        <v>228</v>
      </c>
      <c r="D43" s="90">
        <f>Desp!D7</f>
        <v>0</v>
      </c>
      <c r="E43" s="90">
        <f>Desp!E7</f>
        <v>0</v>
      </c>
      <c r="F43" s="90">
        <f>Desp!F7</f>
        <v>0</v>
      </c>
      <c r="G43" s="90">
        <f>Desp!G7</f>
        <v>0</v>
      </c>
      <c r="H43" s="90">
        <f>Desp!H7</f>
        <v>0</v>
      </c>
      <c r="I43" s="90">
        <f>Desp!I7</f>
        <v>0</v>
      </c>
      <c r="J43" s="90">
        <f>Desp!J7</f>
        <v>0</v>
      </c>
      <c r="K43" s="90">
        <f>Desp!K7</f>
        <v>0</v>
      </c>
      <c r="L43" s="90">
        <f>Desp!L7</f>
        <v>0</v>
      </c>
      <c r="M43" s="90">
        <f>Desp!M7</f>
        <v>0</v>
      </c>
      <c r="N43" s="90">
        <f>Desp!N7</f>
        <v>0</v>
      </c>
      <c r="O43" s="90">
        <f>Desp!O7</f>
        <v>0</v>
      </c>
      <c r="P43" s="93">
        <f t="shared" si="12"/>
        <v>0</v>
      </c>
    </row>
    <row r="44" spans="3:16" ht="24.95" customHeight="1" x14ac:dyDescent="0.25">
      <c r="C44" s="44" t="s">
        <v>229</v>
      </c>
      <c r="D44" s="90">
        <f>Desp!D8</f>
        <v>0</v>
      </c>
      <c r="E44" s="90">
        <f>Desp!E8</f>
        <v>0</v>
      </c>
      <c r="F44" s="90">
        <f>Desp!F8</f>
        <v>0</v>
      </c>
      <c r="G44" s="90">
        <f>Desp!G8</f>
        <v>0</v>
      </c>
      <c r="H44" s="90">
        <f>Desp!H8</f>
        <v>0</v>
      </c>
      <c r="I44" s="90">
        <f>Desp!I8</f>
        <v>0</v>
      </c>
      <c r="J44" s="90">
        <f>Desp!J8</f>
        <v>0</v>
      </c>
      <c r="K44" s="90">
        <f>Desp!K8</f>
        <v>0</v>
      </c>
      <c r="L44" s="90">
        <f>Desp!L8</f>
        <v>0</v>
      </c>
      <c r="M44" s="90">
        <f>Desp!M8</f>
        <v>0</v>
      </c>
      <c r="N44" s="90">
        <f>Desp!N8</f>
        <v>0</v>
      </c>
      <c r="O44" s="90">
        <f>Desp!O8</f>
        <v>0</v>
      </c>
      <c r="P44" s="93">
        <f t="shared" si="12"/>
        <v>0</v>
      </c>
    </row>
    <row r="45" spans="3:16" ht="24.95" customHeight="1" x14ac:dyDescent="0.25">
      <c r="C45" s="44" t="s">
        <v>230</v>
      </c>
      <c r="D45" s="90">
        <f>Desp!D9</f>
        <v>0</v>
      </c>
      <c r="E45" s="90">
        <f>Desp!E9</f>
        <v>0</v>
      </c>
      <c r="F45" s="90">
        <f>Desp!F9</f>
        <v>0</v>
      </c>
      <c r="G45" s="90">
        <f>Desp!G9</f>
        <v>0</v>
      </c>
      <c r="H45" s="90">
        <f>Desp!H9</f>
        <v>0</v>
      </c>
      <c r="I45" s="90">
        <f>Desp!I9</f>
        <v>0</v>
      </c>
      <c r="J45" s="90">
        <f>Desp!J9</f>
        <v>0</v>
      </c>
      <c r="K45" s="90">
        <f>Desp!K9</f>
        <v>0</v>
      </c>
      <c r="L45" s="90">
        <f>Desp!L9</f>
        <v>0</v>
      </c>
      <c r="M45" s="90">
        <f>Desp!M9</f>
        <v>0</v>
      </c>
      <c r="N45" s="90">
        <f>Desp!N9</f>
        <v>0</v>
      </c>
      <c r="O45" s="90">
        <f>Desp!O9</f>
        <v>0</v>
      </c>
      <c r="P45" s="93">
        <f t="shared" si="12"/>
        <v>0</v>
      </c>
    </row>
    <row r="46" spans="3:16" ht="24.95" customHeight="1" x14ac:dyDescent="0.25">
      <c r="C46" s="44" t="s">
        <v>231</v>
      </c>
      <c r="D46" s="90">
        <f>Desp!D10</f>
        <v>0</v>
      </c>
      <c r="E46" s="90">
        <f>Desp!E10</f>
        <v>0</v>
      </c>
      <c r="F46" s="90">
        <f>Desp!F10</f>
        <v>0</v>
      </c>
      <c r="G46" s="90">
        <f>Desp!G10</f>
        <v>0</v>
      </c>
      <c r="H46" s="90">
        <f>Desp!H10</f>
        <v>0</v>
      </c>
      <c r="I46" s="90">
        <f>Desp!I10</f>
        <v>0</v>
      </c>
      <c r="J46" s="90">
        <f>Desp!J10</f>
        <v>0</v>
      </c>
      <c r="K46" s="90">
        <f>Desp!K10</f>
        <v>0</v>
      </c>
      <c r="L46" s="90">
        <f>Desp!L10</f>
        <v>0</v>
      </c>
      <c r="M46" s="90">
        <f>Desp!M10</f>
        <v>0</v>
      </c>
      <c r="N46" s="90">
        <f>Desp!N10</f>
        <v>0</v>
      </c>
      <c r="O46" s="90">
        <f>Desp!O10</f>
        <v>0</v>
      </c>
      <c r="P46" s="93">
        <f t="shared" ref="P46:P58" si="14">SUM(D46:O46)</f>
        <v>0</v>
      </c>
    </row>
    <row r="47" spans="3:16" ht="24.95" customHeight="1" x14ac:dyDescent="0.25">
      <c r="C47" s="44" t="s">
        <v>232</v>
      </c>
      <c r="D47" s="90">
        <f>Desp!D11</f>
        <v>0</v>
      </c>
      <c r="E47" s="90">
        <f>Desp!E11</f>
        <v>0</v>
      </c>
      <c r="F47" s="90">
        <f>Desp!F11</f>
        <v>0</v>
      </c>
      <c r="G47" s="90">
        <f>Desp!G11</f>
        <v>0</v>
      </c>
      <c r="H47" s="90">
        <f>Desp!H11</f>
        <v>0</v>
      </c>
      <c r="I47" s="90">
        <f>Desp!I11</f>
        <v>0</v>
      </c>
      <c r="J47" s="90">
        <f>Desp!J11</f>
        <v>0</v>
      </c>
      <c r="K47" s="90">
        <f>Desp!K11</f>
        <v>0</v>
      </c>
      <c r="L47" s="90">
        <f>Desp!L11</f>
        <v>0</v>
      </c>
      <c r="M47" s="90">
        <f>Desp!M11</f>
        <v>0</v>
      </c>
      <c r="N47" s="90">
        <f>Desp!N11</f>
        <v>0</v>
      </c>
      <c r="O47" s="90">
        <f>Desp!O11</f>
        <v>0</v>
      </c>
      <c r="P47" s="93">
        <f t="shared" si="14"/>
        <v>0</v>
      </c>
    </row>
    <row r="48" spans="3:16" ht="24.95" customHeight="1" x14ac:dyDescent="0.25">
      <c r="C48" s="44" t="s">
        <v>234</v>
      </c>
      <c r="D48" s="90">
        <f>Cus!D13</f>
        <v>12000</v>
      </c>
      <c r="E48" s="90">
        <f>Cus!E13</f>
        <v>12000</v>
      </c>
      <c r="F48" s="90">
        <f>Cus!F13</f>
        <v>12000</v>
      </c>
      <c r="G48" s="90">
        <f>Cus!G13</f>
        <v>12000</v>
      </c>
      <c r="H48" s="90">
        <f>Cus!H13</f>
        <v>12000</v>
      </c>
      <c r="I48" s="90">
        <f>Cus!I13</f>
        <v>12000</v>
      </c>
      <c r="J48" s="90">
        <f>Cus!J13</f>
        <v>12000</v>
      </c>
      <c r="K48" s="90">
        <f>Cus!K13</f>
        <v>12000</v>
      </c>
      <c r="L48" s="90">
        <f>Cus!L13</f>
        <v>12000</v>
      </c>
      <c r="M48" s="90">
        <f>Cus!M13</f>
        <v>12000</v>
      </c>
      <c r="N48" s="90">
        <f>Cus!N13</f>
        <v>12000</v>
      </c>
      <c r="O48" s="90">
        <f>Cus!O13</f>
        <v>12000</v>
      </c>
      <c r="P48" s="93">
        <f t="shared" si="14"/>
        <v>144000</v>
      </c>
    </row>
    <row r="49" spans="3:16" ht="24.95" customHeight="1" x14ac:dyDescent="0.25">
      <c r="C49" s="44" t="s">
        <v>235</v>
      </c>
      <c r="D49" s="90">
        <f>Cus!D14</f>
        <v>0</v>
      </c>
      <c r="E49" s="90">
        <f>Cus!E14</f>
        <v>0</v>
      </c>
      <c r="F49" s="90">
        <f>Cus!F14</f>
        <v>0</v>
      </c>
      <c r="G49" s="90">
        <f>Cus!G14</f>
        <v>0</v>
      </c>
      <c r="H49" s="90">
        <f>Cus!H14</f>
        <v>0</v>
      </c>
      <c r="I49" s="90">
        <f>Cus!I14</f>
        <v>0</v>
      </c>
      <c r="J49" s="90">
        <f>Cus!J14</f>
        <v>0</v>
      </c>
      <c r="K49" s="90">
        <f>Cus!K14</f>
        <v>0</v>
      </c>
      <c r="L49" s="90">
        <f>Cus!L14</f>
        <v>0</v>
      </c>
      <c r="M49" s="90">
        <f>Cus!M14</f>
        <v>0</v>
      </c>
      <c r="N49" s="90">
        <f>Cus!N14</f>
        <v>0</v>
      </c>
      <c r="O49" s="90">
        <f>Cus!O14</f>
        <v>0</v>
      </c>
      <c r="P49" s="93">
        <f t="shared" si="14"/>
        <v>0</v>
      </c>
    </row>
    <row r="50" spans="3:16" ht="24.95" customHeight="1" x14ac:dyDescent="0.25">
      <c r="C50" s="44" t="s">
        <v>233</v>
      </c>
      <c r="D50" s="90">
        <f>IF('BH (1)'!$D$4="Simples Nacional",Simp6!D19,Cus!D15)</f>
        <v>2400</v>
      </c>
      <c r="E50" s="90">
        <f>IF('BH (1)'!$D$4="Simples Nacional",Simp6!E19,Cus!E15)</f>
        <v>2400</v>
      </c>
      <c r="F50" s="90">
        <f>IF('BH (1)'!$D$4="Simples Nacional",Simp6!F19,Cus!F15)</f>
        <v>2400</v>
      </c>
      <c r="G50" s="90">
        <f>IF('BH (1)'!$D$4="Simples Nacional",Simp6!G19,Cus!G15)</f>
        <v>2400</v>
      </c>
      <c r="H50" s="90">
        <f>IF('BH (1)'!$D$4="Simples Nacional",Simp6!H19,Cus!H15)</f>
        <v>2400</v>
      </c>
      <c r="I50" s="90">
        <f>IF('BH (1)'!$D$4="Simples Nacional",Simp6!I19,Cus!I15)</f>
        <v>2400</v>
      </c>
      <c r="J50" s="90">
        <f>IF('BH (1)'!$D$4="Simples Nacional",Simp6!J19,Cus!J15)</f>
        <v>2400</v>
      </c>
      <c r="K50" s="90">
        <f>IF('BH (1)'!$D$4="Simples Nacional",Simp6!K19,Cus!K15)</f>
        <v>2400</v>
      </c>
      <c r="L50" s="90">
        <f>IF('BH (1)'!$D$4="Simples Nacional",Simp6!L19,Cus!L15)</f>
        <v>2400</v>
      </c>
      <c r="M50" s="90">
        <f>IF('BH (1)'!$D$4="Simples Nacional",Simp6!M19,Cus!M15)</f>
        <v>2400</v>
      </c>
      <c r="N50" s="90">
        <f>IF('BH (1)'!$D$4="Simples Nacional",Simp6!N19,Cus!N15)</f>
        <v>2400</v>
      </c>
      <c r="O50" s="90">
        <f>IF('BH (1)'!$D$4="Simples Nacional",Simp6!O19,Cus!O15)</f>
        <v>2400</v>
      </c>
      <c r="P50" s="93">
        <f t="shared" si="14"/>
        <v>28800</v>
      </c>
    </row>
    <row r="51" spans="3:16" ht="24.95" customHeight="1" x14ac:dyDescent="0.25">
      <c r="C51" s="44" t="s">
        <v>236</v>
      </c>
      <c r="D51" s="90">
        <f>Cus!D18</f>
        <v>960</v>
      </c>
      <c r="E51" s="90">
        <f>Cus!E18</f>
        <v>960</v>
      </c>
      <c r="F51" s="90">
        <f>Cus!F18</f>
        <v>960</v>
      </c>
      <c r="G51" s="90">
        <f>Cus!G18</f>
        <v>960</v>
      </c>
      <c r="H51" s="90">
        <f>Cus!H18</f>
        <v>960</v>
      </c>
      <c r="I51" s="90">
        <f>Cus!I18</f>
        <v>960</v>
      </c>
      <c r="J51" s="90">
        <f>Cus!J18</f>
        <v>960</v>
      </c>
      <c r="K51" s="90">
        <f>Cus!K18</f>
        <v>960</v>
      </c>
      <c r="L51" s="90">
        <f>Cus!L18</f>
        <v>960</v>
      </c>
      <c r="M51" s="90">
        <f>Cus!M18</f>
        <v>960</v>
      </c>
      <c r="N51" s="90">
        <f>Cus!N18</f>
        <v>960</v>
      </c>
      <c r="O51" s="90">
        <f>Cus!O18</f>
        <v>960</v>
      </c>
      <c r="P51" s="93">
        <f t="shared" si="14"/>
        <v>11520</v>
      </c>
    </row>
    <row r="52" spans="3:16" ht="24.95" customHeight="1" x14ac:dyDescent="0.25">
      <c r="C52" s="44" t="str">
        <f>IF('BH (1)'!$D$4="Simples Nacional","","(-) Terceiros")</f>
        <v>(-) Terceiros</v>
      </c>
      <c r="D52" s="90">
        <f>IF('BH (1)'!$D$4="Simples Nacional","",Cus!D16)</f>
        <v>696</v>
      </c>
      <c r="E52" s="90">
        <f>IF('BH (1)'!$D$4="Simples Nacional","",Cus!E16)</f>
        <v>696</v>
      </c>
      <c r="F52" s="90">
        <f>IF('BH (1)'!$D$4="Simples Nacional","",Cus!F16)</f>
        <v>696</v>
      </c>
      <c r="G52" s="90">
        <f>IF('BH (1)'!$D$4="Simples Nacional","",Cus!G16)</f>
        <v>696</v>
      </c>
      <c r="H52" s="90">
        <f>IF('BH (1)'!$D$4="Simples Nacional","",Cus!H16)</f>
        <v>696</v>
      </c>
      <c r="I52" s="90">
        <f>IF('BH (1)'!$D$4="Simples Nacional","",Cus!I16)</f>
        <v>696</v>
      </c>
      <c r="J52" s="90">
        <f>IF('BH (1)'!$D$4="Simples Nacional","",Cus!J16)</f>
        <v>696</v>
      </c>
      <c r="K52" s="90">
        <f>IF('BH (1)'!$D$4="Simples Nacional","",Cus!K16)</f>
        <v>696</v>
      </c>
      <c r="L52" s="90">
        <f>IF('BH (1)'!$D$4="Simples Nacional","",Cus!L16)</f>
        <v>696</v>
      </c>
      <c r="M52" s="90">
        <f>IF('BH (1)'!$D$4="Simples Nacional","",Cus!M16)</f>
        <v>696</v>
      </c>
      <c r="N52" s="90">
        <f>IF('BH (1)'!$D$4="Simples Nacional","",Cus!N16)</f>
        <v>696</v>
      </c>
      <c r="O52" s="90">
        <f>IF('BH (1)'!$D$4="Simples Nacional","",Cus!O16)</f>
        <v>696</v>
      </c>
      <c r="P52" s="93">
        <f t="shared" si="14"/>
        <v>8352</v>
      </c>
    </row>
    <row r="53" spans="3:16" ht="24.95" customHeight="1" x14ac:dyDescent="0.25">
      <c r="C53" s="198" t="str">
        <f>IF('BH (1)'!$D$4="Simples Nacional","","(-) RAT")</f>
        <v>(-) RAT</v>
      </c>
      <c r="D53" s="95">
        <f>IF('BH (1)'!$D$4="Simples Nacional","",Cus!D17)</f>
        <v>240</v>
      </c>
      <c r="E53" s="95">
        <f>IF('BH (1)'!$D$4="Simples Nacional","",Cus!E17)</f>
        <v>240</v>
      </c>
      <c r="F53" s="95">
        <f>IF('BH (1)'!$D$4="Simples Nacional","",Cus!F17)</f>
        <v>240</v>
      </c>
      <c r="G53" s="95">
        <f>IF('BH (1)'!$D$4="Simples Nacional","",Cus!G17)</f>
        <v>240</v>
      </c>
      <c r="H53" s="95">
        <f>IF('BH (1)'!$D$4="Simples Nacional","",Cus!H17)</f>
        <v>240</v>
      </c>
      <c r="I53" s="95">
        <f>IF('BH (1)'!$D$4="Simples Nacional","",Cus!I17)</f>
        <v>240</v>
      </c>
      <c r="J53" s="95">
        <f>IF('BH (1)'!$D$4="Simples Nacional","",Cus!J17)</f>
        <v>240</v>
      </c>
      <c r="K53" s="95">
        <f>IF('BH (1)'!$D$4="Simples Nacional","",Cus!K17)</f>
        <v>240</v>
      </c>
      <c r="L53" s="95">
        <f>IF('BH (1)'!$D$4="Simples Nacional","",Cus!L17)</f>
        <v>240</v>
      </c>
      <c r="M53" s="95">
        <f>IF('BH (1)'!$D$4="Simples Nacional","",Cus!M17)</f>
        <v>240</v>
      </c>
      <c r="N53" s="95">
        <f>IF('BH (1)'!$D$4="Simples Nacional","",Cus!N17)</f>
        <v>240</v>
      </c>
      <c r="O53" s="95">
        <f>IF('BH (1)'!$D$4="Simples Nacional","",Cus!O17)</f>
        <v>240</v>
      </c>
      <c r="P53" s="93">
        <f t="shared" si="14"/>
        <v>2880</v>
      </c>
    </row>
    <row r="54" spans="3:16" ht="24.95" customHeight="1" x14ac:dyDescent="0.25">
      <c r="C54" s="196" t="s">
        <v>213</v>
      </c>
      <c r="D54" s="97">
        <f>D40-SUM(D41:D53)</f>
        <v>29756.087999999989</v>
      </c>
      <c r="E54" s="97">
        <f t="shared" ref="E54:O54" si="15">E40-SUM(E41:E53)</f>
        <v>12119.389900000009</v>
      </c>
      <c r="F54" s="97">
        <f t="shared" si="15"/>
        <v>29521.2068</v>
      </c>
      <c r="G54" s="97">
        <f t="shared" si="15"/>
        <v>19303.595200000011</v>
      </c>
      <c r="H54" s="97">
        <f t="shared" si="15"/>
        <v>20194.576500000003</v>
      </c>
      <c r="I54" s="97">
        <f t="shared" si="15"/>
        <v>7053.1010000000024</v>
      </c>
      <c r="J54" s="97">
        <f t="shared" si="15"/>
        <v>20735.751700000001</v>
      </c>
      <c r="K54" s="97">
        <f t="shared" si="15"/>
        <v>4018.8902999999991</v>
      </c>
      <c r="L54" s="97">
        <f t="shared" si="15"/>
        <v>9375.5169999999925</v>
      </c>
      <c r="M54" s="97">
        <f t="shared" si="15"/>
        <v>17154.3871</v>
      </c>
      <c r="N54" s="97">
        <f t="shared" si="15"/>
        <v>11478.7719</v>
      </c>
      <c r="O54" s="97">
        <f t="shared" si="15"/>
        <v>8412.5941000000021</v>
      </c>
      <c r="P54" s="191">
        <f t="shared" si="14"/>
        <v>189123.86949999997</v>
      </c>
    </row>
    <row r="55" spans="3:16" ht="24.95" customHeight="1" x14ac:dyDescent="0.25">
      <c r="C55" s="44" t="s">
        <v>238</v>
      </c>
      <c r="D55" s="90">
        <f>IF('BH (1)'!$D$4="Lucro Real",'2030'!D64,IF('BH (1)'!$D$4="Lucro Presumido",Relatórios!D136,IF('BH (1)'!$D$4="Simples Nacional",Simp6!D21)))</f>
        <v>0</v>
      </c>
      <c r="E55" s="90">
        <f>IF('BH (1)'!$D$4="Lucro Real",'2030'!E64,IF('BH (1)'!$D$4="Lucro Presumido",Relatórios!E136,IF('BH (1)'!$D$4="Simples Nacional",Simp6!E21)))</f>
        <v>0</v>
      </c>
      <c r="F55" s="90">
        <f>IF('BH (1)'!$D$4="Lucro Real",'2030'!F64,IF('BH (1)'!$D$4="Lucro Presumido",Relatórios!F136,IF('BH (1)'!$D$4="Simples Nacional",Simp6!F21)))</f>
        <v>4520.7479999999996</v>
      </c>
      <c r="G55" s="90">
        <f>IF('BH (1)'!$D$4="Lucro Real",'2030'!G64,IF('BH (1)'!$D$4="Lucro Presumido",Relatórios!G136,IF('BH (1)'!$D$4="Simples Nacional",Simp6!G21)))</f>
        <v>0</v>
      </c>
      <c r="H55" s="90">
        <f>IF('BH (1)'!$D$4="Lucro Real",'2030'!H64,IF('BH (1)'!$D$4="Lucro Presumido",Relatórios!H136,IF('BH (1)'!$D$4="Simples Nacional",Simp6!H21)))</f>
        <v>0</v>
      </c>
      <c r="I55" s="90">
        <f>IF('BH (1)'!$D$4="Lucro Real",'2030'!I64,IF('BH (1)'!$D$4="Lucro Presumido",Relatórios!I136,IF('BH (1)'!$D$4="Simples Nacional",Simp6!I21)))</f>
        <v>4123.8719999999994</v>
      </c>
      <c r="J55" s="90">
        <f>IF('BH (1)'!$D$4="Lucro Real",'2030'!J64,IF('BH (1)'!$D$4="Lucro Presumido",Relatórios!J136,IF('BH (1)'!$D$4="Simples Nacional",Simp6!J21)))</f>
        <v>0</v>
      </c>
      <c r="K55" s="90">
        <f>IF('BH (1)'!$D$4="Lucro Real",'2030'!K64,IF('BH (1)'!$D$4="Lucro Presumido",Relatórios!K136,IF('BH (1)'!$D$4="Simples Nacional",Simp6!K21)))</f>
        <v>0</v>
      </c>
      <c r="L55" s="90">
        <f>IF('BH (1)'!$D$4="Lucro Real",'2030'!L64,IF('BH (1)'!$D$4="Lucro Presumido",Relatórios!L136,IF('BH (1)'!$D$4="Simples Nacional",Simp6!L21)))</f>
        <v>4033.308</v>
      </c>
      <c r="M55" s="90">
        <f>IF('BH (1)'!$D$4="Lucro Real",'2030'!M64,IF('BH (1)'!$D$4="Lucro Presumido",Relatórios!M136,IF('BH (1)'!$D$4="Simples Nacional",Simp6!M21)))</f>
        <v>0</v>
      </c>
      <c r="N55" s="90">
        <f>IF('BH (1)'!$D$4="Lucro Real",'2030'!N64,IF('BH (1)'!$D$4="Lucro Presumido",Relatórios!N136,IF('BH (1)'!$D$4="Simples Nacional",Simp6!N21)))</f>
        <v>0</v>
      </c>
      <c r="O55" s="90">
        <f>IF('BH (1)'!$D$4="Lucro Real",'2030'!O64,IF('BH (1)'!$D$4="Lucro Presumido",Relatórios!O136,IF('BH (1)'!$D$4="Simples Nacional",Simp6!O21)))</f>
        <v>4028.6759999999999</v>
      </c>
      <c r="P55" s="93">
        <f t="shared" si="14"/>
        <v>16706.603999999999</v>
      </c>
    </row>
    <row r="56" spans="3:16" ht="24.95" customHeight="1" x14ac:dyDescent="0.25">
      <c r="C56" s="44" t="str">
        <f>IF('BH (1)'!$D$4="Simples Nacional","","(-) Adicional")</f>
        <v>(-) Adicional</v>
      </c>
      <c r="D56" s="90">
        <f>IF('BH (1)'!$D$4="Simples Nacional","",IF('BH (1)'!$D$4="Lucro Real",'2030'!D65,IF('BH (1)'!$D$4="Lucro Presumido",Relatórios!D137)))</f>
        <v>0</v>
      </c>
      <c r="E56" s="90">
        <f>IF('BH (1)'!$D$4="Simples Nacional","",IF('BH (1)'!$D$4="Lucro Real",'2030'!E65,IF('BH (1)'!$D$4="Lucro Presumido",Relatórios!E137)))</f>
        <v>0</v>
      </c>
      <c r="F56" s="90">
        <f>IF('BH (1)'!$D$4="Simples Nacional","",IF('BH (1)'!$D$4="Lucro Real",'2030'!F65,IF('BH (1)'!$D$4="Lucro Presumido",Relatórios!F137)))</f>
        <v>0</v>
      </c>
      <c r="G56" s="90">
        <f>IF('BH (1)'!$D$4="Simples Nacional","",IF('BH (1)'!$D$4="Lucro Real",'2030'!G65,IF('BH (1)'!$D$4="Lucro Presumido",Relatórios!G137)))</f>
        <v>0</v>
      </c>
      <c r="H56" s="90">
        <f>IF('BH (1)'!$D$4="Simples Nacional","",IF('BH (1)'!$D$4="Lucro Real",'2030'!H65,IF('BH (1)'!$D$4="Lucro Presumido",Relatórios!H137)))</f>
        <v>0</v>
      </c>
      <c r="I56" s="90">
        <f>IF('BH (1)'!$D$4="Simples Nacional","",IF('BH (1)'!$D$4="Lucro Real",'2030'!I65,IF('BH (1)'!$D$4="Lucro Presumido",Relatórios!I137)))</f>
        <v>0</v>
      </c>
      <c r="J56" s="90">
        <f>IF('BH (1)'!$D$4="Simples Nacional","",IF('BH (1)'!$D$4="Lucro Real",'2030'!J65,IF('BH (1)'!$D$4="Lucro Presumido",Relatórios!J137)))</f>
        <v>0</v>
      </c>
      <c r="K56" s="90">
        <f>IF('BH (1)'!$D$4="Simples Nacional","",IF('BH (1)'!$D$4="Lucro Real",'2030'!K65,IF('BH (1)'!$D$4="Lucro Presumido",Relatórios!K137)))</f>
        <v>0</v>
      </c>
      <c r="L56" s="90">
        <f>IF('BH (1)'!$D$4="Simples Nacional","",IF('BH (1)'!$D$4="Lucro Real",'2030'!L65,IF('BH (1)'!$D$4="Lucro Presumido",Relatórios!L137)))</f>
        <v>0</v>
      </c>
      <c r="M56" s="90">
        <f>IF('BH (1)'!$D$4="Simples Nacional","",IF('BH (1)'!$D$4="Lucro Real",'2030'!M65,IF('BH (1)'!$D$4="Lucro Presumido",Relatórios!M137)))</f>
        <v>0</v>
      </c>
      <c r="N56" s="90">
        <f>IF('BH (1)'!$D$4="Simples Nacional","",IF('BH (1)'!$D$4="Lucro Real",'2030'!N65,IF('BH (1)'!$D$4="Lucro Presumido",Relatórios!N137)))</f>
        <v>0</v>
      </c>
      <c r="O56" s="90">
        <f>IF('BH (1)'!$D$4="Simples Nacional","",IF('BH (1)'!$D$4="Lucro Real",'2030'!O65,IF('BH (1)'!$D$4="Lucro Presumido",Relatórios!O137)))</f>
        <v>0</v>
      </c>
      <c r="P56" s="93">
        <f t="shared" si="14"/>
        <v>0</v>
      </c>
    </row>
    <row r="57" spans="3:16" ht="24.95" customHeight="1" x14ac:dyDescent="0.25">
      <c r="C57" s="198" t="s">
        <v>239</v>
      </c>
      <c r="D57" s="95">
        <f>IF('BH (1)'!$D$4="Lucro Real",'2030'!D66,IF('BH (1)'!$D$4="Lucro Presumido",Relatórios!D138,IF('BH (1)'!$D$4="Simples Nacional",Simp6!D20)))</f>
        <v>0</v>
      </c>
      <c r="E57" s="95">
        <f>IF('BH (1)'!$D$4="Lucro Real",'2030'!E66,IF('BH (1)'!$D$4="Lucro Presumido",Relatórios!E138,IF('BH (1)'!$D$4="Simples Nacional",Simp6!E20)))</f>
        <v>0</v>
      </c>
      <c r="F57" s="95">
        <f>IF('BH (1)'!$D$4="Lucro Real",'2030'!F66,IF('BH (1)'!$D$4="Lucro Presumido",Relatórios!F138,IF('BH (1)'!$D$4="Simples Nacional",Simp6!F20)))</f>
        <v>4068.6731999999993</v>
      </c>
      <c r="G57" s="95">
        <f>IF('BH (1)'!$D$4="Lucro Real",'2030'!G66,IF('BH (1)'!$D$4="Lucro Presumido",Relatórios!G138,IF('BH (1)'!$D$4="Simples Nacional",Simp6!G20)))</f>
        <v>0</v>
      </c>
      <c r="H57" s="95">
        <f>IF('BH (1)'!$D$4="Lucro Real",'2030'!H66,IF('BH (1)'!$D$4="Lucro Presumido",Relatórios!H138,IF('BH (1)'!$D$4="Simples Nacional",Simp6!H20)))</f>
        <v>0</v>
      </c>
      <c r="I57" s="95">
        <f>IF('BH (1)'!$D$4="Lucro Real",'2030'!I66,IF('BH (1)'!$D$4="Lucro Presumido",Relatórios!I138,IF('BH (1)'!$D$4="Simples Nacional",Simp6!I20)))</f>
        <v>3711.4848000000002</v>
      </c>
      <c r="J57" s="95">
        <f>IF('BH (1)'!$D$4="Lucro Real",'2030'!J66,IF('BH (1)'!$D$4="Lucro Presumido",Relatórios!J138,IF('BH (1)'!$D$4="Simples Nacional",Simp6!J20)))</f>
        <v>0</v>
      </c>
      <c r="K57" s="95">
        <f>IF('BH (1)'!$D$4="Lucro Real",'2030'!K66,IF('BH (1)'!$D$4="Lucro Presumido",Relatórios!K138,IF('BH (1)'!$D$4="Simples Nacional",Simp6!K20)))</f>
        <v>0</v>
      </c>
      <c r="L57" s="95">
        <f>IF('BH (1)'!$D$4="Lucro Real",'2030'!L66,IF('BH (1)'!$D$4="Lucro Presumido",Relatórios!L138,IF('BH (1)'!$D$4="Simples Nacional",Simp6!L20)))</f>
        <v>3629.9771999999998</v>
      </c>
      <c r="M57" s="95">
        <f>IF('BH (1)'!$D$4="Lucro Real",'2030'!M66,IF('BH (1)'!$D$4="Lucro Presumido",Relatórios!M138,IF('BH (1)'!$D$4="Simples Nacional",Simp6!M20)))</f>
        <v>0</v>
      </c>
      <c r="N57" s="95">
        <f>IF('BH (1)'!$D$4="Lucro Real",'2030'!N66,IF('BH (1)'!$D$4="Lucro Presumido",Relatórios!N138,IF('BH (1)'!$D$4="Simples Nacional",Simp6!N20)))</f>
        <v>0</v>
      </c>
      <c r="O57" s="95">
        <f>IF('BH (1)'!$D$4="Lucro Real",'2030'!O66,IF('BH (1)'!$D$4="Lucro Presumido",Relatórios!O138,IF('BH (1)'!$D$4="Simples Nacional",Simp6!O20)))</f>
        <v>3625.8083999999999</v>
      </c>
      <c r="P57" s="93">
        <f t="shared" si="14"/>
        <v>15035.943599999999</v>
      </c>
    </row>
    <row r="58" spans="3:16" ht="24.95" customHeight="1" x14ac:dyDescent="0.25">
      <c r="C58" s="196" t="s">
        <v>237</v>
      </c>
      <c r="D58" s="97">
        <f>D54-SUM(D55:D57)</f>
        <v>29756.087999999989</v>
      </c>
      <c r="E58" s="97">
        <f t="shared" ref="E58:O58" si="16">E54-SUM(E55:E57)</f>
        <v>12119.389900000009</v>
      </c>
      <c r="F58" s="97">
        <f t="shared" si="16"/>
        <v>20931.785600000003</v>
      </c>
      <c r="G58" s="97">
        <f t="shared" si="16"/>
        <v>19303.595200000011</v>
      </c>
      <c r="H58" s="97">
        <f t="shared" si="16"/>
        <v>20194.576500000003</v>
      </c>
      <c r="I58" s="97">
        <f t="shared" si="16"/>
        <v>-782.25579999999718</v>
      </c>
      <c r="J58" s="97">
        <f t="shared" si="16"/>
        <v>20735.751700000001</v>
      </c>
      <c r="K58" s="97">
        <f t="shared" si="16"/>
        <v>4018.8902999999991</v>
      </c>
      <c r="L58" s="97">
        <f t="shared" si="16"/>
        <v>1712.2317999999923</v>
      </c>
      <c r="M58" s="97">
        <f t="shared" si="16"/>
        <v>17154.3871</v>
      </c>
      <c r="N58" s="97">
        <f t="shared" si="16"/>
        <v>11478.7719</v>
      </c>
      <c r="O58" s="97">
        <f t="shared" si="16"/>
        <v>758.1097000000027</v>
      </c>
      <c r="P58" s="192">
        <f t="shared" si="14"/>
        <v>157381.32190000001</v>
      </c>
    </row>
    <row r="59" spans="3:16" ht="24.95" hidden="1" customHeight="1" x14ac:dyDescent="0.25"/>
    <row r="60" spans="3:16" ht="15" hidden="1" customHeight="1" x14ac:dyDescent="0.25">
      <c r="C60" s="188" t="s">
        <v>240</v>
      </c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</row>
    <row r="61" spans="3:16" ht="15" hidden="1" customHeight="1" x14ac:dyDescent="0.25">
      <c r="C61" s="112" t="s">
        <v>82</v>
      </c>
      <c r="D61" s="112" t="s">
        <v>83</v>
      </c>
      <c r="E61" s="112" t="s">
        <v>84</v>
      </c>
      <c r="F61" s="112" t="s">
        <v>85</v>
      </c>
      <c r="G61" s="112" t="s">
        <v>86</v>
      </c>
      <c r="H61" s="112" t="s">
        <v>87</v>
      </c>
      <c r="I61" s="112" t="s">
        <v>88</v>
      </c>
      <c r="J61" s="112" t="s">
        <v>89</v>
      </c>
      <c r="K61" s="112" t="s">
        <v>90</v>
      </c>
      <c r="L61" s="112" t="s">
        <v>91</v>
      </c>
      <c r="M61" s="112" t="s">
        <v>92</v>
      </c>
      <c r="N61" s="112" t="s">
        <v>93</v>
      </c>
      <c r="O61" s="112" t="s">
        <v>94</v>
      </c>
      <c r="P61" s="112" t="s">
        <v>95</v>
      </c>
    </row>
    <row r="62" spans="3:16" ht="15" hidden="1" customHeight="1" x14ac:dyDescent="0.25">
      <c r="C62" s="19" t="s">
        <v>241</v>
      </c>
      <c r="D62" s="132">
        <f>D54</f>
        <v>29756.087999999989</v>
      </c>
      <c r="E62" s="132">
        <f t="shared" ref="E62:O62" si="17">E54</f>
        <v>12119.389900000009</v>
      </c>
      <c r="F62" s="132">
        <f>F54</f>
        <v>29521.2068</v>
      </c>
      <c r="G62" s="132">
        <f t="shared" si="17"/>
        <v>19303.595200000011</v>
      </c>
      <c r="H62" s="132">
        <f t="shared" si="17"/>
        <v>20194.576500000003</v>
      </c>
      <c r="I62" s="132">
        <f t="shared" si="17"/>
        <v>7053.1010000000024</v>
      </c>
      <c r="J62" s="132">
        <f t="shared" si="17"/>
        <v>20735.751700000001</v>
      </c>
      <c r="K62" s="132">
        <f t="shared" si="17"/>
        <v>4018.8902999999991</v>
      </c>
      <c r="L62" s="132">
        <f t="shared" si="17"/>
        <v>9375.5169999999925</v>
      </c>
      <c r="M62" s="132">
        <f t="shared" si="17"/>
        <v>17154.3871</v>
      </c>
      <c r="N62" s="132">
        <f t="shared" si="17"/>
        <v>11478.7719</v>
      </c>
      <c r="O62" s="132">
        <f t="shared" si="17"/>
        <v>8412.5941000000021</v>
      </c>
      <c r="P62" s="114">
        <f>SUM(D62:O62)</f>
        <v>189123.86949999997</v>
      </c>
    </row>
    <row r="63" spans="3:16" ht="15" hidden="1" customHeight="1" x14ac:dyDescent="0.25">
      <c r="C63" s="19" t="s">
        <v>243</v>
      </c>
      <c r="D63" s="132">
        <v>0</v>
      </c>
      <c r="E63" s="132">
        <v>0</v>
      </c>
      <c r="F63" s="132">
        <f>SUM(D62:F62)</f>
        <v>71396.684699999998</v>
      </c>
      <c r="G63" s="132">
        <v>0</v>
      </c>
      <c r="H63" s="132">
        <v>0</v>
      </c>
      <c r="I63" s="132">
        <f>SUM(G62:I62)</f>
        <v>46551.272700000016</v>
      </c>
      <c r="J63" s="132">
        <v>0</v>
      </c>
      <c r="K63" s="132">
        <v>0</v>
      </c>
      <c r="L63" s="132">
        <f>SUM(J62:L62)</f>
        <v>34130.158999999992</v>
      </c>
      <c r="M63" s="132">
        <v>0</v>
      </c>
      <c r="N63" s="132">
        <v>0</v>
      </c>
      <c r="O63" s="132">
        <f>SUM(M62:O62)</f>
        <v>37045.753100000002</v>
      </c>
      <c r="P63" s="114">
        <f>SUM(D63:O63)</f>
        <v>189123.8695</v>
      </c>
    </row>
    <row r="64" spans="3:16" ht="15" hidden="1" customHeight="1" x14ac:dyDescent="0.25">
      <c r="C64" s="19" t="s">
        <v>40</v>
      </c>
      <c r="D64" s="132">
        <v>0</v>
      </c>
      <c r="E64" s="132">
        <v>0</v>
      </c>
      <c r="F64" s="132">
        <f>IF(F63&lt;0,0,F63*TabR!$E$10)</f>
        <v>10709.502704999999</v>
      </c>
      <c r="G64" s="132">
        <v>0</v>
      </c>
      <c r="H64" s="132">
        <v>0</v>
      </c>
      <c r="I64" s="132">
        <f>IF(I63&lt;0,0,I63*TabR!$E$10)</f>
        <v>6982.6909050000022</v>
      </c>
      <c r="J64" s="132">
        <v>0</v>
      </c>
      <c r="K64" s="132">
        <v>0</v>
      </c>
      <c r="L64" s="132">
        <f>IF(L63&lt;0,0,L63*TabR!$E$10)</f>
        <v>5119.5238499999987</v>
      </c>
      <c r="M64" s="132">
        <v>0</v>
      </c>
      <c r="N64" s="132">
        <v>0</v>
      </c>
      <c r="O64" s="132">
        <f>IF(O63&lt;0,0,O63*TabR!$E$10)</f>
        <v>5556.8629650000003</v>
      </c>
      <c r="P64" s="114">
        <f>SUM(D64:O64)</f>
        <v>28368.580425</v>
      </c>
    </row>
    <row r="65" spans="3:18" ht="15" hidden="1" customHeight="1" x14ac:dyDescent="0.25">
      <c r="C65" s="19" t="s">
        <v>242</v>
      </c>
      <c r="D65" s="132">
        <v>0</v>
      </c>
      <c r="E65" s="132">
        <v>0</v>
      </c>
      <c r="F65" s="132">
        <f>IF(F63=0,0,IF(F63&lt;60000,0,(F63-60000)*TabR!$E$11))</f>
        <v>1139.6684699999998</v>
      </c>
      <c r="G65" s="132">
        <v>0</v>
      </c>
      <c r="H65" s="132">
        <v>0</v>
      </c>
      <c r="I65" s="132">
        <f>IF(I63=0,0,IF(I63&lt;60000,0,(I63-60000)*TabR!$E$11))</f>
        <v>0</v>
      </c>
      <c r="J65" s="132">
        <v>0</v>
      </c>
      <c r="K65" s="132">
        <v>0</v>
      </c>
      <c r="L65" s="132">
        <f>IF(L63=0,0,IF(L63&lt;60000,0,(L63-60000)*TabR!$E$11))</f>
        <v>0</v>
      </c>
      <c r="M65" s="132">
        <v>0</v>
      </c>
      <c r="N65" s="132">
        <v>0</v>
      </c>
      <c r="O65" s="132">
        <f>IF(O63=0,0,IF(O63&lt;60000,0,(O63-60000)*TabR!$E$11))</f>
        <v>0</v>
      </c>
      <c r="P65" s="114">
        <f>SUM(D65:O65)</f>
        <v>1139.6684699999998</v>
      </c>
    </row>
    <row r="66" spans="3:18" ht="15" hidden="1" customHeight="1" x14ac:dyDescent="0.25">
      <c r="C66" s="19" t="s">
        <v>42</v>
      </c>
      <c r="D66" s="132">
        <v>0</v>
      </c>
      <c r="E66" s="132">
        <v>0</v>
      </c>
      <c r="F66" s="132">
        <f>IF(F63&lt;0,0,F63*TabR!$E$12)</f>
        <v>6425.7016229999999</v>
      </c>
      <c r="G66" s="132">
        <v>0</v>
      </c>
      <c r="H66" s="132">
        <v>0</v>
      </c>
      <c r="I66" s="132">
        <f>IF(I63&lt;0,0,I63*TabR!$E$12)</f>
        <v>4189.6145430000015</v>
      </c>
      <c r="J66" s="132">
        <v>0</v>
      </c>
      <c r="K66" s="132">
        <v>0</v>
      </c>
      <c r="L66" s="132">
        <f>IF(L63&lt;0,0,L63*TabR!$E$12)</f>
        <v>3071.7143099999994</v>
      </c>
      <c r="M66" s="132">
        <v>0</v>
      </c>
      <c r="N66" s="132">
        <v>0</v>
      </c>
      <c r="O66" s="132">
        <f>IF(O63&lt;0,0,O63*TabR!$E$12)</f>
        <v>3334.1177790000002</v>
      </c>
      <c r="P66" s="114">
        <f>SUM(D66:O66)</f>
        <v>17021.148255</v>
      </c>
    </row>
    <row r="67" spans="3:18" ht="15" hidden="1" customHeight="1" x14ac:dyDescent="0.25"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</row>
    <row r="68" spans="3:18" ht="15" hidden="1" customHeight="1" x14ac:dyDescent="0.25">
      <c r="C68" s="188" t="s">
        <v>244</v>
      </c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</row>
    <row r="69" spans="3:18" ht="15" hidden="1" customHeight="1" x14ac:dyDescent="0.25">
      <c r="C69" s="112" t="s">
        <v>82</v>
      </c>
      <c r="D69" s="112" t="s">
        <v>83</v>
      </c>
      <c r="E69" s="112" t="s">
        <v>84</v>
      </c>
      <c r="F69" s="112" t="s">
        <v>85</v>
      </c>
      <c r="G69" s="112" t="s">
        <v>86</v>
      </c>
      <c r="H69" s="112" t="s">
        <v>87</v>
      </c>
      <c r="I69" s="112" t="s">
        <v>88</v>
      </c>
      <c r="J69" s="112" t="s">
        <v>89</v>
      </c>
      <c r="K69" s="112" t="s">
        <v>90</v>
      </c>
      <c r="L69" s="112" t="s">
        <v>91</v>
      </c>
      <c r="M69" s="112" t="s">
        <v>92</v>
      </c>
      <c r="N69" s="112" t="s">
        <v>93</v>
      </c>
      <c r="O69" s="112" t="s">
        <v>94</v>
      </c>
      <c r="P69" s="112" t="s">
        <v>95</v>
      </c>
    </row>
    <row r="70" spans="3:18" ht="15" hidden="1" customHeight="1" x14ac:dyDescent="0.25">
      <c r="C70" s="19" t="s">
        <v>62</v>
      </c>
      <c r="D70" s="132">
        <f>D27</f>
        <v>134725</v>
      </c>
      <c r="E70" s="132">
        <f t="shared" ref="E70:O70" si="18">E27</f>
        <v>108391</v>
      </c>
      <c r="F70" s="132">
        <f t="shared" si="18"/>
        <v>133613</v>
      </c>
      <c r="G70" s="132">
        <f t="shared" si="18"/>
        <v>120356</v>
      </c>
      <c r="H70" s="132">
        <f t="shared" si="18"/>
        <v>119059</v>
      </c>
      <c r="I70" s="132">
        <f t="shared" si="18"/>
        <v>104241</v>
      </c>
      <c r="J70" s="132">
        <f t="shared" si="18"/>
        <v>123748</v>
      </c>
      <c r="K70" s="132">
        <f t="shared" si="18"/>
        <v>102602</v>
      </c>
      <c r="L70" s="132">
        <f t="shared" si="18"/>
        <v>109759</v>
      </c>
      <c r="M70" s="132">
        <f t="shared" si="18"/>
        <v>115659</v>
      </c>
      <c r="N70" s="132">
        <f t="shared" si="18"/>
        <v>110531</v>
      </c>
      <c r="O70" s="132">
        <f t="shared" si="18"/>
        <v>109533</v>
      </c>
      <c r="P70" s="114">
        <f>SUM(D70:O70)</f>
        <v>1392217</v>
      </c>
    </row>
    <row r="71" spans="3:18" ht="15" hidden="1" customHeight="1" x14ac:dyDescent="0.25">
      <c r="C71" s="19" t="s">
        <v>243</v>
      </c>
      <c r="D71" s="132">
        <v>0</v>
      </c>
      <c r="E71" s="132">
        <v>0</v>
      </c>
      <c r="F71" s="132">
        <f>SUM(D70:F70)</f>
        <v>376729</v>
      </c>
      <c r="G71" s="132">
        <v>0</v>
      </c>
      <c r="H71" s="132">
        <v>0</v>
      </c>
      <c r="I71" s="132">
        <f>SUM(G70:I70)</f>
        <v>343656</v>
      </c>
      <c r="J71" s="132">
        <v>0</v>
      </c>
      <c r="K71" s="132">
        <v>0</v>
      </c>
      <c r="L71" s="132">
        <f>SUM(J70:L70)</f>
        <v>336109</v>
      </c>
      <c r="M71" s="132">
        <v>0</v>
      </c>
      <c r="N71" s="132">
        <v>0</v>
      </c>
      <c r="O71" s="132">
        <f>SUM(M70:O70)</f>
        <v>335723</v>
      </c>
      <c r="P71" s="114">
        <f>SUM(D71:O71)</f>
        <v>1392217</v>
      </c>
    </row>
    <row r="72" spans="3:18" ht="15" hidden="1" customHeight="1" x14ac:dyDescent="0.25">
      <c r="C72" s="19" t="s">
        <v>40</v>
      </c>
      <c r="D72" s="132">
        <v>0</v>
      </c>
      <c r="E72" s="132">
        <v>0</v>
      </c>
      <c r="F72" s="132">
        <f>IFERROR((F71*TabP!$E$10)*TabP!$F$10,0)</f>
        <v>4520.7479999999996</v>
      </c>
      <c r="G72" s="132">
        <v>0</v>
      </c>
      <c r="H72" s="132">
        <v>0</v>
      </c>
      <c r="I72" s="132">
        <f>IFERROR((I71*TabP!$E$10)*TabP!$F$10,0)</f>
        <v>4123.8719999999994</v>
      </c>
      <c r="J72" s="132">
        <v>0</v>
      </c>
      <c r="K72" s="132">
        <v>0</v>
      </c>
      <c r="L72" s="132">
        <f>IFERROR((L71*TabP!$E$10)*TabP!$F$10,0)</f>
        <v>4033.308</v>
      </c>
      <c r="M72" s="132">
        <v>0</v>
      </c>
      <c r="N72" s="132">
        <v>0</v>
      </c>
      <c r="O72" s="132">
        <f>IFERROR((O71*TabP!$E$10)*TabP!$F$10,0)</f>
        <v>4028.6759999999999</v>
      </c>
      <c r="P72" s="114">
        <f>SUM(D72:O72)</f>
        <v>16706.603999999999</v>
      </c>
    </row>
    <row r="73" spans="3:18" ht="15" hidden="1" customHeight="1" x14ac:dyDescent="0.25">
      <c r="C73" s="19" t="s">
        <v>242</v>
      </c>
      <c r="D73" s="132">
        <v>0</v>
      </c>
      <c r="E73" s="132">
        <v>0</v>
      </c>
      <c r="F73" s="132">
        <f>IF(IFERROR(((F71*TabP!$E$10)-60000)*TabP!$F$11,0)&lt;0,0,IFERROR(((F71*TabP!$E$10)-60000)*TabP!$F$11,0))</f>
        <v>0</v>
      </c>
      <c r="G73" s="132">
        <v>0</v>
      </c>
      <c r="H73" s="132">
        <v>0</v>
      </c>
      <c r="I73" s="132">
        <f>IF(IFERROR(((I71*TabP!$E$10)-60000)*TabP!$F$11,0)&lt;0,0,IFERROR(((I71*TabP!$E$10)-60000)*TabP!$F$11,0))</f>
        <v>0</v>
      </c>
      <c r="J73" s="132">
        <v>0</v>
      </c>
      <c r="K73" s="132">
        <v>0</v>
      </c>
      <c r="L73" s="132">
        <f>IF(IFERROR(((L71*TabP!$E$10)-60000)*TabP!$F$11,0)&lt;0,0,IFERROR(((L71*TabP!$E$10)-60000)*TabP!$F$11,0))</f>
        <v>0</v>
      </c>
      <c r="M73" s="132">
        <v>0</v>
      </c>
      <c r="N73" s="132">
        <v>0</v>
      </c>
      <c r="O73" s="132">
        <f>IF(IFERROR(((O71*TabP!$E$10)-60000)*TabP!$F$11,0)&lt;0,0,IFERROR(((O71*TabP!$E$10)-60000)*TabP!$F$11,0))</f>
        <v>0</v>
      </c>
      <c r="P73" s="114">
        <f>SUM(D73:O73)</f>
        <v>0</v>
      </c>
    </row>
    <row r="74" spans="3:18" ht="15" hidden="1" customHeight="1" x14ac:dyDescent="0.25">
      <c r="C74" s="19" t="s">
        <v>42</v>
      </c>
      <c r="D74" s="132">
        <v>0</v>
      </c>
      <c r="E74" s="132">
        <v>0</v>
      </c>
      <c r="F74" s="132">
        <f>IFERROR((F71*TabP!$E$12)*TabP!$F$12,0)</f>
        <v>4068.6731999999993</v>
      </c>
      <c r="G74" s="132">
        <v>0</v>
      </c>
      <c r="H74" s="132">
        <v>0</v>
      </c>
      <c r="I74" s="132">
        <f>IFERROR((I71*TabP!$E$12)*TabP!$F$12,0)</f>
        <v>3711.4848000000002</v>
      </c>
      <c r="J74" s="132">
        <v>0</v>
      </c>
      <c r="K74" s="132">
        <v>0</v>
      </c>
      <c r="L74" s="132">
        <f>IFERROR((L71*TabP!$E$12)*TabP!$F$12,0)</f>
        <v>3629.9771999999998</v>
      </c>
      <c r="M74" s="132">
        <v>0</v>
      </c>
      <c r="N74" s="132">
        <v>0</v>
      </c>
      <c r="O74" s="132">
        <f>IFERROR((O71*TabP!$E$12)*TabP!$F$12,0)</f>
        <v>3625.8083999999999</v>
      </c>
      <c r="P74" s="114">
        <f>SUM(D74:O74)</f>
        <v>15035.943599999999</v>
      </c>
    </row>
    <row r="75" spans="3:18" ht="15" hidden="1" customHeight="1" x14ac:dyDescent="0.25"/>
    <row r="76" spans="3:18" ht="30" customHeight="1" thickBot="1" x14ac:dyDescent="0.3">
      <c r="C76" s="180" t="s">
        <v>311</v>
      </c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</row>
    <row r="77" spans="3:18" ht="21.95" customHeight="1" x14ac:dyDescent="0.25">
      <c r="C77" s="85" t="s">
        <v>82</v>
      </c>
      <c r="D77" s="55" t="s">
        <v>83</v>
      </c>
      <c r="E77" s="55" t="s">
        <v>84</v>
      </c>
      <c r="F77" s="55" t="s">
        <v>85</v>
      </c>
      <c r="G77" s="55" t="s">
        <v>86</v>
      </c>
      <c r="H77" s="55" t="s">
        <v>87</v>
      </c>
      <c r="I77" s="55" t="s">
        <v>88</v>
      </c>
      <c r="J77" s="55" t="s">
        <v>89</v>
      </c>
      <c r="K77" s="55" t="s">
        <v>90</v>
      </c>
      <c r="L77" s="55" t="s">
        <v>91</v>
      </c>
      <c r="M77" s="55" t="s">
        <v>92</v>
      </c>
      <c r="N77" s="55" t="s">
        <v>93</v>
      </c>
      <c r="O77" s="55" t="s">
        <v>94</v>
      </c>
      <c r="P77" s="56" t="s">
        <v>95</v>
      </c>
    </row>
    <row r="78" spans="3:18" ht="24.95" hidden="1" customHeight="1" x14ac:dyDescent="0.25">
      <c r="C78" s="44" t="s">
        <v>96</v>
      </c>
      <c r="D78" s="90">
        <f>'2027'!D78</f>
        <v>35095.8125</v>
      </c>
      <c r="E78" s="90">
        <f>'2027'!E78</f>
        <v>34139.15</v>
      </c>
      <c r="F78" s="90">
        <f>'2027'!F78</f>
        <v>33509.862500000003</v>
      </c>
      <c r="G78" s="90">
        <f>'2027'!G78</f>
        <v>33159.449999999997</v>
      </c>
      <c r="H78" s="90">
        <f>'2027'!H78</f>
        <v>33452.875</v>
      </c>
      <c r="I78" s="90">
        <f>'2027'!I78</f>
        <v>33507.4375</v>
      </c>
      <c r="J78" s="90">
        <f>'2027'!J78</f>
        <v>30704.137500000001</v>
      </c>
      <c r="K78" s="90">
        <f>'2027'!K78</f>
        <v>34928.487500000003</v>
      </c>
      <c r="L78" s="90">
        <f>'2027'!L78</f>
        <v>30779.3125</v>
      </c>
      <c r="M78" s="90">
        <f>'2027'!M78</f>
        <v>36525.35</v>
      </c>
      <c r="N78" s="90">
        <f>'2027'!N78</f>
        <v>33266.15</v>
      </c>
      <c r="O78" s="90">
        <f>'2027'!O78</f>
        <v>31263.1</v>
      </c>
      <c r="P78" s="93">
        <f t="shared" ref="P78:P83" si="19">SUM(D78:O78)</f>
        <v>400331.125</v>
      </c>
      <c r="Q78" s="18" t="s">
        <v>250</v>
      </c>
      <c r="R78" s="18" t="s">
        <v>251</v>
      </c>
    </row>
    <row r="79" spans="3:18" ht="24.95" customHeight="1" x14ac:dyDescent="0.25">
      <c r="C79" s="44" t="s">
        <v>249</v>
      </c>
      <c r="D79" s="90">
        <f>'2027'!D79</f>
        <v>2665.8344999999999</v>
      </c>
      <c r="E79" s="90">
        <f>'2027'!E79</f>
        <v>2593.1676000000002</v>
      </c>
      <c r="F79" s="90">
        <f>'2027'!F79</f>
        <v>2545.3677000000002</v>
      </c>
      <c r="G79" s="90">
        <f>'2027'!G79</f>
        <v>2518.7508000000003</v>
      </c>
      <c r="H79" s="90">
        <f>'2027'!H79</f>
        <v>2541.0390000000002</v>
      </c>
      <c r="I79" s="90">
        <f>'2027'!I79</f>
        <v>2545.1835000000001</v>
      </c>
      <c r="J79" s="90">
        <f>'2027'!J79</f>
        <v>2332.2483000000002</v>
      </c>
      <c r="K79" s="90">
        <f>'2027'!K79</f>
        <v>2653.1246999999998</v>
      </c>
      <c r="L79" s="90">
        <f>'2027'!L79</f>
        <v>2337.9585000000002</v>
      </c>
      <c r="M79" s="90">
        <f>'2027'!M79</f>
        <v>2774.4204</v>
      </c>
      <c r="N79" s="90">
        <f>'2027'!N79</f>
        <v>2526.8555999999999</v>
      </c>
      <c r="O79" s="90">
        <f>'2027'!O79</f>
        <v>2374.7064</v>
      </c>
      <c r="P79" s="93">
        <f>SUM(D79:O79)</f>
        <v>30408.656999999999</v>
      </c>
      <c r="Q79" s="201">
        <f>IF('BH (1)'!$D$4="Lucro Real",TabR!E13,IF('BH (1)'!$D$4="Lucro Presumido",TabP!F13,IF('BH (1)'!$D$4="Simples Nacional",TabS!$H$35)))</f>
        <v>9.2100000000000001E-2</v>
      </c>
      <c r="R79" s="201">
        <f>IF('BH (1)'!$D$4="Lucro Real",TabR!E15,IF('BH (1)'!$D$4="Lucro Presumido",TabP!F15,IF('BH (1)'!$D$4="Simples Nacional",TabS!$H$37)))</f>
        <v>0.6</v>
      </c>
    </row>
    <row r="80" spans="3:18" ht="24.95" hidden="1" customHeight="1" x14ac:dyDescent="0.25">
      <c r="C80" s="44" t="s">
        <v>135</v>
      </c>
      <c r="D80" s="90">
        <f>'2027'!D80</f>
        <v>134725</v>
      </c>
      <c r="E80" s="90">
        <f>'2027'!E80</f>
        <v>108391</v>
      </c>
      <c r="F80" s="90">
        <f>'2027'!F80</f>
        <v>133613</v>
      </c>
      <c r="G80" s="90">
        <f>'2027'!G80</f>
        <v>120356</v>
      </c>
      <c r="H80" s="90">
        <f>'2027'!H80</f>
        <v>119059</v>
      </c>
      <c r="I80" s="90">
        <f>'2027'!I80</f>
        <v>104241</v>
      </c>
      <c r="J80" s="90">
        <f>'2027'!J80</f>
        <v>123748</v>
      </c>
      <c r="K80" s="90">
        <f>'2027'!K80</f>
        <v>102602</v>
      </c>
      <c r="L80" s="90">
        <f>'2027'!L80</f>
        <v>109759</v>
      </c>
      <c r="M80" s="90">
        <f>'2027'!M80</f>
        <v>115659</v>
      </c>
      <c r="N80" s="90">
        <f>'2027'!N80</f>
        <v>110531</v>
      </c>
      <c r="O80" s="90">
        <f>'2027'!O80</f>
        <v>109533</v>
      </c>
      <c r="P80" s="93">
        <f>SUM(D80:O80)</f>
        <v>1392217</v>
      </c>
    </row>
    <row r="81" spans="3:18" ht="24.95" customHeight="1" x14ac:dyDescent="0.25">
      <c r="C81" s="198" t="s">
        <v>252</v>
      </c>
      <c r="D81" s="99">
        <f>'2027'!D81</f>
        <v>12408.172500000001</v>
      </c>
      <c r="E81" s="99">
        <f>'2027'!E81</f>
        <v>9982.8111000000008</v>
      </c>
      <c r="F81" s="99">
        <f>'2027'!F81</f>
        <v>12305.757299999999</v>
      </c>
      <c r="G81" s="99">
        <f>'2027'!G81</f>
        <v>11084.7876</v>
      </c>
      <c r="H81" s="99">
        <f>'2027'!H81</f>
        <v>10965.3339</v>
      </c>
      <c r="I81" s="99">
        <f>'2027'!I81</f>
        <v>9600.5961000000007</v>
      </c>
      <c r="J81" s="99">
        <f>'2027'!J81</f>
        <v>11397.1908</v>
      </c>
      <c r="K81" s="99">
        <f>'2027'!K81</f>
        <v>9449.6442000000006</v>
      </c>
      <c r="L81" s="99">
        <f>'2027'!L81</f>
        <v>10108.803900000001</v>
      </c>
      <c r="M81" s="99">
        <f>'2027'!M81</f>
        <v>10652.1939</v>
      </c>
      <c r="N81" s="99">
        <f>'2027'!N81</f>
        <v>10179.9051</v>
      </c>
      <c r="O81" s="100">
        <f>'2027'!O81</f>
        <v>10087.989299999999</v>
      </c>
      <c r="P81" s="93">
        <f>SUM(D81:O81)</f>
        <v>128223.18569999999</v>
      </c>
    </row>
    <row r="82" spans="3:18" ht="24.95" hidden="1" customHeight="1" x14ac:dyDescent="0.25">
      <c r="C82" s="228" t="s">
        <v>207</v>
      </c>
      <c r="D82" s="90">
        <f>'2027'!D82</f>
        <v>-9742.3379999999997</v>
      </c>
      <c r="E82" s="90">
        <f>'2027'!E82</f>
        <v>-7389.6435000000001</v>
      </c>
      <c r="F82" s="90">
        <f>'2027'!F82</f>
        <v>-9760.3895999999986</v>
      </c>
      <c r="G82" s="90">
        <f>'2027'!G82</f>
        <v>-8566.0367999999999</v>
      </c>
      <c r="H82" s="90">
        <f>'2027'!H82</f>
        <v>-8424.294899999999</v>
      </c>
      <c r="I82" s="90">
        <f>'2027'!I82</f>
        <v>-7055.4126000000006</v>
      </c>
      <c r="J82" s="90">
        <f>'2027'!J82</f>
        <v>-9064.942500000001</v>
      </c>
      <c r="K82" s="90">
        <f>'2027'!K82</f>
        <v>-6796.5195000000003</v>
      </c>
      <c r="L82" s="90">
        <f>'2027'!L82</f>
        <v>-7770.8454000000002</v>
      </c>
      <c r="M82" s="90">
        <f>'2027'!M82</f>
        <v>-7877.7735000000002</v>
      </c>
      <c r="N82" s="90">
        <f>'2027'!N82</f>
        <v>-7653.0495000000001</v>
      </c>
      <c r="O82" s="90">
        <f>'2027'!O82</f>
        <v>-7713.2828999999992</v>
      </c>
      <c r="P82" s="230">
        <f t="shared" si="19"/>
        <v>-97814.528699999995</v>
      </c>
    </row>
    <row r="83" spans="3:18" ht="24.95" customHeight="1" x14ac:dyDescent="0.25">
      <c r="C83" s="199" t="s">
        <v>321</v>
      </c>
      <c r="D83" s="202">
        <f>'2027'!D83</f>
        <v>9742.3379999999997</v>
      </c>
      <c r="E83" s="202">
        <f>'2027'!E83</f>
        <v>7389.6435000000001</v>
      </c>
      <c r="F83" s="202">
        <f>'2027'!F83</f>
        <v>9760.3895999999986</v>
      </c>
      <c r="G83" s="202">
        <f>'2027'!G83</f>
        <v>8566.0367999999999</v>
      </c>
      <c r="H83" s="202">
        <f>'2027'!H83</f>
        <v>8424.294899999999</v>
      </c>
      <c r="I83" s="202">
        <f>'2027'!I83</f>
        <v>7055.4126000000006</v>
      </c>
      <c r="J83" s="202">
        <f>'2027'!J83</f>
        <v>9064.942500000001</v>
      </c>
      <c r="K83" s="202">
        <f>'2027'!K83</f>
        <v>6796.5195000000003</v>
      </c>
      <c r="L83" s="202">
        <f>'2027'!L83</f>
        <v>7770.8454000000002</v>
      </c>
      <c r="M83" s="202">
        <f>'2027'!M83</f>
        <v>7877.7735000000002</v>
      </c>
      <c r="N83" s="202">
        <f>'2027'!N83</f>
        <v>7653.0495000000001</v>
      </c>
      <c r="O83" s="202">
        <f>'2027'!O83</f>
        <v>7713.2828999999992</v>
      </c>
      <c r="P83" s="93">
        <f t="shared" si="19"/>
        <v>97814.528699999995</v>
      </c>
    </row>
    <row r="84" spans="3:18" ht="24.95" hidden="1" customHeight="1" x14ac:dyDescent="0.25"/>
    <row r="85" spans="3:18" ht="30" customHeight="1" thickBot="1" x14ac:dyDescent="0.3">
      <c r="C85" s="288" t="s">
        <v>312</v>
      </c>
      <c r="D85" s="288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231"/>
    </row>
    <row r="86" spans="3:18" ht="21.95" customHeight="1" x14ac:dyDescent="0.25">
      <c r="C86" s="85" t="s">
        <v>82</v>
      </c>
      <c r="D86" s="55" t="s">
        <v>83</v>
      </c>
      <c r="E86" s="55" t="s">
        <v>84</v>
      </c>
      <c r="F86" s="55" t="s">
        <v>85</v>
      </c>
      <c r="G86" s="55" t="s">
        <v>86</v>
      </c>
      <c r="H86" s="55" t="s">
        <v>87</v>
      </c>
      <c r="I86" s="55" t="s">
        <v>88</v>
      </c>
      <c r="J86" s="55" t="s">
        <v>89</v>
      </c>
      <c r="K86" s="55" t="s">
        <v>90</v>
      </c>
      <c r="L86" s="55" t="s">
        <v>91</v>
      </c>
      <c r="M86" s="55" t="s">
        <v>92</v>
      </c>
      <c r="N86" s="55" t="s">
        <v>93</v>
      </c>
      <c r="O86" s="55" t="s">
        <v>94</v>
      </c>
      <c r="P86" s="56" t="s">
        <v>95</v>
      </c>
      <c r="Q86" s="18" t="s">
        <v>251</v>
      </c>
      <c r="R86" s="18" t="s">
        <v>264</v>
      </c>
    </row>
    <row r="87" spans="3:18" ht="24.95" customHeight="1" x14ac:dyDescent="0.25">
      <c r="C87" s="44" t="s">
        <v>316</v>
      </c>
      <c r="D87" s="90">
        <f>IF('BH (1)'!$D$4="Simples Nacional",IF('BH (1)'!$C$15=1,Simp6!D16,Simp6!D16-(Simp6!D16*$R$87)),'Fat6'!D13-('Fat6'!D13*$R$87))</f>
        <v>12933.6</v>
      </c>
      <c r="E87" s="90">
        <f>IF('BH (1)'!$D$4="Simples Nacional",IF('BH (1)'!$C$15=1,Simp6!E16,Simp6!E16-(Simp6!E16*$R$87)),'Fat6'!E13-('Fat6'!E13*$R$87))</f>
        <v>10405.536</v>
      </c>
      <c r="F87" s="90">
        <f>IF('BH (1)'!$D$4="Simples Nacional",IF('BH (1)'!$C$15=1,Simp6!F16,Simp6!F16-(Simp6!F16*$R$87)),'Fat6'!F13-('Fat6'!F13*$R$87))</f>
        <v>12826.848</v>
      </c>
      <c r="G87" s="90">
        <f>IF('BH (1)'!$D$4="Simples Nacional",IF('BH (1)'!$C$15=1,Simp6!G16,Simp6!G16-(Simp6!G16*$R$87)),'Fat6'!G13-('Fat6'!G13*$R$87))</f>
        <v>11554.175999999999</v>
      </c>
      <c r="H87" s="90">
        <f>IF('BH (1)'!$D$4="Simples Nacional",IF('BH (1)'!$C$15=1,Simp6!H16,Simp6!H16-(Simp6!H16*$R$87)),'Fat6'!H13-('Fat6'!H13*$R$87))</f>
        <v>11429.664000000001</v>
      </c>
      <c r="I87" s="90">
        <f>IF('BH (1)'!$D$4="Simples Nacional",IF('BH (1)'!$C$15=1,Simp6!I16,Simp6!I16-(Simp6!I16*$R$87)),'Fat6'!I13-('Fat6'!I13*$R$87))</f>
        <v>10007.136</v>
      </c>
      <c r="J87" s="90">
        <f>IF('BH (1)'!$D$4="Simples Nacional",IF('BH (1)'!$C$15=1,Simp6!J16,Simp6!J16-(Simp6!J16*$R$87)),'Fat6'!J13-('Fat6'!J13*$R$87))</f>
        <v>11879.808000000001</v>
      </c>
      <c r="K87" s="90">
        <f>IF('BH (1)'!$D$4="Simples Nacional",IF('BH (1)'!$C$15=1,Simp6!K16,Simp6!K16-(Simp6!K16*$R$87)),'Fat6'!K13-('Fat6'!K13*$R$87))</f>
        <v>9849.7920000000013</v>
      </c>
      <c r="L87" s="90">
        <f>IF('BH (1)'!$D$4="Simples Nacional",IF('BH (1)'!$C$15=1,Simp6!L16,Simp6!L16-(Simp6!L16*$R$87)),'Fat6'!L13-('Fat6'!L13*$R$87))</f>
        <v>10536.864000000001</v>
      </c>
      <c r="M87" s="90">
        <f>IF('BH (1)'!$D$4="Simples Nacional",IF('BH (1)'!$C$15=1,Simp6!M16,Simp6!M16-(Simp6!M16*$R$87)),'Fat6'!M13-('Fat6'!M13*$R$87))</f>
        <v>11103.264000000001</v>
      </c>
      <c r="N87" s="90">
        <f>IF('BH (1)'!$D$4="Simples Nacional",IF('BH (1)'!$C$15=1,Simp6!N16,Simp6!N16-(Simp6!N16*$R$87)),'Fat6'!N13-('Fat6'!N13*$R$87))</f>
        <v>10610.976000000001</v>
      </c>
      <c r="O87" s="90">
        <f>IF('BH (1)'!$D$4="Simples Nacional",IF('BH (1)'!$C$15=1,Simp6!O16,Simp6!O16-(Simp6!O16*$R$87)),'Fat6'!O13-('Fat6'!O13*$R$87))</f>
        <v>10515.168</v>
      </c>
      <c r="P87" s="93">
        <f>SUM(D87:O87)</f>
        <v>133652.83199999999</v>
      </c>
      <c r="Q87" s="203">
        <f>TransR!P9</f>
        <v>0.8</v>
      </c>
      <c r="R87" s="203">
        <f>100%-Q87</f>
        <v>0.19999999999999996</v>
      </c>
    </row>
    <row r="88" spans="3:18" ht="24.95" customHeight="1" x14ac:dyDescent="0.25">
      <c r="C88" s="44" t="s">
        <v>317</v>
      </c>
      <c r="D88" s="90">
        <f>IF('BH (1)'!$D$4="Simples Nacional",IF('BH (1)'!$C$15=1,Simp6!D18,Simp6!D18-(Simp6!D18*$R$87)),'Fat6'!D15-('Fat6'!D15*$R$87))</f>
        <v>0</v>
      </c>
      <c r="E88" s="90">
        <f>IF('BH (1)'!$D$4="Simples Nacional",IF('BH (1)'!$C$15=1,Simp6!E18,Simp6!E18-(Simp6!E18*$R$87)),'Fat6'!E15-('Fat6'!E15*$R$87))</f>
        <v>0</v>
      </c>
      <c r="F88" s="90">
        <f>IF('BH (1)'!$D$4="Simples Nacional",IF('BH (1)'!$C$15=1,Simp6!F18,Simp6!F18-(Simp6!F18*$R$87)),'Fat6'!F15-('Fat6'!F15*$R$87))</f>
        <v>0</v>
      </c>
      <c r="G88" s="90">
        <f>IF('BH (1)'!$D$4="Simples Nacional",IF('BH (1)'!$C$15=1,Simp6!G18,Simp6!G18-(Simp6!G18*$R$87)),'Fat6'!G15-('Fat6'!G15*$R$87))</f>
        <v>0</v>
      </c>
      <c r="H88" s="90">
        <f>IF('BH (1)'!$D$4="Simples Nacional",IF('BH (1)'!$C$15=1,Simp6!H18,Simp6!H18-(Simp6!H18*$R$87)),'Fat6'!H15-('Fat6'!H15*$R$87))</f>
        <v>0</v>
      </c>
      <c r="I88" s="90">
        <f>IF('BH (1)'!$D$4="Simples Nacional",IF('BH (1)'!$C$15=1,Simp6!I18,Simp6!I18-(Simp6!I18*$R$87)),'Fat6'!I15-('Fat6'!I15*$R$87))</f>
        <v>0</v>
      </c>
      <c r="J88" s="90">
        <f>IF('BH (1)'!$D$4="Simples Nacional",IF('BH (1)'!$C$15=1,Simp6!J18,Simp6!J18-(Simp6!J18*$R$87)),'Fat6'!J15-('Fat6'!J15*$R$87))</f>
        <v>0</v>
      </c>
      <c r="K88" s="90">
        <f>IF('BH (1)'!$D$4="Simples Nacional",IF('BH (1)'!$C$15=1,Simp6!K18,Simp6!K18-(Simp6!K18*$R$87)),'Fat6'!K15-('Fat6'!K15*$R$87))</f>
        <v>0</v>
      </c>
      <c r="L88" s="90">
        <f>IF('BH (1)'!$D$4="Simples Nacional",IF('BH (1)'!$C$15=1,Simp6!L18,Simp6!L18-(Simp6!L18*$R$87)),'Fat6'!L15-('Fat6'!L15*$R$87))</f>
        <v>0</v>
      </c>
      <c r="M88" s="90">
        <f>IF('BH (1)'!$D$4="Simples Nacional",IF('BH (1)'!$C$15=1,Simp6!M18,Simp6!M18-(Simp6!M18*$R$87)),'Fat6'!M15-('Fat6'!M15*$R$87))</f>
        <v>0</v>
      </c>
      <c r="N88" s="90">
        <f>IF('BH (1)'!$D$4="Simples Nacional",IF('BH (1)'!$C$15=1,Simp6!N18,Simp6!N18-(Simp6!N18*$R$87)),'Fat6'!N15-('Fat6'!N15*$R$87))</f>
        <v>0</v>
      </c>
      <c r="O88" s="90">
        <f>IF('BH (1)'!$D$4="Simples Nacional",IF('BH (1)'!$C$15=1,Simp6!O18,Simp6!O18-(Simp6!O18*$R$87)),'Fat6'!O15-('Fat6'!O15*$R$87))</f>
        <v>0</v>
      </c>
      <c r="P88" s="93">
        <f>SUM(D88:O88)</f>
        <v>0</v>
      </c>
    </row>
    <row r="89" spans="3:18" ht="24.95" customHeight="1" x14ac:dyDescent="0.25">
      <c r="C89" s="44" t="s">
        <v>318</v>
      </c>
      <c r="D89" s="90">
        <f>IF('BH (1)'!$D$4="Simples Nacional",0,Lançamentos!D12-(Lançamentos!D12*$R$87))</f>
        <v>3369.1979999999999</v>
      </c>
      <c r="E89" s="90">
        <f>IF('BH (1)'!$D$4="Simples Nacional",0,Lançamentos!E12-(Lançamentos!E12*$R$87))</f>
        <v>3277.3584000000005</v>
      </c>
      <c r="F89" s="90">
        <f>IF('BH (1)'!$D$4="Simples Nacional",0,Lançamentos!F12-(Lançamentos!F12*$R$87))</f>
        <v>3216.9468000000002</v>
      </c>
      <c r="G89" s="90">
        <f>IF('BH (1)'!$D$4="Simples Nacional",0,Lançamentos!G12-(Lançamentos!G12*$R$87))</f>
        <v>3183.3071999999997</v>
      </c>
      <c r="H89" s="90">
        <f>IF('BH (1)'!$D$4="Simples Nacional",0,Lançamentos!H12-(Lançamentos!H12*$R$87))</f>
        <v>3211.4760000000001</v>
      </c>
      <c r="I89" s="90">
        <f>IF('BH (1)'!$D$4="Simples Nacional",0,Lançamentos!I12-(Lançamentos!I12*$R$87))</f>
        <v>3216.7139999999999</v>
      </c>
      <c r="J89" s="90">
        <f>IF('BH (1)'!$D$4="Simples Nacional",0,Lançamentos!J12-(Lançamentos!J12*$R$87))</f>
        <v>2947.5972000000002</v>
      </c>
      <c r="K89" s="90">
        <f>IF('BH (1)'!$D$4="Simples Nacional",0,Lançamentos!K12-(Lançamentos!K12*$R$87))</f>
        <v>3353.1347999999998</v>
      </c>
      <c r="L89" s="90">
        <f>IF('BH (1)'!$D$4="Simples Nacional",0,Lançamentos!L12-(Lançamentos!L12*$R$87))</f>
        <v>2954.8140000000003</v>
      </c>
      <c r="M89" s="90">
        <f>IF('BH (1)'!$D$4="Simples Nacional",0,Lançamentos!M12-(Lançamentos!M12*$R$87))</f>
        <v>3506.4335999999998</v>
      </c>
      <c r="N89" s="90">
        <f>IF('BH (1)'!$D$4="Simples Nacional",0,Lançamentos!N12-(Lançamentos!N12*$R$87))</f>
        <v>3193.5504000000001</v>
      </c>
      <c r="O89" s="90">
        <f>IF('BH (1)'!$D$4="Simples Nacional",0,Lançamentos!O12-(Lançamentos!O12*$R$87))</f>
        <v>3001.2575999999999</v>
      </c>
      <c r="P89" s="93">
        <f t="shared" ref="P89:P94" si="20">SUM(D89:O89)</f>
        <v>38431.788</v>
      </c>
    </row>
    <row r="90" spans="3:18" ht="24.95" customHeight="1" x14ac:dyDescent="0.25">
      <c r="C90" s="198" t="s">
        <v>319</v>
      </c>
      <c r="D90" s="99">
        <f>IF('BH (1)'!$D$4="Simples Nacional",0,Lançamentos!D14-(Lançamentos!D14*$R$87))</f>
        <v>0</v>
      </c>
      <c r="E90" s="99">
        <f>IF('BH (1)'!$D$4="Simples Nacional",0,Lançamentos!E14-(Lançamentos!E14*$R$87))</f>
        <v>0</v>
      </c>
      <c r="F90" s="99">
        <f>IF('BH (1)'!$D$4="Simples Nacional",0,Lançamentos!F14-(Lançamentos!F14*$R$87))</f>
        <v>0</v>
      </c>
      <c r="G90" s="99">
        <f>IF('BH (1)'!$D$4="Simples Nacional",0,Lançamentos!G14-(Lançamentos!G14*$R$87))</f>
        <v>0</v>
      </c>
      <c r="H90" s="99">
        <f>IF('BH (1)'!$D$4="Simples Nacional",0,Lançamentos!H14-(Lançamentos!H14*$R$87))</f>
        <v>0</v>
      </c>
      <c r="I90" s="99">
        <f>IF('BH (1)'!$D$4="Simples Nacional",0,Lançamentos!I14-(Lançamentos!I14*$R$87))</f>
        <v>0</v>
      </c>
      <c r="J90" s="99">
        <f>IF('BH (1)'!$D$4="Simples Nacional",0,Lançamentos!J14-(Lançamentos!J14*$R$87))</f>
        <v>0</v>
      </c>
      <c r="K90" s="99">
        <f>IF('BH (1)'!$D$4="Simples Nacional",0,Lançamentos!K14-(Lançamentos!K14*$R$87))</f>
        <v>0</v>
      </c>
      <c r="L90" s="99">
        <f>IF('BH (1)'!$D$4="Simples Nacional",0,Lançamentos!L14-(Lançamentos!L14*$R$87))</f>
        <v>0</v>
      </c>
      <c r="M90" s="99">
        <f>IF('BH (1)'!$D$4="Simples Nacional",0,Lançamentos!M14-(Lançamentos!M14*$R$87))</f>
        <v>0</v>
      </c>
      <c r="N90" s="99">
        <f>IF('BH (1)'!$D$4="Simples Nacional",0,Lançamentos!N14-(Lançamentos!N14*$R$87))</f>
        <v>0</v>
      </c>
      <c r="O90" s="100">
        <f>IF('BH (1)'!$D$4="Simples Nacional",0,Lançamentos!O14-(Lançamentos!O14*$R$87))</f>
        <v>0</v>
      </c>
      <c r="P90" s="93">
        <f t="shared" si="20"/>
        <v>0</v>
      </c>
    </row>
    <row r="91" spans="3:18" ht="24.95" hidden="1" customHeight="1" x14ac:dyDescent="0.25">
      <c r="C91" s="43" t="s">
        <v>265</v>
      </c>
      <c r="D91" s="90">
        <f>IFERROR(D89-D87,0)</f>
        <v>-9564.402</v>
      </c>
      <c r="E91" s="90">
        <f>IFERROR(IF(D91&lt;0,E89-E87,D91+E89-E87),0)</f>
        <v>-7128.1775999999991</v>
      </c>
      <c r="F91" s="90">
        <f t="shared" ref="F91:O92" si="21">IFERROR(IF(E91&lt;0,F89-F87,E91+F89-F87),0)</f>
        <v>-9609.9012000000002</v>
      </c>
      <c r="G91" s="90">
        <f t="shared" si="21"/>
        <v>-8370.8688000000002</v>
      </c>
      <c r="H91" s="90">
        <f t="shared" si="21"/>
        <v>-8218.1880000000001</v>
      </c>
      <c r="I91" s="90">
        <f t="shared" si="21"/>
        <v>-6790.4220000000005</v>
      </c>
      <c r="J91" s="90">
        <f t="shared" si="21"/>
        <v>-8932.2108000000007</v>
      </c>
      <c r="K91" s="90">
        <f t="shared" si="21"/>
        <v>-6496.6572000000015</v>
      </c>
      <c r="L91" s="90">
        <f t="shared" si="21"/>
        <v>-7582.0500000000011</v>
      </c>
      <c r="M91" s="90">
        <f t="shared" si="21"/>
        <v>-7596.8304000000007</v>
      </c>
      <c r="N91" s="90">
        <f t="shared" si="21"/>
        <v>-7417.4256000000005</v>
      </c>
      <c r="O91" s="90">
        <f t="shared" si="21"/>
        <v>-7513.9103999999998</v>
      </c>
      <c r="P91" s="93">
        <f t="shared" si="20"/>
        <v>-95221.044000000009</v>
      </c>
    </row>
    <row r="92" spans="3:18" ht="24.95" hidden="1" customHeight="1" x14ac:dyDescent="0.25">
      <c r="C92" s="198" t="s">
        <v>266</v>
      </c>
      <c r="D92" s="95">
        <f>IFERROR(D90-D88,0)</f>
        <v>0</v>
      </c>
      <c r="E92" s="95">
        <f>IFERROR(IF(D92&lt;0,E90-E88,D92+E90-E88),0)</f>
        <v>0</v>
      </c>
      <c r="F92" s="95">
        <f t="shared" si="21"/>
        <v>0</v>
      </c>
      <c r="G92" s="95">
        <f t="shared" si="21"/>
        <v>0</v>
      </c>
      <c r="H92" s="95">
        <f t="shared" si="21"/>
        <v>0</v>
      </c>
      <c r="I92" s="95">
        <f t="shared" si="21"/>
        <v>0</v>
      </c>
      <c r="J92" s="95">
        <f t="shared" si="21"/>
        <v>0</v>
      </c>
      <c r="K92" s="95">
        <f t="shared" si="21"/>
        <v>0</v>
      </c>
      <c r="L92" s="95">
        <f t="shared" si="21"/>
        <v>0</v>
      </c>
      <c r="M92" s="95">
        <f t="shared" si="21"/>
        <v>0</v>
      </c>
      <c r="N92" s="95">
        <f t="shared" si="21"/>
        <v>0</v>
      </c>
      <c r="O92" s="95">
        <f t="shared" si="21"/>
        <v>0</v>
      </c>
      <c r="P92" s="93">
        <f t="shared" si="20"/>
        <v>0</v>
      </c>
    </row>
    <row r="93" spans="3:18" ht="24.95" customHeight="1" x14ac:dyDescent="0.25">
      <c r="C93" s="232" t="s">
        <v>267</v>
      </c>
      <c r="D93" s="233">
        <f>IF(D91&lt;0,D91*-1,0)</f>
        <v>9564.402</v>
      </c>
      <c r="E93" s="233">
        <f t="shared" ref="E93:O94" si="22">IF(E91&lt;0,E91*-1,0)</f>
        <v>7128.1775999999991</v>
      </c>
      <c r="F93" s="233">
        <f t="shared" si="22"/>
        <v>9609.9012000000002</v>
      </c>
      <c r="G93" s="233">
        <f t="shared" si="22"/>
        <v>8370.8688000000002</v>
      </c>
      <c r="H93" s="233">
        <f t="shared" si="22"/>
        <v>8218.1880000000001</v>
      </c>
      <c r="I93" s="233">
        <f t="shared" si="22"/>
        <v>6790.4220000000005</v>
      </c>
      <c r="J93" s="233">
        <f t="shared" si="22"/>
        <v>8932.2108000000007</v>
      </c>
      <c r="K93" s="233">
        <f t="shared" si="22"/>
        <v>6496.6572000000015</v>
      </c>
      <c r="L93" s="233">
        <f t="shared" si="22"/>
        <v>7582.0500000000011</v>
      </c>
      <c r="M93" s="233">
        <f t="shared" si="22"/>
        <v>7596.8304000000007</v>
      </c>
      <c r="N93" s="233">
        <f t="shared" si="22"/>
        <v>7417.4256000000005</v>
      </c>
      <c r="O93" s="233">
        <f t="shared" si="22"/>
        <v>7513.9103999999998</v>
      </c>
      <c r="P93" s="191">
        <f t="shared" si="20"/>
        <v>95221.044000000009</v>
      </c>
    </row>
    <row r="94" spans="3:18" ht="24.95" customHeight="1" x14ac:dyDescent="0.25">
      <c r="C94" s="196" t="s">
        <v>268</v>
      </c>
      <c r="D94" s="97">
        <f>IF(D92&lt;0,D92*-1,0)</f>
        <v>0</v>
      </c>
      <c r="E94" s="97">
        <f t="shared" si="22"/>
        <v>0</v>
      </c>
      <c r="F94" s="97">
        <f t="shared" si="22"/>
        <v>0</v>
      </c>
      <c r="G94" s="97">
        <f t="shared" si="22"/>
        <v>0</v>
      </c>
      <c r="H94" s="97">
        <f t="shared" si="22"/>
        <v>0</v>
      </c>
      <c r="I94" s="97">
        <f t="shared" si="22"/>
        <v>0</v>
      </c>
      <c r="J94" s="97">
        <f t="shared" si="22"/>
        <v>0</v>
      </c>
      <c r="K94" s="97">
        <f t="shared" si="22"/>
        <v>0</v>
      </c>
      <c r="L94" s="97">
        <f t="shared" si="22"/>
        <v>0</v>
      </c>
      <c r="M94" s="97">
        <f t="shared" si="22"/>
        <v>0</v>
      </c>
      <c r="N94" s="97">
        <f t="shared" si="22"/>
        <v>0</v>
      </c>
      <c r="O94" s="97">
        <f t="shared" si="22"/>
        <v>0</v>
      </c>
      <c r="P94" s="98">
        <f t="shared" si="20"/>
        <v>0</v>
      </c>
    </row>
    <row r="95" spans="3:18" ht="24.95" hidden="1" customHeight="1" x14ac:dyDescent="0.25"/>
    <row r="96" spans="3:18" ht="30" customHeight="1" thickBot="1" x14ac:dyDescent="0.3">
      <c r="C96" s="288" t="s">
        <v>313</v>
      </c>
      <c r="D96" s="288"/>
    </row>
    <row r="97" spans="3:18" ht="21.95" customHeight="1" x14ac:dyDescent="0.25">
      <c r="C97" s="85" t="s">
        <v>82</v>
      </c>
      <c r="D97" s="55" t="s">
        <v>83</v>
      </c>
      <c r="E97" s="55" t="s">
        <v>84</v>
      </c>
      <c r="F97" s="55" t="s">
        <v>85</v>
      </c>
      <c r="G97" s="55" t="s">
        <v>86</v>
      </c>
      <c r="H97" s="55" t="s">
        <v>87</v>
      </c>
      <c r="I97" s="55" t="s">
        <v>88</v>
      </c>
      <c r="J97" s="55" t="s">
        <v>89</v>
      </c>
      <c r="K97" s="55" t="s">
        <v>90</v>
      </c>
      <c r="L97" s="55" t="s">
        <v>91</v>
      </c>
      <c r="M97" s="55" t="s">
        <v>92</v>
      </c>
      <c r="N97" s="55" t="s">
        <v>93</v>
      </c>
      <c r="O97" s="55" t="s">
        <v>94</v>
      </c>
      <c r="P97" s="56" t="s">
        <v>95</v>
      </c>
      <c r="Q97" s="18" t="s">
        <v>269</v>
      </c>
      <c r="R97" s="18" t="s">
        <v>251</v>
      </c>
    </row>
    <row r="98" spans="3:18" ht="24.95" customHeight="1" x14ac:dyDescent="0.25">
      <c r="C98" s="44" t="s">
        <v>314</v>
      </c>
      <c r="D98" s="90">
        <f>IF('BH (1)'!$D$4="Simples Nacional",IF('BH (1)'!$C$15=1,0,'Ref4'!D12*$R$101),'Ref4'!D12*$R$101)</f>
        <v>5038.7149999999992</v>
      </c>
      <c r="E98" s="90">
        <f>IF('BH (1)'!$D$4="Simples Nacional",IF('BH (1)'!$C$15=1,0,'Ref4'!E12*$R$101),'Ref4'!E12*$R$101)</f>
        <v>4053.8233999999989</v>
      </c>
      <c r="F98" s="90">
        <f>IF('BH (1)'!$D$4="Simples Nacional",IF('BH (1)'!$C$15=1,0,'Ref4'!F12*$R$101),'Ref4'!F12*$R$101)</f>
        <v>4997.1261999999988</v>
      </c>
      <c r="G98" s="90">
        <f>IF('BH (1)'!$D$4="Simples Nacional",IF('BH (1)'!$C$15=1,0,'Ref4'!G12*$R$101),'Ref4'!G12*$R$101)</f>
        <v>4501.3143999999993</v>
      </c>
      <c r="H98" s="90">
        <f>IF('BH (1)'!$D$4="Simples Nacional",IF('BH (1)'!$C$15=1,0,'Ref4'!H12*$R$101),'Ref4'!H12*$R$101)</f>
        <v>4452.806599999999</v>
      </c>
      <c r="I98" s="90">
        <f>IF('BH (1)'!$D$4="Simples Nacional",IF('BH (1)'!$C$15=1,0,'Ref4'!I12*$R$101),'Ref4'!I12*$R$101)</f>
        <v>3898.6133999999988</v>
      </c>
      <c r="J98" s="90">
        <f>IF('BH (1)'!$D$4="Simples Nacional",IF('BH (1)'!$C$15=1,0,'Ref4'!J12*$R$101),'Ref4'!J12*$R$101)</f>
        <v>4628.1751999999988</v>
      </c>
      <c r="K98" s="90">
        <f>IF('BH (1)'!$D$4="Simples Nacional",IF('BH (1)'!$C$15=1,0,'Ref4'!K12*$R$101),'Ref4'!K12*$R$101)</f>
        <v>3837.3147999999992</v>
      </c>
      <c r="L98" s="90">
        <f>IF('BH (1)'!$D$4="Simples Nacional",IF('BH (1)'!$C$15=1,0,'Ref4'!L12*$R$101),'Ref4'!L12*$R$101)</f>
        <v>4104.9865999999993</v>
      </c>
      <c r="M98" s="90">
        <f>IF('BH (1)'!$D$4="Simples Nacional",IF('BH (1)'!$C$15=1,0,'Ref4'!M12*$R$101),'Ref4'!M12*$R$101)</f>
        <v>4325.6465999999991</v>
      </c>
      <c r="N98" s="90">
        <f>IF('BH (1)'!$D$4="Simples Nacional",IF('BH (1)'!$C$15=1,0,'Ref4'!N12*$R$101),'Ref4'!N12*$R$101)</f>
        <v>4133.8593999999985</v>
      </c>
      <c r="O98" s="90">
        <f>IF('BH (1)'!$D$4="Simples Nacional",IF('BH (1)'!$C$15=1,0,'Ref4'!O12*$R$101),'Ref4'!O12*$R$101)</f>
        <v>4096.5341999999991</v>
      </c>
      <c r="P98" s="93">
        <f>SUM(D98:O98)</f>
        <v>52068.915799999988</v>
      </c>
      <c r="Q98" s="203">
        <f>IF('BH (1)'!$D$4="Lucro Real",TabR!E14,IF('BH (1)'!$D$4="Lucro Presumido",TabP!F14,IF('BH (1)'!$D$4="Simples Nacional",TabS!$H$36)))</f>
        <v>0.187</v>
      </c>
      <c r="R98" s="203">
        <f>IF('BH (1)'!$D$4="Lucro Real",TabR!E16,IF('BH (1)'!$D$4="Lucro Presumido",TabP!F16,IF('BH (1)'!$D$4="Simples Nacional",TabS!$H$38)))</f>
        <v>0.6</v>
      </c>
    </row>
    <row r="99" spans="3:18" ht="24.95" customHeight="1" x14ac:dyDescent="0.25">
      <c r="C99" s="198" t="s">
        <v>315</v>
      </c>
      <c r="D99" s="99">
        <f>IF('BH (1)'!$D$4="Simples Nacional",IF('BH (1)'!$C$15=1,0,Lançamentos!D24*$R$101),Lançamentos!D24*$R$101)</f>
        <v>1082.5429999999999</v>
      </c>
      <c r="E99" s="99">
        <f>IF('BH (1)'!$D$4="Simples Nacional",IF('BH (1)'!$C$15=1,0,Lançamentos!E24*$R$101),Lançamentos!E24*$R$101)</f>
        <v>1053.0343999999998</v>
      </c>
      <c r="F99" s="99">
        <f>IF('BH (1)'!$D$4="Simples Nacional",IF('BH (1)'!$C$15=1,0,Lançamentos!F24*$R$101),Lançamentos!F24*$R$101)</f>
        <v>1033.6237999999996</v>
      </c>
      <c r="G99" s="99">
        <f>IF('BH (1)'!$D$4="Simples Nacional",IF('BH (1)'!$C$15=1,0,Lançamentos!G24*$R$101),Lançamentos!G24*$R$101)</f>
        <v>1022.8151999999998</v>
      </c>
      <c r="H99" s="99">
        <f>IF('BH (1)'!$D$4="Simples Nacional",IF('BH (1)'!$C$15=1,0,Lançamentos!H24*$R$101),Lançamentos!H24*$R$101)</f>
        <v>1031.8659999999998</v>
      </c>
      <c r="I99" s="99">
        <f>IF('BH (1)'!$D$4="Simples Nacional",IF('BH (1)'!$C$15=1,0,Lançamentos!I24*$R$101),Lançamentos!I24*$R$101)</f>
        <v>1033.5489999999998</v>
      </c>
      <c r="J99" s="99">
        <f>IF('BH (1)'!$D$4="Simples Nacional",IF('BH (1)'!$C$15=1,0,Lançamentos!J24*$R$101),Lançamentos!J24*$R$101)</f>
        <v>947.08019999999976</v>
      </c>
      <c r="K99" s="99">
        <f>IF('BH (1)'!$D$4="Simples Nacional",IF('BH (1)'!$C$15=1,0,Lançamentos!K24*$R$101),Lançamentos!K24*$R$101)</f>
        <v>1077.3817999999997</v>
      </c>
      <c r="L99" s="99">
        <f>IF('BH (1)'!$D$4="Simples Nacional",IF('BH (1)'!$C$15=1,0,Lançamentos!L24*$R$101),Lançamentos!L24*$R$101)</f>
        <v>949.39899999999977</v>
      </c>
      <c r="M99" s="99">
        <f>IF('BH (1)'!$D$4="Simples Nacional",IF('BH (1)'!$C$15=1,0,Lançamentos!M24*$R$101),Lançamentos!M24*$R$101)</f>
        <v>1126.6375999999998</v>
      </c>
      <c r="N99" s="99">
        <f>IF('BH (1)'!$D$4="Simples Nacional",IF('BH (1)'!$C$15=1,0,Lançamentos!N24*$R$101),Lançamentos!N24*$R$101)</f>
        <v>1026.1063999999999</v>
      </c>
      <c r="O99" s="99">
        <f>IF('BH (1)'!$D$4="Simples Nacional",IF('BH (1)'!$C$15=1,0,Lançamentos!O24*$R$101),Lançamentos!O24*$R$101)</f>
        <v>964.32159999999988</v>
      </c>
      <c r="P99" s="93">
        <f>SUM(D99:O99)</f>
        <v>12348.357999999998</v>
      </c>
      <c r="Q99" s="18" t="s">
        <v>270</v>
      </c>
    </row>
    <row r="100" spans="3:18" ht="24.95" hidden="1" customHeight="1" x14ac:dyDescent="0.25">
      <c r="C100" s="228" t="s">
        <v>207</v>
      </c>
      <c r="D100" s="229">
        <f>D99-D98</f>
        <v>-3956.1719999999996</v>
      </c>
      <c r="E100" s="229">
        <f>IF(D100&lt;0,E99-E98,D100+E99-E98)</f>
        <v>-3000.7889999999989</v>
      </c>
      <c r="F100" s="229">
        <f t="shared" ref="F100:O100" si="23">IF(E100&lt;0,F99-F98,E100+F99-F98)</f>
        <v>-3963.5023999999994</v>
      </c>
      <c r="G100" s="229">
        <f t="shared" si="23"/>
        <v>-3478.4991999999993</v>
      </c>
      <c r="H100" s="229">
        <f t="shared" si="23"/>
        <v>-3420.940599999999</v>
      </c>
      <c r="I100" s="229">
        <f t="shared" si="23"/>
        <v>-2865.0643999999993</v>
      </c>
      <c r="J100" s="229">
        <f t="shared" si="23"/>
        <v>-3681.0949999999989</v>
      </c>
      <c r="K100" s="229">
        <f t="shared" si="23"/>
        <v>-2759.9329999999995</v>
      </c>
      <c r="L100" s="229">
        <f t="shared" si="23"/>
        <v>-3155.5875999999994</v>
      </c>
      <c r="M100" s="229">
        <f t="shared" si="23"/>
        <v>-3199.0089999999991</v>
      </c>
      <c r="N100" s="229">
        <f t="shared" si="23"/>
        <v>-3107.7529999999988</v>
      </c>
      <c r="O100" s="229">
        <f t="shared" si="23"/>
        <v>-3132.2125999999994</v>
      </c>
      <c r="P100" s="230">
        <f>SUM(D100:O100)</f>
        <v>-39720.557799999988</v>
      </c>
      <c r="Q100" s="203">
        <f>IFERROR(Q98-(Q98*R98),0)</f>
        <v>7.4800000000000005E-2</v>
      </c>
    </row>
    <row r="101" spans="3:18" ht="24.95" customHeight="1" x14ac:dyDescent="0.25">
      <c r="C101" s="199" t="s">
        <v>320</v>
      </c>
      <c r="D101" s="202">
        <f>IF(D100&lt;0,D100*-1,0)</f>
        <v>3956.1719999999996</v>
      </c>
      <c r="E101" s="202">
        <f t="shared" ref="E101:O101" si="24">IF(E100&lt;0,E100*-1,0)</f>
        <v>3000.7889999999989</v>
      </c>
      <c r="F101" s="202">
        <f t="shared" si="24"/>
        <v>3963.5023999999994</v>
      </c>
      <c r="G101" s="202">
        <f t="shared" si="24"/>
        <v>3478.4991999999993</v>
      </c>
      <c r="H101" s="202">
        <f t="shared" si="24"/>
        <v>3420.940599999999</v>
      </c>
      <c r="I101" s="202">
        <f t="shared" si="24"/>
        <v>2865.0643999999993</v>
      </c>
      <c r="J101" s="202">
        <f t="shared" si="24"/>
        <v>3681.0949999999989</v>
      </c>
      <c r="K101" s="202">
        <f t="shared" si="24"/>
        <v>2759.9329999999995</v>
      </c>
      <c r="L101" s="202">
        <f t="shared" si="24"/>
        <v>3155.5875999999994</v>
      </c>
      <c r="M101" s="202">
        <f t="shared" si="24"/>
        <v>3199.0089999999991</v>
      </c>
      <c r="N101" s="202">
        <f t="shared" si="24"/>
        <v>3107.7529999999988</v>
      </c>
      <c r="O101" s="202">
        <f t="shared" si="24"/>
        <v>3132.2125999999994</v>
      </c>
      <c r="P101" s="192">
        <f>SUM(D101:O101)</f>
        <v>39720.557799999988</v>
      </c>
      <c r="Q101" s="203">
        <f>Q87</f>
        <v>0.8</v>
      </c>
      <c r="R101" s="203">
        <f>R87</f>
        <v>0.19999999999999996</v>
      </c>
    </row>
    <row r="102" spans="3:18" ht="15" customHeight="1" x14ac:dyDescent="0.25">
      <c r="Q102" s="203">
        <f>IFERROR(Q100*R101,0)</f>
        <v>1.4959999999999998E-2</v>
      </c>
    </row>
    <row r="200" spans="3:16" ht="15" hidden="1" customHeight="1" x14ac:dyDescent="0.25"/>
    <row r="201" spans="3:16" ht="15" hidden="1" customHeight="1" x14ac:dyDescent="0.25">
      <c r="C201" s="188" t="s">
        <v>283</v>
      </c>
      <c r="D201" s="201">
        <f>IF('BH (1)'!$C$4=1,TabR!E17,IF('BH (1)'!$C$4=2,TabP!F17,IF('BH (1)'!$C$4=3,TabS!H39)))</f>
        <v>1.5</v>
      </c>
    </row>
    <row r="202" spans="3:16" ht="15" hidden="1" customHeight="1" x14ac:dyDescent="0.25">
      <c r="C202" s="112" t="s">
        <v>82</v>
      </c>
      <c r="D202" s="112" t="s">
        <v>83</v>
      </c>
      <c r="E202" s="112" t="s">
        <v>84</v>
      </c>
      <c r="F202" s="112" t="s">
        <v>85</v>
      </c>
      <c r="G202" s="112" t="s">
        <v>86</v>
      </c>
      <c r="H202" s="112" t="s">
        <v>87</v>
      </c>
      <c r="I202" s="112" t="s">
        <v>88</v>
      </c>
      <c r="J202" s="112" t="s">
        <v>89</v>
      </c>
      <c r="K202" s="112" t="s">
        <v>90</v>
      </c>
      <c r="L202" s="112" t="s">
        <v>91</v>
      </c>
      <c r="M202" s="112" t="s">
        <v>92</v>
      </c>
      <c r="N202" s="112" t="s">
        <v>93</v>
      </c>
      <c r="O202" s="112" t="s">
        <v>94</v>
      </c>
      <c r="P202" s="112" t="s">
        <v>95</v>
      </c>
    </row>
    <row r="203" spans="3:16" ht="15" hidden="1" customHeight="1" x14ac:dyDescent="0.25">
      <c r="C203" s="200" t="s">
        <v>135</v>
      </c>
      <c r="D203" s="193">
        <f>IF('BH (1)'!$C$4=3,Simp6!D10,'Fat6'!D8)</f>
        <v>134725</v>
      </c>
      <c r="E203" s="193">
        <f>IF('BH (1)'!$C$4=3,Simp6!E10,'Fat6'!E8)</f>
        <v>108391</v>
      </c>
      <c r="F203" s="193">
        <f>IF('BH (1)'!$C$4=3,Simp6!F10,'Fat6'!F8)</f>
        <v>133613</v>
      </c>
      <c r="G203" s="193">
        <f>IF('BH (1)'!$C$4=3,Simp6!G10,'Fat6'!G8)</f>
        <v>120356</v>
      </c>
      <c r="H203" s="193">
        <f>IF('BH (1)'!$C$4=3,Simp6!H10,'Fat6'!H8)</f>
        <v>119059</v>
      </c>
      <c r="I203" s="193">
        <f>IF('BH (1)'!$C$4=3,Simp6!I10,'Fat6'!I8)</f>
        <v>104241</v>
      </c>
      <c r="J203" s="193">
        <f>IF('BH (1)'!$C$4=3,Simp6!J10,'Fat6'!J8)</f>
        <v>123748</v>
      </c>
      <c r="K203" s="193">
        <f>IF('BH (1)'!$C$4=3,Simp6!K10,'Fat6'!K8)</f>
        <v>102602</v>
      </c>
      <c r="L203" s="193">
        <f>IF('BH (1)'!$C$4=3,Simp6!L10,'Fat6'!L8)</f>
        <v>109759</v>
      </c>
      <c r="M203" s="193">
        <f>IF('BH (1)'!$C$4=3,Simp6!M10,'Fat6'!M8)</f>
        <v>115659</v>
      </c>
      <c r="N203" s="193">
        <f>IF('BH (1)'!$C$4=3,Simp6!N10,'Fat6'!N8)</f>
        <v>110531</v>
      </c>
      <c r="O203" s="193">
        <f>IF('BH (1)'!$C$4=3,Simp6!O10,'Fat6'!O8)</f>
        <v>109533</v>
      </c>
      <c r="P203" s="114">
        <f>SUM(D203:O203)</f>
        <v>1392217</v>
      </c>
    </row>
    <row r="204" spans="3:16" ht="15" hidden="1" customHeight="1" x14ac:dyDescent="0.25">
      <c r="C204" s="200" t="s">
        <v>284</v>
      </c>
      <c r="D204" s="193">
        <f>IF('BH (1)'!$B$18=1,D203*$D$201,D203)</f>
        <v>134725</v>
      </c>
      <c r="E204" s="193">
        <f>IF('BH (1)'!$B$18=1,E203*$D$201,E203)</f>
        <v>108391</v>
      </c>
      <c r="F204" s="193">
        <f>IF('BH (1)'!$B$18=1,F203*$D$201,F203)</f>
        <v>133613</v>
      </c>
      <c r="G204" s="193">
        <f>IF('BH (1)'!$B$18=1,G203*$D$201,G203)</f>
        <v>120356</v>
      </c>
      <c r="H204" s="193">
        <f>IF('BH (1)'!$B$18=1,H203*$D$201,H203)</f>
        <v>119059</v>
      </c>
      <c r="I204" s="193">
        <f>IF('BH (1)'!$B$18=1,I203*$D$201,I203)</f>
        <v>104241</v>
      </c>
      <c r="J204" s="193">
        <f>IF('BH (1)'!$B$18=1,J203*$D$201,J203)</f>
        <v>123748</v>
      </c>
      <c r="K204" s="193">
        <f>IF('BH (1)'!$B$18=1,K203*$D$201,K203)</f>
        <v>102602</v>
      </c>
      <c r="L204" s="193">
        <f>IF('BH (1)'!$B$18=1,L203*$D$201,L203)</f>
        <v>109759</v>
      </c>
      <c r="M204" s="193">
        <f>IF('BH (1)'!$B$18=1,M203*$D$201,M203)</f>
        <v>115659</v>
      </c>
      <c r="N204" s="193">
        <f>IF('BH (1)'!$B$18=1,N203*$D$201,N203)</f>
        <v>110531</v>
      </c>
      <c r="O204" s="193">
        <f>IF('BH (1)'!$B$18=1,O203*$D$201,O203)</f>
        <v>109533</v>
      </c>
      <c r="P204" s="114">
        <f>SUM(D204:O204)</f>
        <v>1392217</v>
      </c>
    </row>
  </sheetData>
  <sheetProtection sheet="1" objects="1" scenarios="1" selectLockedCells="1" selectUnlockedCells="1"/>
  <mergeCells count="2">
    <mergeCell ref="C85:D85"/>
    <mergeCell ref="C96:D96"/>
  </mergeCells>
  <pageMargins left="0.25" right="0.25" top="0.75" bottom="0.75" header="0.3" footer="0.3"/>
  <pageSetup paperSize="9" scale="5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Drop Down 1">
              <controlPr defaultSize="0" print="0" autoLine="0" autoPict="0">
                <anchor moveWithCells="1">
                  <from>
                    <xdr:col>12</xdr:col>
                    <xdr:colOff>133350</xdr:colOff>
                    <xdr:row>2</xdr:row>
                    <xdr:rowOff>257175</xdr:rowOff>
                  </from>
                  <to>
                    <xdr:col>20</xdr:col>
                    <xdr:colOff>9525</xdr:colOff>
                    <xdr:row>2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Planilha46">
    <tabColor rgb="FF0000FF"/>
    <pageSetUpPr fitToPage="1"/>
  </sheetPr>
  <dimension ref="C1:R204"/>
  <sheetViews>
    <sheetView showGridLines="0" showRowColHeaders="0" workbookViewId="0">
      <pane ySplit="4" topLeftCell="A5" activePane="bottomLeft" state="frozen"/>
      <selection activeCell="U93" sqref="U93"/>
      <selection pane="bottomLeft"/>
    </sheetView>
  </sheetViews>
  <sheetFormatPr defaultRowHeight="15" customHeight="1" x14ac:dyDescent="0.25"/>
  <cols>
    <col min="1" max="2" width="1.7109375" style="18" customWidth="1"/>
    <col min="3" max="3" width="13.7109375" style="200" customWidth="1"/>
    <col min="4" max="16" width="13.140625" style="18" customWidth="1"/>
    <col min="17" max="18" width="9.140625" style="18" hidden="1" customWidth="1"/>
    <col min="19" max="20" width="0" style="18" hidden="1" customWidth="1"/>
    <col min="21" max="16384" width="9.140625" style="18"/>
  </cols>
  <sheetData>
    <row r="1" spans="3:16" s="1" customFormat="1" ht="35.1" customHeight="1" x14ac:dyDescent="0.25">
      <c r="C1" s="194"/>
    </row>
    <row r="2" spans="3:16" s="3" customFormat="1" ht="30" customHeight="1" x14ac:dyDescent="0.25">
      <c r="C2" s="195"/>
    </row>
    <row r="3" spans="3:16" ht="69.95" customHeight="1" thickBot="1" x14ac:dyDescent="0.3">
      <c r="C3" s="180" t="s">
        <v>273</v>
      </c>
    </row>
    <row r="4" spans="3:16" ht="21.95" customHeight="1" x14ac:dyDescent="0.25">
      <c r="C4" s="85" t="s">
        <v>82</v>
      </c>
      <c r="D4" s="55" t="s">
        <v>83</v>
      </c>
      <c r="E4" s="55" t="s">
        <v>84</v>
      </c>
      <c r="F4" s="55" t="s">
        <v>85</v>
      </c>
      <c r="G4" s="55" t="s">
        <v>86</v>
      </c>
      <c r="H4" s="55" t="s">
        <v>87</v>
      </c>
      <c r="I4" s="55" t="s">
        <v>88</v>
      </c>
      <c r="J4" s="55" t="s">
        <v>89</v>
      </c>
      <c r="K4" s="55" t="s">
        <v>90</v>
      </c>
      <c r="L4" s="55" t="s">
        <v>91</v>
      </c>
      <c r="M4" s="55" t="s">
        <v>92</v>
      </c>
      <c r="N4" s="55" t="s">
        <v>93</v>
      </c>
      <c r="O4" s="55" t="s">
        <v>94</v>
      </c>
      <c r="P4" s="56" t="s">
        <v>294</v>
      </c>
    </row>
    <row r="5" spans="3:16" ht="21.95" customHeight="1" x14ac:dyDescent="0.25">
      <c r="C5" s="44" t="s">
        <v>43</v>
      </c>
      <c r="D5" s="90">
        <f>IF('BH (1)'!$D$4="Simples Nacional",IF('BH (1)'!$D$15="Simplificado",Simp6!D14+Simp6!D15+Simp6!D17,D83),D83)</f>
        <v>9742.3379999999997</v>
      </c>
      <c r="E5" s="90">
        <f>IF('BH (1)'!$D$4="Simples Nacional",IF('BH (1)'!$D$15="Simplificado",Simp6!E14+Simp6!E15+Simp6!E17,E83),E83)</f>
        <v>7389.6435000000001</v>
      </c>
      <c r="F5" s="90">
        <f>IF('BH (1)'!$D$4="Simples Nacional",IF('BH (1)'!$D$15="Simplificado",Simp6!F14+Simp6!F15+Simp6!F17,F83),F83)</f>
        <v>9760.3895999999986</v>
      </c>
      <c r="G5" s="90">
        <f>IF('BH (1)'!$D$4="Simples Nacional",IF('BH (1)'!$D$15="Simplificado",Simp6!G14+Simp6!G15+Simp6!G17,G83),G83)</f>
        <v>8566.0367999999999</v>
      </c>
      <c r="H5" s="90">
        <f>IF('BH (1)'!$D$4="Simples Nacional",IF('BH (1)'!$D$15="Simplificado",Simp6!H14+Simp6!H15+Simp6!H17,H83),H83)</f>
        <v>8424.294899999999</v>
      </c>
      <c r="I5" s="90">
        <f>IF('BH (1)'!$D$4="Simples Nacional",IF('BH (1)'!$D$15="Simplificado",Simp6!I14+Simp6!I15+Simp6!I17,I83),I83)</f>
        <v>7055.4126000000006</v>
      </c>
      <c r="J5" s="90">
        <f>IF('BH (1)'!$D$4="Simples Nacional",IF('BH (1)'!$D$15="Simplificado",Simp6!J14+Simp6!J15+Simp6!J17,J83),J83)</f>
        <v>9064.942500000001</v>
      </c>
      <c r="K5" s="90">
        <f>IF('BH (1)'!$D$4="Simples Nacional",IF('BH (1)'!$D$15="Simplificado",Simp6!K14+Simp6!K15+Simp6!K17,K83),K83)</f>
        <v>6796.5195000000003</v>
      </c>
      <c r="L5" s="90">
        <f>IF('BH (1)'!$D$4="Simples Nacional",IF('BH (1)'!$D$15="Simplificado",Simp6!L14+Simp6!L15+Simp6!L17,L83),L83)</f>
        <v>7770.8454000000002</v>
      </c>
      <c r="M5" s="90">
        <f>IF('BH (1)'!$D$4="Simples Nacional",IF('BH (1)'!$D$15="Simplificado",Simp6!M14+Simp6!M15+Simp6!M17,M83),M83)</f>
        <v>7877.7735000000002</v>
      </c>
      <c r="N5" s="90">
        <f>IF('BH (1)'!$D$4="Simples Nacional",IF('BH (1)'!$D$15="Simplificado",Simp6!N14+Simp6!N15+Simp6!N17,N83),N83)</f>
        <v>7653.0495000000001</v>
      </c>
      <c r="O5" s="90">
        <f>IF('BH (1)'!$D$4="Simples Nacional",IF('BH (1)'!$D$15="Simplificado",Simp6!O14+Simp6!O15+Simp6!O17,O83),O83)</f>
        <v>7713.2828999999992</v>
      </c>
      <c r="P5" s="93">
        <f>SUM(D5:O5)</f>
        <v>97814.528699999995</v>
      </c>
    </row>
    <row r="6" spans="3:16" ht="21.95" customHeight="1" x14ac:dyDescent="0.25">
      <c r="C6" s="44" t="s">
        <v>44</v>
      </c>
      <c r="D6" s="90">
        <f>IF('BH (1)'!$D$4="Simples Nacional",IF('BH (1)'!$D$15="Simplificado",0,D101),D101)</f>
        <v>5934.2580000000007</v>
      </c>
      <c r="E6" s="90">
        <f>IF('BH (1)'!$D$4="Simples Nacional",IF('BH (1)'!$D$15="Simplificado",0,E101),E101)</f>
        <v>4501.183500000001</v>
      </c>
      <c r="F6" s="90">
        <f>IF('BH (1)'!$D$4="Simples Nacional",IF('BH (1)'!$D$15="Simplificado",0,F101),F101)</f>
        <v>5945.2536000000018</v>
      </c>
      <c r="G6" s="90">
        <f>IF('BH (1)'!$D$4="Simples Nacional",IF('BH (1)'!$D$15="Simplificado",0,G101),G101)</f>
        <v>5217.7488000000003</v>
      </c>
      <c r="H6" s="90">
        <f>IF('BH (1)'!$D$4="Simples Nacional",IF('BH (1)'!$D$15="Simplificado",0,H101),H101)</f>
        <v>5131.4109000000008</v>
      </c>
      <c r="I6" s="90">
        <f>IF('BH (1)'!$D$4="Simples Nacional",IF('BH (1)'!$D$15="Simplificado",0,I101),I101)</f>
        <v>4297.5965999999999</v>
      </c>
      <c r="J6" s="90">
        <f>IF('BH (1)'!$D$4="Simples Nacional",IF('BH (1)'!$D$15="Simplificado",0,J101),J101)</f>
        <v>5521.6425000000008</v>
      </c>
      <c r="K6" s="90">
        <f>IF('BH (1)'!$D$4="Simples Nacional",IF('BH (1)'!$D$15="Simplificado",0,K101),K101)</f>
        <v>4139.8995000000014</v>
      </c>
      <c r="L6" s="90">
        <f>IF('BH (1)'!$D$4="Simples Nacional",IF('BH (1)'!$D$15="Simplificado",0,L101),L101)</f>
        <v>4733.3814000000011</v>
      </c>
      <c r="M6" s="90">
        <f>IF('BH (1)'!$D$4="Simples Nacional",IF('BH (1)'!$D$15="Simplificado",0,M101),M101)</f>
        <v>4798.5135000000009</v>
      </c>
      <c r="N6" s="90">
        <f>IF('BH (1)'!$D$4="Simples Nacional",IF('BH (1)'!$D$15="Simplificado",0,N101),N101)</f>
        <v>4661.6295000000009</v>
      </c>
      <c r="O6" s="90">
        <f>IF('BH (1)'!$D$4="Simples Nacional",IF('BH (1)'!$D$15="Simplificado",0,O101),O101)</f>
        <v>4698.3189000000002</v>
      </c>
      <c r="P6" s="93">
        <f>SUM(D6:O6)</f>
        <v>59580.8367</v>
      </c>
    </row>
    <row r="7" spans="3:16" ht="24.95" hidden="1" customHeight="1" x14ac:dyDescent="0.25">
      <c r="C7" s="44" t="s">
        <v>97</v>
      </c>
      <c r="D7" s="90">
        <v>0</v>
      </c>
      <c r="E7" s="90">
        <v>0</v>
      </c>
      <c r="F7" s="90">
        <v>0</v>
      </c>
      <c r="G7" s="90">
        <v>0</v>
      </c>
      <c r="H7" s="90">
        <v>0</v>
      </c>
      <c r="I7" s="90">
        <v>0</v>
      </c>
      <c r="J7" s="90">
        <v>0</v>
      </c>
      <c r="K7" s="90">
        <v>0</v>
      </c>
      <c r="L7" s="90">
        <v>0</v>
      </c>
      <c r="M7" s="90">
        <v>0</v>
      </c>
      <c r="N7" s="90">
        <v>0</v>
      </c>
      <c r="O7" s="90">
        <v>0</v>
      </c>
      <c r="P7" s="93">
        <f>SUM(D7:O7)</f>
        <v>0</v>
      </c>
    </row>
    <row r="8" spans="3:16" ht="24.95" hidden="1" customHeight="1" x14ac:dyDescent="0.25">
      <c r="C8" s="44" t="s">
        <v>98</v>
      </c>
      <c r="D8" s="90">
        <v>0</v>
      </c>
      <c r="E8" s="90">
        <v>0</v>
      </c>
      <c r="F8" s="90">
        <v>0</v>
      </c>
      <c r="G8" s="90">
        <v>0</v>
      </c>
      <c r="H8" s="90">
        <v>0</v>
      </c>
      <c r="I8" s="90">
        <v>0</v>
      </c>
      <c r="J8" s="90">
        <v>0</v>
      </c>
      <c r="K8" s="90">
        <v>0</v>
      </c>
      <c r="L8" s="90">
        <v>0</v>
      </c>
      <c r="M8" s="90">
        <v>0</v>
      </c>
      <c r="N8" s="90">
        <v>0</v>
      </c>
      <c r="O8" s="90">
        <v>0</v>
      </c>
      <c r="P8" s="93">
        <f>SUM(D8:O8)</f>
        <v>0</v>
      </c>
    </row>
    <row r="9" spans="3:16" ht="24.95" customHeight="1" x14ac:dyDescent="0.25">
      <c r="C9" s="44" t="s">
        <v>37</v>
      </c>
      <c r="D9" s="90">
        <f>IF('BH (1)'!$D$4="Simples Nacional",IF('BH (1)'!$D$15="Simplificado",Simp6!D16,D93),D93)</f>
        <v>8368.8517499999998</v>
      </c>
      <c r="E9" s="90">
        <f>IF('BH (1)'!$D$4="Simples Nacional",IF('BH (1)'!$D$15="Simplificado",Simp6!E16,E93),E93)</f>
        <v>6237.1553999999996</v>
      </c>
      <c r="F9" s="90">
        <f>IF('BH (1)'!$D$4="Simples Nacional",IF('BH (1)'!$D$15="Simplificado",Simp6!F16,F93),F93)</f>
        <v>8408.6635499999975</v>
      </c>
      <c r="G9" s="90">
        <f>IF('BH (1)'!$D$4="Simples Nacional",IF('BH (1)'!$D$15="Simplificado",Simp6!G16,G93),G93)</f>
        <v>7324.5101999999988</v>
      </c>
      <c r="H9" s="90">
        <f>IF('BH (1)'!$D$4="Simples Nacional",IF('BH (1)'!$D$15="Simplificado",Simp6!H16,H93),H93)</f>
        <v>7190.914499999999</v>
      </c>
      <c r="I9" s="90">
        <f>IF('BH (1)'!$D$4="Simples Nacional",IF('BH (1)'!$D$15="Simplificado",Simp6!I16,I93),I93)</f>
        <v>5941.6192499999988</v>
      </c>
      <c r="J9" s="90">
        <f>IF('BH (1)'!$D$4="Simples Nacional",IF('BH (1)'!$D$15="Simplificado",Simp6!J16,J93),J93)</f>
        <v>7815.6844499999988</v>
      </c>
      <c r="K9" s="90">
        <f>IF('BH (1)'!$D$4="Simples Nacional",IF('BH (1)'!$D$15="Simplificado",Simp6!K16,K93),K93)</f>
        <v>5684.5750499999995</v>
      </c>
      <c r="L9" s="90">
        <f>IF('BH (1)'!$D$4="Simples Nacional",IF('BH (1)'!$D$15="Simplificado",Simp6!L16,L93),L93)</f>
        <v>6634.2937499999998</v>
      </c>
      <c r="M9" s="90">
        <f>IF('BH (1)'!$D$4="Simples Nacional",IF('BH (1)'!$D$15="Simplificado",Simp6!M16,M93),M93)</f>
        <v>6647.2266</v>
      </c>
      <c r="N9" s="90">
        <f>IF('BH (1)'!$D$4="Simples Nacional",IF('BH (1)'!$D$15="Simplificado",Simp6!N16,N93),N93)</f>
        <v>6490.2473999999993</v>
      </c>
      <c r="O9" s="90">
        <f>IF('BH (1)'!$D$4="Simples Nacional",IF('BH (1)'!$D$15="Simplificado",Simp6!O16,O93),O93)</f>
        <v>6574.6715999999997</v>
      </c>
      <c r="P9" s="93">
        <f>SUM(D9:O9)</f>
        <v>83318.413499999981</v>
      </c>
    </row>
    <row r="10" spans="3:16" ht="24.95" hidden="1" customHeight="1" x14ac:dyDescent="0.25">
      <c r="C10" s="44" t="s">
        <v>38</v>
      </c>
      <c r="D10" s="90">
        <v>0</v>
      </c>
      <c r="E10" s="90">
        <v>0</v>
      </c>
      <c r="F10" s="90">
        <v>0</v>
      </c>
      <c r="G10" s="90">
        <v>0</v>
      </c>
      <c r="H10" s="90">
        <v>0</v>
      </c>
      <c r="I10" s="90">
        <v>0</v>
      </c>
      <c r="J10" s="90">
        <v>0</v>
      </c>
      <c r="K10" s="90">
        <v>0</v>
      </c>
      <c r="L10" s="90">
        <v>0</v>
      </c>
      <c r="M10" s="90">
        <v>0</v>
      </c>
      <c r="N10" s="90">
        <v>0</v>
      </c>
      <c r="O10" s="90">
        <v>0</v>
      </c>
      <c r="P10" s="93">
        <f t="shared" ref="P10:P17" si="0">SUM(D10:O10)</f>
        <v>0</v>
      </c>
    </row>
    <row r="11" spans="3:16" ht="24.95" customHeight="1" x14ac:dyDescent="0.25">
      <c r="C11" s="44" t="s">
        <v>39</v>
      </c>
      <c r="D11" s="90">
        <f>IF('BH (1)'!$D$4="Simples Nacional",IF('BH (1)'!$D$15="Simplificado",Simp6!D18,D94),D94)</f>
        <v>0</v>
      </c>
      <c r="E11" s="90">
        <f>IF('BH (1)'!$D$4="Simples Nacional",IF('BH (1)'!$D$15="Simplificado",Simp6!E18,E94),E94)</f>
        <v>0</v>
      </c>
      <c r="F11" s="90">
        <f>IF('BH (1)'!$D$4="Simples Nacional",IF('BH (1)'!$D$15="Simplificado",Simp6!F18,F94),F94)</f>
        <v>0</v>
      </c>
      <c r="G11" s="90">
        <f>IF('BH (1)'!$D$4="Simples Nacional",IF('BH (1)'!$D$15="Simplificado",Simp6!G18,G94),G94)</f>
        <v>0</v>
      </c>
      <c r="H11" s="90">
        <f>IF('BH (1)'!$D$4="Simples Nacional",IF('BH (1)'!$D$15="Simplificado",Simp6!H18,H94),H94)</f>
        <v>0</v>
      </c>
      <c r="I11" s="90">
        <f>IF('BH (1)'!$D$4="Simples Nacional",IF('BH (1)'!$D$15="Simplificado",Simp6!I18,I94),I94)</f>
        <v>0</v>
      </c>
      <c r="J11" s="90">
        <f>IF('BH (1)'!$D$4="Simples Nacional",IF('BH (1)'!$D$15="Simplificado",Simp6!J18,J94),J94)</f>
        <v>0</v>
      </c>
      <c r="K11" s="90">
        <f>IF('BH (1)'!$D$4="Simples Nacional",IF('BH (1)'!$D$15="Simplificado",Simp6!K18,K94),K94)</f>
        <v>0</v>
      </c>
      <c r="L11" s="90">
        <f>IF('BH (1)'!$D$4="Simples Nacional",IF('BH (1)'!$D$15="Simplificado",Simp6!L18,L94),L94)</f>
        <v>0</v>
      </c>
      <c r="M11" s="90">
        <f>IF('BH (1)'!$D$4="Simples Nacional",IF('BH (1)'!$D$15="Simplificado",Simp6!M18,M94),M94)</f>
        <v>0</v>
      </c>
      <c r="N11" s="90">
        <f>IF('BH (1)'!$D$4="Simples Nacional",IF('BH (1)'!$D$15="Simplificado",Simp6!N18,N94),N94)</f>
        <v>0</v>
      </c>
      <c r="O11" s="90">
        <f>IF('BH (1)'!$D$4="Simples Nacional",IF('BH (1)'!$D$15="Simplificado",Simp6!O18,O94),O94)</f>
        <v>0</v>
      </c>
      <c r="P11" s="93">
        <f t="shared" si="0"/>
        <v>0</v>
      </c>
    </row>
    <row r="12" spans="3:16" ht="24.95" customHeight="1" x14ac:dyDescent="0.25">
      <c r="C12" s="44" t="s">
        <v>129</v>
      </c>
      <c r="D12" s="90">
        <f>D50</f>
        <v>2400</v>
      </c>
      <c r="E12" s="90">
        <f t="shared" ref="E12:O12" si="1">E50</f>
        <v>2400</v>
      </c>
      <c r="F12" s="90">
        <f t="shared" si="1"/>
        <v>2400</v>
      </c>
      <c r="G12" s="90">
        <f t="shared" si="1"/>
        <v>2400</v>
      </c>
      <c r="H12" s="90">
        <f t="shared" si="1"/>
        <v>2400</v>
      </c>
      <c r="I12" s="90">
        <f t="shared" si="1"/>
        <v>2400</v>
      </c>
      <c r="J12" s="90">
        <f t="shared" si="1"/>
        <v>2400</v>
      </c>
      <c r="K12" s="90">
        <f t="shared" si="1"/>
        <v>2400</v>
      </c>
      <c r="L12" s="90">
        <f t="shared" si="1"/>
        <v>2400</v>
      </c>
      <c r="M12" s="90">
        <f t="shared" si="1"/>
        <v>2400</v>
      </c>
      <c r="N12" s="90">
        <f t="shared" si="1"/>
        <v>2400</v>
      </c>
      <c r="O12" s="90">
        <f t="shared" si="1"/>
        <v>2400</v>
      </c>
      <c r="P12" s="93">
        <f t="shared" si="0"/>
        <v>28800</v>
      </c>
    </row>
    <row r="13" spans="3:16" ht="24.95" customHeight="1" x14ac:dyDescent="0.25">
      <c r="C13" s="44" t="s">
        <v>42</v>
      </c>
      <c r="D13" s="90">
        <f>D57</f>
        <v>0</v>
      </c>
      <c r="E13" s="90">
        <f t="shared" ref="E13:O13" si="2">E57</f>
        <v>0</v>
      </c>
      <c r="F13" s="90">
        <f t="shared" si="2"/>
        <v>4068.6731999999993</v>
      </c>
      <c r="G13" s="90">
        <f t="shared" si="2"/>
        <v>0</v>
      </c>
      <c r="H13" s="90">
        <f t="shared" si="2"/>
        <v>0</v>
      </c>
      <c r="I13" s="90">
        <f t="shared" si="2"/>
        <v>3711.4848000000002</v>
      </c>
      <c r="J13" s="90">
        <f t="shared" si="2"/>
        <v>0</v>
      </c>
      <c r="K13" s="90">
        <f t="shared" si="2"/>
        <v>0</v>
      </c>
      <c r="L13" s="90">
        <f t="shared" si="2"/>
        <v>3629.9771999999998</v>
      </c>
      <c r="M13" s="90">
        <f t="shared" si="2"/>
        <v>0</v>
      </c>
      <c r="N13" s="90">
        <f t="shared" si="2"/>
        <v>0</v>
      </c>
      <c r="O13" s="90">
        <f t="shared" si="2"/>
        <v>3625.8083999999999</v>
      </c>
      <c r="P13" s="93">
        <f>IF('BH (1)'!$D$4="Lucro Presumido",Relatórios!P11,SUM(D13:O13))</f>
        <v>15035.943599999999</v>
      </c>
    </row>
    <row r="14" spans="3:16" ht="24.95" customHeight="1" x14ac:dyDescent="0.25">
      <c r="C14" s="44" t="s">
        <v>40</v>
      </c>
      <c r="D14" s="90">
        <f>IF('BH (1)'!$D$4="Simples Nacional",D55,D55+D56)</f>
        <v>0</v>
      </c>
      <c r="E14" s="90">
        <f>IF('BH (1)'!$D$4="Simples Nacional",E55,E55+E56)</f>
        <v>0</v>
      </c>
      <c r="F14" s="90">
        <f>IF('BH (1)'!$D$4="Simples Nacional",F55,F55+F56)</f>
        <v>4520.7479999999996</v>
      </c>
      <c r="G14" s="90">
        <f>IF('BH (1)'!$D$4="Simples Nacional",G55,G55+G56)</f>
        <v>0</v>
      </c>
      <c r="H14" s="90">
        <f>IF('BH (1)'!$D$4="Simples Nacional",H55,H55+H56)</f>
        <v>0</v>
      </c>
      <c r="I14" s="90">
        <f>IF('BH (1)'!$D$4="Simples Nacional",I55,I55+I56)</f>
        <v>4123.8719999999994</v>
      </c>
      <c r="J14" s="90">
        <f>IF('BH (1)'!$D$4="Simples Nacional",J55,J55+J56)</f>
        <v>0</v>
      </c>
      <c r="K14" s="90">
        <f>IF('BH (1)'!$D$4="Simples Nacional",K55,K55+K56)</f>
        <v>0</v>
      </c>
      <c r="L14" s="90">
        <f>IF('BH (1)'!$D$4="Simples Nacional",L55,L55+L56)</f>
        <v>4033.308</v>
      </c>
      <c r="M14" s="90">
        <f>IF('BH (1)'!$D$4="Simples Nacional",M55,M55+M56)</f>
        <v>0</v>
      </c>
      <c r="N14" s="90">
        <f>IF('BH (1)'!$D$4="Simples Nacional",N55,N55+N56)</f>
        <v>0</v>
      </c>
      <c r="O14" s="90">
        <f>IF('BH (1)'!$D$4="Simples Nacional",O55,O55+O56)</f>
        <v>4028.6759999999999</v>
      </c>
      <c r="P14" s="93">
        <f>IF('BH (1)'!$D$4="Lucro Presumido",Relatórios!P12,SUM(D14:O14))</f>
        <v>16706.603999999999</v>
      </c>
    </row>
    <row r="15" spans="3:16" ht="24.95" customHeight="1" x14ac:dyDescent="0.25">
      <c r="C15" s="44" t="s">
        <v>155</v>
      </c>
      <c r="D15" s="90">
        <f>D51</f>
        <v>960</v>
      </c>
      <c r="E15" s="90">
        <f t="shared" ref="E15:O17" si="3">E51</f>
        <v>960</v>
      </c>
      <c r="F15" s="90">
        <f t="shared" si="3"/>
        <v>960</v>
      </c>
      <c r="G15" s="90">
        <f t="shared" si="3"/>
        <v>960</v>
      </c>
      <c r="H15" s="90">
        <f t="shared" si="3"/>
        <v>960</v>
      </c>
      <c r="I15" s="90">
        <f t="shared" si="3"/>
        <v>960</v>
      </c>
      <c r="J15" s="90">
        <f t="shared" si="3"/>
        <v>960</v>
      </c>
      <c r="K15" s="90">
        <f t="shared" si="3"/>
        <v>960</v>
      </c>
      <c r="L15" s="90">
        <f t="shared" si="3"/>
        <v>960</v>
      </c>
      <c r="M15" s="90">
        <f t="shared" si="3"/>
        <v>960</v>
      </c>
      <c r="N15" s="90">
        <f t="shared" si="3"/>
        <v>960</v>
      </c>
      <c r="O15" s="90">
        <f t="shared" si="3"/>
        <v>960</v>
      </c>
      <c r="P15" s="93">
        <f t="shared" si="0"/>
        <v>11520</v>
      </c>
    </row>
    <row r="16" spans="3:16" ht="24.95" customHeight="1" x14ac:dyDescent="0.25">
      <c r="C16" s="44" t="str">
        <f>IF('BH (1)'!D4="Simples Nacional","","Terceiros")</f>
        <v>Terceiros</v>
      </c>
      <c r="D16" s="90">
        <f>D52</f>
        <v>696</v>
      </c>
      <c r="E16" s="90">
        <f t="shared" si="3"/>
        <v>696</v>
      </c>
      <c r="F16" s="90">
        <f t="shared" si="3"/>
        <v>696</v>
      </c>
      <c r="G16" s="90">
        <f t="shared" si="3"/>
        <v>696</v>
      </c>
      <c r="H16" s="90">
        <f t="shared" si="3"/>
        <v>696</v>
      </c>
      <c r="I16" s="90">
        <f t="shared" si="3"/>
        <v>696</v>
      </c>
      <c r="J16" s="90">
        <f t="shared" si="3"/>
        <v>696</v>
      </c>
      <c r="K16" s="90">
        <f t="shared" si="3"/>
        <v>696</v>
      </c>
      <c r="L16" s="90">
        <f t="shared" si="3"/>
        <v>696</v>
      </c>
      <c r="M16" s="90">
        <f t="shared" si="3"/>
        <v>696</v>
      </c>
      <c r="N16" s="90">
        <f t="shared" si="3"/>
        <v>696</v>
      </c>
      <c r="O16" s="90">
        <f t="shared" si="3"/>
        <v>696</v>
      </c>
      <c r="P16" s="93">
        <f t="shared" si="0"/>
        <v>8352</v>
      </c>
    </row>
    <row r="17" spans="3:16" ht="24.95" customHeight="1" x14ac:dyDescent="0.25">
      <c r="C17" s="198" t="str">
        <f>IF('BH (1)'!D4="Simples Nacional","","RAT")</f>
        <v>RAT</v>
      </c>
      <c r="D17" s="189">
        <f>D53</f>
        <v>240</v>
      </c>
      <c r="E17" s="189">
        <f t="shared" si="3"/>
        <v>240</v>
      </c>
      <c r="F17" s="189">
        <f t="shared" si="3"/>
        <v>240</v>
      </c>
      <c r="G17" s="189">
        <f t="shared" si="3"/>
        <v>240</v>
      </c>
      <c r="H17" s="189">
        <f t="shared" si="3"/>
        <v>240</v>
      </c>
      <c r="I17" s="189">
        <f t="shared" si="3"/>
        <v>240</v>
      </c>
      <c r="J17" s="189">
        <f t="shared" si="3"/>
        <v>240</v>
      </c>
      <c r="K17" s="189">
        <f t="shared" si="3"/>
        <v>240</v>
      </c>
      <c r="L17" s="189">
        <f t="shared" si="3"/>
        <v>240</v>
      </c>
      <c r="M17" s="189">
        <f t="shared" si="3"/>
        <v>240</v>
      </c>
      <c r="N17" s="189">
        <f t="shared" si="3"/>
        <v>240</v>
      </c>
      <c r="O17" s="189">
        <f t="shared" si="3"/>
        <v>240</v>
      </c>
      <c r="P17" s="93">
        <f t="shared" si="0"/>
        <v>2880</v>
      </c>
    </row>
    <row r="18" spans="3:16" ht="24.95" customHeight="1" x14ac:dyDescent="0.25">
      <c r="C18" s="196" t="s">
        <v>245</v>
      </c>
      <c r="D18" s="97">
        <f>SUM(D5:D17)</f>
        <v>28341.447749999999</v>
      </c>
      <c r="E18" s="97">
        <f t="shared" ref="E18:O18" si="4">SUM(E5:E17)</f>
        <v>22423.982400000001</v>
      </c>
      <c r="F18" s="97">
        <f t="shared" si="4"/>
        <v>36999.727949999993</v>
      </c>
      <c r="G18" s="97">
        <f t="shared" si="4"/>
        <v>25404.2958</v>
      </c>
      <c r="H18" s="97">
        <f t="shared" si="4"/>
        <v>25042.620299999999</v>
      </c>
      <c r="I18" s="97">
        <f t="shared" si="4"/>
        <v>29425.985250000002</v>
      </c>
      <c r="J18" s="97">
        <f t="shared" si="4"/>
        <v>26698.26945</v>
      </c>
      <c r="K18" s="97">
        <f t="shared" si="4"/>
        <v>20916.994050000001</v>
      </c>
      <c r="L18" s="97">
        <f t="shared" si="4"/>
        <v>31097.805750000003</v>
      </c>
      <c r="M18" s="97">
        <f t="shared" si="4"/>
        <v>23619.513599999998</v>
      </c>
      <c r="N18" s="97">
        <f t="shared" si="4"/>
        <v>23100.9264</v>
      </c>
      <c r="O18" s="97">
        <f t="shared" si="4"/>
        <v>30936.757799999999</v>
      </c>
      <c r="P18" s="98">
        <f>SUM(P5:P17)</f>
        <v>324008.32649999997</v>
      </c>
    </row>
    <row r="19" spans="3:16" ht="30" customHeight="1" thickBot="1" x14ac:dyDescent="0.3">
      <c r="C19" s="180" t="s">
        <v>278</v>
      </c>
    </row>
    <row r="20" spans="3:16" ht="21.95" customHeight="1" x14ac:dyDescent="0.25">
      <c r="C20" s="85" t="s">
        <v>82</v>
      </c>
      <c r="D20" s="55" t="s">
        <v>83</v>
      </c>
      <c r="E20" s="55" t="s">
        <v>84</v>
      </c>
      <c r="F20" s="55" t="s">
        <v>85</v>
      </c>
      <c r="G20" s="55" t="s">
        <v>86</v>
      </c>
      <c r="H20" s="55" t="s">
        <v>87</v>
      </c>
      <c r="I20" s="55" t="s">
        <v>88</v>
      </c>
      <c r="J20" s="55" t="s">
        <v>89</v>
      </c>
      <c r="K20" s="55" t="s">
        <v>90</v>
      </c>
      <c r="L20" s="55" t="s">
        <v>91</v>
      </c>
      <c r="M20" s="55" t="s">
        <v>92</v>
      </c>
      <c r="N20" s="55" t="s">
        <v>93</v>
      </c>
      <c r="O20" s="55" t="s">
        <v>94</v>
      </c>
      <c r="P20" s="56" t="s">
        <v>294</v>
      </c>
    </row>
    <row r="21" spans="3:16" ht="24.95" customHeight="1" x14ac:dyDescent="0.25">
      <c r="C21" s="197" t="str">
        <f>'2027'!C21</f>
        <v>Indústria</v>
      </c>
      <c r="D21" s="90">
        <f>'2027'!D21</f>
        <v>0</v>
      </c>
      <c r="E21" s="90">
        <f>'2027'!E21</f>
        <v>0</v>
      </c>
      <c r="F21" s="90">
        <f>'2027'!F21</f>
        <v>0</v>
      </c>
      <c r="G21" s="90">
        <f>'2027'!G21</f>
        <v>0</v>
      </c>
      <c r="H21" s="90">
        <f>'2027'!H21</f>
        <v>0</v>
      </c>
      <c r="I21" s="90">
        <f>'2027'!I21</f>
        <v>0</v>
      </c>
      <c r="J21" s="90">
        <f>'2027'!J21</f>
        <v>0</v>
      </c>
      <c r="K21" s="90">
        <f>'2027'!K21</f>
        <v>0</v>
      </c>
      <c r="L21" s="90">
        <f>'2027'!L21</f>
        <v>0</v>
      </c>
      <c r="M21" s="90">
        <f>'2027'!M21</f>
        <v>0</v>
      </c>
      <c r="N21" s="90">
        <f>'2027'!N21</f>
        <v>0</v>
      </c>
      <c r="O21" s="90">
        <f>'2027'!O21</f>
        <v>0</v>
      </c>
      <c r="P21" s="91">
        <f>SUM(D21:O21)</f>
        <v>0</v>
      </c>
    </row>
    <row r="22" spans="3:16" ht="24.95" customHeight="1" x14ac:dyDescent="0.25">
      <c r="C22" s="44" t="str">
        <f>'2027'!C22</f>
        <v>Comércio</v>
      </c>
      <c r="D22" s="90">
        <f>'2027'!D22</f>
        <v>134725</v>
      </c>
      <c r="E22" s="90">
        <f>'2027'!E22</f>
        <v>108391</v>
      </c>
      <c r="F22" s="90">
        <f>'2027'!F22</f>
        <v>133613</v>
      </c>
      <c r="G22" s="90">
        <f>'2027'!G22</f>
        <v>120356</v>
      </c>
      <c r="H22" s="90">
        <f>'2027'!H22</f>
        <v>119059</v>
      </c>
      <c r="I22" s="90">
        <f>'2027'!I22</f>
        <v>104241</v>
      </c>
      <c r="J22" s="90">
        <f>'2027'!J22</f>
        <v>123748</v>
      </c>
      <c r="K22" s="90">
        <f>'2027'!K22</f>
        <v>102602</v>
      </c>
      <c r="L22" s="90">
        <f>'2027'!L22</f>
        <v>109759</v>
      </c>
      <c r="M22" s="90">
        <f>'2027'!M22</f>
        <v>115659</v>
      </c>
      <c r="N22" s="90">
        <f>'2027'!N22</f>
        <v>110531</v>
      </c>
      <c r="O22" s="90">
        <f>'2027'!O22</f>
        <v>109533</v>
      </c>
      <c r="P22" s="93">
        <f>SUM(D22:O22)</f>
        <v>1392217</v>
      </c>
    </row>
    <row r="23" spans="3:16" ht="24.95" customHeight="1" x14ac:dyDescent="0.25">
      <c r="C23" s="44" t="str">
        <f>'2027'!C23</f>
        <v>Serviços</v>
      </c>
      <c r="D23" s="90">
        <f>'2027'!D23</f>
        <v>0</v>
      </c>
      <c r="E23" s="90">
        <f>'2027'!E23</f>
        <v>0</v>
      </c>
      <c r="F23" s="90">
        <f>'2027'!F23</f>
        <v>0</v>
      </c>
      <c r="G23" s="90">
        <f>'2027'!G23</f>
        <v>0</v>
      </c>
      <c r="H23" s="90">
        <f>'2027'!H23</f>
        <v>0</v>
      </c>
      <c r="I23" s="90">
        <f>'2027'!I23</f>
        <v>0</v>
      </c>
      <c r="J23" s="90">
        <f>'2027'!J23</f>
        <v>0</v>
      </c>
      <c r="K23" s="90">
        <f>'2027'!K23</f>
        <v>0</v>
      </c>
      <c r="L23" s="90">
        <f>'2027'!L23</f>
        <v>0</v>
      </c>
      <c r="M23" s="90">
        <f>'2027'!M23</f>
        <v>0</v>
      </c>
      <c r="N23" s="90">
        <f>'2027'!N23</f>
        <v>0</v>
      </c>
      <c r="O23" s="90">
        <f>'2027'!O23</f>
        <v>0</v>
      </c>
      <c r="P23" s="93">
        <f>SUM(D23:O23)</f>
        <v>0</v>
      </c>
    </row>
    <row r="24" spans="3:16" ht="24.95" customHeight="1" x14ac:dyDescent="0.25">
      <c r="C24" s="43" t="str">
        <f>'2027'!C24</f>
        <v/>
      </c>
      <c r="D24" s="90" t="str">
        <f>'2027'!D24</f>
        <v/>
      </c>
      <c r="E24" s="90" t="str">
        <f>'2027'!E24</f>
        <v/>
      </c>
      <c r="F24" s="90" t="str">
        <f>'2027'!F24</f>
        <v/>
      </c>
      <c r="G24" s="90" t="str">
        <f>'2027'!G24</f>
        <v/>
      </c>
      <c r="H24" s="90" t="str">
        <f>'2027'!H24</f>
        <v/>
      </c>
      <c r="I24" s="90" t="str">
        <f>'2027'!I24</f>
        <v/>
      </c>
      <c r="J24" s="90" t="str">
        <f>'2027'!J24</f>
        <v/>
      </c>
      <c r="K24" s="90" t="str">
        <f>'2027'!K24</f>
        <v/>
      </c>
      <c r="L24" s="90" t="str">
        <f>'2027'!L24</f>
        <v/>
      </c>
      <c r="M24" s="90" t="str">
        <f>'2027'!M24</f>
        <v/>
      </c>
      <c r="N24" s="90" t="str">
        <f>'2027'!N24</f>
        <v/>
      </c>
      <c r="O24" s="90" t="str">
        <f>'2027'!O24</f>
        <v/>
      </c>
      <c r="P24" s="93">
        <f t="shared" ref="P24:P34" si="5">SUM(D24:O24)</f>
        <v>0</v>
      </c>
    </row>
    <row r="25" spans="3:16" ht="24.95" customHeight="1" x14ac:dyDescent="0.25">
      <c r="C25" s="43" t="str">
        <f>'2027'!C25</f>
        <v/>
      </c>
      <c r="D25" s="90" t="str">
        <f>'2027'!D25</f>
        <v/>
      </c>
      <c r="E25" s="90" t="str">
        <f>'2027'!E25</f>
        <v/>
      </c>
      <c r="F25" s="90" t="str">
        <f>'2027'!F25</f>
        <v/>
      </c>
      <c r="G25" s="90" t="str">
        <f>'2027'!G25</f>
        <v/>
      </c>
      <c r="H25" s="90" t="str">
        <f>'2027'!H25</f>
        <v/>
      </c>
      <c r="I25" s="90" t="str">
        <f>'2027'!I25</f>
        <v/>
      </c>
      <c r="J25" s="90" t="str">
        <f>'2027'!J25</f>
        <v/>
      </c>
      <c r="K25" s="90" t="str">
        <f>'2027'!K25</f>
        <v/>
      </c>
      <c r="L25" s="90" t="str">
        <f>'2027'!L25</f>
        <v/>
      </c>
      <c r="M25" s="90" t="str">
        <f>'2027'!M25</f>
        <v/>
      </c>
      <c r="N25" s="90" t="str">
        <f>'2027'!N25</f>
        <v/>
      </c>
      <c r="O25" s="90" t="str">
        <f>'2027'!O25</f>
        <v/>
      </c>
      <c r="P25" s="93">
        <f t="shared" si="5"/>
        <v>0</v>
      </c>
    </row>
    <row r="26" spans="3:16" ht="24.95" customHeight="1" x14ac:dyDescent="0.25">
      <c r="C26" s="198" t="s">
        <v>209</v>
      </c>
      <c r="D26" s="100">
        <f>Desp!D19</f>
        <v>0</v>
      </c>
      <c r="E26" s="99">
        <f>Desp!E19</f>
        <v>0</v>
      </c>
      <c r="F26" s="99">
        <f>Desp!F19</f>
        <v>0</v>
      </c>
      <c r="G26" s="99">
        <f>Desp!G19</f>
        <v>0</v>
      </c>
      <c r="H26" s="99">
        <f>Desp!H19</f>
        <v>0</v>
      </c>
      <c r="I26" s="99">
        <f>Desp!I19</f>
        <v>0</v>
      </c>
      <c r="J26" s="99">
        <f>Desp!J19</f>
        <v>0</v>
      </c>
      <c r="K26" s="99">
        <f>Desp!K19</f>
        <v>0</v>
      </c>
      <c r="L26" s="99">
        <f>Desp!L19</f>
        <v>0</v>
      </c>
      <c r="M26" s="99">
        <f>Desp!M19</f>
        <v>0</v>
      </c>
      <c r="N26" s="99">
        <f>Desp!N19</f>
        <v>0</v>
      </c>
      <c r="O26" s="100">
        <f>Desp!O19</f>
        <v>0</v>
      </c>
      <c r="P26" s="93">
        <f t="shared" si="5"/>
        <v>0</v>
      </c>
    </row>
    <row r="27" spans="3:16" ht="24.95" customHeight="1" x14ac:dyDescent="0.25">
      <c r="C27" s="196" t="s">
        <v>210</v>
      </c>
      <c r="D27" s="97">
        <f>SUM(D21:D25)-D26</f>
        <v>134725</v>
      </c>
      <c r="E27" s="97">
        <f t="shared" ref="E27:O27" si="6">SUM(E21:E25)-E26</f>
        <v>108391</v>
      </c>
      <c r="F27" s="97">
        <f t="shared" si="6"/>
        <v>133613</v>
      </c>
      <c r="G27" s="97">
        <f t="shared" si="6"/>
        <v>120356</v>
      </c>
      <c r="H27" s="97">
        <f t="shared" si="6"/>
        <v>119059</v>
      </c>
      <c r="I27" s="97">
        <f t="shared" si="6"/>
        <v>104241</v>
      </c>
      <c r="J27" s="97">
        <f t="shared" si="6"/>
        <v>123748</v>
      </c>
      <c r="K27" s="97">
        <f t="shared" si="6"/>
        <v>102602</v>
      </c>
      <c r="L27" s="97">
        <f t="shared" si="6"/>
        <v>109759</v>
      </c>
      <c r="M27" s="97">
        <f t="shared" si="6"/>
        <v>115659</v>
      </c>
      <c r="N27" s="97">
        <f t="shared" si="6"/>
        <v>110531</v>
      </c>
      <c r="O27" s="97">
        <f t="shared" si="6"/>
        <v>109533</v>
      </c>
      <c r="P27" s="93">
        <f t="shared" si="5"/>
        <v>1392217</v>
      </c>
    </row>
    <row r="28" spans="3:16" ht="24.95" hidden="1" customHeight="1" x14ac:dyDescent="0.25">
      <c r="C28" s="44" t="s">
        <v>214</v>
      </c>
      <c r="D28" s="90">
        <v>0</v>
      </c>
      <c r="E28" s="90">
        <v>0</v>
      </c>
      <c r="F28" s="90">
        <v>0</v>
      </c>
      <c r="G28" s="90">
        <v>0</v>
      </c>
      <c r="H28" s="90">
        <v>0</v>
      </c>
      <c r="I28" s="90">
        <v>0</v>
      </c>
      <c r="J28" s="90">
        <v>0</v>
      </c>
      <c r="K28" s="90">
        <v>0</v>
      </c>
      <c r="L28" s="90">
        <v>0</v>
      </c>
      <c r="M28" s="90">
        <v>0</v>
      </c>
      <c r="N28" s="90">
        <v>0</v>
      </c>
      <c r="O28" s="90">
        <v>0</v>
      </c>
      <c r="P28" s="93">
        <f t="shared" si="5"/>
        <v>0</v>
      </c>
    </row>
    <row r="29" spans="3:16" ht="24.95" hidden="1" customHeight="1" x14ac:dyDescent="0.25">
      <c r="C29" s="44" t="s">
        <v>215</v>
      </c>
      <c r="D29" s="90">
        <v>0</v>
      </c>
      <c r="E29" s="90">
        <v>0</v>
      </c>
      <c r="F29" s="90">
        <v>0</v>
      </c>
      <c r="G29" s="90">
        <v>0</v>
      </c>
      <c r="H29" s="90">
        <v>0</v>
      </c>
      <c r="I29" s="90">
        <v>0</v>
      </c>
      <c r="J29" s="90">
        <v>0</v>
      </c>
      <c r="K29" s="90">
        <v>0</v>
      </c>
      <c r="L29" s="90">
        <v>0</v>
      </c>
      <c r="M29" s="90">
        <v>0</v>
      </c>
      <c r="N29" s="90">
        <v>0</v>
      </c>
      <c r="O29" s="90">
        <v>0</v>
      </c>
      <c r="P29" s="93">
        <f t="shared" si="5"/>
        <v>0</v>
      </c>
    </row>
    <row r="30" spans="3:16" ht="24.95" customHeight="1" x14ac:dyDescent="0.25">
      <c r="C30" s="44" t="s">
        <v>216</v>
      </c>
      <c r="D30" s="90">
        <f>D87</f>
        <v>11316.9</v>
      </c>
      <c r="E30" s="90">
        <f t="shared" ref="E30:O30" si="7">E87</f>
        <v>9104.8439999999991</v>
      </c>
      <c r="F30" s="90">
        <f t="shared" si="7"/>
        <v>11223.491999999998</v>
      </c>
      <c r="G30" s="90">
        <f t="shared" si="7"/>
        <v>10109.903999999999</v>
      </c>
      <c r="H30" s="90">
        <f t="shared" si="7"/>
        <v>10000.955999999998</v>
      </c>
      <c r="I30" s="90">
        <f t="shared" si="7"/>
        <v>8756.2439999999988</v>
      </c>
      <c r="J30" s="90">
        <f t="shared" si="7"/>
        <v>10394.831999999999</v>
      </c>
      <c r="K30" s="90">
        <f t="shared" si="7"/>
        <v>8618.5679999999993</v>
      </c>
      <c r="L30" s="90">
        <f t="shared" si="7"/>
        <v>9219.7559999999994</v>
      </c>
      <c r="M30" s="90">
        <f t="shared" si="7"/>
        <v>9715.3559999999998</v>
      </c>
      <c r="N30" s="90">
        <f t="shared" si="7"/>
        <v>9284.6039999999994</v>
      </c>
      <c r="O30" s="90">
        <f t="shared" si="7"/>
        <v>9200.771999999999</v>
      </c>
      <c r="P30" s="93">
        <f t="shared" si="5"/>
        <v>116946.22799999997</v>
      </c>
    </row>
    <row r="31" spans="3:16" ht="24.95" hidden="1" customHeight="1" x14ac:dyDescent="0.25">
      <c r="C31" s="44" t="s">
        <v>217</v>
      </c>
      <c r="D31" s="90">
        <v>0</v>
      </c>
      <c r="E31" s="90">
        <v>0</v>
      </c>
      <c r="F31" s="90">
        <v>0</v>
      </c>
      <c r="G31" s="90">
        <v>0</v>
      </c>
      <c r="H31" s="90">
        <v>0</v>
      </c>
      <c r="I31" s="90">
        <v>0</v>
      </c>
      <c r="J31" s="90">
        <v>0</v>
      </c>
      <c r="K31" s="90">
        <v>0</v>
      </c>
      <c r="L31" s="90">
        <v>0</v>
      </c>
      <c r="M31" s="90">
        <v>0</v>
      </c>
      <c r="N31" s="90">
        <v>0</v>
      </c>
      <c r="O31" s="90">
        <v>0</v>
      </c>
      <c r="P31" s="93">
        <f t="shared" si="5"/>
        <v>0</v>
      </c>
    </row>
    <row r="32" spans="3:16" ht="24.95" customHeight="1" x14ac:dyDescent="0.25">
      <c r="C32" s="44" t="s">
        <v>218</v>
      </c>
      <c r="D32" s="90">
        <f>D88</f>
        <v>0</v>
      </c>
      <c r="E32" s="90">
        <f t="shared" ref="E32:O32" si="8">E88</f>
        <v>0</v>
      </c>
      <c r="F32" s="90">
        <f t="shared" si="8"/>
        <v>0</v>
      </c>
      <c r="G32" s="90">
        <f t="shared" si="8"/>
        <v>0</v>
      </c>
      <c r="H32" s="90">
        <f t="shared" si="8"/>
        <v>0</v>
      </c>
      <c r="I32" s="90">
        <f t="shared" si="8"/>
        <v>0</v>
      </c>
      <c r="J32" s="90">
        <f t="shared" si="8"/>
        <v>0</v>
      </c>
      <c r="K32" s="90">
        <f t="shared" si="8"/>
        <v>0</v>
      </c>
      <c r="L32" s="90">
        <f t="shared" si="8"/>
        <v>0</v>
      </c>
      <c r="M32" s="90">
        <f t="shared" si="8"/>
        <v>0</v>
      </c>
      <c r="N32" s="90">
        <f t="shared" si="8"/>
        <v>0</v>
      </c>
      <c r="O32" s="90">
        <f t="shared" si="8"/>
        <v>0</v>
      </c>
      <c r="P32" s="93">
        <f t="shared" si="5"/>
        <v>0</v>
      </c>
    </row>
    <row r="33" spans="3:16" ht="24.95" customHeight="1" x14ac:dyDescent="0.25">
      <c r="C33" s="44" t="s">
        <v>247</v>
      </c>
      <c r="D33" s="90">
        <f>D81</f>
        <v>12408.172500000001</v>
      </c>
      <c r="E33" s="90">
        <f t="shared" ref="E33:O33" si="9">E81</f>
        <v>9982.8111000000008</v>
      </c>
      <c r="F33" s="90">
        <f t="shared" si="9"/>
        <v>12305.757299999999</v>
      </c>
      <c r="G33" s="90">
        <f t="shared" si="9"/>
        <v>11084.7876</v>
      </c>
      <c r="H33" s="90">
        <f t="shared" si="9"/>
        <v>10965.3339</v>
      </c>
      <c r="I33" s="90">
        <f t="shared" si="9"/>
        <v>9600.5961000000007</v>
      </c>
      <c r="J33" s="90">
        <f t="shared" si="9"/>
        <v>11397.1908</v>
      </c>
      <c r="K33" s="90">
        <f t="shared" si="9"/>
        <v>9449.6442000000006</v>
      </c>
      <c r="L33" s="90">
        <f t="shared" si="9"/>
        <v>10108.803900000001</v>
      </c>
      <c r="M33" s="90">
        <f t="shared" si="9"/>
        <v>10652.1939</v>
      </c>
      <c r="N33" s="90">
        <f t="shared" si="9"/>
        <v>10179.9051</v>
      </c>
      <c r="O33" s="90">
        <f t="shared" si="9"/>
        <v>10087.989299999999</v>
      </c>
      <c r="P33" s="93">
        <f t="shared" si="5"/>
        <v>128223.18569999999</v>
      </c>
    </row>
    <row r="34" spans="3:16" ht="24.95" customHeight="1" x14ac:dyDescent="0.25">
      <c r="C34" s="198" t="s">
        <v>248</v>
      </c>
      <c r="D34" s="99">
        <f>D98</f>
        <v>7558.0725000000011</v>
      </c>
      <c r="E34" s="99">
        <f t="shared" ref="E34:O34" si="10">E98</f>
        <v>6080.7351000000008</v>
      </c>
      <c r="F34" s="99">
        <f t="shared" si="10"/>
        <v>7495.6893000000018</v>
      </c>
      <c r="G34" s="99">
        <f t="shared" si="10"/>
        <v>6751.9716000000008</v>
      </c>
      <c r="H34" s="99">
        <f t="shared" si="10"/>
        <v>6679.2099000000007</v>
      </c>
      <c r="I34" s="99">
        <f t="shared" si="10"/>
        <v>5847.9201000000003</v>
      </c>
      <c r="J34" s="99">
        <f t="shared" si="10"/>
        <v>6942.2628000000013</v>
      </c>
      <c r="K34" s="99">
        <f t="shared" si="10"/>
        <v>5755.9722000000011</v>
      </c>
      <c r="L34" s="99">
        <f t="shared" si="10"/>
        <v>6157.4799000000012</v>
      </c>
      <c r="M34" s="99">
        <f t="shared" si="10"/>
        <v>6488.469900000001</v>
      </c>
      <c r="N34" s="99">
        <f t="shared" si="10"/>
        <v>6200.7891000000009</v>
      </c>
      <c r="O34" s="99">
        <f t="shared" si="10"/>
        <v>6144.8013000000001</v>
      </c>
      <c r="P34" s="93">
        <f t="shared" si="5"/>
        <v>78103.373700000011</v>
      </c>
    </row>
    <row r="35" spans="3:16" ht="24.95" customHeight="1" x14ac:dyDescent="0.25">
      <c r="C35" s="199" t="s">
        <v>211</v>
      </c>
      <c r="D35" s="97">
        <f>D27-SUM(D28:D34)</f>
        <v>103441.855</v>
      </c>
      <c r="E35" s="97">
        <f t="shared" ref="E35:O35" si="11">E27-SUM(E28:E34)</f>
        <v>83222.609800000006</v>
      </c>
      <c r="F35" s="97">
        <f t="shared" si="11"/>
        <v>102588.06140000001</v>
      </c>
      <c r="G35" s="97">
        <f t="shared" si="11"/>
        <v>92409.336800000005</v>
      </c>
      <c r="H35" s="97">
        <f t="shared" si="11"/>
        <v>91413.500200000009</v>
      </c>
      <c r="I35" s="97">
        <f t="shared" si="11"/>
        <v>80036.239799999996</v>
      </c>
      <c r="J35" s="97">
        <f t="shared" si="11"/>
        <v>95013.714399999997</v>
      </c>
      <c r="K35" s="97">
        <f t="shared" si="11"/>
        <v>78777.815600000002</v>
      </c>
      <c r="L35" s="97">
        <f t="shared" si="11"/>
        <v>84272.960200000001</v>
      </c>
      <c r="M35" s="97">
        <f t="shared" si="11"/>
        <v>88802.980200000005</v>
      </c>
      <c r="N35" s="97">
        <f t="shared" si="11"/>
        <v>84865.701799999995</v>
      </c>
      <c r="O35" s="97">
        <f t="shared" si="11"/>
        <v>84099.437399999995</v>
      </c>
      <c r="P35" s="93">
        <f>SUM(D35:O35)</f>
        <v>1068944.2126</v>
      </c>
    </row>
    <row r="36" spans="3:16" ht="24.95" customHeight="1" x14ac:dyDescent="0.25">
      <c r="C36" s="43" t="s">
        <v>219</v>
      </c>
      <c r="D36" s="90">
        <f>Cus!D5</f>
        <v>0</v>
      </c>
      <c r="E36" s="90">
        <f>Cus!E5</f>
        <v>0</v>
      </c>
      <c r="F36" s="90">
        <f>Cus!F5</f>
        <v>0</v>
      </c>
      <c r="G36" s="90">
        <f>Cus!G5</f>
        <v>0</v>
      </c>
      <c r="H36" s="90">
        <f>Cus!H5</f>
        <v>0</v>
      </c>
      <c r="I36" s="90">
        <f>Cus!I5</f>
        <v>0</v>
      </c>
      <c r="J36" s="90">
        <f>Cus!J5</f>
        <v>0</v>
      </c>
      <c r="K36" s="90">
        <f>Cus!K5</f>
        <v>0</v>
      </c>
      <c r="L36" s="90">
        <f>Cus!L5</f>
        <v>0</v>
      </c>
      <c r="M36" s="90">
        <f>Cus!M5</f>
        <v>0</v>
      </c>
      <c r="N36" s="90">
        <f>Cus!N5</f>
        <v>0</v>
      </c>
      <c r="O36" s="90">
        <f>Cus!O5</f>
        <v>0</v>
      </c>
      <c r="P36" s="93">
        <f t="shared" ref="P36:P45" si="12">SUM(D36:O36)</f>
        <v>0</v>
      </c>
    </row>
    <row r="37" spans="3:16" ht="24.95" customHeight="1" x14ac:dyDescent="0.25">
      <c r="C37" s="44" t="s">
        <v>220</v>
      </c>
      <c r="D37" s="90">
        <f>Cus!D6</f>
        <v>38671</v>
      </c>
      <c r="E37" s="90">
        <f>Cus!E6</f>
        <v>35038</v>
      </c>
      <c r="F37" s="90">
        <f>Cus!F6</f>
        <v>38988</v>
      </c>
      <c r="G37" s="90">
        <f>Cus!G6</f>
        <v>36366</v>
      </c>
      <c r="H37" s="90">
        <f>Cus!H6</f>
        <v>36221</v>
      </c>
      <c r="I37" s="90">
        <f>Cus!I6</f>
        <v>36625</v>
      </c>
      <c r="J37" s="90">
        <f>Cus!J6</f>
        <v>37727</v>
      </c>
      <c r="K37" s="90">
        <f>Cus!K6</f>
        <v>38303</v>
      </c>
      <c r="L37" s="90">
        <f>Cus!L6</f>
        <v>39407</v>
      </c>
      <c r="M37" s="90">
        <f>Cus!M6</f>
        <v>36094</v>
      </c>
      <c r="N37" s="90">
        <f>Cus!N6</f>
        <v>37011</v>
      </c>
      <c r="O37" s="90">
        <f>Cus!O6</f>
        <v>39167</v>
      </c>
      <c r="P37" s="93">
        <f t="shared" si="12"/>
        <v>449618</v>
      </c>
    </row>
    <row r="38" spans="3:16" ht="24.95" customHeight="1" x14ac:dyDescent="0.25">
      <c r="C38" s="44" t="s">
        <v>221</v>
      </c>
      <c r="D38" s="126">
        <f>Cus!D7</f>
        <v>0</v>
      </c>
      <c r="E38" s="125">
        <f>Cus!E7</f>
        <v>0</v>
      </c>
      <c r="F38" s="125">
        <f>Cus!F7</f>
        <v>0</v>
      </c>
      <c r="G38" s="125">
        <f>Cus!G7</f>
        <v>0</v>
      </c>
      <c r="H38" s="125">
        <f>Cus!H7</f>
        <v>0</v>
      </c>
      <c r="I38" s="125">
        <f>Cus!I7</f>
        <v>0</v>
      </c>
      <c r="J38" s="125">
        <f>Cus!J7</f>
        <v>0</v>
      </c>
      <c r="K38" s="125">
        <f>Cus!K7</f>
        <v>0</v>
      </c>
      <c r="L38" s="125">
        <f>Cus!L7</f>
        <v>0</v>
      </c>
      <c r="M38" s="125">
        <f>Cus!M7</f>
        <v>0</v>
      </c>
      <c r="N38" s="125">
        <f>Cus!N7</f>
        <v>0</v>
      </c>
      <c r="O38" s="126">
        <f>Cus!O7</f>
        <v>0</v>
      </c>
      <c r="P38" s="93">
        <f t="shared" si="12"/>
        <v>0</v>
      </c>
    </row>
    <row r="39" spans="3:16" ht="24.95" customHeight="1" x14ac:dyDescent="0.25">
      <c r="C39" s="228" t="s">
        <v>353</v>
      </c>
      <c r="D39" s="263">
        <f>IF('BH (1)'!$D$4="Simples Nacional",IF('BH (1)'!$C$15=1,0,D79+D99),D79+D89+D90+D99)</f>
        <v>7237.6972499999993</v>
      </c>
      <c r="E39" s="263">
        <f>IF('BH (1)'!$D$4="Simples Nacional",IF('BH (1)'!$C$15=1,0,E79+E99),E79+E89+E90+E99)</f>
        <v>7040.4078</v>
      </c>
      <c r="F39" s="263">
        <f>IF('BH (1)'!$D$4="Simples Nacional",IF('BH (1)'!$C$15=1,0,F79+F99),F79+F89+F90+F99)</f>
        <v>6910.6318499999998</v>
      </c>
      <c r="G39" s="263">
        <f>IF('BH (1)'!$D$4="Simples Nacional",IF('BH (1)'!$C$15=1,0,G79+G99),G79+G89+G90+G99)</f>
        <v>6838.3674000000001</v>
      </c>
      <c r="H39" s="263">
        <f>IF('BH (1)'!$D$4="Simples Nacional",IF('BH (1)'!$C$15=1,0,H79+H99),H79+H89+H90+H99)</f>
        <v>6898.8795</v>
      </c>
      <c r="I39" s="263">
        <f>IF('BH (1)'!$D$4="Simples Nacional",IF('BH (1)'!$C$15=1,0,I79+I99),I79+I89+I90+I99)</f>
        <v>6910.1317500000005</v>
      </c>
      <c r="J39" s="263">
        <f>IF('BH (1)'!$D$4="Simples Nacional",IF('BH (1)'!$C$15=1,0,J79+J99),J79+J89+J90+J99)</f>
        <v>6332.0161500000004</v>
      </c>
      <c r="K39" s="263">
        <f>IF('BH (1)'!$D$4="Simples Nacional",IF('BH (1)'!$C$15=1,0,K79+K99),K79+K89+K90+K99)</f>
        <v>7203.1903500000008</v>
      </c>
      <c r="L39" s="263">
        <f>IF('BH (1)'!$D$4="Simples Nacional",IF('BH (1)'!$C$15=1,0,L79+L99),L79+L89+L90+L99)</f>
        <v>6347.5192499999994</v>
      </c>
      <c r="M39" s="263">
        <f>IF('BH (1)'!$D$4="Simples Nacional",IF('BH (1)'!$C$15=1,0,M79+M99),M79+M89+M90+M99)</f>
        <v>7532.5061999999989</v>
      </c>
      <c r="N39" s="263">
        <f>IF('BH (1)'!$D$4="Simples Nacional",IF('BH (1)'!$C$15=1,0,N79+N99),N79+N89+N90+N99)</f>
        <v>6860.3717999999999</v>
      </c>
      <c r="O39" s="263">
        <f>IF('BH (1)'!$D$4="Simples Nacional",IF('BH (1)'!$C$15=1,0,O79+O99),O79+O89+O90+O99)</f>
        <v>6447.2891999999993</v>
      </c>
      <c r="P39" s="93">
        <f>SUM(D39:O39)</f>
        <v>82559.008499999996</v>
      </c>
    </row>
    <row r="40" spans="3:16" ht="24.95" customHeight="1" x14ac:dyDescent="0.25">
      <c r="C40" s="196" t="s">
        <v>212</v>
      </c>
      <c r="D40" s="97">
        <f>IFERROR(IF(SUM(D36:D38)=0,D35-SUM(D36:D38),D35-SUM(D36:D38)+D39),0)</f>
        <v>72008.552249999993</v>
      </c>
      <c r="E40" s="97">
        <f t="shared" ref="E40:N40" si="13">IFERROR(IF(SUM(E36:E38)=0,E35-SUM(E36:E38),E35-SUM(E36:E38)+E39),0)</f>
        <v>55225.017600000006</v>
      </c>
      <c r="F40" s="97">
        <f t="shared" si="13"/>
        <v>70510.693250000011</v>
      </c>
      <c r="G40" s="97">
        <f t="shared" si="13"/>
        <v>62881.704200000007</v>
      </c>
      <c r="H40" s="97">
        <f t="shared" si="13"/>
        <v>62091.379700000012</v>
      </c>
      <c r="I40" s="97">
        <f t="shared" si="13"/>
        <v>50321.371549999996</v>
      </c>
      <c r="J40" s="97">
        <f t="shared" si="13"/>
        <v>63618.73055</v>
      </c>
      <c r="K40" s="97">
        <f t="shared" si="13"/>
        <v>47678.005950000006</v>
      </c>
      <c r="L40" s="97">
        <f t="shared" si="13"/>
        <v>51213.479449999999</v>
      </c>
      <c r="M40" s="97">
        <f t="shared" si="13"/>
        <v>60241.486400000002</v>
      </c>
      <c r="N40" s="97">
        <f t="shared" si="13"/>
        <v>54715.073599999996</v>
      </c>
      <c r="O40" s="97">
        <f>IFERROR(IF(SUM(O36:O38)=0,O35-SUM(O36:O38),O35-SUM(O36:O38)+O39),0)</f>
        <v>51379.726599999995</v>
      </c>
      <c r="P40" s="93">
        <f>SUM(D40:O40)</f>
        <v>701885.22109999997</v>
      </c>
    </row>
    <row r="41" spans="3:16" ht="24.95" customHeight="1" x14ac:dyDescent="0.25">
      <c r="C41" s="44" t="s">
        <v>226</v>
      </c>
      <c r="D41" s="90">
        <f>Desp!D5</f>
        <v>26739</v>
      </c>
      <c r="E41" s="90">
        <f>Desp!E5</f>
        <v>27419</v>
      </c>
      <c r="F41" s="90">
        <f>Desp!F5</f>
        <v>25474</v>
      </c>
      <c r="G41" s="90">
        <f>Desp!G5</f>
        <v>27975</v>
      </c>
      <c r="H41" s="90">
        <f>Desp!H5</f>
        <v>26284</v>
      </c>
      <c r="I41" s="90">
        <f>Desp!I5</f>
        <v>27556</v>
      </c>
      <c r="J41" s="90">
        <f>Desp!J5</f>
        <v>27311</v>
      </c>
      <c r="K41" s="90">
        <f>Desp!K5</f>
        <v>27931</v>
      </c>
      <c r="L41" s="90">
        <f>Desp!L5</f>
        <v>26172</v>
      </c>
      <c r="M41" s="90">
        <f>Desp!M5</f>
        <v>27441</v>
      </c>
      <c r="N41" s="90">
        <f>Desp!N5</f>
        <v>27567</v>
      </c>
      <c r="O41" s="90">
        <f>Desp!O5</f>
        <v>27298</v>
      </c>
      <c r="P41" s="93">
        <f t="shared" si="12"/>
        <v>325167</v>
      </c>
    </row>
    <row r="42" spans="3:16" ht="24.95" customHeight="1" x14ac:dyDescent="0.25">
      <c r="C42" s="44" t="s">
        <v>227</v>
      </c>
      <c r="D42" s="90">
        <f>Desp!D6</f>
        <v>0</v>
      </c>
      <c r="E42" s="90">
        <f>Desp!E6</f>
        <v>0</v>
      </c>
      <c r="F42" s="90">
        <f>Desp!F6</f>
        <v>0</v>
      </c>
      <c r="G42" s="90">
        <f>Desp!G6</f>
        <v>0</v>
      </c>
      <c r="H42" s="90">
        <f>Desp!H6</f>
        <v>0</v>
      </c>
      <c r="I42" s="90">
        <f>Desp!I6</f>
        <v>0</v>
      </c>
      <c r="J42" s="90">
        <f>Desp!J6</f>
        <v>0</v>
      </c>
      <c r="K42" s="90">
        <f>Desp!K6</f>
        <v>0</v>
      </c>
      <c r="L42" s="90">
        <f>Desp!L6</f>
        <v>0</v>
      </c>
      <c r="M42" s="90">
        <f>Desp!M6</f>
        <v>0</v>
      </c>
      <c r="N42" s="90">
        <f>Desp!N6</f>
        <v>0</v>
      </c>
      <c r="O42" s="90">
        <f>Desp!O6</f>
        <v>0</v>
      </c>
      <c r="P42" s="93">
        <f t="shared" si="12"/>
        <v>0</v>
      </c>
    </row>
    <row r="43" spans="3:16" ht="24.95" customHeight="1" x14ac:dyDescent="0.25">
      <c r="C43" s="44" t="s">
        <v>228</v>
      </c>
      <c r="D43" s="90">
        <f>Desp!D7</f>
        <v>0</v>
      </c>
      <c r="E43" s="90">
        <f>Desp!E7</f>
        <v>0</v>
      </c>
      <c r="F43" s="90">
        <f>Desp!F7</f>
        <v>0</v>
      </c>
      <c r="G43" s="90">
        <f>Desp!G7</f>
        <v>0</v>
      </c>
      <c r="H43" s="90">
        <f>Desp!H7</f>
        <v>0</v>
      </c>
      <c r="I43" s="90">
        <f>Desp!I7</f>
        <v>0</v>
      </c>
      <c r="J43" s="90">
        <f>Desp!J7</f>
        <v>0</v>
      </c>
      <c r="K43" s="90">
        <f>Desp!K7</f>
        <v>0</v>
      </c>
      <c r="L43" s="90">
        <f>Desp!L7</f>
        <v>0</v>
      </c>
      <c r="M43" s="90">
        <f>Desp!M7</f>
        <v>0</v>
      </c>
      <c r="N43" s="90">
        <f>Desp!N7</f>
        <v>0</v>
      </c>
      <c r="O43" s="90">
        <f>Desp!O7</f>
        <v>0</v>
      </c>
      <c r="P43" s="93">
        <f t="shared" si="12"/>
        <v>0</v>
      </c>
    </row>
    <row r="44" spans="3:16" ht="24.95" customHeight="1" x14ac:dyDescent="0.25">
      <c r="C44" s="44" t="s">
        <v>229</v>
      </c>
      <c r="D44" s="90">
        <f>Desp!D8</f>
        <v>0</v>
      </c>
      <c r="E44" s="90">
        <f>Desp!E8</f>
        <v>0</v>
      </c>
      <c r="F44" s="90">
        <f>Desp!F8</f>
        <v>0</v>
      </c>
      <c r="G44" s="90">
        <f>Desp!G8</f>
        <v>0</v>
      </c>
      <c r="H44" s="90">
        <f>Desp!H8</f>
        <v>0</v>
      </c>
      <c r="I44" s="90">
        <f>Desp!I8</f>
        <v>0</v>
      </c>
      <c r="J44" s="90">
        <f>Desp!J8</f>
        <v>0</v>
      </c>
      <c r="K44" s="90">
        <f>Desp!K8</f>
        <v>0</v>
      </c>
      <c r="L44" s="90">
        <f>Desp!L8</f>
        <v>0</v>
      </c>
      <c r="M44" s="90">
        <f>Desp!M8</f>
        <v>0</v>
      </c>
      <c r="N44" s="90">
        <f>Desp!N8</f>
        <v>0</v>
      </c>
      <c r="O44" s="90">
        <f>Desp!O8</f>
        <v>0</v>
      </c>
      <c r="P44" s="93">
        <f t="shared" si="12"/>
        <v>0</v>
      </c>
    </row>
    <row r="45" spans="3:16" ht="24.95" customHeight="1" x14ac:dyDescent="0.25">
      <c r="C45" s="44" t="s">
        <v>230</v>
      </c>
      <c r="D45" s="90">
        <f>Desp!D9</f>
        <v>0</v>
      </c>
      <c r="E45" s="90">
        <f>Desp!E9</f>
        <v>0</v>
      </c>
      <c r="F45" s="90">
        <f>Desp!F9</f>
        <v>0</v>
      </c>
      <c r="G45" s="90">
        <f>Desp!G9</f>
        <v>0</v>
      </c>
      <c r="H45" s="90">
        <f>Desp!H9</f>
        <v>0</v>
      </c>
      <c r="I45" s="90">
        <f>Desp!I9</f>
        <v>0</v>
      </c>
      <c r="J45" s="90">
        <f>Desp!J9</f>
        <v>0</v>
      </c>
      <c r="K45" s="90">
        <f>Desp!K9</f>
        <v>0</v>
      </c>
      <c r="L45" s="90">
        <f>Desp!L9</f>
        <v>0</v>
      </c>
      <c r="M45" s="90">
        <f>Desp!M9</f>
        <v>0</v>
      </c>
      <c r="N45" s="90">
        <f>Desp!N9</f>
        <v>0</v>
      </c>
      <c r="O45" s="90">
        <f>Desp!O9</f>
        <v>0</v>
      </c>
      <c r="P45" s="93">
        <f t="shared" si="12"/>
        <v>0</v>
      </c>
    </row>
    <row r="46" spans="3:16" ht="24.95" customHeight="1" x14ac:dyDescent="0.25">
      <c r="C46" s="44" t="s">
        <v>231</v>
      </c>
      <c r="D46" s="90">
        <f>Desp!D10</f>
        <v>0</v>
      </c>
      <c r="E46" s="90">
        <f>Desp!E10</f>
        <v>0</v>
      </c>
      <c r="F46" s="90">
        <f>Desp!F10</f>
        <v>0</v>
      </c>
      <c r="G46" s="90">
        <f>Desp!G10</f>
        <v>0</v>
      </c>
      <c r="H46" s="90">
        <f>Desp!H10</f>
        <v>0</v>
      </c>
      <c r="I46" s="90">
        <f>Desp!I10</f>
        <v>0</v>
      </c>
      <c r="J46" s="90">
        <f>Desp!J10</f>
        <v>0</v>
      </c>
      <c r="K46" s="90">
        <f>Desp!K10</f>
        <v>0</v>
      </c>
      <c r="L46" s="90">
        <f>Desp!L10</f>
        <v>0</v>
      </c>
      <c r="M46" s="90">
        <f>Desp!M10</f>
        <v>0</v>
      </c>
      <c r="N46" s="90">
        <f>Desp!N10</f>
        <v>0</v>
      </c>
      <c r="O46" s="90">
        <f>Desp!O10</f>
        <v>0</v>
      </c>
      <c r="P46" s="93">
        <f t="shared" ref="P46:P58" si="14">SUM(D46:O46)</f>
        <v>0</v>
      </c>
    </row>
    <row r="47" spans="3:16" ht="24.95" customHeight="1" x14ac:dyDescent="0.25">
      <c r="C47" s="44" t="s">
        <v>232</v>
      </c>
      <c r="D47" s="90">
        <f>Desp!D11</f>
        <v>0</v>
      </c>
      <c r="E47" s="90">
        <f>Desp!E11</f>
        <v>0</v>
      </c>
      <c r="F47" s="90">
        <f>Desp!F11</f>
        <v>0</v>
      </c>
      <c r="G47" s="90">
        <f>Desp!G11</f>
        <v>0</v>
      </c>
      <c r="H47" s="90">
        <f>Desp!H11</f>
        <v>0</v>
      </c>
      <c r="I47" s="90">
        <f>Desp!I11</f>
        <v>0</v>
      </c>
      <c r="J47" s="90">
        <f>Desp!J11</f>
        <v>0</v>
      </c>
      <c r="K47" s="90">
        <f>Desp!K11</f>
        <v>0</v>
      </c>
      <c r="L47" s="90">
        <f>Desp!L11</f>
        <v>0</v>
      </c>
      <c r="M47" s="90">
        <f>Desp!M11</f>
        <v>0</v>
      </c>
      <c r="N47" s="90">
        <f>Desp!N11</f>
        <v>0</v>
      </c>
      <c r="O47" s="90">
        <f>Desp!O11</f>
        <v>0</v>
      </c>
      <c r="P47" s="93">
        <f t="shared" si="14"/>
        <v>0</v>
      </c>
    </row>
    <row r="48" spans="3:16" ht="24.95" customHeight="1" x14ac:dyDescent="0.25">
      <c r="C48" s="44" t="s">
        <v>234</v>
      </c>
      <c r="D48" s="90">
        <f>Cus!D13</f>
        <v>12000</v>
      </c>
      <c r="E48" s="90">
        <f>Cus!E13</f>
        <v>12000</v>
      </c>
      <c r="F48" s="90">
        <f>Cus!F13</f>
        <v>12000</v>
      </c>
      <c r="G48" s="90">
        <f>Cus!G13</f>
        <v>12000</v>
      </c>
      <c r="H48" s="90">
        <f>Cus!H13</f>
        <v>12000</v>
      </c>
      <c r="I48" s="90">
        <f>Cus!I13</f>
        <v>12000</v>
      </c>
      <c r="J48" s="90">
        <f>Cus!J13</f>
        <v>12000</v>
      </c>
      <c r="K48" s="90">
        <f>Cus!K13</f>
        <v>12000</v>
      </c>
      <c r="L48" s="90">
        <f>Cus!L13</f>
        <v>12000</v>
      </c>
      <c r="M48" s="90">
        <f>Cus!M13</f>
        <v>12000</v>
      </c>
      <c r="N48" s="90">
        <f>Cus!N13</f>
        <v>12000</v>
      </c>
      <c r="O48" s="90">
        <f>Cus!O13</f>
        <v>12000</v>
      </c>
      <c r="P48" s="93">
        <f t="shared" si="14"/>
        <v>144000</v>
      </c>
    </row>
    <row r="49" spans="3:16" ht="24.95" customHeight="1" x14ac:dyDescent="0.25">
      <c r="C49" s="44" t="s">
        <v>235</v>
      </c>
      <c r="D49" s="90">
        <f>Cus!D14</f>
        <v>0</v>
      </c>
      <c r="E49" s="90">
        <f>Cus!E14</f>
        <v>0</v>
      </c>
      <c r="F49" s="90">
        <f>Cus!F14</f>
        <v>0</v>
      </c>
      <c r="G49" s="90">
        <f>Cus!G14</f>
        <v>0</v>
      </c>
      <c r="H49" s="90">
        <f>Cus!H14</f>
        <v>0</v>
      </c>
      <c r="I49" s="90">
        <f>Cus!I14</f>
        <v>0</v>
      </c>
      <c r="J49" s="90">
        <f>Cus!J14</f>
        <v>0</v>
      </c>
      <c r="K49" s="90">
        <f>Cus!K14</f>
        <v>0</v>
      </c>
      <c r="L49" s="90">
        <f>Cus!L14</f>
        <v>0</v>
      </c>
      <c r="M49" s="90">
        <f>Cus!M14</f>
        <v>0</v>
      </c>
      <c r="N49" s="90">
        <f>Cus!N14</f>
        <v>0</v>
      </c>
      <c r="O49" s="90">
        <f>Cus!O14</f>
        <v>0</v>
      </c>
      <c r="P49" s="93">
        <f t="shared" si="14"/>
        <v>0</v>
      </c>
    </row>
    <row r="50" spans="3:16" ht="24.95" customHeight="1" x14ac:dyDescent="0.25">
      <c r="C50" s="44" t="s">
        <v>233</v>
      </c>
      <c r="D50" s="90">
        <f>IF('BH (1)'!$D$4="Simples Nacional",Simp6!D19,Cus!D15)</f>
        <v>2400</v>
      </c>
      <c r="E50" s="90">
        <f>IF('BH (1)'!$D$4="Simples Nacional",Simp6!E19,Cus!E15)</f>
        <v>2400</v>
      </c>
      <c r="F50" s="90">
        <f>IF('BH (1)'!$D$4="Simples Nacional",Simp6!F19,Cus!F15)</f>
        <v>2400</v>
      </c>
      <c r="G50" s="90">
        <f>IF('BH (1)'!$D$4="Simples Nacional",Simp6!G19,Cus!G15)</f>
        <v>2400</v>
      </c>
      <c r="H50" s="90">
        <f>IF('BH (1)'!$D$4="Simples Nacional",Simp6!H19,Cus!H15)</f>
        <v>2400</v>
      </c>
      <c r="I50" s="90">
        <f>IF('BH (1)'!$D$4="Simples Nacional",Simp6!I19,Cus!I15)</f>
        <v>2400</v>
      </c>
      <c r="J50" s="90">
        <f>IF('BH (1)'!$D$4="Simples Nacional",Simp6!J19,Cus!J15)</f>
        <v>2400</v>
      </c>
      <c r="K50" s="90">
        <f>IF('BH (1)'!$D$4="Simples Nacional",Simp6!K19,Cus!K15)</f>
        <v>2400</v>
      </c>
      <c r="L50" s="90">
        <f>IF('BH (1)'!$D$4="Simples Nacional",Simp6!L19,Cus!L15)</f>
        <v>2400</v>
      </c>
      <c r="M50" s="90">
        <f>IF('BH (1)'!$D$4="Simples Nacional",Simp6!M19,Cus!M15)</f>
        <v>2400</v>
      </c>
      <c r="N50" s="90">
        <f>IF('BH (1)'!$D$4="Simples Nacional",Simp6!N19,Cus!N15)</f>
        <v>2400</v>
      </c>
      <c r="O50" s="90">
        <f>IF('BH (1)'!$D$4="Simples Nacional",Simp6!O19,Cus!O15)</f>
        <v>2400</v>
      </c>
      <c r="P50" s="93">
        <f t="shared" si="14"/>
        <v>28800</v>
      </c>
    </row>
    <row r="51" spans="3:16" ht="24.95" customHeight="1" x14ac:dyDescent="0.25">
      <c r="C51" s="44" t="s">
        <v>236</v>
      </c>
      <c r="D51" s="90">
        <f>Cus!D18</f>
        <v>960</v>
      </c>
      <c r="E51" s="90">
        <f>Cus!E18</f>
        <v>960</v>
      </c>
      <c r="F51" s="90">
        <f>Cus!F18</f>
        <v>960</v>
      </c>
      <c r="G51" s="90">
        <f>Cus!G18</f>
        <v>960</v>
      </c>
      <c r="H51" s="90">
        <f>Cus!H18</f>
        <v>960</v>
      </c>
      <c r="I51" s="90">
        <f>Cus!I18</f>
        <v>960</v>
      </c>
      <c r="J51" s="90">
        <f>Cus!J18</f>
        <v>960</v>
      </c>
      <c r="K51" s="90">
        <f>Cus!K18</f>
        <v>960</v>
      </c>
      <c r="L51" s="90">
        <f>Cus!L18</f>
        <v>960</v>
      </c>
      <c r="M51" s="90">
        <f>Cus!M18</f>
        <v>960</v>
      </c>
      <c r="N51" s="90">
        <f>Cus!N18</f>
        <v>960</v>
      </c>
      <c r="O51" s="90">
        <f>Cus!O18</f>
        <v>960</v>
      </c>
      <c r="P51" s="93">
        <f t="shared" si="14"/>
        <v>11520</v>
      </c>
    </row>
    <row r="52" spans="3:16" ht="24.95" customHeight="1" x14ac:dyDescent="0.25">
      <c r="C52" s="44" t="str">
        <f>IF('BH (1)'!$D$4="Simples Nacional","","(-) Terceiros")</f>
        <v>(-) Terceiros</v>
      </c>
      <c r="D52" s="90">
        <f>IF('BH (1)'!$D$4="Simples Nacional","",Cus!D16)</f>
        <v>696</v>
      </c>
      <c r="E52" s="90">
        <f>IF('BH (1)'!$D$4="Simples Nacional","",Cus!E16)</f>
        <v>696</v>
      </c>
      <c r="F52" s="90">
        <f>IF('BH (1)'!$D$4="Simples Nacional","",Cus!F16)</f>
        <v>696</v>
      </c>
      <c r="G52" s="90">
        <f>IF('BH (1)'!$D$4="Simples Nacional","",Cus!G16)</f>
        <v>696</v>
      </c>
      <c r="H52" s="90">
        <f>IF('BH (1)'!$D$4="Simples Nacional","",Cus!H16)</f>
        <v>696</v>
      </c>
      <c r="I52" s="90">
        <f>IF('BH (1)'!$D$4="Simples Nacional","",Cus!I16)</f>
        <v>696</v>
      </c>
      <c r="J52" s="90">
        <f>IF('BH (1)'!$D$4="Simples Nacional","",Cus!J16)</f>
        <v>696</v>
      </c>
      <c r="K52" s="90">
        <f>IF('BH (1)'!$D$4="Simples Nacional","",Cus!K16)</f>
        <v>696</v>
      </c>
      <c r="L52" s="90">
        <f>IF('BH (1)'!$D$4="Simples Nacional","",Cus!L16)</f>
        <v>696</v>
      </c>
      <c r="M52" s="90">
        <f>IF('BH (1)'!$D$4="Simples Nacional","",Cus!M16)</f>
        <v>696</v>
      </c>
      <c r="N52" s="90">
        <f>IF('BH (1)'!$D$4="Simples Nacional","",Cus!N16)</f>
        <v>696</v>
      </c>
      <c r="O52" s="90">
        <f>IF('BH (1)'!$D$4="Simples Nacional","",Cus!O16)</f>
        <v>696</v>
      </c>
      <c r="P52" s="93">
        <f t="shared" si="14"/>
        <v>8352</v>
      </c>
    </row>
    <row r="53" spans="3:16" ht="24.95" customHeight="1" x14ac:dyDescent="0.25">
      <c r="C53" s="198" t="str">
        <f>IF('BH (1)'!$D$4="Simples Nacional","","(-) RAT")</f>
        <v>(-) RAT</v>
      </c>
      <c r="D53" s="95">
        <f>IF('BH (1)'!$D$4="Simples Nacional","",Cus!D17)</f>
        <v>240</v>
      </c>
      <c r="E53" s="95">
        <f>IF('BH (1)'!$D$4="Simples Nacional","",Cus!E17)</f>
        <v>240</v>
      </c>
      <c r="F53" s="95">
        <f>IF('BH (1)'!$D$4="Simples Nacional","",Cus!F17)</f>
        <v>240</v>
      </c>
      <c r="G53" s="95">
        <f>IF('BH (1)'!$D$4="Simples Nacional","",Cus!G17)</f>
        <v>240</v>
      </c>
      <c r="H53" s="95">
        <f>IF('BH (1)'!$D$4="Simples Nacional","",Cus!H17)</f>
        <v>240</v>
      </c>
      <c r="I53" s="95">
        <f>IF('BH (1)'!$D$4="Simples Nacional","",Cus!I17)</f>
        <v>240</v>
      </c>
      <c r="J53" s="95">
        <f>IF('BH (1)'!$D$4="Simples Nacional","",Cus!J17)</f>
        <v>240</v>
      </c>
      <c r="K53" s="95">
        <f>IF('BH (1)'!$D$4="Simples Nacional","",Cus!K17)</f>
        <v>240</v>
      </c>
      <c r="L53" s="95">
        <f>IF('BH (1)'!$D$4="Simples Nacional","",Cus!L17)</f>
        <v>240</v>
      </c>
      <c r="M53" s="95">
        <f>IF('BH (1)'!$D$4="Simples Nacional","",Cus!M17)</f>
        <v>240</v>
      </c>
      <c r="N53" s="95">
        <f>IF('BH (1)'!$D$4="Simples Nacional","",Cus!N17)</f>
        <v>240</v>
      </c>
      <c r="O53" s="95">
        <f>IF('BH (1)'!$D$4="Simples Nacional","",Cus!O17)</f>
        <v>240</v>
      </c>
      <c r="P53" s="93">
        <f t="shared" si="14"/>
        <v>2880</v>
      </c>
    </row>
    <row r="54" spans="3:16" ht="24.95" customHeight="1" x14ac:dyDescent="0.25">
      <c r="C54" s="196" t="s">
        <v>213</v>
      </c>
      <c r="D54" s="97">
        <f>D40-SUM(D41:D53)</f>
        <v>28973.552249999993</v>
      </c>
      <c r="E54" s="97">
        <f t="shared" ref="E54:O54" si="15">E40-SUM(E41:E53)</f>
        <v>11510.017600000006</v>
      </c>
      <c r="F54" s="97">
        <f t="shared" si="15"/>
        <v>28740.693250000011</v>
      </c>
      <c r="G54" s="97">
        <f t="shared" si="15"/>
        <v>18610.704200000007</v>
      </c>
      <c r="H54" s="97">
        <f t="shared" si="15"/>
        <v>19511.379700000012</v>
      </c>
      <c r="I54" s="97">
        <f t="shared" si="15"/>
        <v>6469.3715499999962</v>
      </c>
      <c r="J54" s="97">
        <f t="shared" si="15"/>
        <v>20011.73055</v>
      </c>
      <c r="K54" s="97">
        <f t="shared" si="15"/>
        <v>3451.0059500000061</v>
      </c>
      <c r="L54" s="97">
        <f t="shared" si="15"/>
        <v>8745.4794499999989</v>
      </c>
      <c r="M54" s="97">
        <f t="shared" si="15"/>
        <v>16504.486400000002</v>
      </c>
      <c r="N54" s="97">
        <f t="shared" si="15"/>
        <v>10852.073599999996</v>
      </c>
      <c r="O54" s="97">
        <f t="shared" si="15"/>
        <v>7785.7265999999945</v>
      </c>
      <c r="P54" s="191">
        <f t="shared" si="14"/>
        <v>181166.22110000002</v>
      </c>
    </row>
    <row r="55" spans="3:16" ht="24.95" customHeight="1" x14ac:dyDescent="0.25">
      <c r="C55" s="44" t="s">
        <v>238</v>
      </c>
      <c r="D55" s="90">
        <f>IF('BH (1)'!$D$4="Lucro Real",'2031'!D64,IF('BH (1)'!$D$4="Lucro Presumido",Relatórios!D136,IF('BH (1)'!$D$4="Simples Nacional",Simp6!D21)))</f>
        <v>0</v>
      </c>
      <c r="E55" s="90">
        <f>IF('BH (1)'!$D$4="Lucro Real",'2031'!E64,IF('BH (1)'!$D$4="Lucro Presumido",Relatórios!E136,IF('BH (1)'!$D$4="Simples Nacional",Simp6!E21)))</f>
        <v>0</v>
      </c>
      <c r="F55" s="90">
        <f>IF('BH (1)'!$D$4="Lucro Real",'2031'!F64,IF('BH (1)'!$D$4="Lucro Presumido",Relatórios!F136,IF('BH (1)'!$D$4="Simples Nacional",Simp6!F21)))</f>
        <v>4520.7479999999996</v>
      </c>
      <c r="G55" s="90">
        <f>IF('BH (1)'!$D$4="Lucro Real",'2031'!G64,IF('BH (1)'!$D$4="Lucro Presumido",Relatórios!G136,IF('BH (1)'!$D$4="Simples Nacional",Simp6!G21)))</f>
        <v>0</v>
      </c>
      <c r="H55" s="90">
        <f>IF('BH (1)'!$D$4="Lucro Real",'2031'!H64,IF('BH (1)'!$D$4="Lucro Presumido",Relatórios!H136,IF('BH (1)'!$D$4="Simples Nacional",Simp6!H21)))</f>
        <v>0</v>
      </c>
      <c r="I55" s="90">
        <f>IF('BH (1)'!$D$4="Lucro Real",'2031'!I64,IF('BH (1)'!$D$4="Lucro Presumido",Relatórios!I136,IF('BH (1)'!$D$4="Simples Nacional",Simp6!I21)))</f>
        <v>4123.8719999999994</v>
      </c>
      <c r="J55" s="90">
        <f>IF('BH (1)'!$D$4="Lucro Real",'2031'!J64,IF('BH (1)'!$D$4="Lucro Presumido",Relatórios!J136,IF('BH (1)'!$D$4="Simples Nacional",Simp6!J21)))</f>
        <v>0</v>
      </c>
      <c r="K55" s="90">
        <f>IF('BH (1)'!$D$4="Lucro Real",'2031'!K64,IF('BH (1)'!$D$4="Lucro Presumido",Relatórios!K136,IF('BH (1)'!$D$4="Simples Nacional",Simp6!K21)))</f>
        <v>0</v>
      </c>
      <c r="L55" s="90">
        <f>IF('BH (1)'!$D$4="Lucro Real",'2031'!L64,IF('BH (1)'!$D$4="Lucro Presumido",Relatórios!L136,IF('BH (1)'!$D$4="Simples Nacional",Simp6!L21)))</f>
        <v>4033.308</v>
      </c>
      <c r="M55" s="90">
        <f>IF('BH (1)'!$D$4="Lucro Real",'2031'!M64,IF('BH (1)'!$D$4="Lucro Presumido",Relatórios!M136,IF('BH (1)'!$D$4="Simples Nacional",Simp6!M21)))</f>
        <v>0</v>
      </c>
      <c r="N55" s="90">
        <f>IF('BH (1)'!$D$4="Lucro Real",'2031'!N64,IF('BH (1)'!$D$4="Lucro Presumido",Relatórios!N136,IF('BH (1)'!$D$4="Simples Nacional",Simp6!N21)))</f>
        <v>0</v>
      </c>
      <c r="O55" s="90">
        <f>IF('BH (1)'!$D$4="Lucro Real",'2031'!O64,IF('BH (1)'!$D$4="Lucro Presumido",Relatórios!O136,IF('BH (1)'!$D$4="Simples Nacional",Simp6!O21)))</f>
        <v>4028.6759999999999</v>
      </c>
      <c r="P55" s="93">
        <f t="shared" si="14"/>
        <v>16706.603999999999</v>
      </c>
    </row>
    <row r="56" spans="3:16" ht="24.95" customHeight="1" x14ac:dyDescent="0.25">
      <c r="C56" s="44" t="str">
        <f>IF('BH (1)'!$D$4="Simples Nacional","","(-) Adicional")</f>
        <v>(-) Adicional</v>
      </c>
      <c r="D56" s="90">
        <f>IF('BH (1)'!$D$4="Simples Nacional","",IF('BH (1)'!$D$4="Lucro Real",'2031'!D65,IF('BH (1)'!$D$4="Lucro Presumido",Relatórios!D137)))</f>
        <v>0</v>
      </c>
      <c r="E56" s="90">
        <f>IF('BH (1)'!$D$4="Simples Nacional","",IF('BH (1)'!$D$4="Lucro Real",'2031'!E65,IF('BH (1)'!$D$4="Lucro Presumido",Relatórios!E137)))</f>
        <v>0</v>
      </c>
      <c r="F56" s="90">
        <f>IF('BH (1)'!$D$4="Simples Nacional","",IF('BH (1)'!$D$4="Lucro Real",'2031'!F65,IF('BH (1)'!$D$4="Lucro Presumido",Relatórios!F137)))</f>
        <v>0</v>
      </c>
      <c r="G56" s="90">
        <f>IF('BH (1)'!$D$4="Simples Nacional","",IF('BH (1)'!$D$4="Lucro Real",'2031'!G65,IF('BH (1)'!$D$4="Lucro Presumido",Relatórios!G137)))</f>
        <v>0</v>
      </c>
      <c r="H56" s="90">
        <f>IF('BH (1)'!$D$4="Simples Nacional","",IF('BH (1)'!$D$4="Lucro Real",'2031'!H65,IF('BH (1)'!$D$4="Lucro Presumido",Relatórios!H137)))</f>
        <v>0</v>
      </c>
      <c r="I56" s="90">
        <f>IF('BH (1)'!$D$4="Simples Nacional","",IF('BH (1)'!$D$4="Lucro Real",'2031'!I65,IF('BH (1)'!$D$4="Lucro Presumido",Relatórios!I137)))</f>
        <v>0</v>
      </c>
      <c r="J56" s="90">
        <f>IF('BH (1)'!$D$4="Simples Nacional","",IF('BH (1)'!$D$4="Lucro Real",'2031'!J65,IF('BH (1)'!$D$4="Lucro Presumido",Relatórios!J137)))</f>
        <v>0</v>
      </c>
      <c r="K56" s="90">
        <f>IF('BH (1)'!$D$4="Simples Nacional","",IF('BH (1)'!$D$4="Lucro Real",'2031'!K65,IF('BH (1)'!$D$4="Lucro Presumido",Relatórios!K137)))</f>
        <v>0</v>
      </c>
      <c r="L56" s="90">
        <f>IF('BH (1)'!$D$4="Simples Nacional","",IF('BH (1)'!$D$4="Lucro Real",'2031'!L65,IF('BH (1)'!$D$4="Lucro Presumido",Relatórios!L137)))</f>
        <v>0</v>
      </c>
      <c r="M56" s="90">
        <f>IF('BH (1)'!$D$4="Simples Nacional","",IF('BH (1)'!$D$4="Lucro Real",'2031'!M65,IF('BH (1)'!$D$4="Lucro Presumido",Relatórios!M137)))</f>
        <v>0</v>
      </c>
      <c r="N56" s="90">
        <f>IF('BH (1)'!$D$4="Simples Nacional","",IF('BH (1)'!$D$4="Lucro Real",'2031'!N65,IF('BH (1)'!$D$4="Lucro Presumido",Relatórios!N137)))</f>
        <v>0</v>
      </c>
      <c r="O56" s="90">
        <f>IF('BH (1)'!$D$4="Simples Nacional","",IF('BH (1)'!$D$4="Lucro Real",'2031'!O65,IF('BH (1)'!$D$4="Lucro Presumido",Relatórios!O137)))</f>
        <v>0</v>
      </c>
      <c r="P56" s="93">
        <f t="shared" si="14"/>
        <v>0</v>
      </c>
    </row>
    <row r="57" spans="3:16" ht="24.95" customHeight="1" x14ac:dyDescent="0.25">
      <c r="C57" s="198" t="s">
        <v>239</v>
      </c>
      <c r="D57" s="95">
        <f>IF('BH (1)'!$D$4="Lucro Real",'2031'!D66,IF('BH (1)'!$D$4="Lucro Presumido",Relatórios!D138,IF('BH (1)'!$D$4="Simples Nacional",Simp6!D20)))</f>
        <v>0</v>
      </c>
      <c r="E57" s="95">
        <f>IF('BH (1)'!$D$4="Lucro Real",'2031'!E66,IF('BH (1)'!$D$4="Lucro Presumido",Relatórios!E138,IF('BH (1)'!$D$4="Simples Nacional",Simp6!E20)))</f>
        <v>0</v>
      </c>
      <c r="F57" s="95">
        <f>IF('BH (1)'!$D$4="Lucro Real",'2031'!F66,IF('BH (1)'!$D$4="Lucro Presumido",Relatórios!F138,IF('BH (1)'!$D$4="Simples Nacional",Simp6!F20)))</f>
        <v>4068.6731999999993</v>
      </c>
      <c r="G57" s="95">
        <f>IF('BH (1)'!$D$4="Lucro Real",'2031'!G66,IF('BH (1)'!$D$4="Lucro Presumido",Relatórios!G138,IF('BH (1)'!$D$4="Simples Nacional",Simp6!G20)))</f>
        <v>0</v>
      </c>
      <c r="H57" s="95">
        <f>IF('BH (1)'!$D$4="Lucro Real",'2031'!H66,IF('BH (1)'!$D$4="Lucro Presumido",Relatórios!H138,IF('BH (1)'!$D$4="Simples Nacional",Simp6!H20)))</f>
        <v>0</v>
      </c>
      <c r="I57" s="95">
        <f>IF('BH (1)'!$D$4="Lucro Real",'2031'!I66,IF('BH (1)'!$D$4="Lucro Presumido",Relatórios!I138,IF('BH (1)'!$D$4="Simples Nacional",Simp6!I20)))</f>
        <v>3711.4848000000002</v>
      </c>
      <c r="J57" s="95">
        <f>IF('BH (1)'!$D$4="Lucro Real",'2031'!J66,IF('BH (1)'!$D$4="Lucro Presumido",Relatórios!J138,IF('BH (1)'!$D$4="Simples Nacional",Simp6!J20)))</f>
        <v>0</v>
      </c>
      <c r="K57" s="95">
        <f>IF('BH (1)'!$D$4="Lucro Real",'2031'!K66,IF('BH (1)'!$D$4="Lucro Presumido",Relatórios!K138,IF('BH (1)'!$D$4="Simples Nacional",Simp6!K20)))</f>
        <v>0</v>
      </c>
      <c r="L57" s="95">
        <f>IF('BH (1)'!$D$4="Lucro Real",'2031'!L66,IF('BH (1)'!$D$4="Lucro Presumido",Relatórios!L138,IF('BH (1)'!$D$4="Simples Nacional",Simp6!L20)))</f>
        <v>3629.9771999999998</v>
      </c>
      <c r="M57" s="95">
        <f>IF('BH (1)'!$D$4="Lucro Real",'2031'!M66,IF('BH (1)'!$D$4="Lucro Presumido",Relatórios!M138,IF('BH (1)'!$D$4="Simples Nacional",Simp6!M20)))</f>
        <v>0</v>
      </c>
      <c r="N57" s="95">
        <f>IF('BH (1)'!$D$4="Lucro Real",'2031'!N66,IF('BH (1)'!$D$4="Lucro Presumido",Relatórios!N138,IF('BH (1)'!$D$4="Simples Nacional",Simp6!N20)))</f>
        <v>0</v>
      </c>
      <c r="O57" s="95">
        <f>IF('BH (1)'!$D$4="Lucro Real",'2031'!O66,IF('BH (1)'!$D$4="Lucro Presumido",Relatórios!O138,IF('BH (1)'!$D$4="Simples Nacional",Simp6!O20)))</f>
        <v>3625.8083999999999</v>
      </c>
      <c r="P57" s="93">
        <f t="shared" si="14"/>
        <v>15035.943599999999</v>
      </c>
    </row>
    <row r="58" spans="3:16" ht="24.95" customHeight="1" x14ac:dyDescent="0.25">
      <c r="C58" s="196" t="s">
        <v>237</v>
      </c>
      <c r="D58" s="97">
        <f>D54-SUM(D55:D57)</f>
        <v>28973.552249999993</v>
      </c>
      <c r="E58" s="97">
        <f t="shared" ref="E58:O58" si="16">E54-SUM(E55:E57)</f>
        <v>11510.017600000006</v>
      </c>
      <c r="F58" s="97">
        <f t="shared" si="16"/>
        <v>20151.272050000014</v>
      </c>
      <c r="G58" s="97">
        <f t="shared" si="16"/>
        <v>18610.704200000007</v>
      </c>
      <c r="H58" s="97">
        <f t="shared" si="16"/>
        <v>19511.379700000012</v>
      </c>
      <c r="I58" s="97">
        <f t="shared" si="16"/>
        <v>-1365.9852500000034</v>
      </c>
      <c r="J58" s="97">
        <f t="shared" si="16"/>
        <v>20011.73055</v>
      </c>
      <c r="K58" s="97">
        <f t="shared" si="16"/>
        <v>3451.0059500000061</v>
      </c>
      <c r="L58" s="97">
        <f t="shared" si="16"/>
        <v>1082.1942499999986</v>
      </c>
      <c r="M58" s="97">
        <f t="shared" si="16"/>
        <v>16504.486400000002</v>
      </c>
      <c r="N58" s="97">
        <f t="shared" si="16"/>
        <v>10852.073599999996</v>
      </c>
      <c r="O58" s="97">
        <f t="shared" si="16"/>
        <v>131.24219999999514</v>
      </c>
      <c r="P58" s="192">
        <f t="shared" si="14"/>
        <v>149423.67350000006</v>
      </c>
    </row>
    <row r="59" spans="3:16" ht="24.95" hidden="1" customHeight="1" x14ac:dyDescent="0.25"/>
    <row r="60" spans="3:16" ht="15" hidden="1" customHeight="1" x14ac:dyDescent="0.25">
      <c r="C60" s="188" t="s">
        <v>240</v>
      </c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</row>
    <row r="61" spans="3:16" ht="15" hidden="1" customHeight="1" x14ac:dyDescent="0.25">
      <c r="C61" s="112" t="s">
        <v>82</v>
      </c>
      <c r="D61" s="112" t="s">
        <v>83</v>
      </c>
      <c r="E61" s="112" t="s">
        <v>84</v>
      </c>
      <c r="F61" s="112" t="s">
        <v>85</v>
      </c>
      <c r="G61" s="112" t="s">
        <v>86</v>
      </c>
      <c r="H61" s="112" t="s">
        <v>87</v>
      </c>
      <c r="I61" s="112" t="s">
        <v>88</v>
      </c>
      <c r="J61" s="112" t="s">
        <v>89</v>
      </c>
      <c r="K61" s="112" t="s">
        <v>90</v>
      </c>
      <c r="L61" s="112" t="s">
        <v>91</v>
      </c>
      <c r="M61" s="112" t="s">
        <v>92</v>
      </c>
      <c r="N61" s="112" t="s">
        <v>93</v>
      </c>
      <c r="O61" s="112" t="s">
        <v>94</v>
      </c>
      <c r="P61" s="112" t="s">
        <v>95</v>
      </c>
    </row>
    <row r="62" spans="3:16" ht="15" hidden="1" customHeight="1" x14ac:dyDescent="0.25">
      <c r="C62" s="19" t="s">
        <v>241</v>
      </c>
      <c r="D62" s="132">
        <f>D54</f>
        <v>28973.552249999993</v>
      </c>
      <c r="E62" s="132">
        <f t="shared" ref="E62:O62" si="17">E54</f>
        <v>11510.017600000006</v>
      </c>
      <c r="F62" s="132">
        <f>F54</f>
        <v>28740.693250000011</v>
      </c>
      <c r="G62" s="132">
        <f t="shared" si="17"/>
        <v>18610.704200000007</v>
      </c>
      <c r="H62" s="132">
        <f t="shared" si="17"/>
        <v>19511.379700000012</v>
      </c>
      <c r="I62" s="132">
        <f t="shared" si="17"/>
        <v>6469.3715499999962</v>
      </c>
      <c r="J62" s="132">
        <f t="shared" si="17"/>
        <v>20011.73055</v>
      </c>
      <c r="K62" s="132">
        <f t="shared" si="17"/>
        <v>3451.0059500000061</v>
      </c>
      <c r="L62" s="132">
        <f t="shared" si="17"/>
        <v>8745.4794499999989</v>
      </c>
      <c r="M62" s="132">
        <f t="shared" si="17"/>
        <v>16504.486400000002</v>
      </c>
      <c r="N62" s="132">
        <f t="shared" si="17"/>
        <v>10852.073599999996</v>
      </c>
      <c r="O62" s="132">
        <f t="shared" si="17"/>
        <v>7785.7265999999945</v>
      </c>
      <c r="P62" s="114">
        <f>SUM(D62:O62)</f>
        <v>181166.22110000002</v>
      </c>
    </row>
    <row r="63" spans="3:16" ht="15" hidden="1" customHeight="1" x14ac:dyDescent="0.25">
      <c r="C63" s="19" t="s">
        <v>243</v>
      </c>
      <c r="D63" s="132">
        <v>0</v>
      </c>
      <c r="E63" s="132">
        <v>0</v>
      </c>
      <c r="F63" s="132">
        <f>SUM(D62:F62)</f>
        <v>69224.263100000011</v>
      </c>
      <c r="G63" s="132">
        <v>0</v>
      </c>
      <c r="H63" s="132">
        <v>0</v>
      </c>
      <c r="I63" s="132">
        <f>SUM(G62:I62)</f>
        <v>44591.455450000016</v>
      </c>
      <c r="J63" s="132">
        <v>0</v>
      </c>
      <c r="K63" s="132">
        <v>0</v>
      </c>
      <c r="L63" s="132">
        <f>SUM(J62:L62)</f>
        <v>32208.215950000005</v>
      </c>
      <c r="M63" s="132">
        <v>0</v>
      </c>
      <c r="N63" s="132">
        <v>0</v>
      </c>
      <c r="O63" s="132">
        <f>SUM(M62:O62)</f>
        <v>35142.286599999992</v>
      </c>
      <c r="P63" s="114">
        <f>SUM(D63:O63)</f>
        <v>181166.22110000002</v>
      </c>
    </row>
    <row r="64" spans="3:16" ht="15" hidden="1" customHeight="1" x14ac:dyDescent="0.25">
      <c r="C64" s="19" t="s">
        <v>40</v>
      </c>
      <c r="D64" s="132">
        <v>0</v>
      </c>
      <c r="E64" s="132">
        <v>0</v>
      </c>
      <c r="F64" s="132">
        <f>IF(F63&lt;0,0,F63*TabR!$E$10)</f>
        <v>10383.639465000002</v>
      </c>
      <c r="G64" s="132">
        <v>0</v>
      </c>
      <c r="H64" s="132">
        <v>0</v>
      </c>
      <c r="I64" s="132">
        <f>IF(I63&lt;0,0,I63*TabR!$E$10)</f>
        <v>6688.7183175000018</v>
      </c>
      <c r="J64" s="132">
        <v>0</v>
      </c>
      <c r="K64" s="132">
        <v>0</v>
      </c>
      <c r="L64" s="132">
        <f>IF(L63&lt;0,0,L63*TabR!$E$10)</f>
        <v>4831.232392500001</v>
      </c>
      <c r="M64" s="132">
        <v>0</v>
      </c>
      <c r="N64" s="132">
        <v>0</v>
      </c>
      <c r="O64" s="132">
        <f>IF(O63&lt;0,0,O63*TabR!$E$10)</f>
        <v>5271.3429899999983</v>
      </c>
      <c r="P64" s="114">
        <f>SUM(D64:O64)</f>
        <v>27174.933165000002</v>
      </c>
    </row>
    <row r="65" spans="3:18" ht="15" hidden="1" customHeight="1" x14ac:dyDescent="0.25">
      <c r="C65" s="19" t="s">
        <v>242</v>
      </c>
      <c r="D65" s="132">
        <v>0</v>
      </c>
      <c r="E65" s="132">
        <v>0</v>
      </c>
      <c r="F65" s="132">
        <f>IF(F63=0,0,IF(F63&lt;60000,0,(F63-60000)*TabR!$E$11))</f>
        <v>922.42631000000119</v>
      </c>
      <c r="G65" s="132">
        <v>0</v>
      </c>
      <c r="H65" s="132">
        <v>0</v>
      </c>
      <c r="I65" s="132">
        <f>IF(I63=0,0,IF(I63&lt;60000,0,(I63-60000)*TabR!$E$11))</f>
        <v>0</v>
      </c>
      <c r="J65" s="132">
        <v>0</v>
      </c>
      <c r="K65" s="132">
        <v>0</v>
      </c>
      <c r="L65" s="132">
        <f>IF(L63=0,0,IF(L63&lt;60000,0,(L63-60000)*TabR!$E$11))</f>
        <v>0</v>
      </c>
      <c r="M65" s="132">
        <v>0</v>
      </c>
      <c r="N65" s="132">
        <v>0</v>
      </c>
      <c r="O65" s="132">
        <f>IF(O63=0,0,IF(O63&lt;60000,0,(O63-60000)*TabR!$E$11))</f>
        <v>0</v>
      </c>
      <c r="P65" s="114">
        <f>SUM(D65:O65)</f>
        <v>922.42631000000119</v>
      </c>
    </row>
    <row r="66" spans="3:18" ht="15" hidden="1" customHeight="1" x14ac:dyDescent="0.25">
      <c r="C66" s="19" t="s">
        <v>42</v>
      </c>
      <c r="D66" s="132">
        <v>0</v>
      </c>
      <c r="E66" s="132">
        <v>0</v>
      </c>
      <c r="F66" s="132">
        <f>IF(F63&lt;0,0,F63*TabR!$E$12)</f>
        <v>6230.1836790000007</v>
      </c>
      <c r="G66" s="132">
        <v>0</v>
      </c>
      <c r="H66" s="132">
        <v>0</v>
      </c>
      <c r="I66" s="132">
        <f>IF(I63&lt;0,0,I63*TabR!$E$12)</f>
        <v>4013.2309905000011</v>
      </c>
      <c r="J66" s="132">
        <v>0</v>
      </c>
      <c r="K66" s="132">
        <v>0</v>
      </c>
      <c r="L66" s="132">
        <f>IF(L63&lt;0,0,L63*TabR!$E$12)</f>
        <v>2898.7394355000006</v>
      </c>
      <c r="M66" s="132">
        <v>0</v>
      </c>
      <c r="N66" s="132">
        <v>0</v>
      </c>
      <c r="O66" s="132">
        <f>IF(O63&lt;0,0,O63*TabR!$E$12)</f>
        <v>3162.805793999999</v>
      </c>
      <c r="P66" s="114">
        <f>SUM(D66:O66)</f>
        <v>16304.959899000001</v>
      </c>
    </row>
    <row r="67" spans="3:18" ht="15" hidden="1" customHeight="1" x14ac:dyDescent="0.25"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</row>
    <row r="68" spans="3:18" ht="15" hidden="1" customHeight="1" x14ac:dyDescent="0.25">
      <c r="C68" s="188" t="s">
        <v>244</v>
      </c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</row>
    <row r="69" spans="3:18" ht="15" hidden="1" customHeight="1" x14ac:dyDescent="0.25">
      <c r="C69" s="112" t="s">
        <v>82</v>
      </c>
      <c r="D69" s="112" t="s">
        <v>83</v>
      </c>
      <c r="E69" s="112" t="s">
        <v>84</v>
      </c>
      <c r="F69" s="112" t="s">
        <v>85</v>
      </c>
      <c r="G69" s="112" t="s">
        <v>86</v>
      </c>
      <c r="H69" s="112" t="s">
        <v>87</v>
      </c>
      <c r="I69" s="112" t="s">
        <v>88</v>
      </c>
      <c r="J69" s="112" t="s">
        <v>89</v>
      </c>
      <c r="K69" s="112" t="s">
        <v>90</v>
      </c>
      <c r="L69" s="112" t="s">
        <v>91</v>
      </c>
      <c r="M69" s="112" t="s">
        <v>92</v>
      </c>
      <c r="N69" s="112" t="s">
        <v>93</v>
      </c>
      <c r="O69" s="112" t="s">
        <v>94</v>
      </c>
      <c r="P69" s="112" t="s">
        <v>95</v>
      </c>
    </row>
    <row r="70" spans="3:18" ht="15" hidden="1" customHeight="1" x14ac:dyDescent="0.25">
      <c r="C70" s="19" t="s">
        <v>62</v>
      </c>
      <c r="D70" s="132">
        <f>D27</f>
        <v>134725</v>
      </c>
      <c r="E70" s="132">
        <f t="shared" ref="E70:O70" si="18">E27</f>
        <v>108391</v>
      </c>
      <c r="F70" s="132">
        <f t="shared" si="18"/>
        <v>133613</v>
      </c>
      <c r="G70" s="132">
        <f t="shared" si="18"/>
        <v>120356</v>
      </c>
      <c r="H70" s="132">
        <f t="shared" si="18"/>
        <v>119059</v>
      </c>
      <c r="I70" s="132">
        <f t="shared" si="18"/>
        <v>104241</v>
      </c>
      <c r="J70" s="132">
        <f t="shared" si="18"/>
        <v>123748</v>
      </c>
      <c r="K70" s="132">
        <f t="shared" si="18"/>
        <v>102602</v>
      </c>
      <c r="L70" s="132">
        <f t="shared" si="18"/>
        <v>109759</v>
      </c>
      <c r="M70" s="132">
        <f t="shared" si="18"/>
        <v>115659</v>
      </c>
      <c r="N70" s="132">
        <f t="shared" si="18"/>
        <v>110531</v>
      </c>
      <c r="O70" s="132">
        <f t="shared" si="18"/>
        <v>109533</v>
      </c>
      <c r="P70" s="114">
        <f>SUM(D70:O70)</f>
        <v>1392217</v>
      </c>
    </row>
    <row r="71" spans="3:18" ht="15" hidden="1" customHeight="1" x14ac:dyDescent="0.25">
      <c r="C71" s="19" t="s">
        <v>243</v>
      </c>
      <c r="D71" s="132">
        <v>0</v>
      </c>
      <c r="E71" s="132">
        <v>0</v>
      </c>
      <c r="F71" s="132">
        <f>SUM(D70:F70)</f>
        <v>376729</v>
      </c>
      <c r="G71" s="132">
        <v>0</v>
      </c>
      <c r="H71" s="132">
        <v>0</v>
      </c>
      <c r="I71" s="132">
        <f>SUM(G70:I70)</f>
        <v>343656</v>
      </c>
      <c r="J71" s="132">
        <v>0</v>
      </c>
      <c r="K71" s="132">
        <v>0</v>
      </c>
      <c r="L71" s="132">
        <f>SUM(J70:L70)</f>
        <v>336109</v>
      </c>
      <c r="M71" s="132">
        <v>0</v>
      </c>
      <c r="N71" s="132">
        <v>0</v>
      </c>
      <c r="O71" s="132">
        <f>SUM(M70:O70)</f>
        <v>335723</v>
      </c>
      <c r="P71" s="114">
        <f>SUM(D71:O71)</f>
        <v>1392217</v>
      </c>
    </row>
    <row r="72" spans="3:18" ht="15" hidden="1" customHeight="1" x14ac:dyDescent="0.25">
      <c r="C72" s="19" t="s">
        <v>40</v>
      </c>
      <c r="D72" s="132">
        <v>0</v>
      </c>
      <c r="E72" s="132">
        <v>0</v>
      </c>
      <c r="F72" s="132">
        <f>IFERROR((F71*TabP!$E$10)*TabP!$F$10,0)</f>
        <v>4520.7479999999996</v>
      </c>
      <c r="G72" s="132">
        <v>0</v>
      </c>
      <c r="H72" s="132">
        <v>0</v>
      </c>
      <c r="I72" s="132">
        <f>IFERROR((I71*TabP!$E$10)*TabP!$F$10,0)</f>
        <v>4123.8719999999994</v>
      </c>
      <c r="J72" s="132">
        <v>0</v>
      </c>
      <c r="K72" s="132">
        <v>0</v>
      </c>
      <c r="L72" s="132">
        <f>IFERROR((L71*TabP!$E$10)*TabP!$F$10,0)</f>
        <v>4033.308</v>
      </c>
      <c r="M72" s="132">
        <v>0</v>
      </c>
      <c r="N72" s="132">
        <v>0</v>
      </c>
      <c r="O72" s="132">
        <f>IFERROR((O71*TabP!$E$10)*TabP!$F$10,0)</f>
        <v>4028.6759999999999</v>
      </c>
      <c r="P72" s="114">
        <f>SUM(D72:O72)</f>
        <v>16706.603999999999</v>
      </c>
    </row>
    <row r="73" spans="3:18" ht="15" hidden="1" customHeight="1" x14ac:dyDescent="0.25">
      <c r="C73" s="19" t="s">
        <v>242</v>
      </c>
      <c r="D73" s="132">
        <v>0</v>
      </c>
      <c r="E73" s="132">
        <v>0</v>
      </c>
      <c r="F73" s="132">
        <f>IF(IFERROR(((F71*TabP!$E$10)-60000)*TabP!$F$11,0)&lt;0,0,IFERROR(((F71*TabP!$E$10)-60000)*TabP!$F$11,0))</f>
        <v>0</v>
      </c>
      <c r="G73" s="132">
        <v>0</v>
      </c>
      <c r="H73" s="132">
        <v>0</v>
      </c>
      <c r="I73" s="132">
        <f>IF(IFERROR(((I71*TabP!$E$10)-60000)*TabP!$F$11,0)&lt;0,0,IFERROR(((I71*TabP!$E$10)-60000)*TabP!$F$11,0))</f>
        <v>0</v>
      </c>
      <c r="J73" s="132">
        <v>0</v>
      </c>
      <c r="K73" s="132">
        <v>0</v>
      </c>
      <c r="L73" s="132">
        <f>IF(IFERROR(((L71*TabP!$E$10)-60000)*TabP!$F$11,0)&lt;0,0,IFERROR(((L71*TabP!$E$10)-60000)*TabP!$F$11,0))</f>
        <v>0</v>
      </c>
      <c r="M73" s="132">
        <v>0</v>
      </c>
      <c r="N73" s="132">
        <v>0</v>
      </c>
      <c r="O73" s="132">
        <f>IF(IFERROR(((O71*TabP!$E$10)-60000)*TabP!$F$11,0)&lt;0,0,IFERROR(((O71*TabP!$E$10)-60000)*TabP!$F$11,0))</f>
        <v>0</v>
      </c>
      <c r="P73" s="114">
        <f>SUM(D73:O73)</f>
        <v>0</v>
      </c>
    </row>
    <row r="74" spans="3:18" ht="15" hidden="1" customHeight="1" x14ac:dyDescent="0.25">
      <c r="C74" s="19" t="s">
        <v>42</v>
      </c>
      <c r="D74" s="132">
        <v>0</v>
      </c>
      <c r="E74" s="132">
        <v>0</v>
      </c>
      <c r="F74" s="132">
        <f>IFERROR((F71*TabP!$E$12)*TabP!$F$12,0)</f>
        <v>4068.6731999999993</v>
      </c>
      <c r="G74" s="132">
        <v>0</v>
      </c>
      <c r="H74" s="132">
        <v>0</v>
      </c>
      <c r="I74" s="132">
        <f>IFERROR((I71*TabP!$E$12)*TabP!$F$12,0)</f>
        <v>3711.4848000000002</v>
      </c>
      <c r="J74" s="132">
        <v>0</v>
      </c>
      <c r="K74" s="132">
        <v>0</v>
      </c>
      <c r="L74" s="132">
        <f>IFERROR((L71*TabP!$E$12)*TabP!$F$12,0)</f>
        <v>3629.9771999999998</v>
      </c>
      <c r="M74" s="132">
        <v>0</v>
      </c>
      <c r="N74" s="132">
        <v>0</v>
      </c>
      <c r="O74" s="132">
        <f>IFERROR((O71*TabP!$E$12)*TabP!$F$12,0)</f>
        <v>3625.8083999999999</v>
      </c>
      <c r="P74" s="114">
        <f>SUM(D74:O74)</f>
        <v>15035.943599999999</v>
      </c>
    </row>
    <row r="75" spans="3:18" ht="15" hidden="1" customHeight="1" x14ac:dyDescent="0.25"/>
    <row r="76" spans="3:18" ht="30" customHeight="1" thickBot="1" x14ac:dyDescent="0.3">
      <c r="C76" s="180" t="s">
        <v>311</v>
      </c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</row>
    <row r="77" spans="3:18" ht="21.95" customHeight="1" x14ac:dyDescent="0.25">
      <c r="C77" s="85" t="s">
        <v>82</v>
      </c>
      <c r="D77" s="55" t="s">
        <v>83</v>
      </c>
      <c r="E77" s="55" t="s">
        <v>84</v>
      </c>
      <c r="F77" s="55" t="s">
        <v>85</v>
      </c>
      <c r="G77" s="55" t="s">
        <v>86</v>
      </c>
      <c r="H77" s="55" t="s">
        <v>87</v>
      </c>
      <c r="I77" s="55" t="s">
        <v>88</v>
      </c>
      <c r="J77" s="55" t="s">
        <v>89</v>
      </c>
      <c r="K77" s="55" t="s">
        <v>90</v>
      </c>
      <c r="L77" s="55" t="s">
        <v>91</v>
      </c>
      <c r="M77" s="55" t="s">
        <v>92</v>
      </c>
      <c r="N77" s="55" t="s">
        <v>93</v>
      </c>
      <c r="O77" s="55" t="s">
        <v>94</v>
      </c>
      <c r="P77" s="56" t="s">
        <v>95</v>
      </c>
    </row>
    <row r="78" spans="3:18" ht="24.95" hidden="1" customHeight="1" x14ac:dyDescent="0.25">
      <c r="C78" s="44" t="s">
        <v>96</v>
      </c>
      <c r="D78" s="90">
        <f>'2027'!D78</f>
        <v>35095.8125</v>
      </c>
      <c r="E78" s="90">
        <f>'2027'!E78</f>
        <v>34139.15</v>
      </c>
      <c r="F78" s="90">
        <f>'2027'!F78</f>
        <v>33509.862500000003</v>
      </c>
      <c r="G78" s="90">
        <f>'2027'!G78</f>
        <v>33159.449999999997</v>
      </c>
      <c r="H78" s="90">
        <f>'2027'!H78</f>
        <v>33452.875</v>
      </c>
      <c r="I78" s="90">
        <f>'2027'!I78</f>
        <v>33507.4375</v>
      </c>
      <c r="J78" s="90">
        <f>'2027'!J78</f>
        <v>30704.137500000001</v>
      </c>
      <c r="K78" s="90">
        <f>'2027'!K78</f>
        <v>34928.487500000003</v>
      </c>
      <c r="L78" s="90">
        <f>'2027'!L78</f>
        <v>30779.3125</v>
      </c>
      <c r="M78" s="90">
        <f>'2027'!M78</f>
        <v>36525.35</v>
      </c>
      <c r="N78" s="90">
        <f>'2027'!N78</f>
        <v>33266.15</v>
      </c>
      <c r="O78" s="90">
        <f>'2027'!O78</f>
        <v>31263.1</v>
      </c>
      <c r="P78" s="93">
        <f t="shared" ref="P78:P83" si="19">SUM(D78:O78)</f>
        <v>400331.125</v>
      </c>
      <c r="Q78" s="18" t="s">
        <v>250</v>
      </c>
      <c r="R78" s="18" t="s">
        <v>251</v>
      </c>
    </row>
    <row r="79" spans="3:18" ht="24.95" customHeight="1" x14ac:dyDescent="0.25">
      <c r="C79" s="44" t="s">
        <v>249</v>
      </c>
      <c r="D79" s="90">
        <f>'2027'!D79</f>
        <v>2665.8344999999999</v>
      </c>
      <c r="E79" s="90">
        <f>'2027'!E79</f>
        <v>2593.1676000000002</v>
      </c>
      <c r="F79" s="90">
        <f>'2027'!F79</f>
        <v>2545.3677000000002</v>
      </c>
      <c r="G79" s="90">
        <f>'2027'!G79</f>
        <v>2518.7508000000003</v>
      </c>
      <c r="H79" s="90">
        <f>'2027'!H79</f>
        <v>2541.0390000000002</v>
      </c>
      <c r="I79" s="90">
        <f>'2027'!I79</f>
        <v>2545.1835000000001</v>
      </c>
      <c r="J79" s="90">
        <f>'2027'!J79</f>
        <v>2332.2483000000002</v>
      </c>
      <c r="K79" s="90">
        <f>'2027'!K79</f>
        <v>2653.1246999999998</v>
      </c>
      <c r="L79" s="90">
        <f>'2027'!L79</f>
        <v>2337.9585000000002</v>
      </c>
      <c r="M79" s="90">
        <f>'2027'!M79</f>
        <v>2774.4204</v>
      </c>
      <c r="N79" s="90">
        <f>'2027'!N79</f>
        <v>2526.8555999999999</v>
      </c>
      <c r="O79" s="90">
        <f>'2027'!O79</f>
        <v>2374.7064</v>
      </c>
      <c r="P79" s="93">
        <f>SUM(D79:O79)</f>
        <v>30408.656999999999</v>
      </c>
      <c r="Q79" s="201">
        <f>IF('BH (1)'!$D$4="Lucro Real",TabR!E13,IF('BH (1)'!$D$4="Lucro Presumido",TabP!F13,IF('BH (1)'!$D$4="Simples Nacional",TabS!$H$35)))</f>
        <v>9.2100000000000001E-2</v>
      </c>
      <c r="R79" s="201">
        <f>IF('BH (1)'!$D$4="Lucro Real",TabR!E15,IF('BH (1)'!$D$4="Lucro Presumido",TabP!F15,IF('BH (1)'!$D$4="Simples Nacional",TabS!$H$37)))</f>
        <v>0.6</v>
      </c>
    </row>
    <row r="80" spans="3:18" ht="24.95" hidden="1" customHeight="1" x14ac:dyDescent="0.25">
      <c r="C80" s="44" t="s">
        <v>135</v>
      </c>
      <c r="D80" s="90">
        <f>'2027'!D80</f>
        <v>134725</v>
      </c>
      <c r="E80" s="90">
        <f>'2027'!E80</f>
        <v>108391</v>
      </c>
      <c r="F80" s="90">
        <f>'2027'!F80</f>
        <v>133613</v>
      </c>
      <c r="G80" s="90">
        <f>'2027'!G80</f>
        <v>120356</v>
      </c>
      <c r="H80" s="90">
        <f>'2027'!H80</f>
        <v>119059</v>
      </c>
      <c r="I80" s="90">
        <f>'2027'!I80</f>
        <v>104241</v>
      </c>
      <c r="J80" s="90">
        <f>'2027'!J80</f>
        <v>123748</v>
      </c>
      <c r="K80" s="90">
        <f>'2027'!K80</f>
        <v>102602</v>
      </c>
      <c r="L80" s="90">
        <f>'2027'!L80</f>
        <v>109759</v>
      </c>
      <c r="M80" s="90">
        <f>'2027'!M80</f>
        <v>115659</v>
      </c>
      <c r="N80" s="90">
        <f>'2027'!N80</f>
        <v>110531</v>
      </c>
      <c r="O80" s="90">
        <f>'2027'!O80</f>
        <v>109533</v>
      </c>
      <c r="P80" s="93">
        <f>SUM(D80:O80)</f>
        <v>1392217</v>
      </c>
    </row>
    <row r="81" spans="3:18" ht="24.95" customHeight="1" x14ac:dyDescent="0.25">
      <c r="C81" s="198" t="s">
        <v>252</v>
      </c>
      <c r="D81" s="99">
        <f>'2027'!D81</f>
        <v>12408.172500000001</v>
      </c>
      <c r="E81" s="99">
        <f>'2027'!E81</f>
        <v>9982.8111000000008</v>
      </c>
      <c r="F81" s="99">
        <f>'2027'!F81</f>
        <v>12305.757299999999</v>
      </c>
      <c r="G81" s="99">
        <f>'2027'!G81</f>
        <v>11084.7876</v>
      </c>
      <c r="H81" s="99">
        <f>'2027'!H81</f>
        <v>10965.3339</v>
      </c>
      <c r="I81" s="99">
        <f>'2027'!I81</f>
        <v>9600.5961000000007</v>
      </c>
      <c r="J81" s="99">
        <f>'2027'!J81</f>
        <v>11397.1908</v>
      </c>
      <c r="K81" s="99">
        <f>'2027'!K81</f>
        <v>9449.6442000000006</v>
      </c>
      <c r="L81" s="99">
        <f>'2027'!L81</f>
        <v>10108.803900000001</v>
      </c>
      <c r="M81" s="99">
        <f>'2027'!M81</f>
        <v>10652.1939</v>
      </c>
      <c r="N81" s="99">
        <f>'2027'!N81</f>
        <v>10179.9051</v>
      </c>
      <c r="O81" s="100">
        <f>'2027'!O81</f>
        <v>10087.989299999999</v>
      </c>
      <c r="P81" s="93">
        <f>SUM(D81:O81)</f>
        <v>128223.18569999999</v>
      </c>
    </row>
    <row r="82" spans="3:18" ht="24.95" hidden="1" customHeight="1" x14ac:dyDescent="0.25">
      <c r="C82" s="228" t="s">
        <v>207</v>
      </c>
      <c r="D82" s="90">
        <f>'2027'!D82</f>
        <v>-9742.3379999999997</v>
      </c>
      <c r="E82" s="90">
        <f>'2027'!E82</f>
        <v>-7389.6435000000001</v>
      </c>
      <c r="F82" s="90">
        <f>'2027'!F82</f>
        <v>-9760.3895999999986</v>
      </c>
      <c r="G82" s="90">
        <f>'2027'!G82</f>
        <v>-8566.0367999999999</v>
      </c>
      <c r="H82" s="90">
        <f>'2027'!H82</f>
        <v>-8424.294899999999</v>
      </c>
      <c r="I82" s="90">
        <f>'2027'!I82</f>
        <v>-7055.4126000000006</v>
      </c>
      <c r="J82" s="90">
        <f>'2027'!J82</f>
        <v>-9064.942500000001</v>
      </c>
      <c r="K82" s="90">
        <f>'2027'!K82</f>
        <v>-6796.5195000000003</v>
      </c>
      <c r="L82" s="90">
        <f>'2027'!L82</f>
        <v>-7770.8454000000002</v>
      </c>
      <c r="M82" s="90">
        <f>'2027'!M82</f>
        <v>-7877.7735000000002</v>
      </c>
      <c r="N82" s="90">
        <f>'2027'!N82</f>
        <v>-7653.0495000000001</v>
      </c>
      <c r="O82" s="90">
        <f>'2027'!O82</f>
        <v>-7713.2828999999992</v>
      </c>
      <c r="P82" s="230">
        <f t="shared" si="19"/>
        <v>-97814.528699999995</v>
      </c>
    </row>
    <row r="83" spans="3:18" ht="24.95" customHeight="1" x14ac:dyDescent="0.25">
      <c r="C83" s="199" t="s">
        <v>321</v>
      </c>
      <c r="D83" s="202">
        <f>'2027'!D83</f>
        <v>9742.3379999999997</v>
      </c>
      <c r="E83" s="202">
        <f>'2027'!E83</f>
        <v>7389.6435000000001</v>
      </c>
      <c r="F83" s="202">
        <f>'2027'!F83</f>
        <v>9760.3895999999986</v>
      </c>
      <c r="G83" s="202">
        <f>'2027'!G83</f>
        <v>8566.0367999999999</v>
      </c>
      <c r="H83" s="202">
        <f>'2027'!H83</f>
        <v>8424.294899999999</v>
      </c>
      <c r="I83" s="202">
        <f>'2027'!I83</f>
        <v>7055.4126000000006</v>
      </c>
      <c r="J83" s="202">
        <f>'2027'!J83</f>
        <v>9064.942500000001</v>
      </c>
      <c r="K83" s="202">
        <f>'2027'!K83</f>
        <v>6796.5195000000003</v>
      </c>
      <c r="L83" s="202">
        <f>'2027'!L83</f>
        <v>7770.8454000000002</v>
      </c>
      <c r="M83" s="202">
        <f>'2027'!M83</f>
        <v>7877.7735000000002</v>
      </c>
      <c r="N83" s="202">
        <f>'2027'!N83</f>
        <v>7653.0495000000001</v>
      </c>
      <c r="O83" s="202">
        <f>'2027'!O83</f>
        <v>7713.2828999999992</v>
      </c>
      <c r="P83" s="93">
        <f t="shared" si="19"/>
        <v>97814.528699999995</v>
      </c>
    </row>
    <row r="84" spans="3:18" ht="24.95" hidden="1" customHeight="1" x14ac:dyDescent="0.25"/>
    <row r="85" spans="3:18" ht="30" customHeight="1" thickBot="1" x14ac:dyDescent="0.3">
      <c r="C85" s="288" t="s">
        <v>312</v>
      </c>
      <c r="D85" s="288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231"/>
    </row>
    <row r="86" spans="3:18" ht="21.95" customHeight="1" x14ac:dyDescent="0.25">
      <c r="C86" s="85" t="s">
        <v>82</v>
      </c>
      <c r="D86" s="55" t="s">
        <v>83</v>
      </c>
      <c r="E86" s="55" t="s">
        <v>84</v>
      </c>
      <c r="F86" s="55" t="s">
        <v>85</v>
      </c>
      <c r="G86" s="55" t="s">
        <v>86</v>
      </c>
      <c r="H86" s="55" t="s">
        <v>87</v>
      </c>
      <c r="I86" s="55" t="s">
        <v>88</v>
      </c>
      <c r="J86" s="55" t="s">
        <v>89</v>
      </c>
      <c r="K86" s="55" t="s">
        <v>90</v>
      </c>
      <c r="L86" s="55" t="s">
        <v>91</v>
      </c>
      <c r="M86" s="55" t="s">
        <v>92</v>
      </c>
      <c r="N86" s="55" t="s">
        <v>93</v>
      </c>
      <c r="O86" s="55" t="s">
        <v>94</v>
      </c>
      <c r="P86" s="56" t="s">
        <v>95</v>
      </c>
      <c r="Q86" s="18" t="s">
        <v>251</v>
      </c>
      <c r="R86" s="18" t="s">
        <v>264</v>
      </c>
    </row>
    <row r="87" spans="3:18" ht="24.95" customHeight="1" x14ac:dyDescent="0.25">
      <c r="C87" s="44" t="s">
        <v>316</v>
      </c>
      <c r="D87" s="90">
        <f>IF('BH (1)'!$D$4="Simples Nacional",IF('BH (1)'!$C$15=1,Simp6!D16,Simp6!D16-(Simp6!D16*$R$87)),'Fat6'!D13-('Fat6'!D13*$R$87))</f>
        <v>11316.9</v>
      </c>
      <c r="E87" s="90">
        <f>IF('BH (1)'!$D$4="Simples Nacional",IF('BH (1)'!$C$15=1,Simp6!E16,Simp6!E16-(Simp6!E16*$R$87)),'Fat6'!E13-('Fat6'!E13*$R$87))</f>
        <v>9104.8439999999991</v>
      </c>
      <c r="F87" s="90">
        <f>IF('BH (1)'!$D$4="Simples Nacional",IF('BH (1)'!$C$15=1,Simp6!F16,Simp6!F16-(Simp6!F16*$R$87)),'Fat6'!F13-('Fat6'!F13*$R$87))</f>
        <v>11223.491999999998</v>
      </c>
      <c r="G87" s="90">
        <f>IF('BH (1)'!$D$4="Simples Nacional",IF('BH (1)'!$C$15=1,Simp6!G16,Simp6!G16-(Simp6!G16*$R$87)),'Fat6'!G13-('Fat6'!G13*$R$87))</f>
        <v>10109.903999999999</v>
      </c>
      <c r="H87" s="90">
        <f>IF('BH (1)'!$D$4="Simples Nacional",IF('BH (1)'!$C$15=1,Simp6!H16,Simp6!H16-(Simp6!H16*$R$87)),'Fat6'!H13-('Fat6'!H13*$R$87))</f>
        <v>10000.955999999998</v>
      </c>
      <c r="I87" s="90">
        <f>IF('BH (1)'!$D$4="Simples Nacional",IF('BH (1)'!$C$15=1,Simp6!I16,Simp6!I16-(Simp6!I16*$R$87)),'Fat6'!I13-('Fat6'!I13*$R$87))</f>
        <v>8756.2439999999988</v>
      </c>
      <c r="J87" s="90">
        <f>IF('BH (1)'!$D$4="Simples Nacional",IF('BH (1)'!$C$15=1,Simp6!J16,Simp6!J16-(Simp6!J16*$R$87)),'Fat6'!J13-('Fat6'!J13*$R$87))</f>
        <v>10394.831999999999</v>
      </c>
      <c r="K87" s="90">
        <f>IF('BH (1)'!$D$4="Simples Nacional",IF('BH (1)'!$C$15=1,Simp6!K16,Simp6!K16-(Simp6!K16*$R$87)),'Fat6'!K13-('Fat6'!K13*$R$87))</f>
        <v>8618.5679999999993</v>
      </c>
      <c r="L87" s="90">
        <f>IF('BH (1)'!$D$4="Simples Nacional",IF('BH (1)'!$C$15=1,Simp6!L16,Simp6!L16-(Simp6!L16*$R$87)),'Fat6'!L13-('Fat6'!L13*$R$87))</f>
        <v>9219.7559999999994</v>
      </c>
      <c r="M87" s="90">
        <f>IF('BH (1)'!$D$4="Simples Nacional",IF('BH (1)'!$C$15=1,Simp6!M16,Simp6!M16-(Simp6!M16*$R$87)),'Fat6'!M13-('Fat6'!M13*$R$87))</f>
        <v>9715.3559999999998</v>
      </c>
      <c r="N87" s="90">
        <f>IF('BH (1)'!$D$4="Simples Nacional",IF('BH (1)'!$C$15=1,Simp6!N16,Simp6!N16-(Simp6!N16*$R$87)),'Fat6'!N13-('Fat6'!N13*$R$87))</f>
        <v>9284.6039999999994</v>
      </c>
      <c r="O87" s="90">
        <f>IF('BH (1)'!$D$4="Simples Nacional",IF('BH (1)'!$C$15=1,Simp6!O16,Simp6!O16-(Simp6!O16*$R$87)),'Fat6'!O13-('Fat6'!O13*$R$87))</f>
        <v>9200.771999999999</v>
      </c>
      <c r="P87" s="93">
        <f>SUM(D87:O87)</f>
        <v>116946.22799999997</v>
      </c>
      <c r="Q87" s="203">
        <f>TransR!S9</f>
        <v>0.7</v>
      </c>
      <c r="R87" s="203">
        <f>100%-Q87</f>
        <v>0.30000000000000004</v>
      </c>
    </row>
    <row r="88" spans="3:18" ht="24.95" customHeight="1" x14ac:dyDescent="0.25">
      <c r="C88" s="44" t="s">
        <v>317</v>
      </c>
      <c r="D88" s="90">
        <f>IF('BH (1)'!$D$4="Simples Nacional",IF('BH (1)'!$C$15=1,Simp6!D18,Simp6!D18-(Simp6!D18*$R$87)),'Fat6'!D15-('Fat6'!D15*$R$87))</f>
        <v>0</v>
      </c>
      <c r="E88" s="90">
        <f>IF('BH (1)'!$D$4="Simples Nacional",IF('BH (1)'!$C$15=1,Simp6!E18,Simp6!E18-(Simp6!E18*$R$87)),'Fat6'!E15-('Fat6'!E15*$R$87))</f>
        <v>0</v>
      </c>
      <c r="F88" s="90">
        <f>IF('BH (1)'!$D$4="Simples Nacional",IF('BH (1)'!$C$15=1,Simp6!F18,Simp6!F18-(Simp6!F18*$R$87)),'Fat6'!F15-('Fat6'!F15*$R$87))</f>
        <v>0</v>
      </c>
      <c r="G88" s="90">
        <f>IF('BH (1)'!$D$4="Simples Nacional",IF('BH (1)'!$C$15=1,Simp6!G18,Simp6!G18-(Simp6!G18*$R$87)),'Fat6'!G15-('Fat6'!G15*$R$87))</f>
        <v>0</v>
      </c>
      <c r="H88" s="90">
        <f>IF('BH (1)'!$D$4="Simples Nacional",IF('BH (1)'!$C$15=1,Simp6!H18,Simp6!H18-(Simp6!H18*$R$87)),'Fat6'!H15-('Fat6'!H15*$R$87))</f>
        <v>0</v>
      </c>
      <c r="I88" s="90">
        <f>IF('BH (1)'!$D$4="Simples Nacional",IF('BH (1)'!$C$15=1,Simp6!I18,Simp6!I18-(Simp6!I18*$R$87)),'Fat6'!I15-('Fat6'!I15*$R$87))</f>
        <v>0</v>
      </c>
      <c r="J88" s="90">
        <f>IF('BH (1)'!$D$4="Simples Nacional",IF('BH (1)'!$C$15=1,Simp6!J18,Simp6!J18-(Simp6!J18*$R$87)),'Fat6'!J15-('Fat6'!J15*$R$87))</f>
        <v>0</v>
      </c>
      <c r="K88" s="90">
        <f>IF('BH (1)'!$D$4="Simples Nacional",IF('BH (1)'!$C$15=1,Simp6!K18,Simp6!K18-(Simp6!K18*$R$87)),'Fat6'!K15-('Fat6'!K15*$R$87))</f>
        <v>0</v>
      </c>
      <c r="L88" s="90">
        <f>IF('BH (1)'!$D$4="Simples Nacional",IF('BH (1)'!$C$15=1,Simp6!L18,Simp6!L18-(Simp6!L18*$R$87)),'Fat6'!L15-('Fat6'!L15*$R$87))</f>
        <v>0</v>
      </c>
      <c r="M88" s="90">
        <f>IF('BH (1)'!$D$4="Simples Nacional",IF('BH (1)'!$C$15=1,Simp6!M18,Simp6!M18-(Simp6!M18*$R$87)),'Fat6'!M15-('Fat6'!M15*$R$87))</f>
        <v>0</v>
      </c>
      <c r="N88" s="90">
        <f>IF('BH (1)'!$D$4="Simples Nacional",IF('BH (1)'!$C$15=1,Simp6!N18,Simp6!N18-(Simp6!N18*$R$87)),'Fat6'!N15-('Fat6'!N15*$R$87))</f>
        <v>0</v>
      </c>
      <c r="O88" s="90">
        <f>IF('BH (1)'!$D$4="Simples Nacional",IF('BH (1)'!$C$15=1,Simp6!O18,Simp6!O18-(Simp6!O18*$R$87)),'Fat6'!O15-('Fat6'!O15*$R$87))</f>
        <v>0</v>
      </c>
      <c r="P88" s="93">
        <f>SUM(D88:O88)</f>
        <v>0</v>
      </c>
    </row>
    <row r="89" spans="3:18" ht="24.95" customHeight="1" x14ac:dyDescent="0.25">
      <c r="C89" s="44" t="s">
        <v>318</v>
      </c>
      <c r="D89" s="90">
        <f>IF('BH (1)'!$D$4="Simples Nacional",0,Lançamentos!D12-(Lançamentos!D12*$R$87))</f>
        <v>2948.0482499999994</v>
      </c>
      <c r="E89" s="90">
        <f>IF('BH (1)'!$D$4="Simples Nacional",0,Lançamentos!E12-(Lançamentos!E12*$R$87))</f>
        <v>2867.6886</v>
      </c>
      <c r="F89" s="90">
        <f>IF('BH (1)'!$D$4="Simples Nacional",0,Lançamentos!F12-(Lançamentos!F12*$R$87))</f>
        <v>2814.82845</v>
      </c>
      <c r="G89" s="90">
        <f>IF('BH (1)'!$D$4="Simples Nacional",0,Lançamentos!G12-(Lançamentos!G12*$R$87))</f>
        <v>2785.3937999999998</v>
      </c>
      <c r="H89" s="90">
        <f>IF('BH (1)'!$D$4="Simples Nacional",0,Lançamentos!H12-(Lançamentos!H12*$R$87))</f>
        <v>2810.0414999999994</v>
      </c>
      <c r="I89" s="90">
        <f>IF('BH (1)'!$D$4="Simples Nacional",0,Lançamentos!I12-(Lançamentos!I12*$R$87))</f>
        <v>2814.6247499999999</v>
      </c>
      <c r="J89" s="90">
        <f>IF('BH (1)'!$D$4="Simples Nacional",0,Lançamentos!J12-(Lançamentos!J12*$R$87))</f>
        <v>2579.1475499999997</v>
      </c>
      <c r="K89" s="90">
        <f>IF('BH (1)'!$D$4="Simples Nacional",0,Lançamentos!K12-(Lançamentos!K12*$R$87))</f>
        <v>2933.9929499999998</v>
      </c>
      <c r="L89" s="90">
        <f>IF('BH (1)'!$D$4="Simples Nacional",0,Lançamentos!L12-(Lançamentos!L12*$R$87))</f>
        <v>2585.4622499999996</v>
      </c>
      <c r="M89" s="90">
        <f>IF('BH (1)'!$D$4="Simples Nacional",0,Lançamentos!M12-(Lançamentos!M12*$R$87))</f>
        <v>3068.1293999999994</v>
      </c>
      <c r="N89" s="90">
        <f>IF('BH (1)'!$D$4="Simples Nacional",0,Lançamentos!N12-(Lançamentos!N12*$R$87))</f>
        <v>2794.3566000000001</v>
      </c>
      <c r="O89" s="90">
        <f>IF('BH (1)'!$D$4="Simples Nacional",0,Lançamentos!O12-(Lançamentos!O12*$R$87))</f>
        <v>2626.1003999999994</v>
      </c>
      <c r="P89" s="93">
        <f t="shared" ref="P89:P94" si="20">SUM(D89:O89)</f>
        <v>33627.814499999993</v>
      </c>
    </row>
    <row r="90" spans="3:18" ht="24.95" customHeight="1" x14ac:dyDescent="0.25">
      <c r="C90" s="198" t="s">
        <v>319</v>
      </c>
      <c r="D90" s="99">
        <f>IF('BH (1)'!$D$4="Simples Nacional",0,Lançamentos!D14-(Lançamentos!D14*$R$87))</f>
        <v>0</v>
      </c>
      <c r="E90" s="99">
        <f>IF('BH (1)'!$D$4="Simples Nacional",0,Lançamentos!E14-(Lançamentos!E14*$R$87))</f>
        <v>0</v>
      </c>
      <c r="F90" s="99">
        <f>IF('BH (1)'!$D$4="Simples Nacional",0,Lançamentos!F14-(Lançamentos!F14*$R$87))</f>
        <v>0</v>
      </c>
      <c r="G90" s="99">
        <f>IF('BH (1)'!$D$4="Simples Nacional",0,Lançamentos!G14-(Lançamentos!G14*$R$87))</f>
        <v>0</v>
      </c>
      <c r="H90" s="99">
        <f>IF('BH (1)'!$D$4="Simples Nacional",0,Lançamentos!H14-(Lançamentos!H14*$R$87))</f>
        <v>0</v>
      </c>
      <c r="I90" s="99">
        <f>IF('BH (1)'!$D$4="Simples Nacional",0,Lançamentos!I14-(Lançamentos!I14*$R$87))</f>
        <v>0</v>
      </c>
      <c r="J90" s="99">
        <f>IF('BH (1)'!$D$4="Simples Nacional",0,Lançamentos!J14-(Lançamentos!J14*$R$87))</f>
        <v>0</v>
      </c>
      <c r="K90" s="99">
        <f>IF('BH (1)'!$D$4="Simples Nacional",0,Lançamentos!K14-(Lançamentos!K14*$R$87))</f>
        <v>0</v>
      </c>
      <c r="L90" s="99">
        <f>IF('BH (1)'!$D$4="Simples Nacional",0,Lançamentos!L14-(Lançamentos!L14*$R$87))</f>
        <v>0</v>
      </c>
      <c r="M90" s="99">
        <f>IF('BH (1)'!$D$4="Simples Nacional",0,Lançamentos!M14-(Lançamentos!M14*$R$87))</f>
        <v>0</v>
      </c>
      <c r="N90" s="99">
        <f>IF('BH (1)'!$D$4="Simples Nacional",0,Lançamentos!N14-(Lançamentos!N14*$R$87))</f>
        <v>0</v>
      </c>
      <c r="O90" s="100">
        <f>IF('BH (1)'!$D$4="Simples Nacional",0,Lançamentos!O14-(Lançamentos!O14*$R$87))</f>
        <v>0</v>
      </c>
      <c r="P90" s="93">
        <f t="shared" si="20"/>
        <v>0</v>
      </c>
    </row>
    <row r="91" spans="3:18" ht="24.95" hidden="1" customHeight="1" x14ac:dyDescent="0.25">
      <c r="C91" s="43" t="s">
        <v>265</v>
      </c>
      <c r="D91" s="90">
        <f>IFERROR(D89-D87,0)</f>
        <v>-8368.8517499999998</v>
      </c>
      <c r="E91" s="90">
        <f>IFERROR(IF(D91&lt;0,E89-E87,D91+E89-E87),0)</f>
        <v>-6237.1553999999996</v>
      </c>
      <c r="F91" s="90">
        <f t="shared" ref="F91:O92" si="21">IFERROR(IF(E91&lt;0,F89-F87,E91+F89-F87),0)</f>
        <v>-8408.6635499999975</v>
      </c>
      <c r="G91" s="90">
        <f t="shared" si="21"/>
        <v>-7324.5101999999988</v>
      </c>
      <c r="H91" s="90">
        <f t="shared" si="21"/>
        <v>-7190.914499999999</v>
      </c>
      <c r="I91" s="90">
        <f t="shared" si="21"/>
        <v>-5941.6192499999988</v>
      </c>
      <c r="J91" s="90">
        <f t="shared" si="21"/>
        <v>-7815.6844499999988</v>
      </c>
      <c r="K91" s="90">
        <f t="shared" si="21"/>
        <v>-5684.5750499999995</v>
      </c>
      <c r="L91" s="90">
        <f t="shared" si="21"/>
        <v>-6634.2937499999998</v>
      </c>
      <c r="M91" s="90">
        <f t="shared" si="21"/>
        <v>-6647.2266</v>
      </c>
      <c r="N91" s="90">
        <f t="shared" si="21"/>
        <v>-6490.2473999999993</v>
      </c>
      <c r="O91" s="90">
        <f t="shared" si="21"/>
        <v>-6574.6715999999997</v>
      </c>
      <c r="P91" s="93">
        <f t="shared" si="20"/>
        <v>-83318.413499999981</v>
      </c>
    </row>
    <row r="92" spans="3:18" ht="24.95" hidden="1" customHeight="1" x14ac:dyDescent="0.25">
      <c r="C92" s="198" t="s">
        <v>266</v>
      </c>
      <c r="D92" s="95">
        <f>IFERROR(D90-D88,0)</f>
        <v>0</v>
      </c>
      <c r="E92" s="95">
        <f>IFERROR(IF(D92&lt;0,E90-E88,D92+E90-E88),0)</f>
        <v>0</v>
      </c>
      <c r="F92" s="95">
        <f t="shared" si="21"/>
        <v>0</v>
      </c>
      <c r="G92" s="95">
        <f t="shared" si="21"/>
        <v>0</v>
      </c>
      <c r="H92" s="95">
        <f t="shared" si="21"/>
        <v>0</v>
      </c>
      <c r="I92" s="95">
        <f t="shared" si="21"/>
        <v>0</v>
      </c>
      <c r="J92" s="95">
        <f t="shared" si="21"/>
        <v>0</v>
      </c>
      <c r="K92" s="95">
        <f t="shared" si="21"/>
        <v>0</v>
      </c>
      <c r="L92" s="95">
        <f t="shared" si="21"/>
        <v>0</v>
      </c>
      <c r="M92" s="95">
        <f t="shared" si="21"/>
        <v>0</v>
      </c>
      <c r="N92" s="95">
        <f t="shared" si="21"/>
        <v>0</v>
      </c>
      <c r="O92" s="95">
        <f t="shared" si="21"/>
        <v>0</v>
      </c>
      <c r="P92" s="93">
        <f t="shared" si="20"/>
        <v>0</v>
      </c>
    </row>
    <row r="93" spans="3:18" ht="24.95" customHeight="1" x14ac:dyDescent="0.25">
      <c r="C93" s="232" t="s">
        <v>267</v>
      </c>
      <c r="D93" s="233">
        <f>IF(D91&lt;0,D91*-1,0)</f>
        <v>8368.8517499999998</v>
      </c>
      <c r="E93" s="233">
        <f t="shared" ref="E93:O94" si="22">IF(E91&lt;0,E91*-1,0)</f>
        <v>6237.1553999999996</v>
      </c>
      <c r="F93" s="233">
        <f t="shared" si="22"/>
        <v>8408.6635499999975</v>
      </c>
      <c r="G93" s="233">
        <f t="shared" si="22"/>
        <v>7324.5101999999988</v>
      </c>
      <c r="H93" s="233">
        <f t="shared" si="22"/>
        <v>7190.914499999999</v>
      </c>
      <c r="I93" s="233">
        <f t="shared" si="22"/>
        <v>5941.6192499999988</v>
      </c>
      <c r="J93" s="233">
        <f t="shared" si="22"/>
        <v>7815.6844499999988</v>
      </c>
      <c r="K93" s="233">
        <f t="shared" si="22"/>
        <v>5684.5750499999995</v>
      </c>
      <c r="L93" s="233">
        <f t="shared" si="22"/>
        <v>6634.2937499999998</v>
      </c>
      <c r="M93" s="233">
        <f t="shared" si="22"/>
        <v>6647.2266</v>
      </c>
      <c r="N93" s="233">
        <f t="shared" si="22"/>
        <v>6490.2473999999993</v>
      </c>
      <c r="O93" s="233">
        <f t="shared" si="22"/>
        <v>6574.6715999999997</v>
      </c>
      <c r="P93" s="191">
        <f t="shared" si="20"/>
        <v>83318.413499999981</v>
      </c>
    </row>
    <row r="94" spans="3:18" ht="24.95" customHeight="1" x14ac:dyDescent="0.25">
      <c r="C94" s="196" t="s">
        <v>268</v>
      </c>
      <c r="D94" s="97">
        <f>IF(D92&lt;0,D92*-1,0)</f>
        <v>0</v>
      </c>
      <c r="E94" s="97">
        <f t="shared" si="22"/>
        <v>0</v>
      </c>
      <c r="F94" s="97">
        <f t="shared" si="22"/>
        <v>0</v>
      </c>
      <c r="G94" s="97">
        <f t="shared" si="22"/>
        <v>0</v>
      </c>
      <c r="H94" s="97">
        <f t="shared" si="22"/>
        <v>0</v>
      </c>
      <c r="I94" s="97">
        <f t="shared" si="22"/>
        <v>0</v>
      </c>
      <c r="J94" s="97">
        <f t="shared" si="22"/>
        <v>0</v>
      </c>
      <c r="K94" s="97">
        <f t="shared" si="22"/>
        <v>0</v>
      </c>
      <c r="L94" s="97">
        <f t="shared" si="22"/>
        <v>0</v>
      </c>
      <c r="M94" s="97">
        <f t="shared" si="22"/>
        <v>0</v>
      </c>
      <c r="N94" s="97">
        <f t="shared" si="22"/>
        <v>0</v>
      </c>
      <c r="O94" s="97">
        <f t="shared" si="22"/>
        <v>0</v>
      </c>
      <c r="P94" s="98">
        <f t="shared" si="20"/>
        <v>0</v>
      </c>
    </row>
    <row r="95" spans="3:18" ht="24.95" hidden="1" customHeight="1" x14ac:dyDescent="0.25"/>
    <row r="96" spans="3:18" ht="30" customHeight="1" thickBot="1" x14ac:dyDescent="0.3">
      <c r="C96" s="288" t="s">
        <v>313</v>
      </c>
      <c r="D96" s="288"/>
    </row>
    <row r="97" spans="3:18" ht="21.95" customHeight="1" x14ac:dyDescent="0.25">
      <c r="C97" s="85" t="s">
        <v>82</v>
      </c>
      <c r="D97" s="55" t="s">
        <v>83</v>
      </c>
      <c r="E97" s="55" t="s">
        <v>84</v>
      </c>
      <c r="F97" s="55" t="s">
        <v>85</v>
      </c>
      <c r="G97" s="55" t="s">
        <v>86</v>
      </c>
      <c r="H97" s="55" t="s">
        <v>87</v>
      </c>
      <c r="I97" s="55" t="s">
        <v>88</v>
      </c>
      <c r="J97" s="55" t="s">
        <v>89</v>
      </c>
      <c r="K97" s="55" t="s">
        <v>90</v>
      </c>
      <c r="L97" s="55" t="s">
        <v>91</v>
      </c>
      <c r="M97" s="55" t="s">
        <v>92</v>
      </c>
      <c r="N97" s="55" t="s">
        <v>93</v>
      </c>
      <c r="O97" s="55" t="s">
        <v>94</v>
      </c>
      <c r="P97" s="56" t="s">
        <v>95</v>
      </c>
      <c r="Q97" s="18" t="s">
        <v>269</v>
      </c>
      <c r="R97" s="18" t="s">
        <v>251</v>
      </c>
    </row>
    <row r="98" spans="3:18" ht="24.95" customHeight="1" x14ac:dyDescent="0.25">
      <c r="C98" s="44" t="s">
        <v>314</v>
      </c>
      <c r="D98" s="90">
        <f>IF('BH (1)'!$D$4="Simples Nacional",IF('BH (1)'!$C$15=1,0,'Ref4'!D12*$R$101),'Ref4'!D12*$R$101)</f>
        <v>7558.0725000000011</v>
      </c>
      <c r="E98" s="90">
        <f>IF('BH (1)'!$D$4="Simples Nacional",IF('BH (1)'!$C$15=1,0,'Ref4'!E12*$R$101),'Ref4'!E12*$R$101)</f>
        <v>6080.7351000000008</v>
      </c>
      <c r="F98" s="90">
        <f>IF('BH (1)'!$D$4="Simples Nacional",IF('BH (1)'!$C$15=1,0,'Ref4'!F12*$R$101),'Ref4'!F12*$R$101)</f>
        <v>7495.6893000000018</v>
      </c>
      <c r="G98" s="90">
        <f>IF('BH (1)'!$D$4="Simples Nacional",IF('BH (1)'!$C$15=1,0,'Ref4'!G12*$R$101),'Ref4'!G12*$R$101)</f>
        <v>6751.9716000000008</v>
      </c>
      <c r="H98" s="90">
        <f>IF('BH (1)'!$D$4="Simples Nacional",IF('BH (1)'!$C$15=1,0,'Ref4'!H12*$R$101),'Ref4'!H12*$R$101)</f>
        <v>6679.2099000000007</v>
      </c>
      <c r="I98" s="90">
        <f>IF('BH (1)'!$D$4="Simples Nacional",IF('BH (1)'!$C$15=1,0,'Ref4'!I12*$R$101),'Ref4'!I12*$R$101)</f>
        <v>5847.9201000000003</v>
      </c>
      <c r="J98" s="90">
        <f>IF('BH (1)'!$D$4="Simples Nacional",IF('BH (1)'!$C$15=1,0,'Ref4'!J12*$R$101),'Ref4'!J12*$R$101)</f>
        <v>6942.2628000000013</v>
      </c>
      <c r="K98" s="90">
        <f>IF('BH (1)'!$D$4="Simples Nacional",IF('BH (1)'!$C$15=1,0,'Ref4'!K12*$R$101),'Ref4'!K12*$R$101)</f>
        <v>5755.9722000000011</v>
      </c>
      <c r="L98" s="90">
        <f>IF('BH (1)'!$D$4="Simples Nacional",IF('BH (1)'!$C$15=1,0,'Ref4'!L12*$R$101),'Ref4'!L12*$R$101)</f>
        <v>6157.4799000000012</v>
      </c>
      <c r="M98" s="90">
        <f>IF('BH (1)'!$D$4="Simples Nacional",IF('BH (1)'!$C$15=1,0,'Ref4'!M12*$R$101),'Ref4'!M12*$R$101)</f>
        <v>6488.469900000001</v>
      </c>
      <c r="N98" s="90">
        <f>IF('BH (1)'!$D$4="Simples Nacional",IF('BH (1)'!$C$15=1,0,'Ref4'!N12*$R$101),'Ref4'!N12*$R$101)</f>
        <v>6200.7891000000009</v>
      </c>
      <c r="O98" s="90">
        <f>IF('BH (1)'!$D$4="Simples Nacional",IF('BH (1)'!$C$15=1,0,'Ref4'!O12*$R$101),'Ref4'!O12*$R$101)</f>
        <v>6144.8013000000001</v>
      </c>
      <c r="P98" s="93">
        <f>SUM(D98:O98)</f>
        <v>78103.373700000011</v>
      </c>
      <c r="Q98" s="203">
        <f>IF('BH (1)'!$D$4="Lucro Real",TabR!E14,IF('BH (1)'!$D$4="Lucro Presumido",TabP!F14,IF('BH (1)'!$D$4="Simples Nacional",TabS!$H$36)))</f>
        <v>0.187</v>
      </c>
      <c r="R98" s="203">
        <f>IF('BH (1)'!$D$4="Lucro Real",TabR!E16,IF('BH (1)'!$D$4="Lucro Presumido",TabP!F16,IF('BH (1)'!$D$4="Simples Nacional",TabS!$H$38)))</f>
        <v>0.6</v>
      </c>
    </row>
    <row r="99" spans="3:18" ht="24.95" customHeight="1" x14ac:dyDescent="0.25">
      <c r="C99" s="198" t="s">
        <v>315</v>
      </c>
      <c r="D99" s="99">
        <f>IF('BH (1)'!$D$4="Simples Nacional",IF('BH (1)'!$C$15=1,0,Lançamentos!D24*$R$101),Lançamentos!D24*$R$101)</f>
        <v>1623.8145000000002</v>
      </c>
      <c r="E99" s="99">
        <f>IF('BH (1)'!$D$4="Simples Nacional",IF('BH (1)'!$C$15=1,0,Lançamentos!E24*$R$101),Lançamentos!E24*$R$101)</f>
        <v>1579.5516</v>
      </c>
      <c r="F99" s="99">
        <f>IF('BH (1)'!$D$4="Simples Nacional",IF('BH (1)'!$C$15=1,0,Lançamentos!F24*$R$101),Lançamentos!F24*$R$101)</f>
        <v>1550.4357000000002</v>
      </c>
      <c r="G99" s="99">
        <f>IF('BH (1)'!$D$4="Simples Nacional",IF('BH (1)'!$C$15=1,0,Lançamentos!G24*$R$101),Lançamentos!G24*$R$101)</f>
        <v>1534.2228000000002</v>
      </c>
      <c r="H99" s="99">
        <f>IF('BH (1)'!$D$4="Simples Nacional",IF('BH (1)'!$C$15=1,0,Lançamentos!H24*$R$101),Lançamentos!H24*$R$101)</f>
        <v>1547.7990000000002</v>
      </c>
      <c r="I99" s="99">
        <f>IF('BH (1)'!$D$4="Simples Nacional",IF('BH (1)'!$C$15=1,0,Lançamentos!I24*$R$101),Lançamentos!I24*$R$101)</f>
        <v>1550.3235000000002</v>
      </c>
      <c r="J99" s="99">
        <f>IF('BH (1)'!$D$4="Simples Nacional",IF('BH (1)'!$C$15=1,0,Lançamentos!J24*$R$101),Lançamentos!J24*$R$101)</f>
        <v>1420.6203000000003</v>
      </c>
      <c r="K99" s="99">
        <f>IF('BH (1)'!$D$4="Simples Nacional",IF('BH (1)'!$C$15=1,0,Lançamentos!K24*$R$101),Lançamentos!K24*$R$101)</f>
        <v>1616.0727000000002</v>
      </c>
      <c r="L99" s="99">
        <f>IF('BH (1)'!$D$4="Simples Nacional",IF('BH (1)'!$C$15=1,0,Lançamentos!L24*$R$101),Lançamentos!L24*$R$101)</f>
        <v>1424.0985000000003</v>
      </c>
      <c r="M99" s="99">
        <f>IF('BH (1)'!$D$4="Simples Nacional",IF('BH (1)'!$C$15=1,0,Lançamentos!M24*$R$101),Lançamentos!M24*$R$101)</f>
        <v>1689.9564000000003</v>
      </c>
      <c r="N99" s="99">
        <f>IF('BH (1)'!$D$4="Simples Nacional",IF('BH (1)'!$C$15=1,0,Lançamentos!N24*$R$101),Lançamentos!N24*$R$101)</f>
        <v>1539.1596000000002</v>
      </c>
      <c r="O99" s="99">
        <f>IF('BH (1)'!$D$4="Simples Nacional",IF('BH (1)'!$C$15=1,0,Lançamentos!O24*$R$101),Lançamentos!O24*$R$101)</f>
        <v>1446.4824000000003</v>
      </c>
      <c r="P99" s="93">
        <f>SUM(D99:O99)</f>
        <v>18522.537000000004</v>
      </c>
      <c r="Q99" s="18" t="s">
        <v>270</v>
      </c>
    </row>
    <row r="100" spans="3:18" ht="24.95" hidden="1" customHeight="1" x14ac:dyDescent="0.25">
      <c r="C100" s="228" t="s">
        <v>207</v>
      </c>
      <c r="D100" s="229">
        <f>D99-D98</f>
        <v>-5934.2580000000007</v>
      </c>
      <c r="E100" s="229">
        <f>IF(D100&lt;0,E99-E98,D100+E99-E98)</f>
        <v>-4501.183500000001</v>
      </c>
      <c r="F100" s="229">
        <f t="shared" ref="F100:O100" si="23">IF(E100&lt;0,F99-F98,E100+F99-F98)</f>
        <v>-5945.2536000000018</v>
      </c>
      <c r="G100" s="229">
        <f t="shared" si="23"/>
        <v>-5217.7488000000003</v>
      </c>
      <c r="H100" s="229">
        <f t="shared" si="23"/>
        <v>-5131.4109000000008</v>
      </c>
      <c r="I100" s="229">
        <f t="shared" si="23"/>
        <v>-4297.5965999999999</v>
      </c>
      <c r="J100" s="229">
        <f t="shared" si="23"/>
        <v>-5521.6425000000008</v>
      </c>
      <c r="K100" s="229">
        <f t="shared" si="23"/>
        <v>-4139.8995000000014</v>
      </c>
      <c r="L100" s="229">
        <f t="shared" si="23"/>
        <v>-4733.3814000000011</v>
      </c>
      <c r="M100" s="229">
        <f t="shared" si="23"/>
        <v>-4798.5135000000009</v>
      </c>
      <c r="N100" s="229">
        <f t="shared" si="23"/>
        <v>-4661.6295000000009</v>
      </c>
      <c r="O100" s="229">
        <f t="shared" si="23"/>
        <v>-4698.3189000000002</v>
      </c>
      <c r="P100" s="230">
        <f>SUM(D100:O100)</f>
        <v>-59580.8367</v>
      </c>
      <c r="Q100" s="203">
        <f>IFERROR(Q98-(Q98*R98),0)</f>
        <v>7.4800000000000005E-2</v>
      </c>
    </row>
    <row r="101" spans="3:18" ht="24.95" customHeight="1" x14ac:dyDescent="0.25">
      <c r="C101" s="199" t="s">
        <v>320</v>
      </c>
      <c r="D101" s="202">
        <f>IF(D100&lt;0,D100*-1,0)</f>
        <v>5934.2580000000007</v>
      </c>
      <c r="E101" s="202">
        <f t="shared" ref="E101:O101" si="24">IF(E100&lt;0,E100*-1,0)</f>
        <v>4501.183500000001</v>
      </c>
      <c r="F101" s="202">
        <f t="shared" si="24"/>
        <v>5945.2536000000018</v>
      </c>
      <c r="G101" s="202">
        <f t="shared" si="24"/>
        <v>5217.7488000000003</v>
      </c>
      <c r="H101" s="202">
        <f t="shared" si="24"/>
        <v>5131.4109000000008</v>
      </c>
      <c r="I101" s="202">
        <f t="shared" si="24"/>
        <v>4297.5965999999999</v>
      </c>
      <c r="J101" s="202">
        <f t="shared" si="24"/>
        <v>5521.6425000000008</v>
      </c>
      <c r="K101" s="202">
        <f t="shared" si="24"/>
        <v>4139.8995000000014</v>
      </c>
      <c r="L101" s="202">
        <f t="shared" si="24"/>
        <v>4733.3814000000011</v>
      </c>
      <c r="M101" s="202">
        <f t="shared" si="24"/>
        <v>4798.5135000000009</v>
      </c>
      <c r="N101" s="202">
        <f t="shared" si="24"/>
        <v>4661.6295000000009</v>
      </c>
      <c r="O101" s="202">
        <f t="shared" si="24"/>
        <v>4698.3189000000002</v>
      </c>
      <c r="P101" s="192">
        <f>SUM(D101:O101)</f>
        <v>59580.8367</v>
      </c>
      <c r="Q101" s="203">
        <f>Q87</f>
        <v>0.7</v>
      </c>
      <c r="R101" s="203">
        <f>R87</f>
        <v>0.30000000000000004</v>
      </c>
    </row>
    <row r="102" spans="3:18" ht="15" customHeight="1" x14ac:dyDescent="0.25">
      <c r="Q102" s="203">
        <f>IFERROR(Q100*R101,0)</f>
        <v>2.2440000000000005E-2</v>
      </c>
    </row>
    <row r="200" spans="3:16" ht="15" hidden="1" customHeight="1" x14ac:dyDescent="0.25"/>
    <row r="201" spans="3:16" ht="15" hidden="1" customHeight="1" x14ac:dyDescent="0.25">
      <c r="C201" s="188" t="s">
        <v>283</v>
      </c>
      <c r="D201" s="201">
        <f>IF('BH (1)'!$C$4=1,TabR!E17,IF('BH (1)'!$C$4=2,TabP!F17,IF('BH (1)'!$C$4=3,TabS!H39)))</f>
        <v>1.5</v>
      </c>
    </row>
    <row r="202" spans="3:16" ht="15" hidden="1" customHeight="1" x14ac:dyDescent="0.25">
      <c r="C202" s="112" t="s">
        <v>82</v>
      </c>
      <c r="D202" s="112" t="s">
        <v>83</v>
      </c>
      <c r="E202" s="112" t="s">
        <v>84</v>
      </c>
      <c r="F202" s="112" t="s">
        <v>85</v>
      </c>
      <c r="G202" s="112" t="s">
        <v>86</v>
      </c>
      <c r="H202" s="112" t="s">
        <v>87</v>
      </c>
      <c r="I202" s="112" t="s">
        <v>88</v>
      </c>
      <c r="J202" s="112" t="s">
        <v>89</v>
      </c>
      <c r="K202" s="112" t="s">
        <v>90</v>
      </c>
      <c r="L202" s="112" t="s">
        <v>91</v>
      </c>
      <c r="M202" s="112" t="s">
        <v>92</v>
      </c>
      <c r="N202" s="112" t="s">
        <v>93</v>
      </c>
      <c r="O202" s="112" t="s">
        <v>94</v>
      </c>
      <c r="P202" s="112" t="s">
        <v>95</v>
      </c>
    </row>
    <row r="203" spans="3:16" ht="15" hidden="1" customHeight="1" x14ac:dyDescent="0.25">
      <c r="C203" s="200" t="s">
        <v>135</v>
      </c>
      <c r="D203" s="193">
        <f>IF('BH (1)'!$C$4=3,Simp6!D10,'Fat6'!D8)</f>
        <v>134725</v>
      </c>
      <c r="E203" s="193">
        <f>IF('BH (1)'!$C$4=3,Simp6!E10,'Fat6'!E8)</f>
        <v>108391</v>
      </c>
      <c r="F203" s="193">
        <f>IF('BH (1)'!$C$4=3,Simp6!F10,'Fat6'!F8)</f>
        <v>133613</v>
      </c>
      <c r="G203" s="193">
        <f>IF('BH (1)'!$C$4=3,Simp6!G10,'Fat6'!G8)</f>
        <v>120356</v>
      </c>
      <c r="H203" s="193">
        <f>IF('BH (1)'!$C$4=3,Simp6!H10,'Fat6'!H8)</f>
        <v>119059</v>
      </c>
      <c r="I203" s="193">
        <f>IF('BH (1)'!$C$4=3,Simp6!I10,'Fat6'!I8)</f>
        <v>104241</v>
      </c>
      <c r="J203" s="193">
        <f>IF('BH (1)'!$C$4=3,Simp6!J10,'Fat6'!J8)</f>
        <v>123748</v>
      </c>
      <c r="K203" s="193">
        <f>IF('BH (1)'!$C$4=3,Simp6!K10,'Fat6'!K8)</f>
        <v>102602</v>
      </c>
      <c r="L203" s="193">
        <f>IF('BH (1)'!$C$4=3,Simp6!L10,'Fat6'!L8)</f>
        <v>109759</v>
      </c>
      <c r="M203" s="193">
        <f>IF('BH (1)'!$C$4=3,Simp6!M10,'Fat6'!M8)</f>
        <v>115659</v>
      </c>
      <c r="N203" s="193">
        <f>IF('BH (1)'!$C$4=3,Simp6!N10,'Fat6'!N8)</f>
        <v>110531</v>
      </c>
      <c r="O203" s="193">
        <f>IF('BH (1)'!$C$4=3,Simp6!O10,'Fat6'!O8)</f>
        <v>109533</v>
      </c>
      <c r="P203" s="114">
        <f>SUM(D203:O203)</f>
        <v>1392217</v>
      </c>
    </row>
    <row r="204" spans="3:16" ht="15" hidden="1" customHeight="1" x14ac:dyDescent="0.25">
      <c r="C204" s="200" t="s">
        <v>284</v>
      </c>
      <c r="D204" s="193">
        <f>IF('BH (1)'!$B$18=1,D203*$D$201,D203)</f>
        <v>134725</v>
      </c>
      <c r="E204" s="193">
        <f>IF('BH (1)'!$B$18=1,E203*$D$201,E203)</f>
        <v>108391</v>
      </c>
      <c r="F204" s="193">
        <f>IF('BH (1)'!$B$18=1,F203*$D$201,F203)</f>
        <v>133613</v>
      </c>
      <c r="G204" s="193">
        <f>IF('BH (1)'!$B$18=1,G203*$D$201,G203)</f>
        <v>120356</v>
      </c>
      <c r="H204" s="193">
        <f>IF('BH (1)'!$B$18=1,H203*$D$201,H203)</f>
        <v>119059</v>
      </c>
      <c r="I204" s="193">
        <f>IF('BH (1)'!$B$18=1,I203*$D$201,I203)</f>
        <v>104241</v>
      </c>
      <c r="J204" s="193">
        <f>IF('BH (1)'!$B$18=1,J203*$D$201,J203)</f>
        <v>123748</v>
      </c>
      <c r="K204" s="193">
        <f>IF('BH (1)'!$B$18=1,K203*$D$201,K203)</f>
        <v>102602</v>
      </c>
      <c r="L204" s="193">
        <f>IF('BH (1)'!$B$18=1,L203*$D$201,L203)</f>
        <v>109759</v>
      </c>
      <c r="M204" s="193">
        <f>IF('BH (1)'!$B$18=1,M203*$D$201,M203)</f>
        <v>115659</v>
      </c>
      <c r="N204" s="193">
        <f>IF('BH (1)'!$B$18=1,N203*$D$201,N203)</f>
        <v>110531</v>
      </c>
      <c r="O204" s="193">
        <f>IF('BH (1)'!$B$18=1,O203*$D$201,O203)</f>
        <v>109533</v>
      </c>
      <c r="P204" s="114">
        <f>SUM(D204:O204)</f>
        <v>1392217</v>
      </c>
    </row>
  </sheetData>
  <sheetProtection sheet="1" objects="1" scenarios="1" selectLockedCells="1" selectUnlockedCells="1"/>
  <mergeCells count="2">
    <mergeCell ref="C85:D85"/>
    <mergeCell ref="C96:D96"/>
  </mergeCells>
  <pageMargins left="0.25" right="0.25" top="0.75" bottom="0.75" header="0.3" footer="0.3"/>
  <pageSetup paperSize="9" scale="5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Drop Down 1">
              <controlPr defaultSize="0" print="0" autoLine="0" autoPict="0">
                <anchor moveWithCells="1">
                  <from>
                    <xdr:col>12</xdr:col>
                    <xdr:colOff>133350</xdr:colOff>
                    <xdr:row>2</xdr:row>
                    <xdr:rowOff>257175</xdr:rowOff>
                  </from>
                  <to>
                    <xdr:col>20</xdr:col>
                    <xdr:colOff>9525</xdr:colOff>
                    <xdr:row>2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Planilha47">
    <tabColor rgb="FF0000FF"/>
    <pageSetUpPr fitToPage="1"/>
  </sheetPr>
  <dimension ref="C1:R204"/>
  <sheetViews>
    <sheetView showGridLines="0" showRowColHeaders="0" workbookViewId="0">
      <pane ySplit="4" topLeftCell="A5" activePane="bottomLeft" state="frozen"/>
      <selection activeCell="U93" sqref="U93"/>
      <selection pane="bottomLeft" activeCell="D6" sqref="D6"/>
    </sheetView>
  </sheetViews>
  <sheetFormatPr defaultRowHeight="15" customHeight="1" x14ac:dyDescent="0.25"/>
  <cols>
    <col min="1" max="2" width="1.7109375" style="18" customWidth="1"/>
    <col min="3" max="3" width="13.7109375" style="200" customWidth="1"/>
    <col min="4" max="16" width="13.140625" style="18" customWidth="1"/>
    <col min="17" max="18" width="9.140625" style="18" hidden="1" customWidth="1"/>
    <col min="19" max="20" width="0" style="18" hidden="1" customWidth="1"/>
    <col min="21" max="16384" width="9.140625" style="18"/>
  </cols>
  <sheetData>
    <row r="1" spans="3:16" s="1" customFormat="1" ht="35.1" customHeight="1" x14ac:dyDescent="0.25">
      <c r="C1" s="194"/>
    </row>
    <row r="2" spans="3:16" s="3" customFormat="1" ht="30" customHeight="1" x14ac:dyDescent="0.25">
      <c r="C2" s="195"/>
    </row>
    <row r="3" spans="3:16" ht="69.95" customHeight="1" thickBot="1" x14ac:dyDescent="0.3">
      <c r="C3" s="180" t="s">
        <v>274</v>
      </c>
    </row>
    <row r="4" spans="3:16" ht="21.95" customHeight="1" x14ac:dyDescent="0.25">
      <c r="C4" s="85" t="s">
        <v>82</v>
      </c>
      <c r="D4" s="55" t="s">
        <v>83</v>
      </c>
      <c r="E4" s="55" t="s">
        <v>84</v>
      </c>
      <c r="F4" s="55" t="s">
        <v>85</v>
      </c>
      <c r="G4" s="55" t="s">
        <v>86</v>
      </c>
      <c r="H4" s="55" t="s">
        <v>87</v>
      </c>
      <c r="I4" s="55" t="s">
        <v>88</v>
      </c>
      <c r="J4" s="55" t="s">
        <v>89</v>
      </c>
      <c r="K4" s="55" t="s">
        <v>90</v>
      </c>
      <c r="L4" s="55" t="s">
        <v>91</v>
      </c>
      <c r="M4" s="55" t="s">
        <v>92</v>
      </c>
      <c r="N4" s="55" t="s">
        <v>93</v>
      </c>
      <c r="O4" s="55" t="s">
        <v>94</v>
      </c>
      <c r="P4" s="56" t="s">
        <v>294</v>
      </c>
    </row>
    <row r="5" spans="3:16" ht="21.95" customHeight="1" x14ac:dyDescent="0.25">
      <c r="C5" s="44" t="s">
        <v>43</v>
      </c>
      <c r="D5" s="90">
        <f>IF('BH (1)'!$D$4="Simples Nacional",IF('BH (1)'!$D$15="Simplificado",Simp6!D14+Simp6!D15+Simp6!D17,D83),D83)</f>
        <v>9742.3379999999997</v>
      </c>
      <c r="E5" s="90">
        <f>IF('BH (1)'!$D$4="Simples Nacional",IF('BH (1)'!$D$15="Simplificado",Simp6!E14+Simp6!E15+Simp6!E17,E83),E83)</f>
        <v>7389.6435000000001</v>
      </c>
      <c r="F5" s="90">
        <f>IF('BH (1)'!$D$4="Simples Nacional",IF('BH (1)'!$D$15="Simplificado",Simp6!F14+Simp6!F15+Simp6!F17,F83),F83)</f>
        <v>9760.3895999999986</v>
      </c>
      <c r="G5" s="90">
        <f>IF('BH (1)'!$D$4="Simples Nacional",IF('BH (1)'!$D$15="Simplificado",Simp6!G14+Simp6!G15+Simp6!G17,G83),G83)</f>
        <v>8566.0367999999999</v>
      </c>
      <c r="H5" s="90">
        <f>IF('BH (1)'!$D$4="Simples Nacional",IF('BH (1)'!$D$15="Simplificado",Simp6!H14+Simp6!H15+Simp6!H17,H83),H83)</f>
        <v>8424.294899999999</v>
      </c>
      <c r="I5" s="90">
        <f>IF('BH (1)'!$D$4="Simples Nacional",IF('BH (1)'!$D$15="Simplificado",Simp6!I14+Simp6!I15+Simp6!I17,I83),I83)</f>
        <v>7055.4126000000006</v>
      </c>
      <c r="J5" s="90">
        <f>IF('BH (1)'!$D$4="Simples Nacional",IF('BH (1)'!$D$15="Simplificado",Simp6!J14+Simp6!J15+Simp6!J17,J83),J83)</f>
        <v>9064.942500000001</v>
      </c>
      <c r="K5" s="90">
        <f>IF('BH (1)'!$D$4="Simples Nacional",IF('BH (1)'!$D$15="Simplificado",Simp6!K14+Simp6!K15+Simp6!K17,K83),K83)</f>
        <v>6796.5195000000003</v>
      </c>
      <c r="L5" s="90">
        <f>IF('BH (1)'!$D$4="Simples Nacional",IF('BH (1)'!$D$15="Simplificado",Simp6!L14+Simp6!L15+Simp6!L17,L83),L83)</f>
        <v>7770.8454000000002</v>
      </c>
      <c r="M5" s="90">
        <f>IF('BH (1)'!$D$4="Simples Nacional",IF('BH (1)'!$D$15="Simplificado",Simp6!M14+Simp6!M15+Simp6!M17,M83),M83)</f>
        <v>7877.7735000000002</v>
      </c>
      <c r="N5" s="90">
        <f>IF('BH (1)'!$D$4="Simples Nacional",IF('BH (1)'!$D$15="Simplificado",Simp6!N14+Simp6!N15+Simp6!N17,N83),N83)</f>
        <v>7653.0495000000001</v>
      </c>
      <c r="O5" s="90">
        <f>IF('BH (1)'!$D$4="Simples Nacional",IF('BH (1)'!$D$15="Simplificado",Simp6!O14+Simp6!O15+Simp6!O17,O83),O83)</f>
        <v>7713.2828999999992</v>
      </c>
      <c r="P5" s="93">
        <f>SUM(D5:O5)</f>
        <v>97814.528699999995</v>
      </c>
    </row>
    <row r="6" spans="3:16" ht="21.95" customHeight="1" x14ac:dyDescent="0.25">
      <c r="C6" s="44" t="s">
        <v>44</v>
      </c>
      <c r="D6" s="90">
        <f>IF('BH (1)'!$D$4="Simples Nacional",IF('BH (1)'!$D$15="Simplificado",0,D101),D101)</f>
        <v>7912.3440000000001</v>
      </c>
      <c r="E6" s="90">
        <f>IF('BH (1)'!$D$4="Simples Nacional",IF('BH (1)'!$D$15="Simplificado",0,E101),E101)</f>
        <v>6001.5779999999995</v>
      </c>
      <c r="F6" s="90">
        <f>IF('BH (1)'!$D$4="Simples Nacional",IF('BH (1)'!$D$15="Simplificado",0,F101),F101)</f>
        <v>7927.0048000000006</v>
      </c>
      <c r="G6" s="90">
        <f>IF('BH (1)'!$D$4="Simples Nacional",IF('BH (1)'!$D$15="Simplificado",0,G101),G101)</f>
        <v>6956.9984000000004</v>
      </c>
      <c r="H6" s="90">
        <f>IF('BH (1)'!$D$4="Simples Nacional",IF('BH (1)'!$D$15="Simplificado",0,H101),H101)</f>
        <v>6841.8811999999998</v>
      </c>
      <c r="I6" s="90">
        <f>IF('BH (1)'!$D$4="Simples Nacional",IF('BH (1)'!$D$15="Simplificado",0,I101),I101)</f>
        <v>5730.1288000000004</v>
      </c>
      <c r="J6" s="90">
        <f>IF('BH (1)'!$D$4="Simples Nacional",IF('BH (1)'!$D$15="Simplificado",0,J101),J101)</f>
        <v>7362.1900000000014</v>
      </c>
      <c r="K6" s="90">
        <f>IF('BH (1)'!$D$4="Simples Nacional",IF('BH (1)'!$D$15="Simplificado",0,K101),K101)</f>
        <v>5519.866</v>
      </c>
      <c r="L6" s="90">
        <f>IF('BH (1)'!$D$4="Simples Nacional",IF('BH (1)'!$D$15="Simplificado",0,L101),L101)</f>
        <v>6311.1752000000006</v>
      </c>
      <c r="M6" s="90">
        <f>IF('BH (1)'!$D$4="Simples Nacional",IF('BH (1)'!$D$15="Simplificado",0,M101),M101)</f>
        <v>6398.018</v>
      </c>
      <c r="N6" s="90">
        <f>IF('BH (1)'!$D$4="Simples Nacional",IF('BH (1)'!$D$15="Simplificado",0,N101),N101)</f>
        <v>6215.5060000000003</v>
      </c>
      <c r="O6" s="90">
        <f>IF('BH (1)'!$D$4="Simples Nacional",IF('BH (1)'!$D$15="Simplificado",0,O101),O101)</f>
        <v>6264.4251999999997</v>
      </c>
      <c r="P6" s="93">
        <f>SUM(D6:O6)</f>
        <v>79441.11559999999</v>
      </c>
    </row>
    <row r="7" spans="3:16" ht="24.95" hidden="1" customHeight="1" x14ac:dyDescent="0.25">
      <c r="C7" s="44" t="s">
        <v>97</v>
      </c>
      <c r="D7" s="90">
        <v>0</v>
      </c>
      <c r="E7" s="90">
        <v>0</v>
      </c>
      <c r="F7" s="90">
        <v>0</v>
      </c>
      <c r="G7" s="90">
        <v>0</v>
      </c>
      <c r="H7" s="90">
        <v>0</v>
      </c>
      <c r="I7" s="90">
        <v>0</v>
      </c>
      <c r="J7" s="90">
        <v>0</v>
      </c>
      <c r="K7" s="90">
        <v>0</v>
      </c>
      <c r="L7" s="90">
        <v>0</v>
      </c>
      <c r="M7" s="90">
        <v>0</v>
      </c>
      <c r="N7" s="90">
        <v>0</v>
      </c>
      <c r="O7" s="90">
        <v>0</v>
      </c>
      <c r="P7" s="93">
        <f>SUM(D7:O7)</f>
        <v>0</v>
      </c>
    </row>
    <row r="8" spans="3:16" ht="24.95" hidden="1" customHeight="1" x14ac:dyDescent="0.25">
      <c r="C8" s="44" t="s">
        <v>98</v>
      </c>
      <c r="D8" s="90">
        <v>0</v>
      </c>
      <c r="E8" s="90">
        <v>0</v>
      </c>
      <c r="F8" s="90">
        <v>0</v>
      </c>
      <c r="G8" s="90">
        <v>0</v>
      </c>
      <c r="H8" s="90">
        <v>0</v>
      </c>
      <c r="I8" s="90">
        <v>0</v>
      </c>
      <c r="J8" s="90">
        <v>0</v>
      </c>
      <c r="K8" s="90">
        <v>0</v>
      </c>
      <c r="L8" s="90">
        <v>0</v>
      </c>
      <c r="M8" s="90">
        <v>0</v>
      </c>
      <c r="N8" s="90">
        <v>0</v>
      </c>
      <c r="O8" s="90">
        <v>0</v>
      </c>
      <c r="P8" s="93">
        <f>SUM(D8:O8)</f>
        <v>0</v>
      </c>
    </row>
    <row r="9" spans="3:16" ht="24.95" customHeight="1" x14ac:dyDescent="0.25">
      <c r="C9" s="44" t="s">
        <v>37</v>
      </c>
      <c r="D9" s="90">
        <f>IF('BH (1)'!$D$4="Simples Nacional",IF('BH (1)'!$D$15="Simplificado",Simp6!D16,D93),D93)</f>
        <v>7173.3015000000014</v>
      </c>
      <c r="E9" s="90">
        <f>IF('BH (1)'!$D$4="Simples Nacional",IF('BH (1)'!$D$15="Simplificado",Simp6!E16,E93),E93)</f>
        <v>5346.1332000000002</v>
      </c>
      <c r="F9" s="90">
        <f>IF('BH (1)'!$D$4="Simples Nacional",IF('BH (1)'!$D$15="Simplificado",Simp6!F16,F93),F93)</f>
        <v>7207.4258999999984</v>
      </c>
      <c r="G9" s="90">
        <f>IF('BH (1)'!$D$4="Simples Nacional",IF('BH (1)'!$D$15="Simplificado",Simp6!G16,G93),G93)</f>
        <v>6278.1516000000001</v>
      </c>
      <c r="H9" s="90">
        <f>IF('BH (1)'!$D$4="Simples Nacional",IF('BH (1)'!$D$15="Simplificado",Simp6!H16,H93),H93)</f>
        <v>6163.6409999999996</v>
      </c>
      <c r="I9" s="90">
        <f>IF('BH (1)'!$D$4="Simples Nacional",IF('BH (1)'!$D$15="Simplificado",Simp6!I16,I93),I93)</f>
        <v>5092.8164999999999</v>
      </c>
      <c r="J9" s="90">
        <f>IF('BH (1)'!$D$4="Simples Nacional",IF('BH (1)'!$D$15="Simplificado",Simp6!J16,J93),J93)</f>
        <v>6699.1581000000006</v>
      </c>
      <c r="K9" s="90">
        <f>IF('BH (1)'!$D$4="Simples Nacional",IF('BH (1)'!$D$15="Simplificado",Simp6!K16,K93),K93)</f>
        <v>4872.4928999999993</v>
      </c>
      <c r="L9" s="90">
        <f>IF('BH (1)'!$D$4="Simples Nacional",IF('BH (1)'!$D$15="Simplificado",Simp6!L16,L93),L93)</f>
        <v>5686.5374999999995</v>
      </c>
      <c r="M9" s="90">
        <f>IF('BH (1)'!$D$4="Simples Nacional",IF('BH (1)'!$D$15="Simplificado",Simp6!M16,M93),M93)</f>
        <v>5697.622800000001</v>
      </c>
      <c r="N9" s="90">
        <f>IF('BH (1)'!$D$4="Simples Nacional",IF('BH (1)'!$D$15="Simplificado",Simp6!N16,N93),N93)</f>
        <v>5563.069199999999</v>
      </c>
      <c r="O9" s="90">
        <f>IF('BH (1)'!$D$4="Simples Nacional",IF('BH (1)'!$D$15="Simplificado",Simp6!O16,O93),O93)</f>
        <v>5635.4327999999996</v>
      </c>
      <c r="P9" s="93">
        <f>SUM(D9:O9)</f>
        <v>71415.782999999996</v>
      </c>
    </row>
    <row r="10" spans="3:16" ht="24.95" hidden="1" customHeight="1" x14ac:dyDescent="0.25">
      <c r="C10" s="44" t="s">
        <v>38</v>
      </c>
      <c r="D10" s="90">
        <v>0</v>
      </c>
      <c r="E10" s="90">
        <v>0</v>
      </c>
      <c r="F10" s="90">
        <v>0</v>
      </c>
      <c r="G10" s="90">
        <v>0</v>
      </c>
      <c r="H10" s="90">
        <v>0</v>
      </c>
      <c r="I10" s="90">
        <v>0</v>
      </c>
      <c r="J10" s="90">
        <v>0</v>
      </c>
      <c r="K10" s="90">
        <v>0</v>
      </c>
      <c r="L10" s="90">
        <v>0</v>
      </c>
      <c r="M10" s="90">
        <v>0</v>
      </c>
      <c r="N10" s="90">
        <v>0</v>
      </c>
      <c r="O10" s="90">
        <v>0</v>
      </c>
      <c r="P10" s="93">
        <f t="shared" ref="P10:P17" si="0">SUM(D10:O10)</f>
        <v>0</v>
      </c>
    </row>
    <row r="11" spans="3:16" ht="24.95" customHeight="1" x14ac:dyDescent="0.25">
      <c r="C11" s="44" t="s">
        <v>39</v>
      </c>
      <c r="D11" s="90">
        <f>IF('BH (1)'!$D$4="Simples Nacional",IF('BH (1)'!$D$15="Simplificado",Simp6!D18,D94),D94)</f>
        <v>0</v>
      </c>
      <c r="E11" s="90">
        <f>IF('BH (1)'!$D$4="Simples Nacional",IF('BH (1)'!$D$15="Simplificado",Simp6!E18,E94),E94)</f>
        <v>0</v>
      </c>
      <c r="F11" s="90">
        <f>IF('BH (1)'!$D$4="Simples Nacional",IF('BH (1)'!$D$15="Simplificado",Simp6!F18,F94),F94)</f>
        <v>0</v>
      </c>
      <c r="G11" s="90">
        <f>IF('BH (1)'!$D$4="Simples Nacional",IF('BH (1)'!$D$15="Simplificado",Simp6!G18,G94),G94)</f>
        <v>0</v>
      </c>
      <c r="H11" s="90">
        <f>IF('BH (1)'!$D$4="Simples Nacional",IF('BH (1)'!$D$15="Simplificado",Simp6!H18,H94),H94)</f>
        <v>0</v>
      </c>
      <c r="I11" s="90">
        <f>IF('BH (1)'!$D$4="Simples Nacional",IF('BH (1)'!$D$15="Simplificado",Simp6!I18,I94),I94)</f>
        <v>0</v>
      </c>
      <c r="J11" s="90">
        <f>IF('BH (1)'!$D$4="Simples Nacional",IF('BH (1)'!$D$15="Simplificado",Simp6!J18,J94),J94)</f>
        <v>0</v>
      </c>
      <c r="K11" s="90">
        <f>IF('BH (1)'!$D$4="Simples Nacional",IF('BH (1)'!$D$15="Simplificado",Simp6!K18,K94),K94)</f>
        <v>0</v>
      </c>
      <c r="L11" s="90">
        <f>IF('BH (1)'!$D$4="Simples Nacional",IF('BH (1)'!$D$15="Simplificado",Simp6!L18,L94),L94)</f>
        <v>0</v>
      </c>
      <c r="M11" s="90">
        <f>IF('BH (1)'!$D$4="Simples Nacional",IF('BH (1)'!$D$15="Simplificado",Simp6!M18,M94),M94)</f>
        <v>0</v>
      </c>
      <c r="N11" s="90">
        <f>IF('BH (1)'!$D$4="Simples Nacional",IF('BH (1)'!$D$15="Simplificado",Simp6!N18,N94),N94)</f>
        <v>0</v>
      </c>
      <c r="O11" s="90">
        <f>IF('BH (1)'!$D$4="Simples Nacional",IF('BH (1)'!$D$15="Simplificado",Simp6!O18,O94),O94)</f>
        <v>0</v>
      </c>
      <c r="P11" s="93">
        <f t="shared" si="0"/>
        <v>0</v>
      </c>
    </row>
    <row r="12" spans="3:16" ht="24.95" customHeight="1" x14ac:dyDescent="0.25">
      <c r="C12" s="44" t="s">
        <v>129</v>
      </c>
      <c r="D12" s="90">
        <f>D50</f>
        <v>2400</v>
      </c>
      <c r="E12" s="90">
        <f t="shared" ref="E12:O12" si="1">E50</f>
        <v>2400</v>
      </c>
      <c r="F12" s="90">
        <f t="shared" si="1"/>
        <v>2400</v>
      </c>
      <c r="G12" s="90">
        <f t="shared" si="1"/>
        <v>2400</v>
      </c>
      <c r="H12" s="90">
        <f t="shared" si="1"/>
        <v>2400</v>
      </c>
      <c r="I12" s="90">
        <f t="shared" si="1"/>
        <v>2400</v>
      </c>
      <c r="J12" s="90">
        <f t="shared" si="1"/>
        <v>2400</v>
      </c>
      <c r="K12" s="90">
        <f t="shared" si="1"/>
        <v>2400</v>
      </c>
      <c r="L12" s="90">
        <f t="shared" si="1"/>
        <v>2400</v>
      </c>
      <c r="M12" s="90">
        <f t="shared" si="1"/>
        <v>2400</v>
      </c>
      <c r="N12" s="90">
        <f t="shared" si="1"/>
        <v>2400</v>
      </c>
      <c r="O12" s="90">
        <f t="shared" si="1"/>
        <v>2400</v>
      </c>
      <c r="P12" s="93">
        <f t="shared" si="0"/>
        <v>28800</v>
      </c>
    </row>
    <row r="13" spans="3:16" ht="24.95" customHeight="1" x14ac:dyDescent="0.25">
      <c r="C13" s="44" t="s">
        <v>42</v>
      </c>
      <c r="D13" s="90">
        <f>D57</f>
        <v>0</v>
      </c>
      <c r="E13" s="90">
        <f t="shared" ref="E13:O13" si="2">E57</f>
        <v>0</v>
      </c>
      <c r="F13" s="90">
        <f t="shared" si="2"/>
        <v>4068.6731999999993</v>
      </c>
      <c r="G13" s="90">
        <f t="shared" si="2"/>
        <v>0</v>
      </c>
      <c r="H13" s="90">
        <f t="shared" si="2"/>
        <v>0</v>
      </c>
      <c r="I13" s="90">
        <f t="shared" si="2"/>
        <v>3711.4848000000002</v>
      </c>
      <c r="J13" s="90">
        <f t="shared" si="2"/>
        <v>0</v>
      </c>
      <c r="K13" s="90">
        <f t="shared" si="2"/>
        <v>0</v>
      </c>
      <c r="L13" s="90">
        <f t="shared" si="2"/>
        <v>3629.9771999999998</v>
      </c>
      <c r="M13" s="90">
        <f t="shared" si="2"/>
        <v>0</v>
      </c>
      <c r="N13" s="90">
        <f t="shared" si="2"/>
        <v>0</v>
      </c>
      <c r="O13" s="90">
        <f t="shared" si="2"/>
        <v>3625.8083999999999</v>
      </c>
      <c r="P13" s="93">
        <f>IF('BH (1)'!$D$4="Lucro Presumido",Relatórios!P11,SUM(D13:O13))</f>
        <v>15035.943599999999</v>
      </c>
    </row>
    <row r="14" spans="3:16" ht="24.95" customHeight="1" x14ac:dyDescent="0.25">
      <c r="C14" s="44" t="s">
        <v>40</v>
      </c>
      <c r="D14" s="90">
        <f>IF('BH (1)'!$D$4="Simples Nacional",D55,D55+D56)</f>
        <v>0</v>
      </c>
      <c r="E14" s="90">
        <f>IF('BH (1)'!$D$4="Simples Nacional",E55,E55+E56)</f>
        <v>0</v>
      </c>
      <c r="F14" s="90">
        <f>IF('BH (1)'!$D$4="Simples Nacional",F55,F55+F56)</f>
        <v>4520.7479999999996</v>
      </c>
      <c r="G14" s="90">
        <f>IF('BH (1)'!$D$4="Simples Nacional",G55,G55+G56)</f>
        <v>0</v>
      </c>
      <c r="H14" s="90">
        <f>IF('BH (1)'!$D$4="Simples Nacional",H55,H55+H56)</f>
        <v>0</v>
      </c>
      <c r="I14" s="90">
        <f>IF('BH (1)'!$D$4="Simples Nacional",I55,I55+I56)</f>
        <v>4123.8719999999994</v>
      </c>
      <c r="J14" s="90">
        <f>IF('BH (1)'!$D$4="Simples Nacional",J55,J55+J56)</f>
        <v>0</v>
      </c>
      <c r="K14" s="90">
        <f>IF('BH (1)'!$D$4="Simples Nacional",K55,K55+K56)</f>
        <v>0</v>
      </c>
      <c r="L14" s="90">
        <f>IF('BH (1)'!$D$4="Simples Nacional",L55,L55+L56)</f>
        <v>4033.308</v>
      </c>
      <c r="M14" s="90">
        <f>IF('BH (1)'!$D$4="Simples Nacional",M55,M55+M56)</f>
        <v>0</v>
      </c>
      <c r="N14" s="90">
        <f>IF('BH (1)'!$D$4="Simples Nacional",N55,N55+N56)</f>
        <v>0</v>
      </c>
      <c r="O14" s="90">
        <f>IF('BH (1)'!$D$4="Simples Nacional",O55,O55+O56)</f>
        <v>4028.6759999999999</v>
      </c>
      <c r="P14" s="93">
        <f>IF('BH (1)'!$D$4="Lucro Presumido",Relatórios!P12,SUM(D14:O14))</f>
        <v>16706.603999999999</v>
      </c>
    </row>
    <row r="15" spans="3:16" ht="24.95" customHeight="1" x14ac:dyDescent="0.25">
      <c r="C15" s="44" t="s">
        <v>155</v>
      </c>
      <c r="D15" s="90">
        <f>D51</f>
        <v>960</v>
      </c>
      <c r="E15" s="90">
        <f t="shared" ref="E15:O17" si="3">E51</f>
        <v>960</v>
      </c>
      <c r="F15" s="90">
        <f t="shared" si="3"/>
        <v>960</v>
      </c>
      <c r="G15" s="90">
        <f t="shared" si="3"/>
        <v>960</v>
      </c>
      <c r="H15" s="90">
        <f t="shared" si="3"/>
        <v>960</v>
      </c>
      <c r="I15" s="90">
        <f t="shared" si="3"/>
        <v>960</v>
      </c>
      <c r="J15" s="90">
        <f t="shared" si="3"/>
        <v>960</v>
      </c>
      <c r="K15" s="90">
        <f t="shared" si="3"/>
        <v>960</v>
      </c>
      <c r="L15" s="90">
        <f t="shared" si="3"/>
        <v>960</v>
      </c>
      <c r="M15" s="90">
        <f t="shared" si="3"/>
        <v>960</v>
      </c>
      <c r="N15" s="90">
        <f t="shared" si="3"/>
        <v>960</v>
      </c>
      <c r="O15" s="90">
        <f t="shared" si="3"/>
        <v>960</v>
      </c>
      <c r="P15" s="93">
        <f t="shared" si="0"/>
        <v>11520</v>
      </c>
    </row>
    <row r="16" spans="3:16" ht="24.95" customHeight="1" x14ac:dyDescent="0.25">
      <c r="C16" s="44" t="str">
        <f>IF('BH (1)'!D4="Simples Nacional","","Terceiros")</f>
        <v>Terceiros</v>
      </c>
      <c r="D16" s="90">
        <f>D52</f>
        <v>696</v>
      </c>
      <c r="E16" s="90">
        <f t="shared" si="3"/>
        <v>696</v>
      </c>
      <c r="F16" s="90">
        <f t="shared" si="3"/>
        <v>696</v>
      </c>
      <c r="G16" s="90">
        <f t="shared" si="3"/>
        <v>696</v>
      </c>
      <c r="H16" s="90">
        <f t="shared" si="3"/>
        <v>696</v>
      </c>
      <c r="I16" s="90">
        <f t="shared" si="3"/>
        <v>696</v>
      </c>
      <c r="J16" s="90">
        <f t="shared" si="3"/>
        <v>696</v>
      </c>
      <c r="K16" s="90">
        <f t="shared" si="3"/>
        <v>696</v>
      </c>
      <c r="L16" s="90">
        <f t="shared" si="3"/>
        <v>696</v>
      </c>
      <c r="M16" s="90">
        <f t="shared" si="3"/>
        <v>696</v>
      </c>
      <c r="N16" s="90">
        <f t="shared" si="3"/>
        <v>696</v>
      </c>
      <c r="O16" s="90">
        <f t="shared" si="3"/>
        <v>696</v>
      </c>
      <c r="P16" s="93">
        <f t="shared" si="0"/>
        <v>8352</v>
      </c>
    </row>
    <row r="17" spans="3:16" ht="24.95" customHeight="1" x14ac:dyDescent="0.25">
      <c r="C17" s="198" t="str">
        <f>IF('BH (1)'!D4="Simples Nacional","","RAT")</f>
        <v>RAT</v>
      </c>
      <c r="D17" s="189">
        <f>D53</f>
        <v>240</v>
      </c>
      <c r="E17" s="189">
        <f t="shared" si="3"/>
        <v>240</v>
      </c>
      <c r="F17" s="189">
        <f t="shared" si="3"/>
        <v>240</v>
      </c>
      <c r="G17" s="189">
        <f t="shared" si="3"/>
        <v>240</v>
      </c>
      <c r="H17" s="189">
        <f t="shared" si="3"/>
        <v>240</v>
      </c>
      <c r="I17" s="189">
        <f t="shared" si="3"/>
        <v>240</v>
      </c>
      <c r="J17" s="189">
        <f t="shared" si="3"/>
        <v>240</v>
      </c>
      <c r="K17" s="189">
        <f t="shared" si="3"/>
        <v>240</v>
      </c>
      <c r="L17" s="189">
        <f t="shared" si="3"/>
        <v>240</v>
      </c>
      <c r="M17" s="189">
        <f t="shared" si="3"/>
        <v>240</v>
      </c>
      <c r="N17" s="189">
        <f t="shared" si="3"/>
        <v>240</v>
      </c>
      <c r="O17" s="189">
        <f t="shared" si="3"/>
        <v>240</v>
      </c>
      <c r="P17" s="93">
        <f t="shared" si="0"/>
        <v>2880</v>
      </c>
    </row>
    <row r="18" spans="3:16" ht="24.95" customHeight="1" x14ac:dyDescent="0.25">
      <c r="C18" s="196" t="s">
        <v>245</v>
      </c>
      <c r="D18" s="97">
        <f>SUM(D5:D17)</f>
        <v>29123.983500000002</v>
      </c>
      <c r="E18" s="97">
        <f t="shared" ref="E18:O18" si="4">SUM(E5:E17)</f>
        <v>23033.3547</v>
      </c>
      <c r="F18" s="97">
        <f t="shared" si="4"/>
        <v>37780.241499999996</v>
      </c>
      <c r="G18" s="97">
        <f t="shared" si="4"/>
        <v>26097.186799999999</v>
      </c>
      <c r="H18" s="97">
        <f t="shared" si="4"/>
        <v>25725.8171</v>
      </c>
      <c r="I18" s="97">
        <f t="shared" si="4"/>
        <v>30009.7147</v>
      </c>
      <c r="J18" s="97">
        <f t="shared" si="4"/>
        <v>27422.290600000004</v>
      </c>
      <c r="K18" s="97">
        <f t="shared" si="4"/>
        <v>21484.878400000001</v>
      </c>
      <c r="L18" s="97">
        <f t="shared" si="4"/>
        <v>31727.8433</v>
      </c>
      <c r="M18" s="97">
        <f t="shared" si="4"/>
        <v>24269.4143</v>
      </c>
      <c r="N18" s="97">
        <f t="shared" si="4"/>
        <v>23727.6247</v>
      </c>
      <c r="O18" s="97">
        <f t="shared" si="4"/>
        <v>31563.6253</v>
      </c>
      <c r="P18" s="98">
        <f>SUM(P5:P17)</f>
        <v>331965.97489999997</v>
      </c>
    </row>
    <row r="19" spans="3:16" ht="30" customHeight="1" thickBot="1" x14ac:dyDescent="0.3">
      <c r="C19" s="180" t="s">
        <v>275</v>
      </c>
    </row>
    <row r="20" spans="3:16" ht="21.95" customHeight="1" x14ac:dyDescent="0.25">
      <c r="C20" s="85" t="s">
        <v>82</v>
      </c>
      <c r="D20" s="55" t="s">
        <v>83</v>
      </c>
      <c r="E20" s="55" t="s">
        <v>84</v>
      </c>
      <c r="F20" s="55" t="s">
        <v>85</v>
      </c>
      <c r="G20" s="55" t="s">
        <v>86</v>
      </c>
      <c r="H20" s="55" t="s">
        <v>87</v>
      </c>
      <c r="I20" s="55" t="s">
        <v>88</v>
      </c>
      <c r="J20" s="55" t="s">
        <v>89</v>
      </c>
      <c r="K20" s="55" t="s">
        <v>90</v>
      </c>
      <c r="L20" s="55" t="s">
        <v>91</v>
      </c>
      <c r="M20" s="55" t="s">
        <v>92</v>
      </c>
      <c r="N20" s="55" t="s">
        <v>93</v>
      </c>
      <c r="O20" s="55" t="s">
        <v>94</v>
      </c>
      <c r="P20" s="56" t="s">
        <v>294</v>
      </c>
    </row>
    <row r="21" spans="3:16" ht="24.95" customHeight="1" x14ac:dyDescent="0.25">
      <c r="C21" s="197" t="str">
        <f>'2027'!C21</f>
        <v>Indústria</v>
      </c>
      <c r="D21" s="90">
        <f>'2027'!D21</f>
        <v>0</v>
      </c>
      <c r="E21" s="90">
        <f>'2027'!E21</f>
        <v>0</v>
      </c>
      <c r="F21" s="90">
        <f>'2027'!F21</f>
        <v>0</v>
      </c>
      <c r="G21" s="90">
        <f>'2027'!G21</f>
        <v>0</v>
      </c>
      <c r="H21" s="90">
        <f>'2027'!H21</f>
        <v>0</v>
      </c>
      <c r="I21" s="90">
        <f>'2027'!I21</f>
        <v>0</v>
      </c>
      <c r="J21" s="90">
        <f>'2027'!J21</f>
        <v>0</v>
      </c>
      <c r="K21" s="90">
        <f>'2027'!K21</f>
        <v>0</v>
      </c>
      <c r="L21" s="90">
        <f>'2027'!L21</f>
        <v>0</v>
      </c>
      <c r="M21" s="90">
        <f>'2027'!M21</f>
        <v>0</v>
      </c>
      <c r="N21" s="90">
        <f>'2027'!N21</f>
        <v>0</v>
      </c>
      <c r="O21" s="90">
        <f>'2027'!O21</f>
        <v>0</v>
      </c>
      <c r="P21" s="91">
        <f>SUM(D21:O21)</f>
        <v>0</v>
      </c>
    </row>
    <row r="22" spans="3:16" ht="24.95" customHeight="1" x14ac:dyDescent="0.25">
      <c r="C22" s="44" t="str">
        <f>'2027'!C22</f>
        <v>Comércio</v>
      </c>
      <c r="D22" s="90">
        <f>'2027'!D22</f>
        <v>134725</v>
      </c>
      <c r="E22" s="90">
        <f>'2027'!E22</f>
        <v>108391</v>
      </c>
      <c r="F22" s="90">
        <f>'2027'!F22</f>
        <v>133613</v>
      </c>
      <c r="G22" s="90">
        <f>'2027'!G22</f>
        <v>120356</v>
      </c>
      <c r="H22" s="90">
        <f>'2027'!H22</f>
        <v>119059</v>
      </c>
      <c r="I22" s="90">
        <f>'2027'!I22</f>
        <v>104241</v>
      </c>
      <c r="J22" s="90">
        <f>'2027'!J22</f>
        <v>123748</v>
      </c>
      <c r="K22" s="90">
        <f>'2027'!K22</f>
        <v>102602</v>
      </c>
      <c r="L22" s="90">
        <f>'2027'!L22</f>
        <v>109759</v>
      </c>
      <c r="M22" s="90">
        <f>'2027'!M22</f>
        <v>115659</v>
      </c>
      <c r="N22" s="90">
        <f>'2027'!N22</f>
        <v>110531</v>
      </c>
      <c r="O22" s="90">
        <f>'2027'!O22</f>
        <v>109533</v>
      </c>
      <c r="P22" s="93">
        <f>SUM(D22:O22)</f>
        <v>1392217</v>
      </c>
    </row>
    <row r="23" spans="3:16" ht="24.95" customHeight="1" x14ac:dyDescent="0.25">
      <c r="C23" s="43" t="str">
        <f>'2027'!C23</f>
        <v>Serviços</v>
      </c>
      <c r="D23" s="90">
        <f>'2027'!D23</f>
        <v>0</v>
      </c>
      <c r="E23" s="90">
        <f>'2027'!E23</f>
        <v>0</v>
      </c>
      <c r="F23" s="90">
        <f>'2027'!F23</f>
        <v>0</v>
      </c>
      <c r="G23" s="90">
        <f>'2027'!G23</f>
        <v>0</v>
      </c>
      <c r="H23" s="90">
        <f>'2027'!H23</f>
        <v>0</v>
      </c>
      <c r="I23" s="90">
        <f>'2027'!I23</f>
        <v>0</v>
      </c>
      <c r="J23" s="90">
        <f>'2027'!J23</f>
        <v>0</v>
      </c>
      <c r="K23" s="90">
        <f>'2027'!K23</f>
        <v>0</v>
      </c>
      <c r="L23" s="90">
        <f>'2027'!L23</f>
        <v>0</v>
      </c>
      <c r="M23" s="90">
        <f>'2027'!M23</f>
        <v>0</v>
      </c>
      <c r="N23" s="90">
        <f>'2027'!N23</f>
        <v>0</v>
      </c>
      <c r="O23" s="90">
        <f>'2027'!O23</f>
        <v>0</v>
      </c>
      <c r="P23" s="93">
        <f>SUM(D23:O23)</f>
        <v>0</v>
      </c>
    </row>
    <row r="24" spans="3:16" ht="24.95" customHeight="1" x14ac:dyDescent="0.25">
      <c r="C24" s="43" t="str">
        <f>'2027'!C24</f>
        <v/>
      </c>
      <c r="D24" s="90" t="str">
        <f>'2027'!D24</f>
        <v/>
      </c>
      <c r="E24" s="90" t="str">
        <f>'2027'!E24</f>
        <v/>
      </c>
      <c r="F24" s="90" t="str">
        <f>'2027'!F24</f>
        <v/>
      </c>
      <c r="G24" s="90" t="str">
        <f>'2027'!G24</f>
        <v/>
      </c>
      <c r="H24" s="90" t="str">
        <f>'2027'!H24</f>
        <v/>
      </c>
      <c r="I24" s="90" t="str">
        <f>'2027'!I24</f>
        <v/>
      </c>
      <c r="J24" s="90" t="str">
        <f>'2027'!J24</f>
        <v/>
      </c>
      <c r="K24" s="90" t="str">
        <f>'2027'!K24</f>
        <v/>
      </c>
      <c r="L24" s="90" t="str">
        <f>'2027'!L24</f>
        <v/>
      </c>
      <c r="M24" s="90" t="str">
        <f>'2027'!M24</f>
        <v/>
      </c>
      <c r="N24" s="90" t="str">
        <f>'2027'!N24</f>
        <v/>
      </c>
      <c r="O24" s="90" t="str">
        <f>'2027'!O24</f>
        <v/>
      </c>
      <c r="P24" s="93">
        <f t="shared" ref="P24:P34" si="5">SUM(D24:O24)</f>
        <v>0</v>
      </c>
    </row>
    <row r="25" spans="3:16" ht="24.95" customHeight="1" x14ac:dyDescent="0.25">
      <c r="C25" s="43" t="str">
        <f>'2027'!C25</f>
        <v/>
      </c>
      <c r="D25" s="90" t="str">
        <f>'2027'!D25</f>
        <v/>
      </c>
      <c r="E25" s="90" t="str">
        <f>'2027'!E25</f>
        <v/>
      </c>
      <c r="F25" s="90" t="str">
        <f>'2027'!F25</f>
        <v/>
      </c>
      <c r="G25" s="90" t="str">
        <f>'2027'!G25</f>
        <v/>
      </c>
      <c r="H25" s="90" t="str">
        <f>'2027'!H25</f>
        <v/>
      </c>
      <c r="I25" s="90" t="str">
        <f>'2027'!I25</f>
        <v/>
      </c>
      <c r="J25" s="90" t="str">
        <f>'2027'!J25</f>
        <v/>
      </c>
      <c r="K25" s="90" t="str">
        <f>'2027'!K25</f>
        <v/>
      </c>
      <c r="L25" s="90" t="str">
        <f>'2027'!L25</f>
        <v/>
      </c>
      <c r="M25" s="90" t="str">
        <f>'2027'!M25</f>
        <v/>
      </c>
      <c r="N25" s="90" t="str">
        <f>'2027'!N25</f>
        <v/>
      </c>
      <c r="O25" s="90" t="str">
        <f>'2027'!O25</f>
        <v/>
      </c>
      <c r="P25" s="93">
        <f t="shared" si="5"/>
        <v>0</v>
      </c>
    </row>
    <row r="26" spans="3:16" ht="24.95" customHeight="1" x14ac:dyDescent="0.25">
      <c r="C26" s="198" t="s">
        <v>209</v>
      </c>
      <c r="D26" s="100">
        <f>Desp!D19</f>
        <v>0</v>
      </c>
      <c r="E26" s="99">
        <f>Desp!E19</f>
        <v>0</v>
      </c>
      <c r="F26" s="99">
        <f>Desp!F19</f>
        <v>0</v>
      </c>
      <c r="G26" s="99">
        <f>Desp!G19</f>
        <v>0</v>
      </c>
      <c r="H26" s="99">
        <f>Desp!H19</f>
        <v>0</v>
      </c>
      <c r="I26" s="99">
        <f>Desp!I19</f>
        <v>0</v>
      </c>
      <c r="J26" s="99">
        <f>Desp!J19</f>
        <v>0</v>
      </c>
      <c r="K26" s="99">
        <f>Desp!K19</f>
        <v>0</v>
      </c>
      <c r="L26" s="99">
        <f>Desp!L19</f>
        <v>0</v>
      </c>
      <c r="M26" s="99">
        <f>Desp!M19</f>
        <v>0</v>
      </c>
      <c r="N26" s="99">
        <f>Desp!N19</f>
        <v>0</v>
      </c>
      <c r="O26" s="100">
        <f>Desp!O19</f>
        <v>0</v>
      </c>
      <c r="P26" s="93">
        <f t="shared" si="5"/>
        <v>0</v>
      </c>
    </row>
    <row r="27" spans="3:16" ht="24.95" customHeight="1" x14ac:dyDescent="0.25">
      <c r="C27" s="196" t="s">
        <v>210</v>
      </c>
      <c r="D27" s="97">
        <f>SUM(D21:D25)-D26</f>
        <v>134725</v>
      </c>
      <c r="E27" s="97">
        <f t="shared" ref="E27:O27" si="6">SUM(E21:E25)-E26</f>
        <v>108391</v>
      </c>
      <c r="F27" s="97">
        <f t="shared" si="6"/>
        <v>133613</v>
      </c>
      <c r="G27" s="97">
        <f t="shared" si="6"/>
        <v>120356</v>
      </c>
      <c r="H27" s="97">
        <f t="shared" si="6"/>
        <v>119059</v>
      </c>
      <c r="I27" s="97">
        <f t="shared" si="6"/>
        <v>104241</v>
      </c>
      <c r="J27" s="97">
        <f t="shared" si="6"/>
        <v>123748</v>
      </c>
      <c r="K27" s="97">
        <f t="shared" si="6"/>
        <v>102602</v>
      </c>
      <c r="L27" s="97">
        <f t="shared" si="6"/>
        <v>109759</v>
      </c>
      <c r="M27" s="97">
        <f t="shared" si="6"/>
        <v>115659</v>
      </c>
      <c r="N27" s="97">
        <f t="shared" si="6"/>
        <v>110531</v>
      </c>
      <c r="O27" s="97">
        <f t="shared" si="6"/>
        <v>109533</v>
      </c>
      <c r="P27" s="93">
        <f t="shared" si="5"/>
        <v>1392217</v>
      </c>
    </row>
    <row r="28" spans="3:16" ht="24.95" hidden="1" customHeight="1" x14ac:dyDescent="0.25">
      <c r="C28" s="44" t="s">
        <v>214</v>
      </c>
      <c r="D28" s="90">
        <v>0</v>
      </c>
      <c r="E28" s="90">
        <v>0</v>
      </c>
      <c r="F28" s="90">
        <v>0</v>
      </c>
      <c r="G28" s="90">
        <v>0</v>
      </c>
      <c r="H28" s="90">
        <v>0</v>
      </c>
      <c r="I28" s="90">
        <v>0</v>
      </c>
      <c r="J28" s="90">
        <v>0</v>
      </c>
      <c r="K28" s="90">
        <v>0</v>
      </c>
      <c r="L28" s="90">
        <v>0</v>
      </c>
      <c r="M28" s="90">
        <v>0</v>
      </c>
      <c r="N28" s="90">
        <v>0</v>
      </c>
      <c r="O28" s="90">
        <v>0</v>
      </c>
      <c r="P28" s="93">
        <f t="shared" si="5"/>
        <v>0</v>
      </c>
    </row>
    <row r="29" spans="3:16" ht="24.95" hidden="1" customHeight="1" x14ac:dyDescent="0.25">
      <c r="C29" s="44" t="s">
        <v>215</v>
      </c>
      <c r="D29" s="90">
        <v>0</v>
      </c>
      <c r="E29" s="90">
        <v>0</v>
      </c>
      <c r="F29" s="90">
        <v>0</v>
      </c>
      <c r="G29" s="90">
        <v>0</v>
      </c>
      <c r="H29" s="90">
        <v>0</v>
      </c>
      <c r="I29" s="90">
        <v>0</v>
      </c>
      <c r="J29" s="90">
        <v>0</v>
      </c>
      <c r="K29" s="90">
        <v>0</v>
      </c>
      <c r="L29" s="90">
        <v>0</v>
      </c>
      <c r="M29" s="90">
        <v>0</v>
      </c>
      <c r="N29" s="90">
        <v>0</v>
      </c>
      <c r="O29" s="90">
        <v>0</v>
      </c>
      <c r="P29" s="93">
        <f t="shared" si="5"/>
        <v>0</v>
      </c>
    </row>
    <row r="30" spans="3:16" ht="24.95" customHeight="1" x14ac:dyDescent="0.25">
      <c r="C30" s="44" t="s">
        <v>216</v>
      </c>
      <c r="D30" s="90">
        <f>D87</f>
        <v>9700.2000000000007</v>
      </c>
      <c r="E30" s="90">
        <f t="shared" ref="E30:O30" si="7">E87</f>
        <v>7804.152</v>
      </c>
      <c r="F30" s="90">
        <f t="shared" si="7"/>
        <v>9620.1359999999986</v>
      </c>
      <c r="G30" s="90">
        <f t="shared" si="7"/>
        <v>8665.6319999999996</v>
      </c>
      <c r="H30" s="90">
        <f t="shared" si="7"/>
        <v>8572.2479999999996</v>
      </c>
      <c r="I30" s="90">
        <f t="shared" si="7"/>
        <v>7505.3519999999999</v>
      </c>
      <c r="J30" s="90">
        <f t="shared" si="7"/>
        <v>8909.8559999999998</v>
      </c>
      <c r="K30" s="90">
        <f t="shared" si="7"/>
        <v>7387.3439999999991</v>
      </c>
      <c r="L30" s="90">
        <f t="shared" si="7"/>
        <v>7902.6479999999992</v>
      </c>
      <c r="M30" s="90">
        <f t="shared" si="7"/>
        <v>8327.4480000000003</v>
      </c>
      <c r="N30" s="90">
        <f t="shared" si="7"/>
        <v>7958.2319999999991</v>
      </c>
      <c r="O30" s="90">
        <f t="shared" si="7"/>
        <v>7886.3759999999993</v>
      </c>
      <c r="P30" s="93">
        <f t="shared" si="5"/>
        <v>100239.62400000001</v>
      </c>
    </row>
    <row r="31" spans="3:16" ht="24.95" hidden="1" customHeight="1" x14ac:dyDescent="0.25">
      <c r="C31" s="44" t="s">
        <v>217</v>
      </c>
      <c r="D31" s="90">
        <v>0</v>
      </c>
      <c r="E31" s="90">
        <v>0</v>
      </c>
      <c r="F31" s="90">
        <v>0</v>
      </c>
      <c r="G31" s="90">
        <v>0</v>
      </c>
      <c r="H31" s="90">
        <v>0</v>
      </c>
      <c r="I31" s="90">
        <v>0</v>
      </c>
      <c r="J31" s="90">
        <v>0</v>
      </c>
      <c r="K31" s="90">
        <v>0</v>
      </c>
      <c r="L31" s="90">
        <v>0</v>
      </c>
      <c r="M31" s="90">
        <v>0</v>
      </c>
      <c r="N31" s="90">
        <v>0</v>
      </c>
      <c r="O31" s="90">
        <v>0</v>
      </c>
      <c r="P31" s="93">
        <f t="shared" si="5"/>
        <v>0</v>
      </c>
    </row>
    <row r="32" spans="3:16" ht="24.95" customHeight="1" x14ac:dyDescent="0.25">
      <c r="C32" s="44" t="s">
        <v>218</v>
      </c>
      <c r="D32" s="90">
        <f>D88</f>
        <v>0</v>
      </c>
      <c r="E32" s="90">
        <f t="shared" ref="E32:O32" si="8">E88</f>
        <v>0</v>
      </c>
      <c r="F32" s="90">
        <f t="shared" si="8"/>
        <v>0</v>
      </c>
      <c r="G32" s="90">
        <f t="shared" si="8"/>
        <v>0</v>
      </c>
      <c r="H32" s="90">
        <f t="shared" si="8"/>
        <v>0</v>
      </c>
      <c r="I32" s="90">
        <f t="shared" si="8"/>
        <v>0</v>
      </c>
      <c r="J32" s="90">
        <f t="shared" si="8"/>
        <v>0</v>
      </c>
      <c r="K32" s="90">
        <f t="shared" si="8"/>
        <v>0</v>
      </c>
      <c r="L32" s="90">
        <f t="shared" si="8"/>
        <v>0</v>
      </c>
      <c r="M32" s="90">
        <f t="shared" si="8"/>
        <v>0</v>
      </c>
      <c r="N32" s="90">
        <f t="shared" si="8"/>
        <v>0</v>
      </c>
      <c r="O32" s="90">
        <f t="shared" si="8"/>
        <v>0</v>
      </c>
      <c r="P32" s="93">
        <f t="shared" si="5"/>
        <v>0</v>
      </c>
    </row>
    <row r="33" spans="3:16" ht="24.95" customHeight="1" x14ac:dyDescent="0.25">
      <c r="C33" s="44" t="s">
        <v>247</v>
      </c>
      <c r="D33" s="90">
        <f>D81</f>
        <v>12408.172500000001</v>
      </c>
      <c r="E33" s="90">
        <f t="shared" ref="E33:O33" si="9">E81</f>
        <v>9982.8111000000008</v>
      </c>
      <c r="F33" s="90">
        <f t="shared" si="9"/>
        <v>12305.757299999999</v>
      </c>
      <c r="G33" s="90">
        <f t="shared" si="9"/>
        <v>11084.7876</v>
      </c>
      <c r="H33" s="90">
        <f t="shared" si="9"/>
        <v>10965.3339</v>
      </c>
      <c r="I33" s="90">
        <f t="shared" si="9"/>
        <v>9600.5961000000007</v>
      </c>
      <c r="J33" s="90">
        <f t="shared" si="9"/>
        <v>11397.1908</v>
      </c>
      <c r="K33" s="90">
        <f t="shared" si="9"/>
        <v>9449.6442000000006</v>
      </c>
      <c r="L33" s="90">
        <f t="shared" si="9"/>
        <v>10108.803900000001</v>
      </c>
      <c r="M33" s="90">
        <f t="shared" si="9"/>
        <v>10652.1939</v>
      </c>
      <c r="N33" s="90">
        <f t="shared" si="9"/>
        <v>10179.9051</v>
      </c>
      <c r="O33" s="90">
        <f t="shared" si="9"/>
        <v>10087.989299999999</v>
      </c>
      <c r="P33" s="93">
        <f t="shared" si="5"/>
        <v>128223.18569999999</v>
      </c>
    </row>
    <row r="34" spans="3:16" ht="24.95" customHeight="1" x14ac:dyDescent="0.25">
      <c r="C34" s="198" t="s">
        <v>248</v>
      </c>
      <c r="D34" s="99">
        <f>D98</f>
        <v>10077.43</v>
      </c>
      <c r="E34" s="99">
        <f t="shared" ref="E34:O34" si="10">E98</f>
        <v>8107.6467999999995</v>
      </c>
      <c r="F34" s="99">
        <f t="shared" si="10"/>
        <v>9994.2524000000012</v>
      </c>
      <c r="G34" s="99">
        <f t="shared" si="10"/>
        <v>9002.6288000000004</v>
      </c>
      <c r="H34" s="99">
        <f t="shared" si="10"/>
        <v>8905.6131999999998</v>
      </c>
      <c r="I34" s="99">
        <f t="shared" si="10"/>
        <v>7797.2268000000004</v>
      </c>
      <c r="J34" s="99">
        <f t="shared" si="10"/>
        <v>9256.3504000000012</v>
      </c>
      <c r="K34" s="99">
        <f t="shared" si="10"/>
        <v>7674.6296000000002</v>
      </c>
      <c r="L34" s="99">
        <f t="shared" si="10"/>
        <v>8209.9732000000004</v>
      </c>
      <c r="M34" s="99">
        <f t="shared" si="10"/>
        <v>8651.2932000000001</v>
      </c>
      <c r="N34" s="99">
        <f t="shared" si="10"/>
        <v>8267.7188000000006</v>
      </c>
      <c r="O34" s="99">
        <f t="shared" si="10"/>
        <v>8193.0684000000001</v>
      </c>
      <c r="P34" s="93">
        <f t="shared" si="5"/>
        <v>104137.8316</v>
      </c>
    </row>
    <row r="35" spans="3:16" ht="24.95" customHeight="1" x14ac:dyDescent="0.25">
      <c r="C35" s="199" t="s">
        <v>211</v>
      </c>
      <c r="D35" s="97">
        <f>D27-SUM(D28:D34)</f>
        <v>102539.19749999999</v>
      </c>
      <c r="E35" s="97">
        <f t="shared" ref="E35:O35" si="11">E27-SUM(E28:E34)</f>
        <v>82496.390100000004</v>
      </c>
      <c r="F35" s="97">
        <f t="shared" si="11"/>
        <v>101692.85430000001</v>
      </c>
      <c r="G35" s="97">
        <f t="shared" si="11"/>
        <v>91602.9516</v>
      </c>
      <c r="H35" s="97">
        <f t="shared" si="11"/>
        <v>90615.804900000003</v>
      </c>
      <c r="I35" s="97">
        <f t="shared" si="11"/>
        <v>79337.825100000002</v>
      </c>
      <c r="J35" s="97">
        <f t="shared" si="11"/>
        <v>94184.602799999993</v>
      </c>
      <c r="K35" s="97">
        <f t="shared" si="11"/>
        <v>78090.382199999993</v>
      </c>
      <c r="L35" s="97">
        <f t="shared" si="11"/>
        <v>83537.574900000007</v>
      </c>
      <c r="M35" s="97">
        <f t="shared" si="11"/>
        <v>88028.064899999998</v>
      </c>
      <c r="N35" s="97">
        <f t="shared" si="11"/>
        <v>84125.144100000005</v>
      </c>
      <c r="O35" s="97">
        <f t="shared" si="11"/>
        <v>83365.566300000006</v>
      </c>
      <c r="P35" s="93">
        <f>SUM(D35:O35)</f>
        <v>1059616.3587</v>
      </c>
    </row>
    <row r="36" spans="3:16" ht="24.95" customHeight="1" x14ac:dyDescent="0.25">
      <c r="C36" s="43" t="s">
        <v>219</v>
      </c>
      <c r="D36" s="90">
        <f>Cus!D5</f>
        <v>0</v>
      </c>
      <c r="E36" s="90">
        <f>Cus!E5</f>
        <v>0</v>
      </c>
      <c r="F36" s="90">
        <f>Cus!F5</f>
        <v>0</v>
      </c>
      <c r="G36" s="90">
        <f>Cus!G5</f>
        <v>0</v>
      </c>
      <c r="H36" s="90">
        <f>Cus!H5</f>
        <v>0</v>
      </c>
      <c r="I36" s="90">
        <f>Cus!I5</f>
        <v>0</v>
      </c>
      <c r="J36" s="90">
        <f>Cus!J5</f>
        <v>0</v>
      </c>
      <c r="K36" s="90">
        <f>Cus!K5</f>
        <v>0</v>
      </c>
      <c r="L36" s="90">
        <f>Cus!L5</f>
        <v>0</v>
      </c>
      <c r="M36" s="90">
        <f>Cus!M5</f>
        <v>0</v>
      </c>
      <c r="N36" s="90">
        <f>Cus!N5</f>
        <v>0</v>
      </c>
      <c r="O36" s="90">
        <f>Cus!O5</f>
        <v>0</v>
      </c>
      <c r="P36" s="93">
        <f t="shared" ref="P36:P45" si="12">SUM(D36:O36)</f>
        <v>0</v>
      </c>
    </row>
    <row r="37" spans="3:16" ht="24.95" customHeight="1" x14ac:dyDescent="0.25">
      <c r="C37" s="44" t="s">
        <v>220</v>
      </c>
      <c r="D37" s="90">
        <f>Cus!D6</f>
        <v>38671</v>
      </c>
      <c r="E37" s="90">
        <f>Cus!E6</f>
        <v>35038</v>
      </c>
      <c r="F37" s="90">
        <f>Cus!F6</f>
        <v>38988</v>
      </c>
      <c r="G37" s="90">
        <f>Cus!G6</f>
        <v>36366</v>
      </c>
      <c r="H37" s="90">
        <f>Cus!H6</f>
        <v>36221</v>
      </c>
      <c r="I37" s="90">
        <f>Cus!I6</f>
        <v>36625</v>
      </c>
      <c r="J37" s="90">
        <f>Cus!J6</f>
        <v>37727</v>
      </c>
      <c r="K37" s="90">
        <f>Cus!K6</f>
        <v>38303</v>
      </c>
      <c r="L37" s="90">
        <f>Cus!L6</f>
        <v>39407</v>
      </c>
      <c r="M37" s="90">
        <f>Cus!M6</f>
        <v>36094</v>
      </c>
      <c r="N37" s="90">
        <f>Cus!N6</f>
        <v>37011</v>
      </c>
      <c r="O37" s="90">
        <f>Cus!O6</f>
        <v>39167</v>
      </c>
      <c r="P37" s="93">
        <f t="shared" si="12"/>
        <v>449618</v>
      </c>
    </row>
    <row r="38" spans="3:16" ht="24.95" customHeight="1" x14ac:dyDescent="0.25">
      <c r="C38" s="44" t="s">
        <v>221</v>
      </c>
      <c r="D38" s="126">
        <f>Cus!D7</f>
        <v>0</v>
      </c>
      <c r="E38" s="125">
        <f>Cus!E7</f>
        <v>0</v>
      </c>
      <c r="F38" s="125">
        <f>Cus!F7</f>
        <v>0</v>
      </c>
      <c r="G38" s="125">
        <f>Cus!G7</f>
        <v>0</v>
      </c>
      <c r="H38" s="125">
        <f>Cus!H7</f>
        <v>0</v>
      </c>
      <c r="I38" s="125">
        <f>Cus!I7</f>
        <v>0</v>
      </c>
      <c r="J38" s="125">
        <f>Cus!J7</f>
        <v>0</v>
      </c>
      <c r="K38" s="125">
        <f>Cus!K7</f>
        <v>0</v>
      </c>
      <c r="L38" s="125">
        <f>Cus!L7</f>
        <v>0</v>
      </c>
      <c r="M38" s="125">
        <f>Cus!M7</f>
        <v>0</v>
      </c>
      <c r="N38" s="125">
        <f>Cus!N7</f>
        <v>0</v>
      </c>
      <c r="O38" s="126">
        <f>Cus!O7</f>
        <v>0</v>
      </c>
      <c r="P38" s="93">
        <f t="shared" si="12"/>
        <v>0</v>
      </c>
    </row>
    <row r="39" spans="3:16" ht="24.95" customHeight="1" x14ac:dyDescent="0.25">
      <c r="C39" s="228" t="s">
        <v>353</v>
      </c>
      <c r="D39" s="263">
        <f>IF('BH (1)'!$D$4="Simples Nacional",IF('BH (1)'!$C$15=1,0,D79+D99),D79+D89+D90+D99)</f>
        <v>7357.8189999999995</v>
      </c>
      <c r="E39" s="263">
        <f>IF('BH (1)'!$D$4="Simples Nacional",IF('BH (1)'!$C$15=1,0,E79+E99),E79+E89+E90+E99)</f>
        <v>7157.2552000000005</v>
      </c>
      <c r="F39" s="263">
        <f>IF('BH (1)'!$D$4="Simples Nacional",IF('BH (1)'!$C$15=1,0,F79+F99),F79+F89+F90+F99)</f>
        <v>7025.3254000000015</v>
      </c>
      <c r="G39" s="263">
        <f>IF('BH (1)'!$D$4="Simples Nacional",IF('BH (1)'!$C$15=1,0,G79+G99),G79+G89+G90+G99)</f>
        <v>6951.8616000000002</v>
      </c>
      <c r="H39" s="263">
        <f>IF('BH (1)'!$D$4="Simples Nacional",IF('BH (1)'!$C$15=1,0,H79+H99),H79+H89+H90+H99)</f>
        <v>7013.3780000000006</v>
      </c>
      <c r="I39" s="263">
        <f>IF('BH (1)'!$D$4="Simples Nacional",IF('BH (1)'!$C$15=1,0,I79+I99),I79+I89+I90+I99)</f>
        <v>7024.817</v>
      </c>
      <c r="J39" s="263">
        <f>IF('BH (1)'!$D$4="Simples Nacional",IF('BH (1)'!$C$15=1,0,J79+J99),J79+J89+J90+J99)</f>
        <v>6437.1066000000001</v>
      </c>
      <c r="K39" s="263">
        <f>IF('BH (1)'!$D$4="Simples Nacional",IF('BH (1)'!$C$15=1,0,K79+K99),K79+K89+K90+K99)</f>
        <v>7322.7394000000004</v>
      </c>
      <c r="L39" s="263">
        <f>IF('BH (1)'!$D$4="Simples Nacional",IF('BH (1)'!$C$15=1,0,L79+L99),L79+L89+L90+L99)</f>
        <v>6452.8669999999993</v>
      </c>
      <c r="M39" s="263">
        <f>IF('BH (1)'!$D$4="Simples Nacional",IF('BH (1)'!$C$15=1,0,M79+M99),M79+M89+M90+M99)</f>
        <v>7657.5207999999993</v>
      </c>
      <c r="N39" s="263">
        <f>IF('BH (1)'!$D$4="Simples Nacional",IF('BH (1)'!$C$15=1,0,N79+N99),N79+N89+N90+N99)</f>
        <v>6974.2312000000002</v>
      </c>
      <c r="O39" s="263">
        <f>IF('BH (1)'!$D$4="Simples Nacional",IF('BH (1)'!$C$15=1,0,O79+O99),O79+O89+O90+O99)</f>
        <v>6554.2928000000002</v>
      </c>
      <c r="P39" s="93">
        <f>SUM(D39:O39)</f>
        <v>83929.213999999993</v>
      </c>
    </row>
    <row r="40" spans="3:16" ht="24.95" customHeight="1" x14ac:dyDescent="0.25">
      <c r="C40" s="196" t="s">
        <v>212</v>
      </c>
      <c r="D40" s="97">
        <f>IFERROR(IF(SUM(D36:D38)=0,D35-SUM(D36:D38),D35-SUM(D36:D38)+D39),0)</f>
        <v>71226.016499999998</v>
      </c>
      <c r="E40" s="97">
        <f t="shared" ref="E40:N40" si="13">IFERROR(IF(SUM(E36:E38)=0,E35-SUM(E36:E38),E35-SUM(E36:E38)+E39),0)</f>
        <v>54615.645300000004</v>
      </c>
      <c r="F40" s="97">
        <f t="shared" si="13"/>
        <v>69730.179700000008</v>
      </c>
      <c r="G40" s="97">
        <f t="shared" si="13"/>
        <v>62188.813200000004</v>
      </c>
      <c r="H40" s="97">
        <f t="shared" si="13"/>
        <v>61408.1829</v>
      </c>
      <c r="I40" s="97">
        <f t="shared" si="13"/>
        <v>49737.642100000005</v>
      </c>
      <c r="J40" s="97">
        <f t="shared" si="13"/>
        <v>62894.709399999992</v>
      </c>
      <c r="K40" s="97">
        <f t="shared" si="13"/>
        <v>47110.121599999991</v>
      </c>
      <c r="L40" s="97">
        <f t="shared" si="13"/>
        <v>50583.441900000005</v>
      </c>
      <c r="M40" s="97">
        <f t="shared" si="13"/>
        <v>59591.585699999996</v>
      </c>
      <c r="N40" s="97">
        <f t="shared" si="13"/>
        <v>54088.375300000007</v>
      </c>
      <c r="O40" s="97">
        <f>IFERROR(IF(SUM(O36:O38)=0,O35-SUM(O36:O38),O35-SUM(O36:O38)+O39),0)</f>
        <v>50752.859100000009</v>
      </c>
      <c r="P40" s="93">
        <f>SUM(D40:O40)</f>
        <v>693927.5726999999</v>
      </c>
    </row>
    <row r="41" spans="3:16" ht="24.95" customHeight="1" x14ac:dyDescent="0.25">
      <c r="C41" s="44" t="s">
        <v>226</v>
      </c>
      <c r="D41" s="90">
        <f>Desp!D5</f>
        <v>26739</v>
      </c>
      <c r="E41" s="90">
        <f>Desp!E5</f>
        <v>27419</v>
      </c>
      <c r="F41" s="90">
        <f>Desp!F5</f>
        <v>25474</v>
      </c>
      <c r="G41" s="90">
        <f>Desp!G5</f>
        <v>27975</v>
      </c>
      <c r="H41" s="90">
        <f>Desp!H5</f>
        <v>26284</v>
      </c>
      <c r="I41" s="90">
        <f>Desp!I5</f>
        <v>27556</v>
      </c>
      <c r="J41" s="90">
        <f>Desp!J5</f>
        <v>27311</v>
      </c>
      <c r="K41" s="90">
        <f>Desp!K5</f>
        <v>27931</v>
      </c>
      <c r="L41" s="90">
        <f>Desp!L5</f>
        <v>26172</v>
      </c>
      <c r="M41" s="90">
        <f>Desp!M5</f>
        <v>27441</v>
      </c>
      <c r="N41" s="90">
        <f>Desp!N5</f>
        <v>27567</v>
      </c>
      <c r="O41" s="90">
        <f>Desp!O5</f>
        <v>27298</v>
      </c>
      <c r="P41" s="93">
        <f t="shared" si="12"/>
        <v>325167</v>
      </c>
    </row>
    <row r="42" spans="3:16" ht="24.95" customHeight="1" x14ac:dyDescent="0.25">
      <c r="C42" s="44" t="s">
        <v>227</v>
      </c>
      <c r="D42" s="90">
        <f>Desp!D6</f>
        <v>0</v>
      </c>
      <c r="E42" s="90">
        <f>Desp!E6</f>
        <v>0</v>
      </c>
      <c r="F42" s="90">
        <f>Desp!F6</f>
        <v>0</v>
      </c>
      <c r="G42" s="90">
        <f>Desp!G6</f>
        <v>0</v>
      </c>
      <c r="H42" s="90">
        <f>Desp!H6</f>
        <v>0</v>
      </c>
      <c r="I42" s="90">
        <f>Desp!I6</f>
        <v>0</v>
      </c>
      <c r="J42" s="90">
        <f>Desp!J6</f>
        <v>0</v>
      </c>
      <c r="K42" s="90">
        <f>Desp!K6</f>
        <v>0</v>
      </c>
      <c r="L42" s="90">
        <f>Desp!L6</f>
        <v>0</v>
      </c>
      <c r="M42" s="90">
        <f>Desp!M6</f>
        <v>0</v>
      </c>
      <c r="N42" s="90">
        <f>Desp!N6</f>
        <v>0</v>
      </c>
      <c r="O42" s="90">
        <f>Desp!O6</f>
        <v>0</v>
      </c>
      <c r="P42" s="93">
        <f t="shared" si="12"/>
        <v>0</v>
      </c>
    </row>
    <row r="43" spans="3:16" ht="24.95" customHeight="1" x14ac:dyDescent="0.25">
      <c r="C43" s="44" t="s">
        <v>228</v>
      </c>
      <c r="D43" s="90">
        <f>Desp!D7</f>
        <v>0</v>
      </c>
      <c r="E43" s="90">
        <f>Desp!E7</f>
        <v>0</v>
      </c>
      <c r="F43" s="90">
        <f>Desp!F7</f>
        <v>0</v>
      </c>
      <c r="G43" s="90">
        <f>Desp!G7</f>
        <v>0</v>
      </c>
      <c r="H43" s="90">
        <f>Desp!H7</f>
        <v>0</v>
      </c>
      <c r="I43" s="90">
        <f>Desp!I7</f>
        <v>0</v>
      </c>
      <c r="J43" s="90">
        <f>Desp!J7</f>
        <v>0</v>
      </c>
      <c r="K43" s="90">
        <f>Desp!K7</f>
        <v>0</v>
      </c>
      <c r="L43" s="90">
        <f>Desp!L7</f>
        <v>0</v>
      </c>
      <c r="M43" s="90">
        <f>Desp!M7</f>
        <v>0</v>
      </c>
      <c r="N43" s="90">
        <f>Desp!N7</f>
        <v>0</v>
      </c>
      <c r="O43" s="90">
        <f>Desp!O7</f>
        <v>0</v>
      </c>
      <c r="P43" s="93">
        <f t="shared" si="12"/>
        <v>0</v>
      </c>
    </row>
    <row r="44" spans="3:16" ht="24.95" customHeight="1" x14ac:dyDescent="0.25">
      <c r="C44" s="44" t="s">
        <v>229</v>
      </c>
      <c r="D44" s="90">
        <f>Desp!D8</f>
        <v>0</v>
      </c>
      <c r="E44" s="90">
        <f>Desp!E8</f>
        <v>0</v>
      </c>
      <c r="F44" s="90">
        <f>Desp!F8</f>
        <v>0</v>
      </c>
      <c r="G44" s="90">
        <f>Desp!G8</f>
        <v>0</v>
      </c>
      <c r="H44" s="90">
        <f>Desp!H8</f>
        <v>0</v>
      </c>
      <c r="I44" s="90">
        <f>Desp!I8</f>
        <v>0</v>
      </c>
      <c r="J44" s="90">
        <f>Desp!J8</f>
        <v>0</v>
      </c>
      <c r="K44" s="90">
        <f>Desp!K8</f>
        <v>0</v>
      </c>
      <c r="L44" s="90">
        <f>Desp!L8</f>
        <v>0</v>
      </c>
      <c r="M44" s="90">
        <f>Desp!M8</f>
        <v>0</v>
      </c>
      <c r="N44" s="90">
        <f>Desp!N8</f>
        <v>0</v>
      </c>
      <c r="O44" s="90">
        <f>Desp!O8</f>
        <v>0</v>
      </c>
      <c r="P44" s="93">
        <f t="shared" si="12"/>
        <v>0</v>
      </c>
    </row>
    <row r="45" spans="3:16" ht="24.95" customHeight="1" x14ac:dyDescent="0.25">
      <c r="C45" s="44" t="s">
        <v>230</v>
      </c>
      <c r="D45" s="90">
        <f>Desp!D9</f>
        <v>0</v>
      </c>
      <c r="E45" s="90">
        <f>Desp!E9</f>
        <v>0</v>
      </c>
      <c r="F45" s="90">
        <f>Desp!F9</f>
        <v>0</v>
      </c>
      <c r="G45" s="90">
        <f>Desp!G9</f>
        <v>0</v>
      </c>
      <c r="H45" s="90">
        <f>Desp!H9</f>
        <v>0</v>
      </c>
      <c r="I45" s="90">
        <f>Desp!I9</f>
        <v>0</v>
      </c>
      <c r="J45" s="90">
        <f>Desp!J9</f>
        <v>0</v>
      </c>
      <c r="K45" s="90">
        <f>Desp!K9</f>
        <v>0</v>
      </c>
      <c r="L45" s="90">
        <f>Desp!L9</f>
        <v>0</v>
      </c>
      <c r="M45" s="90">
        <f>Desp!M9</f>
        <v>0</v>
      </c>
      <c r="N45" s="90">
        <f>Desp!N9</f>
        <v>0</v>
      </c>
      <c r="O45" s="90">
        <f>Desp!O9</f>
        <v>0</v>
      </c>
      <c r="P45" s="93">
        <f t="shared" si="12"/>
        <v>0</v>
      </c>
    </row>
    <row r="46" spans="3:16" ht="24.95" customHeight="1" x14ac:dyDescent="0.25">
      <c r="C46" s="44" t="s">
        <v>231</v>
      </c>
      <c r="D46" s="90">
        <f>Desp!D10</f>
        <v>0</v>
      </c>
      <c r="E46" s="90">
        <f>Desp!E10</f>
        <v>0</v>
      </c>
      <c r="F46" s="90">
        <f>Desp!F10</f>
        <v>0</v>
      </c>
      <c r="G46" s="90">
        <f>Desp!G10</f>
        <v>0</v>
      </c>
      <c r="H46" s="90">
        <f>Desp!H10</f>
        <v>0</v>
      </c>
      <c r="I46" s="90">
        <f>Desp!I10</f>
        <v>0</v>
      </c>
      <c r="J46" s="90">
        <f>Desp!J10</f>
        <v>0</v>
      </c>
      <c r="K46" s="90">
        <f>Desp!K10</f>
        <v>0</v>
      </c>
      <c r="L46" s="90">
        <f>Desp!L10</f>
        <v>0</v>
      </c>
      <c r="M46" s="90">
        <f>Desp!M10</f>
        <v>0</v>
      </c>
      <c r="N46" s="90">
        <f>Desp!N10</f>
        <v>0</v>
      </c>
      <c r="O46" s="90">
        <f>Desp!O10</f>
        <v>0</v>
      </c>
      <c r="P46" s="93">
        <f t="shared" ref="P46:P58" si="14">SUM(D46:O46)</f>
        <v>0</v>
      </c>
    </row>
    <row r="47" spans="3:16" ht="24.95" customHeight="1" x14ac:dyDescent="0.25">
      <c r="C47" s="44" t="s">
        <v>232</v>
      </c>
      <c r="D47" s="90">
        <f>Desp!D11</f>
        <v>0</v>
      </c>
      <c r="E47" s="90">
        <f>Desp!E11</f>
        <v>0</v>
      </c>
      <c r="F47" s="90">
        <f>Desp!F11</f>
        <v>0</v>
      </c>
      <c r="G47" s="90">
        <f>Desp!G11</f>
        <v>0</v>
      </c>
      <c r="H47" s="90">
        <f>Desp!H11</f>
        <v>0</v>
      </c>
      <c r="I47" s="90">
        <f>Desp!I11</f>
        <v>0</v>
      </c>
      <c r="J47" s="90">
        <f>Desp!J11</f>
        <v>0</v>
      </c>
      <c r="K47" s="90">
        <f>Desp!K11</f>
        <v>0</v>
      </c>
      <c r="L47" s="90">
        <f>Desp!L11</f>
        <v>0</v>
      </c>
      <c r="M47" s="90">
        <f>Desp!M11</f>
        <v>0</v>
      </c>
      <c r="N47" s="90">
        <f>Desp!N11</f>
        <v>0</v>
      </c>
      <c r="O47" s="90">
        <f>Desp!O11</f>
        <v>0</v>
      </c>
      <c r="P47" s="93">
        <f t="shared" si="14"/>
        <v>0</v>
      </c>
    </row>
    <row r="48" spans="3:16" ht="24.95" customHeight="1" x14ac:dyDescent="0.25">
      <c r="C48" s="44" t="s">
        <v>234</v>
      </c>
      <c r="D48" s="90">
        <f>Cus!D13</f>
        <v>12000</v>
      </c>
      <c r="E48" s="90">
        <f>Cus!E13</f>
        <v>12000</v>
      </c>
      <c r="F48" s="90">
        <f>Cus!F13</f>
        <v>12000</v>
      </c>
      <c r="G48" s="90">
        <f>Cus!G13</f>
        <v>12000</v>
      </c>
      <c r="H48" s="90">
        <f>Cus!H13</f>
        <v>12000</v>
      </c>
      <c r="I48" s="90">
        <f>Cus!I13</f>
        <v>12000</v>
      </c>
      <c r="J48" s="90">
        <f>Cus!J13</f>
        <v>12000</v>
      </c>
      <c r="K48" s="90">
        <f>Cus!K13</f>
        <v>12000</v>
      </c>
      <c r="L48" s="90">
        <f>Cus!L13</f>
        <v>12000</v>
      </c>
      <c r="M48" s="90">
        <f>Cus!M13</f>
        <v>12000</v>
      </c>
      <c r="N48" s="90">
        <f>Cus!N13</f>
        <v>12000</v>
      </c>
      <c r="O48" s="90">
        <f>Cus!O13</f>
        <v>12000</v>
      </c>
      <c r="P48" s="93">
        <f t="shared" si="14"/>
        <v>144000</v>
      </c>
    </row>
    <row r="49" spans="3:16" ht="24.95" customHeight="1" x14ac:dyDescent="0.25">
      <c r="C49" s="44" t="s">
        <v>235</v>
      </c>
      <c r="D49" s="90">
        <f>Cus!D14</f>
        <v>0</v>
      </c>
      <c r="E49" s="90">
        <f>Cus!E14</f>
        <v>0</v>
      </c>
      <c r="F49" s="90">
        <f>Cus!F14</f>
        <v>0</v>
      </c>
      <c r="G49" s="90">
        <f>Cus!G14</f>
        <v>0</v>
      </c>
      <c r="H49" s="90">
        <f>Cus!H14</f>
        <v>0</v>
      </c>
      <c r="I49" s="90">
        <f>Cus!I14</f>
        <v>0</v>
      </c>
      <c r="J49" s="90">
        <f>Cus!J14</f>
        <v>0</v>
      </c>
      <c r="K49" s="90">
        <f>Cus!K14</f>
        <v>0</v>
      </c>
      <c r="L49" s="90">
        <f>Cus!L14</f>
        <v>0</v>
      </c>
      <c r="M49" s="90">
        <f>Cus!M14</f>
        <v>0</v>
      </c>
      <c r="N49" s="90">
        <f>Cus!N14</f>
        <v>0</v>
      </c>
      <c r="O49" s="90">
        <f>Cus!O14</f>
        <v>0</v>
      </c>
      <c r="P49" s="93">
        <f t="shared" si="14"/>
        <v>0</v>
      </c>
    </row>
    <row r="50" spans="3:16" ht="24.95" customHeight="1" x14ac:dyDescent="0.25">
      <c r="C50" s="44" t="s">
        <v>233</v>
      </c>
      <c r="D50" s="90">
        <f>IF('BH (1)'!$D$4="Simples Nacional",Simp6!D19,Cus!D15)</f>
        <v>2400</v>
      </c>
      <c r="E50" s="90">
        <f>IF('BH (1)'!$D$4="Simples Nacional",Simp6!E19,Cus!E15)</f>
        <v>2400</v>
      </c>
      <c r="F50" s="90">
        <f>IF('BH (1)'!$D$4="Simples Nacional",Simp6!F19,Cus!F15)</f>
        <v>2400</v>
      </c>
      <c r="G50" s="90">
        <f>IF('BH (1)'!$D$4="Simples Nacional",Simp6!G19,Cus!G15)</f>
        <v>2400</v>
      </c>
      <c r="H50" s="90">
        <f>IF('BH (1)'!$D$4="Simples Nacional",Simp6!H19,Cus!H15)</f>
        <v>2400</v>
      </c>
      <c r="I50" s="90">
        <f>IF('BH (1)'!$D$4="Simples Nacional",Simp6!I19,Cus!I15)</f>
        <v>2400</v>
      </c>
      <c r="J50" s="90">
        <f>IF('BH (1)'!$D$4="Simples Nacional",Simp6!J19,Cus!J15)</f>
        <v>2400</v>
      </c>
      <c r="K50" s="90">
        <f>IF('BH (1)'!$D$4="Simples Nacional",Simp6!K19,Cus!K15)</f>
        <v>2400</v>
      </c>
      <c r="L50" s="90">
        <f>IF('BH (1)'!$D$4="Simples Nacional",Simp6!L19,Cus!L15)</f>
        <v>2400</v>
      </c>
      <c r="M50" s="90">
        <f>IF('BH (1)'!$D$4="Simples Nacional",Simp6!M19,Cus!M15)</f>
        <v>2400</v>
      </c>
      <c r="N50" s="90">
        <f>IF('BH (1)'!$D$4="Simples Nacional",Simp6!N19,Cus!N15)</f>
        <v>2400</v>
      </c>
      <c r="O50" s="90">
        <f>IF('BH (1)'!$D$4="Simples Nacional",Simp6!O19,Cus!O15)</f>
        <v>2400</v>
      </c>
      <c r="P50" s="93">
        <f t="shared" si="14"/>
        <v>28800</v>
      </c>
    </row>
    <row r="51" spans="3:16" ht="24.95" customHeight="1" x14ac:dyDescent="0.25">
      <c r="C51" s="44" t="s">
        <v>236</v>
      </c>
      <c r="D51" s="90">
        <f>Cus!D18</f>
        <v>960</v>
      </c>
      <c r="E51" s="90">
        <f>Cus!E18</f>
        <v>960</v>
      </c>
      <c r="F51" s="90">
        <f>Cus!F18</f>
        <v>960</v>
      </c>
      <c r="G51" s="90">
        <f>Cus!G18</f>
        <v>960</v>
      </c>
      <c r="H51" s="90">
        <f>Cus!H18</f>
        <v>960</v>
      </c>
      <c r="I51" s="90">
        <f>Cus!I18</f>
        <v>960</v>
      </c>
      <c r="J51" s="90">
        <f>Cus!J18</f>
        <v>960</v>
      </c>
      <c r="K51" s="90">
        <f>Cus!K18</f>
        <v>960</v>
      </c>
      <c r="L51" s="90">
        <f>Cus!L18</f>
        <v>960</v>
      </c>
      <c r="M51" s="90">
        <f>Cus!M18</f>
        <v>960</v>
      </c>
      <c r="N51" s="90">
        <f>Cus!N18</f>
        <v>960</v>
      </c>
      <c r="O51" s="90">
        <f>Cus!O18</f>
        <v>960</v>
      </c>
      <c r="P51" s="93">
        <f t="shared" si="14"/>
        <v>11520</v>
      </c>
    </row>
    <row r="52" spans="3:16" ht="24.95" customHeight="1" x14ac:dyDescent="0.25">
      <c r="C52" s="44" t="str">
        <f>IF('BH (1)'!$D$4="Simples Nacional","","(-) Terceiros")</f>
        <v>(-) Terceiros</v>
      </c>
      <c r="D52" s="90">
        <f>IF('BH (1)'!$D$4="Simples Nacional","",Cus!D16)</f>
        <v>696</v>
      </c>
      <c r="E52" s="90">
        <f>IF('BH (1)'!$D$4="Simples Nacional","",Cus!E16)</f>
        <v>696</v>
      </c>
      <c r="F52" s="90">
        <f>IF('BH (1)'!$D$4="Simples Nacional","",Cus!F16)</f>
        <v>696</v>
      </c>
      <c r="G52" s="90">
        <f>IF('BH (1)'!$D$4="Simples Nacional","",Cus!G16)</f>
        <v>696</v>
      </c>
      <c r="H52" s="90">
        <f>IF('BH (1)'!$D$4="Simples Nacional","",Cus!H16)</f>
        <v>696</v>
      </c>
      <c r="I52" s="90">
        <f>IF('BH (1)'!$D$4="Simples Nacional","",Cus!I16)</f>
        <v>696</v>
      </c>
      <c r="J52" s="90">
        <f>IF('BH (1)'!$D$4="Simples Nacional","",Cus!J16)</f>
        <v>696</v>
      </c>
      <c r="K52" s="90">
        <f>IF('BH (1)'!$D$4="Simples Nacional","",Cus!K16)</f>
        <v>696</v>
      </c>
      <c r="L52" s="90">
        <f>IF('BH (1)'!$D$4="Simples Nacional","",Cus!L16)</f>
        <v>696</v>
      </c>
      <c r="M52" s="90">
        <f>IF('BH (1)'!$D$4="Simples Nacional","",Cus!M16)</f>
        <v>696</v>
      </c>
      <c r="N52" s="90">
        <f>IF('BH (1)'!$D$4="Simples Nacional","",Cus!N16)</f>
        <v>696</v>
      </c>
      <c r="O52" s="90">
        <f>IF('BH (1)'!$D$4="Simples Nacional","",Cus!O16)</f>
        <v>696</v>
      </c>
      <c r="P52" s="93">
        <f t="shared" si="14"/>
        <v>8352</v>
      </c>
    </row>
    <row r="53" spans="3:16" ht="24.95" customHeight="1" x14ac:dyDescent="0.25">
      <c r="C53" s="198" t="str">
        <f>IF('BH (1)'!$D$4="Simples Nacional","","(-) RAT")</f>
        <v>(-) RAT</v>
      </c>
      <c r="D53" s="95">
        <f>IF('BH (1)'!$D$4="Simples Nacional","",Cus!D17)</f>
        <v>240</v>
      </c>
      <c r="E53" s="95">
        <f>IF('BH (1)'!$D$4="Simples Nacional","",Cus!E17)</f>
        <v>240</v>
      </c>
      <c r="F53" s="95">
        <f>IF('BH (1)'!$D$4="Simples Nacional","",Cus!F17)</f>
        <v>240</v>
      </c>
      <c r="G53" s="95">
        <f>IF('BH (1)'!$D$4="Simples Nacional","",Cus!G17)</f>
        <v>240</v>
      </c>
      <c r="H53" s="95">
        <f>IF('BH (1)'!$D$4="Simples Nacional","",Cus!H17)</f>
        <v>240</v>
      </c>
      <c r="I53" s="95">
        <f>IF('BH (1)'!$D$4="Simples Nacional","",Cus!I17)</f>
        <v>240</v>
      </c>
      <c r="J53" s="95">
        <f>IF('BH (1)'!$D$4="Simples Nacional","",Cus!J17)</f>
        <v>240</v>
      </c>
      <c r="K53" s="95">
        <f>IF('BH (1)'!$D$4="Simples Nacional","",Cus!K17)</f>
        <v>240</v>
      </c>
      <c r="L53" s="95">
        <f>IF('BH (1)'!$D$4="Simples Nacional","",Cus!L17)</f>
        <v>240</v>
      </c>
      <c r="M53" s="95">
        <f>IF('BH (1)'!$D$4="Simples Nacional","",Cus!M17)</f>
        <v>240</v>
      </c>
      <c r="N53" s="95">
        <f>IF('BH (1)'!$D$4="Simples Nacional","",Cus!N17)</f>
        <v>240</v>
      </c>
      <c r="O53" s="95">
        <f>IF('BH (1)'!$D$4="Simples Nacional","",Cus!O17)</f>
        <v>240</v>
      </c>
      <c r="P53" s="93">
        <f t="shared" si="14"/>
        <v>2880</v>
      </c>
    </row>
    <row r="54" spans="3:16" ht="24.95" customHeight="1" x14ac:dyDescent="0.25">
      <c r="C54" s="196" t="s">
        <v>213</v>
      </c>
      <c r="D54" s="97">
        <f>D40-SUM(D41:D53)</f>
        <v>28191.016499999998</v>
      </c>
      <c r="E54" s="97">
        <f t="shared" ref="E54:O54" si="15">E40-SUM(E41:E53)</f>
        <v>10900.645300000004</v>
      </c>
      <c r="F54" s="97">
        <f t="shared" si="15"/>
        <v>27960.179700000008</v>
      </c>
      <c r="G54" s="97">
        <f t="shared" si="15"/>
        <v>17917.813200000004</v>
      </c>
      <c r="H54" s="97">
        <f t="shared" si="15"/>
        <v>18828.1829</v>
      </c>
      <c r="I54" s="97">
        <f t="shared" si="15"/>
        <v>5885.6421000000046</v>
      </c>
      <c r="J54" s="97">
        <f t="shared" si="15"/>
        <v>19287.709399999992</v>
      </c>
      <c r="K54" s="97">
        <f t="shared" si="15"/>
        <v>2883.1215999999913</v>
      </c>
      <c r="L54" s="97">
        <f t="shared" si="15"/>
        <v>8115.4419000000053</v>
      </c>
      <c r="M54" s="97">
        <f t="shared" si="15"/>
        <v>15854.585699999996</v>
      </c>
      <c r="N54" s="97">
        <f t="shared" si="15"/>
        <v>10225.375300000007</v>
      </c>
      <c r="O54" s="97">
        <f t="shared" si="15"/>
        <v>7158.8591000000088</v>
      </c>
      <c r="P54" s="191">
        <f t="shared" si="14"/>
        <v>173208.57270000002</v>
      </c>
    </row>
    <row r="55" spans="3:16" ht="24.95" customHeight="1" x14ac:dyDescent="0.25">
      <c r="C55" s="44" t="s">
        <v>238</v>
      </c>
      <c r="D55" s="90">
        <f>IF('BH (1)'!$D$4="Lucro Real",'2032'!D64,IF('BH (1)'!$D$4="Lucro Presumido",Relatórios!D136,IF('BH (1)'!$D$4="Simples Nacional",Simp6!D21)))</f>
        <v>0</v>
      </c>
      <c r="E55" s="90">
        <f>IF('BH (1)'!$D$4="Lucro Real",'2032'!E64,IF('BH (1)'!$D$4="Lucro Presumido",Relatórios!E136,IF('BH (1)'!$D$4="Simples Nacional",Simp6!E21)))</f>
        <v>0</v>
      </c>
      <c r="F55" s="90">
        <f>IF('BH (1)'!$D$4="Lucro Real",'2032'!F64,IF('BH (1)'!$D$4="Lucro Presumido",Relatórios!F136,IF('BH (1)'!$D$4="Simples Nacional",Simp6!F21)))</f>
        <v>4520.7479999999996</v>
      </c>
      <c r="G55" s="90">
        <f>IF('BH (1)'!$D$4="Lucro Real",'2032'!G64,IF('BH (1)'!$D$4="Lucro Presumido",Relatórios!G136,IF('BH (1)'!$D$4="Simples Nacional",Simp6!G21)))</f>
        <v>0</v>
      </c>
      <c r="H55" s="90">
        <f>IF('BH (1)'!$D$4="Lucro Real",'2032'!H64,IF('BH (1)'!$D$4="Lucro Presumido",Relatórios!H136,IF('BH (1)'!$D$4="Simples Nacional",Simp6!H21)))</f>
        <v>0</v>
      </c>
      <c r="I55" s="90">
        <f>IF('BH (1)'!$D$4="Lucro Real",'2032'!I64,IF('BH (1)'!$D$4="Lucro Presumido",Relatórios!I136,IF('BH (1)'!$D$4="Simples Nacional",Simp6!I21)))</f>
        <v>4123.8719999999994</v>
      </c>
      <c r="J55" s="90">
        <f>IF('BH (1)'!$D$4="Lucro Real",'2032'!J64,IF('BH (1)'!$D$4="Lucro Presumido",Relatórios!J136,IF('BH (1)'!$D$4="Simples Nacional",Simp6!J21)))</f>
        <v>0</v>
      </c>
      <c r="K55" s="90">
        <f>IF('BH (1)'!$D$4="Lucro Real",'2032'!K64,IF('BH (1)'!$D$4="Lucro Presumido",Relatórios!K136,IF('BH (1)'!$D$4="Simples Nacional",Simp6!K21)))</f>
        <v>0</v>
      </c>
      <c r="L55" s="90">
        <f>IF('BH (1)'!$D$4="Lucro Real",'2032'!L64,IF('BH (1)'!$D$4="Lucro Presumido",Relatórios!L136,IF('BH (1)'!$D$4="Simples Nacional",Simp6!L21)))</f>
        <v>4033.308</v>
      </c>
      <c r="M55" s="90">
        <f>IF('BH (1)'!$D$4="Lucro Real",'2032'!M64,IF('BH (1)'!$D$4="Lucro Presumido",Relatórios!M136,IF('BH (1)'!$D$4="Simples Nacional",Simp6!M21)))</f>
        <v>0</v>
      </c>
      <c r="N55" s="90">
        <f>IF('BH (1)'!$D$4="Lucro Real",'2032'!N64,IF('BH (1)'!$D$4="Lucro Presumido",Relatórios!N136,IF('BH (1)'!$D$4="Simples Nacional",Simp6!N21)))</f>
        <v>0</v>
      </c>
      <c r="O55" s="90">
        <f>IF('BH (1)'!$D$4="Lucro Real",'2032'!O64,IF('BH (1)'!$D$4="Lucro Presumido",Relatórios!O136,IF('BH (1)'!$D$4="Simples Nacional",Simp6!O21)))</f>
        <v>4028.6759999999999</v>
      </c>
      <c r="P55" s="93">
        <f t="shared" si="14"/>
        <v>16706.603999999999</v>
      </c>
    </row>
    <row r="56" spans="3:16" ht="24.95" customHeight="1" x14ac:dyDescent="0.25">
      <c r="C56" s="44" t="str">
        <f>IF('BH (1)'!$D$4="Simples Nacional","","(-) Adicional")</f>
        <v>(-) Adicional</v>
      </c>
      <c r="D56" s="90">
        <f>IF('BH (1)'!$D$4="Simples Nacional","",IF('BH (1)'!$D$4="Lucro Real",'2032'!D65,IF('BH (1)'!$D$4="Lucro Presumido",Relatórios!D137)))</f>
        <v>0</v>
      </c>
      <c r="E56" s="90">
        <f>IF('BH (1)'!$D$4="Simples Nacional","",IF('BH (1)'!$D$4="Lucro Real",'2032'!E65,IF('BH (1)'!$D$4="Lucro Presumido",Relatórios!E137)))</f>
        <v>0</v>
      </c>
      <c r="F56" s="90">
        <f>IF('BH (1)'!$D$4="Simples Nacional","",IF('BH (1)'!$D$4="Lucro Real",'2032'!F65,IF('BH (1)'!$D$4="Lucro Presumido",Relatórios!F137)))</f>
        <v>0</v>
      </c>
      <c r="G56" s="90">
        <f>IF('BH (1)'!$D$4="Simples Nacional","",IF('BH (1)'!$D$4="Lucro Real",'2032'!G65,IF('BH (1)'!$D$4="Lucro Presumido",Relatórios!G137)))</f>
        <v>0</v>
      </c>
      <c r="H56" s="90">
        <f>IF('BH (1)'!$D$4="Simples Nacional","",IF('BH (1)'!$D$4="Lucro Real",'2032'!H65,IF('BH (1)'!$D$4="Lucro Presumido",Relatórios!H137)))</f>
        <v>0</v>
      </c>
      <c r="I56" s="90">
        <f>IF('BH (1)'!$D$4="Simples Nacional","",IF('BH (1)'!$D$4="Lucro Real",'2032'!I65,IF('BH (1)'!$D$4="Lucro Presumido",Relatórios!I137)))</f>
        <v>0</v>
      </c>
      <c r="J56" s="90">
        <f>IF('BH (1)'!$D$4="Simples Nacional","",IF('BH (1)'!$D$4="Lucro Real",'2032'!J65,IF('BH (1)'!$D$4="Lucro Presumido",Relatórios!J137)))</f>
        <v>0</v>
      </c>
      <c r="K56" s="90">
        <f>IF('BH (1)'!$D$4="Simples Nacional","",IF('BH (1)'!$D$4="Lucro Real",'2032'!K65,IF('BH (1)'!$D$4="Lucro Presumido",Relatórios!K137)))</f>
        <v>0</v>
      </c>
      <c r="L56" s="90">
        <f>IF('BH (1)'!$D$4="Simples Nacional","",IF('BH (1)'!$D$4="Lucro Real",'2032'!L65,IF('BH (1)'!$D$4="Lucro Presumido",Relatórios!L137)))</f>
        <v>0</v>
      </c>
      <c r="M56" s="90">
        <f>IF('BH (1)'!$D$4="Simples Nacional","",IF('BH (1)'!$D$4="Lucro Real",'2032'!M65,IF('BH (1)'!$D$4="Lucro Presumido",Relatórios!M137)))</f>
        <v>0</v>
      </c>
      <c r="N56" s="90">
        <f>IF('BH (1)'!$D$4="Simples Nacional","",IF('BH (1)'!$D$4="Lucro Real",'2032'!N65,IF('BH (1)'!$D$4="Lucro Presumido",Relatórios!N137)))</f>
        <v>0</v>
      </c>
      <c r="O56" s="90">
        <f>IF('BH (1)'!$D$4="Simples Nacional","",IF('BH (1)'!$D$4="Lucro Real",'2032'!O65,IF('BH (1)'!$D$4="Lucro Presumido",Relatórios!O137)))</f>
        <v>0</v>
      </c>
      <c r="P56" s="93">
        <f t="shared" si="14"/>
        <v>0</v>
      </c>
    </row>
    <row r="57" spans="3:16" ht="24.95" customHeight="1" x14ac:dyDescent="0.25">
      <c r="C57" s="198" t="s">
        <v>239</v>
      </c>
      <c r="D57" s="95">
        <f>IF('BH (1)'!$D$4="Lucro Real",'2032'!D66,IF('BH (1)'!$D$4="Lucro Presumido",Relatórios!D138,IF('BH (1)'!$D$4="Simples Nacional",Simp6!D20)))</f>
        <v>0</v>
      </c>
      <c r="E57" s="95">
        <f>IF('BH (1)'!$D$4="Lucro Real",'2032'!E66,IF('BH (1)'!$D$4="Lucro Presumido",Relatórios!E138,IF('BH (1)'!$D$4="Simples Nacional",Simp6!E20)))</f>
        <v>0</v>
      </c>
      <c r="F57" s="95">
        <f>IF('BH (1)'!$D$4="Lucro Real",'2032'!F66,IF('BH (1)'!$D$4="Lucro Presumido",Relatórios!F138,IF('BH (1)'!$D$4="Simples Nacional",Simp6!F20)))</f>
        <v>4068.6731999999993</v>
      </c>
      <c r="G57" s="95">
        <f>IF('BH (1)'!$D$4="Lucro Real",'2032'!G66,IF('BH (1)'!$D$4="Lucro Presumido",Relatórios!G138,IF('BH (1)'!$D$4="Simples Nacional",Simp6!G20)))</f>
        <v>0</v>
      </c>
      <c r="H57" s="95">
        <f>IF('BH (1)'!$D$4="Lucro Real",'2032'!H66,IF('BH (1)'!$D$4="Lucro Presumido",Relatórios!H138,IF('BH (1)'!$D$4="Simples Nacional",Simp6!H20)))</f>
        <v>0</v>
      </c>
      <c r="I57" s="95">
        <f>IF('BH (1)'!$D$4="Lucro Real",'2032'!I66,IF('BH (1)'!$D$4="Lucro Presumido",Relatórios!I138,IF('BH (1)'!$D$4="Simples Nacional",Simp6!I20)))</f>
        <v>3711.4848000000002</v>
      </c>
      <c r="J57" s="95">
        <f>IF('BH (1)'!$D$4="Lucro Real",'2032'!J66,IF('BH (1)'!$D$4="Lucro Presumido",Relatórios!J138,IF('BH (1)'!$D$4="Simples Nacional",Simp6!J20)))</f>
        <v>0</v>
      </c>
      <c r="K57" s="95">
        <f>IF('BH (1)'!$D$4="Lucro Real",'2032'!K66,IF('BH (1)'!$D$4="Lucro Presumido",Relatórios!K138,IF('BH (1)'!$D$4="Simples Nacional",Simp6!K20)))</f>
        <v>0</v>
      </c>
      <c r="L57" s="95">
        <f>IF('BH (1)'!$D$4="Lucro Real",'2032'!L66,IF('BH (1)'!$D$4="Lucro Presumido",Relatórios!L138,IF('BH (1)'!$D$4="Simples Nacional",Simp6!L20)))</f>
        <v>3629.9771999999998</v>
      </c>
      <c r="M57" s="95">
        <f>IF('BH (1)'!$D$4="Lucro Real",'2032'!M66,IF('BH (1)'!$D$4="Lucro Presumido",Relatórios!M138,IF('BH (1)'!$D$4="Simples Nacional",Simp6!M20)))</f>
        <v>0</v>
      </c>
      <c r="N57" s="95">
        <f>IF('BH (1)'!$D$4="Lucro Real",'2032'!N66,IF('BH (1)'!$D$4="Lucro Presumido",Relatórios!N138,IF('BH (1)'!$D$4="Simples Nacional",Simp6!N20)))</f>
        <v>0</v>
      </c>
      <c r="O57" s="95">
        <f>IF('BH (1)'!$D$4="Lucro Real",'2032'!O66,IF('BH (1)'!$D$4="Lucro Presumido",Relatórios!O138,IF('BH (1)'!$D$4="Simples Nacional",Simp6!O20)))</f>
        <v>3625.8083999999999</v>
      </c>
      <c r="P57" s="93">
        <f t="shared" si="14"/>
        <v>15035.943599999999</v>
      </c>
    </row>
    <row r="58" spans="3:16" ht="24.95" customHeight="1" x14ac:dyDescent="0.25">
      <c r="C58" s="196" t="s">
        <v>237</v>
      </c>
      <c r="D58" s="97">
        <f>D54-SUM(D55:D57)</f>
        <v>28191.016499999998</v>
      </c>
      <c r="E58" s="97">
        <f t="shared" ref="E58:O58" si="16">E54-SUM(E55:E57)</f>
        <v>10900.645300000004</v>
      </c>
      <c r="F58" s="97">
        <f t="shared" si="16"/>
        <v>19370.758500000011</v>
      </c>
      <c r="G58" s="97">
        <f t="shared" si="16"/>
        <v>17917.813200000004</v>
      </c>
      <c r="H58" s="97">
        <f t="shared" si="16"/>
        <v>18828.1829</v>
      </c>
      <c r="I58" s="97">
        <f t="shared" si="16"/>
        <v>-1949.714699999995</v>
      </c>
      <c r="J58" s="97">
        <f t="shared" si="16"/>
        <v>19287.709399999992</v>
      </c>
      <c r="K58" s="97">
        <f t="shared" si="16"/>
        <v>2883.1215999999913</v>
      </c>
      <c r="L58" s="97">
        <f t="shared" si="16"/>
        <v>452.156700000005</v>
      </c>
      <c r="M58" s="97">
        <f t="shared" si="16"/>
        <v>15854.585699999996</v>
      </c>
      <c r="N58" s="97">
        <f t="shared" si="16"/>
        <v>10225.375300000007</v>
      </c>
      <c r="O58" s="97">
        <f t="shared" si="16"/>
        <v>-495.6252999999906</v>
      </c>
      <c r="P58" s="192">
        <f t="shared" si="14"/>
        <v>141466.02510000006</v>
      </c>
    </row>
    <row r="59" spans="3:16" ht="24.95" hidden="1" customHeight="1" x14ac:dyDescent="0.25"/>
    <row r="60" spans="3:16" ht="15" hidden="1" customHeight="1" x14ac:dyDescent="0.25">
      <c r="C60" s="188" t="s">
        <v>240</v>
      </c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</row>
    <row r="61" spans="3:16" ht="15" hidden="1" customHeight="1" x14ac:dyDescent="0.25">
      <c r="C61" s="112" t="s">
        <v>82</v>
      </c>
      <c r="D61" s="112" t="s">
        <v>83</v>
      </c>
      <c r="E61" s="112" t="s">
        <v>84</v>
      </c>
      <c r="F61" s="112" t="s">
        <v>85</v>
      </c>
      <c r="G61" s="112" t="s">
        <v>86</v>
      </c>
      <c r="H61" s="112" t="s">
        <v>87</v>
      </c>
      <c r="I61" s="112" t="s">
        <v>88</v>
      </c>
      <c r="J61" s="112" t="s">
        <v>89</v>
      </c>
      <c r="K61" s="112" t="s">
        <v>90</v>
      </c>
      <c r="L61" s="112" t="s">
        <v>91</v>
      </c>
      <c r="M61" s="112" t="s">
        <v>92</v>
      </c>
      <c r="N61" s="112" t="s">
        <v>93</v>
      </c>
      <c r="O61" s="112" t="s">
        <v>94</v>
      </c>
      <c r="P61" s="112" t="s">
        <v>95</v>
      </c>
    </row>
    <row r="62" spans="3:16" ht="15" hidden="1" customHeight="1" x14ac:dyDescent="0.25">
      <c r="C62" s="19" t="s">
        <v>241</v>
      </c>
      <c r="D62" s="132">
        <f>D54</f>
        <v>28191.016499999998</v>
      </c>
      <c r="E62" s="132">
        <f t="shared" ref="E62:O62" si="17">E54</f>
        <v>10900.645300000004</v>
      </c>
      <c r="F62" s="132">
        <f>F54</f>
        <v>27960.179700000008</v>
      </c>
      <c r="G62" s="132">
        <f t="shared" si="17"/>
        <v>17917.813200000004</v>
      </c>
      <c r="H62" s="132">
        <f t="shared" si="17"/>
        <v>18828.1829</v>
      </c>
      <c r="I62" s="132">
        <f t="shared" si="17"/>
        <v>5885.6421000000046</v>
      </c>
      <c r="J62" s="132">
        <f t="shared" si="17"/>
        <v>19287.709399999992</v>
      </c>
      <c r="K62" s="132">
        <f t="shared" si="17"/>
        <v>2883.1215999999913</v>
      </c>
      <c r="L62" s="132">
        <f t="shared" si="17"/>
        <v>8115.4419000000053</v>
      </c>
      <c r="M62" s="132">
        <f t="shared" si="17"/>
        <v>15854.585699999996</v>
      </c>
      <c r="N62" s="132">
        <f t="shared" si="17"/>
        <v>10225.375300000007</v>
      </c>
      <c r="O62" s="132">
        <f t="shared" si="17"/>
        <v>7158.8591000000088</v>
      </c>
      <c r="P62" s="114">
        <f>SUM(D62:O62)</f>
        <v>173208.57270000002</v>
      </c>
    </row>
    <row r="63" spans="3:16" ht="15" hidden="1" customHeight="1" x14ac:dyDescent="0.25">
      <c r="C63" s="19" t="s">
        <v>243</v>
      </c>
      <c r="D63" s="132">
        <v>0</v>
      </c>
      <c r="E63" s="132">
        <v>0</v>
      </c>
      <c r="F63" s="132">
        <f>SUM(D62:F62)</f>
        <v>67051.84150000001</v>
      </c>
      <c r="G63" s="132">
        <v>0</v>
      </c>
      <c r="H63" s="132">
        <v>0</v>
      </c>
      <c r="I63" s="132">
        <f>SUM(G62:I62)</f>
        <v>42631.638200000009</v>
      </c>
      <c r="J63" s="132">
        <v>0</v>
      </c>
      <c r="K63" s="132">
        <v>0</v>
      </c>
      <c r="L63" s="132">
        <f>SUM(J62:L62)</f>
        <v>30286.272899999989</v>
      </c>
      <c r="M63" s="132">
        <v>0</v>
      </c>
      <c r="N63" s="132">
        <v>0</v>
      </c>
      <c r="O63" s="132">
        <f>SUM(M62:O62)</f>
        <v>33238.820100000012</v>
      </c>
      <c r="P63" s="114">
        <f>SUM(D63:O63)</f>
        <v>173208.57270000002</v>
      </c>
    </row>
    <row r="64" spans="3:16" ht="15" hidden="1" customHeight="1" x14ac:dyDescent="0.25">
      <c r="C64" s="19" t="s">
        <v>40</v>
      </c>
      <c r="D64" s="132">
        <v>0</v>
      </c>
      <c r="E64" s="132">
        <v>0</v>
      </c>
      <c r="F64" s="132">
        <f>IF(F63&lt;0,0,F63*TabR!$E$10)</f>
        <v>10057.776225000001</v>
      </c>
      <c r="G64" s="132">
        <v>0</v>
      </c>
      <c r="H64" s="132">
        <v>0</v>
      </c>
      <c r="I64" s="132">
        <f>IF(I63&lt;0,0,I63*TabR!$E$10)</f>
        <v>6394.7457300000015</v>
      </c>
      <c r="J64" s="132">
        <v>0</v>
      </c>
      <c r="K64" s="132">
        <v>0</v>
      </c>
      <c r="L64" s="132">
        <f>IF(L63&lt;0,0,L63*TabR!$E$10)</f>
        <v>4542.9409349999978</v>
      </c>
      <c r="M64" s="132">
        <v>0</v>
      </c>
      <c r="N64" s="132">
        <v>0</v>
      </c>
      <c r="O64" s="132">
        <f>IF(O63&lt;0,0,O63*TabR!$E$10)</f>
        <v>4985.8230150000018</v>
      </c>
      <c r="P64" s="114">
        <f>SUM(D64:O64)</f>
        <v>25981.285905000004</v>
      </c>
    </row>
    <row r="65" spans="3:18" ht="15" hidden="1" customHeight="1" x14ac:dyDescent="0.25">
      <c r="C65" s="19" t="s">
        <v>242</v>
      </c>
      <c r="D65" s="132">
        <v>0</v>
      </c>
      <c r="E65" s="132">
        <v>0</v>
      </c>
      <c r="F65" s="132">
        <f>IF(F63=0,0,IF(F63&lt;60000,0,(F63-60000)*TabR!$E$11))</f>
        <v>705.18415000000095</v>
      </c>
      <c r="G65" s="132">
        <v>0</v>
      </c>
      <c r="H65" s="132">
        <v>0</v>
      </c>
      <c r="I65" s="132">
        <f>IF(I63=0,0,IF(I63&lt;60000,0,(I63-60000)*TabR!$E$11))</f>
        <v>0</v>
      </c>
      <c r="J65" s="132">
        <v>0</v>
      </c>
      <c r="K65" s="132">
        <v>0</v>
      </c>
      <c r="L65" s="132">
        <f>IF(L63=0,0,IF(L63&lt;60000,0,(L63-60000)*TabR!$E$11))</f>
        <v>0</v>
      </c>
      <c r="M65" s="132">
        <v>0</v>
      </c>
      <c r="N65" s="132">
        <v>0</v>
      </c>
      <c r="O65" s="132">
        <f>IF(O63=0,0,IF(O63&lt;60000,0,(O63-60000)*TabR!$E$11))</f>
        <v>0</v>
      </c>
      <c r="P65" s="114">
        <f>SUM(D65:O65)</f>
        <v>705.18415000000095</v>
      </c>
    </row>
    <row r="66" spans="3:18" ht="15" hidden="1" customHeight="1" x14ac:dyDescent="0.25">
      <c r="C66" s="19" t="s">
        <v>42</v>
      </c>
      <c r="D66" s="132">
        <v>0</v>
      </c>
      <c r="E66" s="132">
        <v>0</v>
      </c>
      <c r="F66" s="132">
        <f>IF(F63&lt;0,0,F63*TabR!$E$12)</f>
        <v>6034.6657350000005</v>
      </c>
      <c r="G66" s="132">
        <v>0</v>
      </c>
      <c r="H66" s="132">
        <v>0</v>
      </c>
      <c r="I66" s="132">
        <f>IF(I63&lt;0,0,I63*TabR!$E$12)</f>
        <v>3836.8474380000007</v>
      </c>
      <c r="J66" s="132">
        <v>0</v>
      </c>
      <c r="K66" s="132">
        <v>0</v>
      </c>
      <c r="L66" s="132">
        <f>IF(L63&lt;0,0,L63*TabR!$E$12)</f>
        <v>2725.764560999999</v>
      </c>
      <c r="M66" s="132">
        <v>0</v>
      </c>
      <c r="N66" s="132">
        <v>0</v>
      </c>
      <c r="O66" s="132">
        <f>IF(O63&lt;0,0,O63*TabR!$E$12)</f>
        <v>2991.493809000001</v>
      </c>
      <c r="P66" s="114">
        <f>SUM(D66:O66)</f>
        <v>15588.771543000001</v>
      </c>
    </row>
    <row r="67" spans="3:18" ht="15" hidden="1" customHeight="1" x14ac:dyDescent="0.25"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</row>
    <row r="68" spans="3:18" ht="15" hidden="1" customHeight="1" x14ac:dyDescent="0.25">
      <c r="C68" s="188" t="s">
        <v>244</v>
      </c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</row>
    <row r="69" spans="3:18" ht="15" hidden="1" customHeight="1" x14ac:dyDescent="0.25">
      <c r="C69" s="112" t="s">
        <v>82</v>
      </c>
      <c r="D69" s="112" t="s">
        <v>83</v>
      </c>
      <c r="E69" s="112" t="s">
        <v>84</v>
      </c>
      <c r="F69" s="112" t="s">
        <v>85</v>
      </c>
      <c r="G69" s="112" t="s">
        <v>86</v>
      </c>
      <c r="H69" s="112" t="s">
        <v>87</v>
      </c>
      <c r="I69" s="112" t="s">
        <v>88</v>
      </c>
      <c r="J69" s="112" t="s">
        <v>89</v>
      </c>
      <c r="K69" s="112" t="s">
        <v>90</v>
      </c>
      <c r="L69" s="112" t="s">
        <v>91</v>
      </c>
      <c r="M69" s="112" t="s">
        <v>92</v>
      </c>
      <c r="N69" s="112" t="s">
        <v>93</v>
      </c>
      <c r="O69" s="112" t="s">
        <v>94</v>
      </c>
      <c r="P69" s="112" t="s">
        <v>95</v>
      </c>
    </row>
    <row r="70" spans="3:18" ht="15" hidden="1" customHeight="1" x14ac:dyDescent="0.25">
      <c r="C70" s="19" t="s">
        <v>62</v>
      </c>
      <c r="D70" s="132">
        <f>D27</f>
        <v>134725</v>
      </c>
      <c r="E70" s="132">
        <f t="shared" ref="E70:O70" si="18">E27</f>
        <v>108391</v>
      </c>
      <c r="F70" s="132">
        <f t="shared" si="18"/>
        <v>133613</v>
      </c>
      <c r="G70" s="132">
        <f t="shared" si="18"/>
        <v>120356</v>
      </c>
      <c r="H70" s="132">
        <f t="shared" si="18"/>
        <v>119059</v>
      </c>
      <c r="I70" s="132">
        <f t="shared" si="18"/>
        <v>104241</v>
      </c>
      <c r="J70" s="132">
        <f t="shared" si="18"/>
        <v>123748</v>
      </c>
      <c r="K70" s="132">
        <f t="shared" si="18"/>
        <v>102602</v>
      </c>
      <c r="L70" s="132">
        <f t="shared" si="18"/>
        <v>109759</v>
      </c>
      <c r="M70" s="132">
        <f t="shared" si="18"/>
        <v>115659</v>
      </c>
      <c r="N70" s="132">
        <f t="shared" si="18"/>
        <v>110531</v>
      </c>
      <c r="O70" s="132">
        <f t="shared" si="18"/>
        <v>109533</v>
      </c>
      <c r="P70" s="114">
        <f>SUM(D70:O70)</f>
        <v>1392217</v>
      </c>
    </row>
    <row r="71" spans="3:18" ht="15" hidden="1" customHeight="1" x14ac:dyDescent="0.25">
      <c r="C71" s="19" t="s">
        <v>243</v>
      </c>
      <c r="D71" s="132">
        <v>0</v>
      </c>
      <c r="E71" s="132">
        <v>0</v>
      </c>
      <c r="F71" s="132">
        <f>SUM(D70:F70)</f>
        <v>376729</v>
      </c>
      <c r="G71" s="132">
        <v>0</v>
      </c>
      <c r="H71" s="132">
        <v>0</v>
      </c>
      <c r="I71" s="132">
        <f>SUM(G70:I70)</f>
        <v>343656</v>
      </c>
      <c r="J71" s="132">
        <v>0</v>
      </c>
      <c r="K71" s="132">
        <v>0</v>
      </c>
      <c r="L71" s="132">
        <f>SUM(J70:L70)</f>
        <v>336109</v>
      </c>
      <c r="M71" s="132">
        <v>0</v>
      </c>
      <c r="N71" s="132">
        <v>0</v>
      </c>
      <c r="O71" s="132">
        <f>SUM(M70:O70)</f>
        <v>335723</v>
      </c>
      <c r="P71" s="114">
        <f>SUM(D71:O71)</f>
        <v>1392217</v>
      </c>
    </row>
    <row r="72" spans="3:18" ht="15" hidden="1" customHeight="1" x14ac:dyDescent="0.25">
      <c r="C72" s="19" t="s">
        <v>40</v>
      </c>
      <c r="D72" s="132">
        <v>0</v>
      </c>
      <c r="E72" s="132">
        <v>0</v>
      </c>
      <c r="F72" s="132">
        <f>IFERROR((F71*TabP!$E$10)*TabP!$F$10,0)</f>
        <v>4520.7479999999996</v>
      </c>
      <c r="G72" s="132">
        <v>0</v>
      </c>
      <c r="H72" s="132">
        <v>0</v>
      </c>
      <c r="I72" s="132">
        <f>IFERROR((I71*TabP!$E$10)*TabP!$F$10,0)</f>
        <v>4123.8719999999994</v>
      </c>
      <c r="J72" s="132">
        <v>0</v>
      </c>
      <c r="K72" s="132">
        <v>0</v>
      </c>
      <c r="L72" s="132">
        <f>IFERROR((L71*TabP!$E$10)*TabP!$F$10,0)</f>
        <v>4033.308</v>
      </c>
      <c r="M72" s="132">
        <v>0</v>
      </c>
      <c r="N72" s="132">
        <v>0</v>
      </c>
      <c r="O72" s="132">
        <f>IFERROR((O71*TabP!$E$10)*TabP!$F$10,0)</f>
        <v>4028.6759999999999</v>
      </c>
      <c r="P72" s="114">
        <f>SUM(D72:O72)</f>
        <v>16706.603999999999</v>
      </c>
    </row>
    <row r="73" spans="3:18" ht="15" hidden="1" customHeight="1" x14ac:dyDescent="0.25">
      <c r="C73" s="19" t="s">
        <v>242</v>
      </c>
      <c r="D73" s="132">
        <v>0</v>
      </c>
      <c r="E73" s="132">
        <v>0</v>
      </c>
      <c r="F73" s="132">
        <f>IF(IFERROR(((F71*TabP!$E$10)-60000)*TabP!$F$11,0)&lt;0,0,IFERROR(((F71*TabP!$E$10)-60000)*TabP!$F$11,0))</f>
        <v>0</v>
      </c>
      <c r="G73" s="132">
        <v>0</v>
      </c>
      <c r="H73" s="132">
        <v>0</v>
      </c>
      <c r="I73" s="132">
        <f>IF(IFERROR(((I71*TabP!$E$10)-60000)*TabP!$F$11,0)&lt;0,0,IFERROR(((I71*TabP!$E$10)-60000)*TabP!$F$11,0))</f>
        <v>0</v>
      </c>
      <c r="J73" s="132">
        <v>0</v>
      </c>
      <c r="K73" s="132">
        <v>0</v>
      </c>
      <c r="L73" s="132">
        <f>IF(IFERROR(((L71*TabP!$E$10)-60000)*TabP!$F$11,0)&lt;0,0,IFERROR(((L71*TabP!$E$10)-60000)*TabP!$F$11,0))</f>
        <v>0</v>
      </c>
      <c r="M73" s="132">
        <v>0</v>
      </c>
      <c r="N73" s="132">
        <v>0</v>
      </c>
      <c r="O73" s="132">
        <f>IF(IFERROR(((O71*TabP!$E$10)-60000)*TabP!$F$11,0)&lt;0,0,IFERROR(((O71*TabP!$E$10)-60000)*TabP!$F$11,0))</f>
        <v>0</v>
      </c>
      <c r="P73" s="114">
        <f>SUM(D73:O73)</f>
        <v>0</v>
      </c>
    </row>
    <row r="74" spans="3:18" ht="15" hidden="1" customHeight="1" x14ac:dyDescent="0.25">
      <c r="C74" s="19" t="s">
        <v>42</v>
      </c>
      <c r="D74" s="132">
        <v>0</v>
      </c>
      <c r="E74" s="132">
        <v>0</v>
      </c>
      <c r="F74" s="132">
        <f>IFERROR((F71*TabP!$E$12)*TabP!$F$12,0)</f>
        <v>4068.6731999999993</v>
      </c>
      <c r="G74" s="132">
        <v>0</v>
      </c>
      <c r="H74" s="132">
        <v>0</v>
      </c>
      <c r="I74" s="132">
        <f>IFERROR((I71*TabP!$E$12)*TabP!$F$12,0)</f>
        <v>3711.4848000000002</v>
      </c>
      <c r="J74" s="132">
        <v>0</v>
      </c>
      <c r="K74" s="132">
        <v>0</v>
      </c>
      <c r="L74" s="132">
        <f>IFERROR((L71*TabP!$E$12)*TabP!$F$12,0)</f>
        <v>3629.9771999999998</v>
      </c>
      <c r="M74" s="132">
        <v>0</v>
      </c>
      <c r="N74" s="132">
        <v>0</v>
      </c>
      <c r="O74" s="132">
        <f>IFERROR((O71*TabP!$E$12)*TabP!$F$12,0)</f>
        <v>3625.8083999999999</v>
      </c>
      <c r="P74" s="114">
        <f>SUM(D74:O74)</f>
        <v>15035.943599999999</v>
      </c>
    </row>
    <row r="75" spans="3:18" ht="15" hidden="1" customHeight="1" x14ac:dyDescent="0.25"/>
    <row r="76" spans="3:18" ht="30" customHeight="1" thickBot="1" x14ac:dyDescent="0.3">
      <c r="C76" s="180" t="s">
        <v>311</v>
      </c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</row>
    <row r="77" spans="3:18" ht="21.95" customHeight="1" x14ac:dyDescent="0.25">
      <c r="C77" s="85" t="s">
        <v>82</v>
      </c>
      <c r="D77" s="55" t="s">
        <v>83</v>
      </c>
      <c r="E77" s="55" t="s">
        <v>84</v>
      </c>
      <c r="F77" s="55" t="s">
        <v>85</v>
      </c>
      <c r="G77" s="55" t="s">
        <v>86</v>
      </c>
      <c r="H77" s="55" t="s">
        <v>87</v>
      </c>
      <c r="I77" s="55" t="s">
        <v>88</v>
      </c>
      <c r="J77" s="55" t="s">
        <v>89</v>
      </c>
      <c r="K77" s="55" t="s">
        <v>90</v>
      </c>
      <c r="L77" s="55" t="s">
        <v>91</v>
      </c>
      <c r="M77" s="55" t="s">
        <v>92</v>
      </c>
      <c r="N77" s="55" t="s">
        <v>93</v>
      </c>
      <c r="O77" s="55" t="s">
        <v>94</v>
      </c>
      <c r="P77" s="56" t="s">
        <v>95</v>
      </c>
    </row>
    <row r="78" spans="3:18" ht="24.95" hidden="1" customHeight="1" x14ac:dyDescent="0.25">
      <c r="C78" s="44" t="s">
        <v>96</v>
      </c>
      <c r="D78" s="90">
        <f>'2027'!D78</f>
        <v>35095.8125</v>
      </c>
      <c r="E78" s="90">
        <f>'2027'!E78</f>
        <v>34139.15</v>
      </c>
      <c r="F78" s="90">
        <f>'2027'!F78</f>
        <v>33509.862500000003</v>
      </c>
      <c r="G78" s="90">
        <f>'2027'!G78</f>
        <v>33159.449999999997</v>
      </c>
      <c r="H78" s="90">
        <f>'2027'!H78</f>
        <v>33452.875</v>
      </c>
      <c r="I78" s="90">
        <f>'2027'!I78</f>
        <v>33507.4375</v>
      </c>
      <c r="J78" s="90">
        <f>'2027'!J78</f>
        <v>30704.137500000001</v>
      </c>
      <c r="K78" s="90">
        <f>'2027'!K78</f>
        <v>34928.487500000003</v>
      </c>
      <c r="L78" s="90">
        <f>'2027'!L78</f>
        <v>30779.3125</v>
      </c>
      <c r="M78" s="90">
        <f>'2027'!M78</f>
        <v>36525.35</v>
      </c>
      <c r="N78" s="90">
        <f>'2027'!N78</f>
        <v>33266.15</v>
      </c>
      <c r="O78" s="90">
        <f>'2027'!O78</f>
        <v>31263.1</v>
      </c>
      <c r="P78" s="93">
        <f t="shared" ref="P78:P83" si="19">SUM(D78:O78)</f>
        <v>400331.125</v>
      </c>
      <c r="Q78" s="18" t="s">
        <v>250</v>
      </c>
      <c r="R78" s="18" t="s">
        <v>251</v>
      </c>
    </row>
    <row r="79" spans="3:18" ht="24.95" customHeight="1" x14ac:dyDescent="0.25">
      <c r="C79" s="44" t="s">
        <v>249</v>
      </c>
      <c r="D79" s="90">
        <f>'2027'!D79</f>
        <v>2665.8344999999999</v>
      </c>
      <c r="E79" s="90">
        <f>'2027'!E79</f>
        <v>2593.1676000000002</v>
      </c>
      <c r="F79" s="90">
        <f>'2027'!F79</f>
        <v>2545.3677000000002</v>
      </c>
      <c r="G79" s="90">
        <f>'2027'!G79</f>
        <v>2518.7508000000003</v>
      </c>
      <c r="H79" s="90">
        <f>'2027'!H79</f>
        <v>2541.0390000000002</v>
      </c>
      <c r="I79" s="90">
        <f>'2027'!I79</f>
        <v>2545.1835000000001</v>
      </c>
      <c r="J79" s="90">
        <f>'2027'!J79</f>
        <v>2332.2483000000002</v>
      </c>
      <c r="K79" s="90">
        <f>'2027'!K79</f>
        <v>2653.1246999999998</v>
      </c>
      <c r="L79" s="90">
        <f>'2027'!L79</f>
        <v>2337.9585000000002</v>
      </c>
      <c r="M79" s="90">
        <f>'2027'!M79</f>
        <v>2774.4204</v>
      </c>
      <c r="N79" s="90">
        <f>'2027'!N79</f>
        <v>2526.8555999999999</v>
      </c>
      <c r="O79" s="90">
        <f>'2027'!O79</f>
        <v>2374.7064</v>
      </c>
      <c r="P79" s="93">
        <f>SUM(D79:O79)</f>
        <v>30408.656999999999</v>
      </c>
      <c r="Q79" s="201">
        <f>IF('BH (1)'!$D$4="Lucro Real",TabR!E13,IF('BH (1)'!$D$4="Lucro Presumido",TabP!F13,IF('BH (1)'!$D$4="Simples Nacional",TabS!$H$35)))</f>
        <v>9.2100000000000001E-2</v>
      </c>
      <c r="R79" s="201">
        <f>IF('BH (1)'!$D$4="Lucro Real",TabR!E15,IF('BH (1)'!$D$4="Lucro Presumido",TabP!F15,IF('BH (1)'!$D$4="Simples Nacional",TabS!$H$37)))</f>
        <v>0.6</v>
      </c>
    </row>
    <row r="80" spans="3:18" ht="24.95" hidden="1" customHeight="1" x14ac:dyDescent="0.25">
      <c r="C80" s="44" t="s">
        <v>135</v>
      </c>
      <c r="D80" s="90">
        <f>'2027'!D80</f>
        <v>134725</v>
      </c>
      <c r="E80" s="90">
        <f>'2027'!E80</f>
        <v>108391</v>
      </c>
      <c r="F80" s="90">
        <f>'2027'!F80</f>
        <v>133613</v>
      </c>
      <c r="G80" s="90">
        <f>'2027'!G80</f>
        <v>120356</v>
      </c>
      <c r="H80" s="90">
        <f>'2027'!H80</f>
        <v>119059</v>
      </c>
      <c r="I80" s="90">
        <f>'2027'!I80</f>
        <v>104241</v>
      </c>
      <c r="J80" s="90">
        <f>'2027'!J80</f>
        <v>123748</v>
      </c>
      <c r="K80" s="90">
        <f>'2027'!K80</f>
        <v>102602</v>
      </c>
      <c r="L80" s="90">
        <f>'2027'!L80</f>
        <v>109759</v>
      </c>
      <c r="M80" s="90">
        <f>'2027'!M80</f>
        <v>115659</v>
      </c>
      <c r="N80" s="90">
        <f>'2027'!N80</f>
        <v>110531</v>
      </c>
      <c r="O80" s="90">
        <f>'2027'!O80</f>
        <v>109533</v>
      </c>
      <c r="P80" s="93">
        <f>SUM(D80:O80)</f>
        <v>1392217</v>
      </c>
    </row>
    <row r="81" spans="3:18" ht="24.95" customHeight="1" x14ac:dyDescent="0.25">
      <c r="C81" s="198" t="s">
        <v>252</v>
      </c>
      <c r="D81" s="99">
        <f>'2027'!D81</f>
        <v>12408.172500000001</v>
      </c>
      <c r="E81" s="99">
        <f>'2027'!E81</f>
        <v>9982.8111000000008</v>
      </c>
      <c r="F81" s="99">
        <f>'2027'!F81</f>
        <v>12305.757299999999</v>
      </c>
      <c r="G81" s="99">
        <f>'2027'!G81</f>
        <v>11084.7876</v>
      </c>
      <c r="H81" s="99">
        <f>'2027'!H81</f>
        <v>10965.3339</v>
      </c>
      <c r="I81" s="99">
        <f>'2027'!I81</f>
        <v>9600.5961000000007</v>
      </c>
      <c r="J81" s="99">
        <f>'2027'!J81</f>
        <v>11397.1908</v>
      </c>
      <c r="K81" s="99">
        <f>'2027'!K81</f>
        <v>9449.6442000000006</v>
      </c>
      <c r="L81" s="99">
        <f>'2027'!L81</f>
        <v>10108.803900000001</v>
      </c>
      <c r="M81" s="99">
        <f>'2027'!M81</f>
        <v>10652.1939</v>
      </c>
      <c r="N81" s="99">
        <f>'2027'!N81</f>
        <v>10179.9051</v>
      </c>
      <c r="O81" s="100">
        <f>'2027'!O81</f>
        <v>10087.989299999999</v>
      </c>
      <c r="P81" s="93">
        <f>SUM(D81:O81)</f>
        <v>128223.18569999999</v>
      </c>
    </row>
    <row r="82" spans="3:18" ht="24.95" hidden="1" customHeight="1" x14ac:dyDescent="0.25">
      <c r="C82" s="228" t="s">
        <v>207</v>
      </c>
      <c r="D82" s="90">
        <f>'2027'!D82</f>
        <v>-9742.3379999999997</v>
      </c>
      <c r="E82" s="90">
        <f>'2027'!E82</f>
        <v>-7389.6435000000001</v>
      </c>
      <c r="F82" s="90">
        <f>'2027'!F82</f>
        <v>-9760.3895999999986</v>
      </c>
      <c r="G82" s="90">
        <f>'2027'!G82</f>
        <v>-8566.0367999999999</v>
      </c>
      <c r="H82" s="90">
        <f>'2027'!H82</f>
        <v>-8424.294899999999</v>
      </c>
      <c r="I82" s="90">
        <f>'2027'!I82</f>
        <v>-7055.4126000000006</v>
      </c>
      <c r="J82" s="90">
        <f>'2027'!J82</f>
        <v>-9064.942500000001</v>
      </c>
      <c r="K82" s="90">
        <f>'2027'!K82</f>
        <v>-6796.5195000000003</v>
      </c>
      <c r="L82" s="90">
        <f>'2027'!L82</f>
        <v>-7770.8454000000002</v>
      </c>
      <c r="M82" s="90">
        <f>'2027'!M82</f>
        <v>-7877.7735000000002</v>
      </c>
      <c r="N82" s="90">
        <f>'2027'!N82</f>
        <v>-7653.0495000000001</v>
      </c>
      <c r="O82" s="90">
        <f>'2027'!O82</f>
        <v>-7713.2828999999992</v>
      </c>
      <c r="P82" s="230">
        <f t="shared" si="19"/>
        <v>-97814.528699999995</v>
      </c>
    </row>
    <row r="83" spans="3:18" ht="24.95" customHeight="1" x14ac:dyDescent="0.25">
      <c r="C83" s="199" t="s">
        <v>321</v>
      </c>
      <c r="D83" s="202">
        <f>'2027'!D83</f>
        <v>9742.3379999999997</v>
      </c>
      <c r="E83" s="202">
        <f>'2027'!E83</f>
        <v>7389.6435000000001</v>
      </c>
      <c r="F83" s="202">
        <f>'2027'!F83</f>
        <v>9760.3895999999986</v>
      </c>
      <c r="G83" s="202">
        <f>'2027'!G83</f>
        <v>8566.0367999999999</v>
      </c>
      <c r="H83" s="202">
        <f>'2027'!H83</f>
        <v>8424.294899999999</v>
      </c>
      <c r="I83" s="202">
        <f>'2027'!I83</f>
        <v>7055.4126000000006</v>
      </c>
      <c r="J83" s="202">
        <f>'2027'!J83</f>
        <v>9064.942500000001</v>
      </c>
      <c r="K83" s="202">
        <f>'2027'!K83</f>
        <v>6796.5195000000003</v>
      </c>
      <c r="L83" s="202">
        <f>'2027'!L83</f>
        <v>7770.8454000000002</v>
      </c>
      <c r="M83" s="202">
        <f>'2027'!M83</f>
        <v>7877.7735000000002</v>
      </c>
      <c r="N83" s="202">
        <f>'2027'!N83</f>
        <v>7653.0495000000001</v>
      </c>
      <c r="O83" s="202">
        <f>'2027'!O83</f>
        <v>7713.2828999999992</v>
      </c>
      <c r="P83" s="93">
        <f t="shared" si="19"/>
        <v>97814.528699999995</v>
      </c>
    </row>
    <row r="84" spans="3:18" ht="24.95" hidden="1" customHeight="1" x14ac:dyDescent="0.25"/>
    <row r="85" spans="3:18" ht="30" customHeight="1" thickBot="1" x14ac:dyDescent="0.3">
      <c r="C85" s="288" t="s">
        <v>312</v>
      </c>
      <c r="D85" s="288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231"/>
    </row>
    <row r="86" spans="3:18" ht="21.95" customHeight="1" x14ac:dyDescent="0.25">
      <c r="C86" s="85" t="s">
        <v>82</v>
      </c>
      <c r="D86" s="55" t="s">
        <v>83</v>
      </c>
      <c r="E86" s="55" t="s">
        <v>84</v>
      </c>
      <c r="F86" s="55" t="s">
        <v>85</v>
      </c>
      <c r="G86" s="55" t="s">
        <v>86</v>
      </c>
      <c r="H86" s="55" t="s">
        <v>87</v>
      </c>
      <c r="I86" s="55" t="s">
        <v>88</v>
      </c>
      <c r="J86" s="55" t="s">
        <v>89</v>
      </c>
      <c r="K86" s="55" t="s">
        <v>90</v>
      </c>
      <c r="L86" s="55" t="s">
        <v>91</v>
      </c>
      <c r="M86" s="55" t="s">
        <v>92</v>
      </c>
      <c r="N86" s="55" t="s">
        <v>93</v>
      </c>
      <c r="O86" s="55" t="s">
        <v>94</v>
      </c>
      <c r="P86" s="56" t="s">
        <v>95</v>
      </c>
      <c r="Q86" s="18" t="s">
        <v>251</v>
      </c>
      <c r="R86" s="18" t="s">
        <v>264</v>
      </c>
    </row>
    <row r="87" spans="3:18" ht="24.95" customHeight="1" x14ac:dyDescent="0.25">
      <c r="C87" s="44" t="s">
        <v>316</v>
      </c>
      <c r="D87" s="90">
        <f>IF('BH (1)'!$D$4="Simples Nacional",IF('BH (1)'!$C$15=1,Simp6!D16,Simp6!D16-(Simp6!D16*$R$87)),'Fat6'!D13-('Fat6'!D13*$R$87))</f>
        <v>9700.2000000000007</v>
      </c>
      <c r="E87" s="90">
        <f>IF('BH (1)'!$D$4="Simples Nacional",IF('BH (1)'!$C$15=1,Simp6!E16,Simp6!E16-(Simp6!E16*$R$87)),'Fat6'!E13-('Fat6'!E13*$R$87))</f>
        <v>7804.152</v>
      </c>
      <c r="F87" s="90">
        <f>IF('BH (1)'!$D$4="Simples Nacional",IF('BH (1)'!$C$15=1,Simp6!F16,Simp6!F16-(Simp6!F16*$R$87)),'Fat6'!F13-('Fat6'!F13*$R$87))</f>
        <v>9620.1359999999986</v>
      </c>
      <c r="G87" s="90">
        <f>IF('BH (1)'!$D$4="Simples Nacional",IF('BH (1)'!$C$15=1,Simp6!G16,Simp6!G16-(Simp6!G16*$R$87)),'Fat6'!G13-('Fat6'!G13*$R$87))</f>
        <v>8665.6319999999996</v>
      </c>
      <c r="H87" s="90">
        <f>IF('BH (1)'!$D$4="Simples Nacional",IF('BH (1)'!$C$15=1,Simp6!H16,Simp6!H16-(Simp6!H16*$R$87)),'Fat6'!H13-('Fat6'!H13*$R$87))</f>
        <v>8572.2479999999996</v>
      </c>
      <c r="I87" s="90">
        <f>IF('BH (1)'!$D$4="Simples Nacional",IF('BH (1)'!$C$15=1,Simp6!I16,Simp6!I16-(Simp6!I16*$R$87)),'Fat6'!I13-('Fat6'!I13*$R$87))</f>
        <v>7505.3519999999999</v>
      </c>
      <c r="J87" s="90">
        <f>IF('BH (1)'!$D$4="Simples Nacional",IF('BH (1)'!$C$15=1,Simp6!J16,Simp6!J16-(Simp6!J16*$R$87)),'Fat6'!J13-('Fat6'!J13*$R$87))</f>
        <v>8909.8559999999998</v>
      </c>
      <c r="K87" s="90">
        <f>IF('BH (1)'!$D$4="Simples Nacional",IF('BH (1)'!$C$15=1,Simp6!K16,Simp6!K16-(Simp6!K16*$R$87)),'Fat6'!K13-('Fat6'!K13*$R$87))</f>
        <v>7387.3439999999991</v>
      </c>
      <c r="L87" s="90">
        <f>IF('BH (1)'!$D$4="Simples Nacional",IF('BH (1)'!$C$15=1,Simp6!L16,Simp6!L16-(Simp6!L16*$R$87)),'Fat6'!L13-('Fat6'!L13*$R$87))</f>
        <v>7902.6479999999992</v>
      </c>
      <c r="M87" s="90">
        <f>IF('BH (1)'!$D$4="Simples Nacional",IF('BH (1)'!$C$15=1,Simp6!M16,Simp6!M16-(Simp6!M16*$R$87)),'Fat6'!M13-('Fat6'!M13*$R$87))</f>
        <v>8327.4480000000003</v>
      </c>
      <c r="N87" s="90">
        <f>IF('BH (1)'!$D$4="Simples Nacional",IF('BH (1)'!$C$15=1,Simp6!N16,Simp6!N16-(Simp6!N16*$R$87)),'Fat6'!N13-('Fat6'!N13*$R$87))</f>
        <v>7958.2319999999991</v>
      </c>
      <c r="O87" s="90">
        <f>IF('BH (1)'!$D$4="Simples Nacional",IF('BH (1)'!$C$15=1,Simp6!O16,Simp6!O16-(Simp6!O16*$R$87)),'Fat6'!O13-('Fat6'!O13*$R$87))</f>
        <v>7886.3759999999993</v>
      </c>
      <c r="P87" s="93">
        <f>SUM(D87:O87)</f>
        <v>100239.62400000001</v>
      </c>
      <c r="Q87" s="203">
        <f>TransR!V9</f>
        <v>0.6</v>
      </c>
      <c r="R87" s="203">
        <f>100%-Q87</f>
        <v>0.4</v>
      </c>
    </row>
    <row r="88" spans="3:18" ht="24.95" customHeight="1" x14ac:dyDescent="0.25">
      <c r="C88" s="44" t="s">
        <v>317</v>
      </c>
      <c r="D88" s="90">
        <f>IF('BH (1)'!$D$4="Simples Nacional",IF('BH (1)'!$C$15=1,Simp6!D18,Simp6!D18-(Simp6!D18*$R$87)),'Fat6'!D15-('Fat6'!D15*$R$87))</f>
        <v>0</v>
      </c>
      <c r="E88" s="90">
        <f>IF('BH (1)'!$D$4="Simples Nacional",IF('BH (1)'!$C$15=1,Simp6!E18,Simp6!E18-(Simp6!E18*$R$87)),'Fat6'!E15-('Fat6'!E15*$R$87))</f>
        <v>0</v>
      </c>
      <c r="F88" s="90">
        <f>IF('BH (1)'!$D$4="Simples Nacional",IF('BH (1)'!$C$15=1,Simp6!F18,Simp6!F18-(Simp6!F18*$R$87)),'Fat6'!F15-('Fat6'!F15*$R$87))</f>
        <v>0</v>
      </c>
      <c r="G88" s="90">
        <f>IF('BH (1)'!$D$4="Simples Nacional",IF('BH (1)'!$C$15=1,Simp6!G18,Simp6!G18-(Simp6!G18*$R$87)),'Fat6'!G15-('Fat6'!G15*$R$87))</f>
        <v>0</v>
      </c>
      <c r="H88" s="90">
        <f>IF('BH (1)'!$D$4="Simples Nacional",IF('BH (1)'!$C$15=1,Simp6!H18,Simp6!H18-(Simp6!H18*$R$87)),'Fat6'!H15-('Fat6'!H15*$R$87))</f>
        <v>0</v>
      </c>
      <c r="I88" s="90">
        <f>IF('BH (1)'!$D$4="Simples Nacional",IF('BH (1)'!$C$15=1,Simp6!I18,Simp6!I18-(Simp6!I18*$R$87)),'Fat6'!I15-('Fat6'!I15*$R$87))</f>
        <v>0</v>
      </c>
      <c r="J88" s="90">
        <f>IF('BH (1)'!$D$4="Simples Nacional",IF('BH (1)'!$C$15=1,Simp6!J18,Simp6!J18-(Simp6!J18*$R$87)),'Fat6'!J15-('Fat6'!J15*$R$87))</f>
        <v>0</v>
      </c>
      <c r="K88" s="90">
        <f>IF('BH (1)'!$D$4="Simples Nacional",IF('BH (1)'!$C$15=1,Simp6!K18,Simp6!K18-(Simp6!K18*$R$87)),'Fat6'!K15-('Fat6'!K15*$R$87))</f>
        <v>0</v>
      </c>
      <c r="L88" s="90">
        <f>IF('BH (1)'!$D$4="Simples Nacional",IF('BH (1)'!$C$15=1,Simp6!L18,Simp6!L18-(Simp6!L18*$R$87)),'Fat6'!L15-('Fat6'!L15*$R$87))</f>
        <v>0</v>
      </c>
      <c r="M88" s="90">
        <f>IF('BH (1)'!$D$4="Simples Nacional",IF('BH (1)'!$C$15=1,Simp6!M18,Simp6!M18-(Simp6!M18*$R$87)),'Fat6'!M15-('Fat6'!M15*$R$87))</f>
        <v>0</v>
      </c>
      <c r="N88" s="90">
        <f>IF('BH (1)'!$D$4="Simples Nacional",IF('BH (1)'!$C$15=1,Simp6!N18,Simp6!N18-(Simp6!N18*$R$87)),'Fat6'!N15-('Fat6'!N15*$R$87))</f>
        <v>0</v>
      </c>
      <c r="O88" s="90">
        <f>IF('BH (1)'!$D$4="Simples Nacional",IF('BH (1)'!$C$15=1,Simp6!O18,Simp6!O18-(Simp6!O18*$R$87)),'Fat6'!O15-('Fat6'!O15*$R$87))</f>
        <v>0</v>
      </c>
      <c r="P88" s="93">
        <f>SUM(D88:O88)</f>
        <v>0</v>
      </c>
    </row>
    <row r="89" spans="3:18" ht="24.95" customHeight="1" x14ac:dyDescent="0.25">
      <c r="C89" s="44" t="s">
        <v>318</v>
      </c>
      <c r="D89" s="90">
        <f>IF('BH (1)'!$D$4="Simples Nacional",0,Lançamentos!D12-(Lançamentos!D12*$R$87))</f>
        <v>2526.8984999999993</v>
      </c>
      <c r="E89" s="90">
        <f>IF('BH (1)'!$D$4="Simples Nacional",0,Lançamentos!E12-(Lançamentos!E12*$R$87))</f>
        <v>2458.0187999999998</v>
      </c>
      <c r="F89" s="90">
        <f>IF('BH (1)'!$D$4="Simples Nacional",0,Lançamentos!F12-(Lançamentos!F12*$R$87))</f>
        <v>2412.7101000000002</v>
      </c>
      <c r="G89" s="90">
        <f>IF('BH (1)'!$D$4="Simples Nacional",0,Lançamentos!G12-(Lançamentos!G12*$R$87))</f>
        <v>2387.4803999999995</v>
      </c>
      <c r="H89" s="90">
        <f>IF('BH (1)'!$D$4="Simples Nacional",0,Lançamentos!H12-(Lançamentos!H12*$R$87))</f>
        <v>2408.607</v>
      </c>
      <c r="I89" s="90">
        <f>IF('BH (1)'!$D$4="Simples Nacional",0,Lançamentos!I12-(Lançamentos!I12*$R$87))</f>
        <v>2412.5355</v>
      </c>
      <c r="J89" s="90">
        <f>IF('BH (1)'!$D$4="Simples Nacional",0,Lançamentos!J12-(Lançamentos!J12*$R$87))</f>
        <v>2210.6978999999997</v>
      </c>
      <c r="K89" s="90">
        <f>IF('BH (1)'!$D$4="Simples Nacional",0,Lançamentos!K12-(Lançamentos!K12*$R$87))</f>
        <v>2514.8510999999999</v>
      </c>
      <c r="L89" s="90">
        <f>IF('BH (1)'!$D$4="Simples Nacional",0,Lançamentos!L12-(Lançamentos!L12*$R$87))</f>
        <v>2216.1104999999998</v>
      </c>
      <c r="M89" s="90">
        <f>IF('BH (1)'!$D$4="Simples Nacional",0,Lançamentos!M12-(Lançamentos!M12*$R$87))</f>
        <v>2629.8251999999993</v>
      </c>
      <c r="N89" s="90">
        <f>IF('BH (1)'!$D$4="Simples Nacional",0,Lançamentos!N12-(Lançamentos!N12*$R$87))</f>
        <v>2395.1628000000001</v>
      </c>
      <c r="O89" s="90">
        <f>IF('BH (1)'!$D$4="Simples Nacional",0,Lançamentos!O12-(Lançamentos!O12*$R$87))</f>
        <v>2250.9431999999997</v>
      </c>
      <c r="P89" s="93">
        <f t="shared" ref="P89:P94" si="20">SUM(D89:O89)</f>
        <v>28823.841</v>
      </c>
    </row>
    <row r="90" spans="3:18" ht="24.95" customHeight="1" x14ac:dyDescent="0.25">
      <c r="C90" s="198" t="s">
        <v>319</v>
      </c>
      <c r="D90" s="99">
        <f>IF('BH (1)'!$D$4="Simples Nacional",0,Lançamentos!D14-(Lançamentos!D14*$R$87))</f>
        <v>0</v>
      </c>
      <c r="E90" s="99">
        <f>IF('BH (1)'!$D$4="Simples Nacional",0,Lançamentos!E14-(Lançamentos!E14*$R$87))</f>
        <v>0</v>
      </c>
      <c r="F90" s="99">
        <f>IF('BH (1)'!$D$4="Simples Nacional",0,Lançamentos!F14-(Lançamentos!F14*$R$87))</f>
        <v>0</v>
      </c>
      <c r="G90" s="99">
        <f>IF('BH (1)'!$D$4="Simples Nacional",0,Lançamentos!G14-(Lançamentos!G14*$R$87))</f>
        <v>0</v>
      </c>
      <c r="H90" s="99">
        <f>IF('BH (1)'!$D$4="Simples Nacional",0,Lançamentos!H14-(Lançamentos!H14*$R$87))</f>
        <v>0</v>
      </c>
      <c r="I90" s="99">
        <f>IF('BH (1)'!$D$4="Simples Nacional",0,Lançamentos!I14-(Lançamentos!I14*$R$87))</f>
        <v>0</v>
      </c>
      <c r="J90" s="99">
        <f>IF('BH (1)'!$D$4="Simples Nacional",0,Lançamentos!J14-(Lançamentos!J14*$R$87))</f>
        <v>0</v>
      </c>
      <c r="K90" s="99">
        <f>IF('BH (1)'!$D$4="Simples Nacional",0,Lançamentos!K14-(Lançamentos!K14*$R$87))</f>
        <v>0</v>
      </c>
      <c r="L90" s="99">
        <f>IF('BH (1)'!$D$4="Simples Nacional",0,Lançamentos!L14-(Lançamentos!L14*$R$87))</f>
        <v>0</v>
      </c>
      <c r="M90" s="99">
        <f>IF('BH (1)'!$D$4="Simples Nacional",0,Lançamentos!M14-(Lançamentos!M14*$R$87))</f>
        <v>0</v>
      </c>
      <c r="N90" s="99">
        <f>IF('BH (1)'!$D$4="Simples Nacional",0,Lançamentos!N14-(Lançamentos!N14*$R$87))</f>
        <v>0</v>
      </c>
      <c r="O90" s="100">
        <f>IF('BH (1)'!$D$4="Simples Nacional",0,Lançamentos!O14-(Lançamentos!O14*$R$87))</f>
        <v>0</v>
      </c>
      <c r="P90" s="93">
        <f t="shared" si="20"/>
        <v>0</v>
      </c>
    </row>
    <row r="91" spans="3:18" ht="24.95" hidden="1" customHeight="1" x14ac:dyDescent="0.25">
      <c r="C91" s="43" t="s">
        <v>265</v>
      </c>
      <c r="D91" s="90">
        <f>IFERROR(D89-D87,0)</f>
        <v>-7173.3015000000014</v>
      </c>
      <c r="E91" s="90">
        <f>IFERROR(IF(D91&lt;0,E89-E87,D91+E89-E87),0)</f>
        <v>-5346.1332000000002</v>
      </c>
      <c r="F91" s="90">
        <f t="shared" ref="F91:O92" si="21">IFERROR(IF(E91&lt;0,F89-F87,E91+F89-F87),0)</f>
        <v>-7207.4258999999984</v>
      </c>
      <c r="G91" s="90">
        <f t="shared" si="21"/>
        <v>-6278.1516000000001</v>
      </c>
      <c r="H91" s="90">
        <f t="shared" si="21"/>
        <v>-6163.6409999999996</v>
      </c>
      <c r="I91" s="90">
        <f t="shared" si="21"/>
        <v>-5092.8164999999999</v>
      </c>
      <c r="J91" s="90">
        <f t="shared" si="21"/>
        <v>-6699.1581000000006</v>
      </c>
      <c r="K91" s="90">
        <f t="shared" si="21"/>
        <v>-4872.4928999999993</v>
      </c>
      <c r="L91" s="90">
        <f t="shared" si="21"/>
        <v>-5686.5374999999995</v>
      </c>
      <c r="M91" s="90">
        <f t="shared" si="21"/>
        <v>-5697.622800000001</v>
      </c>
      <c r="N91" s="90">
        <f t="shared" si="21"/>
        <v>-5563.069199999999</v>
      </c>
      <c r="O91" s="90">
        <f t="shared" si="21"/>
        <v>-5635.4327999999996</v>
      </c>
      <c r="P91" s="93">
        <f t="shared" si="20"/>
        <v>-71415.782999999996</v>
      </c>
    </row>
    <row r="92" spans="3:18" ht="24.95" hidden="1" customHeight="1" x14ac:dyDescent="0.25">
      <c r="C92" s="198" t="s">
        <v>266</v>
      </c>
      <c r="D92" s="95">
        <f>IFERROR(D90-D88,0)</f>
        <v>0</v>
      </c>
      <c r="E92" s="95">
        <f>IFERROR(IF(D92&lt;0,E90-E88,D92+E90-E88),0)</f>
        <v>0</v>
      </c>
      <c r="F92" s="95">
        <f t="shared" si="21"/>
        <v>0</v>
      </c>
      <c r="G92" s="95">
        <f t="shared" si="21"/>
        <v>0</v>
      </c>
      <c r="H92" s="95">
        <f t="shared" si="21"/>
        <v>0</v>
      </c>
      <c r="I92" s="95">
        <f t="shared" si="21"/>
        <v>0</v>
      </c>
      <c r="J92" s="95">
        <f t="shared" si="21"/>
        <v>0</v>
      </c>
      <c r="K92" s="95">
        <f t="shared" si="21"/>
        <v>0</v>
      </c>
      <c r="L92" s="95">
        <f t="shared" si="21"/>
        <v>0</v>
      </c>
      <c r="M92" s="95">
        <f t="shared" si="21"/>
        <v>0</v>
      </c>
      <c r="N92" s="95">
        <f t="shared" si="21"/>
        <v>0</v>
      </c>
      <c r="O92" s="95">
        <f t="shared" si="21"/>
        <v>0</v>
      </c>
      <c r="P92" s="93">
        <f t="shared" si="20"/>
        <v>0</v>
      </c>
    </row>
    <row r="93" spans="3:18" ht="24.95" customHeight="1" x14ac:dyDescent="0.25">
      <c r="C93" s="232" t="s">
        <v>267</v>
      </c>
      <c r="D93" s="233">
        <f>IF(D91&lt;0,D91*-1,0)</f>
        <v>7173.3015000000014</v>
      </c>
      <c r="E93" s="233">
        <f t="shared" ref="E93:O94" si="22">IF(E91&lt;0,E91*-1,0)</f>
        <v>5346.1332000000002</v>
      </c>
      <c r="F93" s="233">
        <f t="shared" si="22"/>
        <v>7207.4258999999984</v>
      </c>
      <c r="G93" s="233">
        <f t="shared" si="22"/>
        <v>6278.1516000000001</v>
      </c>
      <c r="H93" s="233">
        <f t="shared" si="22"/>
        <v>6163.6409999999996</v>
      </c>
      <c r="I93" s="233">
        <f t="shared" si="22"/>
        <v>5092.8164999999999</v>
      </c>
      <c r="J93" s="233">
        <f t="shared" si="22"/>
        <v>6699.1581000000006</v>
      </c>
      <c r="K93" s="233">
        <f t="shared" si="22"/>
        <v>4872.4928999999993</v>
      </c>
      <c r="L93" s="233">
        <f t="shared" si="22"/>
        <v>5686.5374999999995</v>
      </c>
      <c r="M93" s="233">
        <f t="shared" si="22"/>
        <v>5697.622800000001</v>
      </c>
      <c r="N93" s="233">
        <f t="shared" si="22"/>
        <v>5563.069199999999</v>
      </c>
      <c r="O93" s="233">
        <f t="shared" si="22"/>
        <v>5635.4327999999996</v>
      </c>
      <c r="P93" s="191">
        <f t="shared" si="20"/>
        <v>71415.782999999996</v>
      </c>
    </row>
    <row r="94" spans="3:18" ht="24.95" customHeight="1" x14ac:dyDescent="0.25">
      <c r="C94" s="196" t="s">
        <v>268</v>
      </c>
      <c r="D94" s="97">
        <f>IF(D92&lt;0,D92*-1,0)</f>
        <v>0</v>
      </c>
      <c r="E94" s="97">
        <f t="shared" si="22"/>
        <v>0</v>
      </c>
      <c r="F94" s="97">
        <f t="shared" si="22"/>
        <v>0</v>
      </c>
      <c r="G94" s="97">
        <f t="shared" si="22"/>
        <v>0</v>
      </c>
      <c r="H94" s="97">
        <f t="shared" si="22"/>
        <v>0</v>
      </c>
      <c r="I94" s="97">
        <f t="shared" si="22"/>
        <v>0</v>
      </c>
      <c r="J94" s="97">
        <f t="shared" si="22"/>
        <v>0</v>
      </c>
      <c r="K94" s="97">
        <f t="shared" si="22"/>
        <v>0</v>
      </c>
      <c r="L94" s="97">
        <f t="shared" si="22"/>
        <v>0</v>
      </c>
      <c r="M94" s="97">
        <f t="shared" si="22"/>
        <v>0</v>
      </c>
      <c r="N94" s="97">
        <f t="shared" si="22"/>
        <v>0</v>
      </c>
      <c r="O94" s="97">
        <f t="shared" si="22"/>
        <v>0</v>
      </c>
      <c r="P94" s="98">
        <f t="shared" si="20"/>
        <v>0</v>
      </c>
    </row>
    <row r="95" spans="3:18" ht="24.95" hidden="1" customHeight="1" x14ac:dyDescent="0.25"/>
    <row r="96" spans="3:18" ht="30" customHeight="1" thickBot="1" x14ac:dyDescent="0.3">
      <c r="C96" s="288" t="s">
        <v>313</v>
      </c>
      <c r="D96" s="288"/>
    </row>
    <row r="97" spans="3:18" ht="21.95" customHeight="1" x14ac:dyDescent="0.25">
      <c r="C97" s="85" t="s">
        <v>82</v>
      </c>
      <c r="D97" s="55" t="s">
        <v>83</v>
      </c>
      <c r="E97" s="55" t="s">
        <v>84</v>
      </c>
      <c r="F97" s="55" t="s">
        <v>85</v>
      </c>
      <c r="G97" s="55" t="s">
        <v>86</v>
      </c>
      <c r="H97" s="55" t="s">
        <v>87</v>
      </c>
      <c r="I97" s="55" t="s">
        <v>88</v>
      </c>
      <c r="J97" s="55" t="s">
        <v>89</v>
      </c>
      <c r="K97" s="55" t="s">
        <v>90</v>
      </c>
      <c r="L97" s="55" t="s">
        <v>91</v>
      </c>
      <c r="M97" s="55" t="s">
        <v>92</v>
      </c>
      <c r="N97" s="55" t="s">
        <v>93</v>
      </c>
      <c r="O97" s="55" t="s">
        <v>94</v>
      </c>
      <c r="P97" s="56" t="s">
        <v>95</v>
      </c>
      <c r="Q97" s="18" t="s">
        <v>269</v>
      </c>
      <c r="R97" s="18" t="s">
        <v>251</v>
      </c>
    </row>
    <row r="98" spans="3:18" ht="24.95" customHeight="1" x14ac:dyDescent="0.25">
      <c r="C98" s="44" t="s">
        <v>314</v>
      </c>
      <c r="D98" s="90">
        <f>IF('BH (1)'!$D$4="Simples Nacional",IF('BH (1)'!$C$15=1,0,'Ref4'!D12*$R$101),'Ref4'!D12*$R$101)</f>
        <v>10077.43</v>
      </c>
      <c r="E98" s="90">
        <f>IF('BH (1)'!$D$4="Simples Nacional",IF('BH (1)'!$C$15=1,0,'Ref4'!E12*$R$101),'Ref4'!E12*$R$101)</f>
        <v>8107.6467999999995</v>
      </c>
      <c r="F98" s="90">
        <f>IF('BH (1)'!$D$4="Simples Nacional",IF('BH (1)'!$C$15=1,0,'Ref4'!F12*$R$101),'Ref4'!F12*$R$101)</f>
        <v>9994.2524000000012</v>
      </c>
      <c r="G98" s="90">
        <f>IF('BH (1)'!$D$4="Simples Nacional",IF('BH (1)'!$C$15=1,0,'Ref4'!G12*$R$101),'Ref4'!G12*$R$101)</f>
        <v>9002.6288000000004</v>
      </c>
      <c r="H98" s="90">
        <f>IF('BH (1)'!$D$4="Simples Nacional",IF('BH (1)'!$C$15=1,0,'Ref4'!H12*$R$101),'Ref4'!H12*$R$101)</f>
        <v>8905.6131999999998</v>
      </c>
      <c r="I98" s="90">
        <f>IF('BH (1)'!$D$4="Simples Nacional",IF('BH (1)'!$C$15=1,0,'Ref4'!I12*$R$101),'Ref4'!I12*$R$101)</f>
        <v>7797.2268000000004</v>
      </c>
      <c r="J98" s="90">
        <f>IF('BH (1)'!$D$4="Simples Nacional",IF('BH (1)'!$C$15=1,0,'Ref4'!J12*$R$101),'Ref4'!J12*$R$101)</f>
        <v>9256.3504000000012</v>
      </c>
      <c r="K98" s="90">
        <f>IF('BH (1)'!$D$4="Simples Nacional",IF('BH (1)'!$C$15=1,0,'Ref4'!K12*$R$101),'Ref4'!K12*$R$101)</f>
        <v>7674.6296000000002</v>
      </c>
      <c r="L98" s="90">
        <f>IF('BH (1)'!$D$4="Simples Nacional",IF('BH (1)'!$C$15=1,0,'Ref4'!L12*$R$101),'Ref4'!L12*$R$101)</f>
        <v>8209.9732000000004</v>
      </c>
      <c r="M98" s="90">
        <f>IF('BH (1)'!$D$4="Simples Nacional",IF('BH (1)'!$C$15=1,0,'Ref4'!M12*$R$101),'Ref4'!M12*$R$101)</f>
        <v>8651.2932000000001</v>
      </c>
      <c r="N98" s="90">
        <f>IF('BH (1)'!$D$4="Simples Nacional",IF('BH (1)'!$C$15=1,0,'Ref4'!N12*$R$101),'Ref4'!N12*$R$101)</f>
        <v>8267.7188000000006</v>
      </c>
      <c r="O98" s="90">
        <f>IF('BH (1)'!$D$4="Simples Nacional",IF('BH (1)'!$C$15=1,0,'Ref4'!O12*$R$101),'Ref4'!O12*$R$101)</f>
        <v>8193.0684000000001</v>
      </c>
      <c r="P98" s="93">
        <f>SUM(D98:O98)</f>
        <v>104137.8316</v>
      </c>
      <c r="Q98" s="203">
        <f>IF('BH (1)'!$D$4="Lucro Real",TabR!E14,IF('BH (1)'!$D$4="Lucro Presumido",TabP!F14,IF('BH (1)'!$D$4="Simples Nacional",TabS!$H$36)))</f>
        <v>0.187</v>
      </c>
      <c r="R98" s="203">
        <f>IF('BH (1)'!$D$4="Lucro Real",TabR!E16,IF('BH (1)'!$D$4="Lucro Presumido",TabP!F16,IF('BH (1)'!$D$4="Simples Nacional",TabS!$H$38)))</f>
        <v>0.6</v>
      </c>
    </row>
    <row r="99" spans="3:18" ht="24.95" customHeight="1" x14ac:dyDescent="0.25">
      <c r="C99" s="198" t="s">
        <v>315</v>
      </c>
      <c r="D99" s="99">
        <f>IF('BH (1)'!$D$4="Simples Nacional",IF('BH (1)'!$C$15=1,0,Lançamentos!D24*$R$101),Lançamentos!D24*$R$101)</f>
        <v>2165.0860000000002</v>
      </c>
      <c r="E99" s="99">
        <f>IF('BH (1)'!$D$4="Simples Nacional",IF('BH (1)'!$C$15=1,0,Lançamentos!E24*$R$101),Lançamentos!E24*$R$101)</f>
        <v>2106.0688</v>
      </c>
      <c r="F99" s="99">
        <f>IF('BH (1)'!$D$4="Simples Nacional",IF('BH (1)'!$C$15=1,0,Lançamentos!F24*$R$101),Lançamentos!F24*$R$101)</f>
        <v>2067.2476000000001</v>
      </c>
      <c r="G99" s="99">
        <f>IF('BH (1)'!$D$4="Simples Nacional",IF('BH (1)'!$C$15=1,0,Lançamentos!G24*$R$101),Lançamentos!G24*$R$101)</f>
        <v>2045.6304</v>
      </c>
      <c r="H99" s="99">
        <f>IF('BH (1)'!$D$4="Simples Nacional",IF('BH (1)'!$C$15=1,0,Lançamentos!H24*$R$101),Lançamentos!H24*$R$101)</f>
        <v>2063.732</v>
      </c>
      <c r="I99" s="99">
        <f>IF('BH (1)'!$D$4="Simples Nacional",IF('BH (1)'!$C$15=1,0,Lançamentos!I24*$R$101),Lançamentos!I24*$R$101)</f>
        <v>2067.098</v>
      </c>
      <c r="J99" s="99">
        <f>IF('BH (1)'!$D$4="Simples Nacional",IF('BH (1)'!$C$15=1,0,Lançamentos!J24*$R$101),Lançamentos!J24*$R$101)</f>
        <v>1894.1604</v>
      </c>
      <c r="K99" s="99">
        <f>IF('BH (1)'!$D$4="Simples Nacional",IF('BH (1)'!$C$15=1,0,Lançamentos!K24*$R$101),Lançamentos!K24*$R$101)</f>
        <v>2154.7635999999998</v>
      </c>
      <c r="L99" s="99">
        <f>IF('BH (1)'!$D$4="Simples Nacional",IF('BH (1)'!$C$15=1,0,Lançamentos!L24*$R$101),Lançamentos!L24*$R$101)</f>
        <v>1898.798</v>
      </c>
      <c r="M99" s="99">
        <f>IF('BH (1)'!$D$4="Simples Nacional",IF('BH (1)'!$C$15=1,0,Lançamentos!M24*$R$101),Lançamentos!M24*$R$101)</f>
        <v>2253.2752</v>
      </c>
      <c r="N99" s="99">
        <f>IF('BH (1)'!$D$4="Simples Nacional",IF('BH (1)'!$C$15=1,0,Lançamentos!N24*$R$101),Lançamentos!N24*$R$101)</f>
        <v>2052.2128000000002</v>
      </c>
      <c r="O99" s="99">
        <f>IF('BH (1)'!$D$4="Simples Nacional",IF('BH (1)'!$C$15=1,0,Lançamentos!O24*$R$101),Lançamentos!O24*$R$101)</f>
        <v>1928.6432000000002</v>
      </c>
      <c r="P99" s="93">
        <f>SUM(D99:O99)</f>
        <v>24696.716</v>
      </c>
      <c r="Q99" s="18" t="s">
        <v>270</v>
      </c>
    </row>
    <row r="100" spans="3:18" ht="24.95" hidden="1" customHeight="1" x14ac:dyDescent="0.25">
      <c r="C100" s="228" t="s">
        <v>207</v>
      </c>
      <c r="D100" s="229">
        <f>D99-D98</f>
        <v>-7912.3440000000001</v>
      </c>
      <c r="E100" s="229">
        <f>IF(D100&lt;0,E99-E98,D100+E99-E98)</f>
        <v>-6001.5779999999995</v>
      </c>
      <c r="F100" s="229">
        <f t="shared" ref="F100:O100" si="23">IF(E100&lt;0,F99-F98,E100+F99-F98)</f>
        <v>-7927.0048000000006</v>
      </c>
      <c r="G100" s="229">
        <f t="shared" si="23"/>
        <v>-6956.9984000000004</v>
      </c>
      <c r="H100" s="229">
        <f t="shared" si="23"/>
        <v>-6841.8811999999998</v>
      </c>
      <c r="I100" s="229">
        <f t="shared" si="23"/>
        <v>-5730.1288000000004</v>
      </c>
      <c r="J100" s="229">
        <f t="shared" si="23"/>
        <v>-7362.1900000000014</v>
      </c>
      <c r="K100" s="229">
        <f t="shared" si="23"/>
        <v>-5519.866</v>
      </c>
      <c r="L100" s="229">
        <f t="shared" si="23"/>
        <v>-6311.1752000000006</v>
      </c>
      <c r="M100" s="229">
        <f t="shared" si="23"/>
        <v>-6398.018</v>
      </c>
      <c r="N100" s="229">
        <f t="shared" si="23"/>
        <v>-6215.5060000000003</v>
      </c>
      <c r="O100" s="229">
        <f t="shared" si="23"/>
        <v>-6264.4251999999997</v>
      </c>
      <c r="P100" s="230">
        <f>SUM(D100:O100)</f>
        <v>-79441.11559999999</v>
      </c>
      <c r="Q100" s="203">
        <f>IFERROR(Q98-(Q98*R98),0)</f>
        <v>7.4800000000000005E-2</v>
      </c>
    </row>
    <row r="101" spans="3:18" ht="24.95" customHeight="1" x14ac:dyDescent="0.25">
      <c r="C101" s="199" t="s">
        <v>320</v>
      </c>
      <c r="D101" s="202">
        <f>IF(D100&lt;0,D100*-1,0)</f>
        <v>7912.3440000000001</v>
      </c>
      <c r="E101" s="202">
        <f t="shared" ref="E101:O101" si="24">IF(E100&lt;0,E100*-1,0)</f>
        <v>6001.5779999999995</v>
      </c>
      <c r="F101" s="202">
        <f t="shared" si="24"/>
        <v>7927.0048000000006</v>
      </c>
      <c r="G101" s="202">
        <f t="shared" si="24"/>
        <v>6956.9984000000004</v>
      </c>
      <c r="H101" s="202">
        <f t="shared" si="24"/>
        <v>6841.8811999999998</v>
      </c>
      <c r="I101" s="202">
        <f t="shared" si="24"/>
        <v>5730.1288000000004</v>
      </c>
      <c r="J101" s="202">
        <f t="shared" si="24"/>
        <v>7362.1900000000014</v>
      </c>
      <c r="K101" s="202">
        <f t="shared" si="24"/>
        <v>5519.866</v>
      </c>
      <c r="L101" s="202">
        <f t="shared" si="24"/>
        <v>6311.1752000000006</v>
      </c>
      <c r="M101" s="202">
        <f t="shared" si="24"/>
        <v>6398.018</v>
      </c>
      <c r="N101" s="202">
        <f t="shared" si="24"/>
        <v>6215.5060000000003</v>
      </c>
      <c r="O101" s="202">
        <f t="shared" si="24"/>
        <v>6264.4251999999997</v>
      </c>
      <c r="P101" s="192">
        <f>SUM(D101:O101)</f>
        <v>79441.11559999999</v>
      </c>
      <c r="Q101" s="203">
        <f>Q87</f>
        <v>0.6</v>
      </c>
      <c r="R101" s="203">
        <f>R87</f>
        <v>0.4</v>
      </c>
    </row>
    <row r="102" spans="3:18" ht="15" customHeight="1" x14ac:dyDescent="0.25">
      <c r="Q102" s="203">
        <f>IFERROR(Q100*R101,0)</f>
        <v>2.9920000000000002E-2</v>
      </c>
    </row>
    <row r="200" spans="3:16" ht="15" hidden="1" customHeight="1" x14ac:dyDescent="0.25"/>
    <row r="201" spans="3:16" ht="15" hidden="1" customHeight="1" x14ac:dyDescent="0.25">
      <c r="C201" s="188" t="s">
        <v>283</v>
      </c>
      <c r="D201" s="201">
        <f>IF('BH (1)'!$C$4=1,TabR!E17,IF('BH (1)'!$C$4=2,TabP!F17,IF('BH (1)'!$C$4=3,TabS!H39)))</f>
        <v>1.5</v>
      </c>
    </row>
    <row r="202" spans="3:16" ht="15" hidden="1" customHeight="1" x14ac:dyDescent="0.25">
      <c r="C202" s="112" t="s">
        <v>82</v>
      </c>
      <c r="D202" s="112" t="s">
        <v>83</v>
      </c>
      <c r="E202" s="112" t="s">
        <v>84</v>
      </c>
      <c r="F202" s="112" t="s">
        <v>85</v>
      </c>
      <c r="G202" s="112" t="s">
        <v>86</v>
      </c>
      <c r="H202" s="112" t="s">
        <v>87</v>
      </c>
      <c r="I202" s="112" t="s">
        <v>88</v>
      </c>
      <c r="J202" s="112" t="s">
        <v>89</v>
      </c>
      <c r="K202" s="112" t="s">
        <v>90</v>
      </c>
      <c r="L202" s="112" t="s">
        <v>91</v>
      </c>
      <c r="M202" s="112" t="s">
        <v>92</v>
      </c>
      <c r="N202" s="112" t="s">
        <v>93</v>
      </c>
      <c r="O202" s="112" t="s">
        <v>94</v>
      </c>
      <c r="P202" s="112" t="s">
        <v>95</v>
      </c>
    </row>
    <row r="203" spans="3:16" ht="15" hidden="1" customHeight="1" x14ac:dyDescent="0.25">
      <c r="C203" s="200" t="s">
        <v>135</v>
      </c>
      <c r="D203" s="193">
        <f>IF('BH (1)'!$C$4=3,Simp6!D10,'Fat6'!D8)</f>
        <v>134725</v>
      </c>
      <c r="E203" s="193">
        <f>IF('BH (1)'!$C$4=3,Simp6!E10,'Fat6'!E8)</f>
        <v>108391</v>
      </c>
      <c r="F203" s="193">
        <f>IF('BH (1)'!$C$4=3,Simp6!F10,'Fat6'!F8)</f>
        <v>133613</v>
      </c>
      <c r="G203" s="193">
        <f>IF('BH (1)'!$C$4=3,Simp6!G10,'Fat6'!G8)</f>
        <v>120356</v>
      </c>
      <c r="H203" s="193">
        <f>IF('BH (1)'!$C$4=3,Simp6!H10,'Fat6'!H8)</f>
        <v>119059</v>
      </c>
      <c r="I203" s="193">
        <f>IF('BH (1)'!$C$4=3,Simp6!I10,'Fat6'!I8)</f>
        <v>104241</v>
      </c>
      <c r="J203" s="193">
        <f>IF('BH (1)'!$C$4=3,Simp6!J10,'Fat6'!J8)</f>
        <v>123748</v>
      </c>
      <c r="K203" s="193">
        <f>IF('BH (1)'!$C$4=3,Simp6!K10,'Fat6'!K8)</f>
        <v>102602</v>
      </c>
      <c r="L203" s="193">
        <f>IF('BH (1)'!$C$4=3,Simp6!L10,'Fat6'!L8)</f>
        <v>109759</v>
      </c>
      <c r="M203" s="193">
        <f>IF('BH (1)'!$C$4=3,Simp6!M10,'Fat6'!M8)</f>
        <v>115659</v>
      </c>
      <c r="N203" s="193">
        <f>IF('BH (1)'!$C$4=3,Simp6!N10,'Fat6'!N8)</f>
        <v>110531</v>
      </c>
      <c r="O203" s="193">
        <f>IF('BH (1)'!$C$4=3,Simp6!O10,'Fat6'!O8)</f>
        <v>109533</v>
      </c>
      <c r="P203" s="114">
        <f>SUM(D203:O203)</f>
        <v>1392217</v>
      </c>
    </row>
    <row r="204" spans="3:16" ht="15" hidden="1" customHeight="1" x14ac:dyDescent="0.25">
      <c r="C204" s="200" t="s">
        <v>284</v>
      </c>
      <c r="D204" s="193">
        <f>IF('BH (1)'!$B$18=1,D203*$D$201,D203)</f>
        <v>134725</v>
      </c>
      <c r="E204" s="193">
        <f>IF('BH (1)'!$B$18=1,E203*$D$201,E203)</f>
        <v>108391</v>
      </c>
      <c r="F204" s="193">
        <f>IF('BH (1)'!$B$18=1,F203*$D$201,F203)</f>
        <v>133613</v>
      </c>
      <c r="G204" s="193">
        <f>IF('BH (1)'!$B$18=1,G203*$D$201,G203)</f>
        <v>120356</v>
      </c>
      <c r="H204" s="193">
        <f>IF('BH (1)'!$B$18=1,H203*$D$201,H203)</f>
        <v>119059</v>
      </c>
      <c r="I204" s="193">
        <f>IF('BH (1)'!$B$18=1,I203*$D$201,I203)</f>
        <v>104241</v>
      </c>
      <c r="J204" s="193">
        <f>IF('BH (1)'!$B$18=1,J203*$D$201,J203)</f>
        <v>123748</v>
      </c>
      <c r="K204" s="193">
        <f>IF('BH (1)'!$B$18=1,K203*$D$201,K203)</f>
        <v>102602</v>
      </c>
      <c r="L204" s="193">
        <f>IF('BH (1)'!$B$18=1,L203*$D$201,L203)</f>
        <v>109759</v>
      </c>
      <c r="M204" s="193">
        <f>IF('BH (1)'!$B$18=1,M203*$D$201,M203)</f>
        <v>115659</v>
      </c>
      <c r="N204" s="193">
        <f>IF('BH (1)'!$B$18=1,N203*$D$201,N203)</f>
        <v>110531</v>
      </c>
      <c r="O204" s="193">
        <f>IF('BH (1)'!$B$18=1,O203*$D$201,O203)</f>
        <v>109533</v>
      </c>
      <c r="P204" s="114">
        <f>SUM(D204:O204)</f>
        <v>1392217</v>
      </c>
    </row>
  </sheetData>
  <sheetProtection sheet="1" objects="1" scenarios="1" selectLockedCells="1" selectUnlockedCells="1"/>
  <mergeCells count="2">
    <mergeCell ref="C85:D85"/>
    <mergeCell ref="C96:D96"/>
  </mergeCells>
  <pageMargins left="0.25" right="0.25" top="0.75" bottom="0.75" header="0.3" footer="0.3"/>
  <pageSetup paperSize="9" scale="5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Drop Down 1">
              <controlPr defaultSize="0" print="0" autoLine="0" autoPict="0">
                <anchor moveWithCells="1">
                  <from>
                    <xdr:col>12</xdr:col>
                    <xdr:colOff>133350</xdr:colOff>
                    <xdr:row>2</xdr:row>
                    <xdr:rowOff>257175</xdr:rowOff>
                  </from>
                  <to>
                    <xdr:col>20</xdr:col>
                    <xdr:colOff>9525</xdr:colOff>
                    <xdr:row>2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Planilha48">
    <tabColor rgb="FF0000FF"/>
    <pageSetUpPr fitToPage="1"/>
  </sheetPr>
  <dimension ref="C1:R204"/>
  <sheetViews>
    <sheetView showGridLines="0" showRowColHeaders="0" workbookViewId="0">
      <pane ySplit="4" topLeftCell="A5" activePane="bottomLeft" state="frozen"/>
      <selection activeCell="U93" sqref="U93"/>
      <selection pane="bottomLeft" activeCell="W3" sqref="W3"/>
    </sheetView>
  </sheetViews>
  <sheetFormatPr defaultRowHeight="15" customHeight="1" x14ac:dyDescent="0.25"/>
  <cols>
    <col min="1" max="2" width="1.7109375" style="18" customWidth="1"/>
    <col min="3" max="3" width="13.7109375" style="200" customWidth="1"/>
    <col min="4" max="16" width="13.140625" style="18" customWidth="1"/>
    <col min="17" max="18" width="9.140625" style="18" hidden="1" customWidth="1"/>
    <col min="19" max="20" width="0" style="18" hidden="1" customWidth="1"/>
    <col min="21" max="16384" width="9.140625" style="18"/>
  </cols>
  <sheetData>
    <row r="1" spans="3:16" s="1" customFormat="1" ht="35.1" customHeight="1" x14ac:dyDescent="0.25">
      <c r="C1" s="194"/>
    </row>
    <row r="2" spans="3:16" s="3" customFormat="1" ht="30" customHeight="1" x14ac:dyDescent="0.25">
      <c r="C2" s="195"/>
    </row>
    <row r="3" spans="3:16" ht="69.95" customHeight="1" thickBot="1" x14ac:dyDescent="0.3">
      <c r="C3" s="180" t="s">
        <v>276</v>
      </c>
    </row>
    <row r="4" spans="3:16" ht="21.95" customHeight="1" x14ac:dyDescent="0.25">
      <c r="C4" s="85" t="s">
        <v>82</v>
      </c>
      <c r="D4" s="55" t="s">
        <v>83</v>
      </c>
      <c r="E4" s="55" t="s">
        <v>84</v>
      </c>
      <c r="F4" s="55" t="s">
        <v>85</v>
      </c>
      <c r="G4" s="55" t="s">
        <v>86</v>
      </c>
      <c r="H4" s="55" t="s">
        <v>87</v>
      </c>
      <c r="I4" s="55" t="s">
        <v>88</v>
      </c>
      <c r="J4" s="55" t="s">
        <v>89</v>
      </c>
      <c r="K4" s="55" t="s">
        <v>90</v>
      </c>
      <c r="L4" s="55" t="s">
        <v>91</v>
      </c>
      <c r="M4" s="55" t="s">
        <v>92</v>
      </c>
      <c r="N4" s="55" t="s">
        <v>93</v>
      </c>
      <c r="O4" s="55" t="s">
        <v>94</v>
      </c>
      <c r="P4" s="56" t="s">
        <v>294</v>
      </c>
    </row>
    <row r="5" spans="3:16" ht="21.95" customHeight="1" x14ac:dyDescent="0.25">
      <c r="C5" s="44" t="s">
        <v>43</v>
      </c>
      <c r="D5" s="90">
        <f>IF('BH (1)'!$D$4="Simples Nacional",IF('BH (1)'!$D$15="Simplificado",Simp6!D14+Simp6!D15+Simp6!D17,D83),D83)</f>
        <v>9742.3379999999997</v>
      </c>
      <c r="E5" s="90">
        <f>IF('BH (1)'!$D$4="Simples Nacional",IF('BH (1)'!$D$15="Simplificado",Simp6!E14+Simp6!E15+Simp6!E17,E83),E83)</f>
        <v>7389.6435000000001</v>
      </c>
      <c r="F5" s="90">
        <f>IF('BH (1)'!$D$4="Simples Nacional",IF('BH (1)'!$D$15="Simplificado",Simp6!F14+Simp6!F15+Simp6!F17,F83),F83)</f>
        <v>9760.3895999999986</v>
      </c>
      <c r="G5" s="90">
        <f>IF('BH (1)'!$D$4="Simples Nacional",IF('BH (1)'!$D$15="Simplificado",Simp6!G14+Simp6!G15+Simp6!G17,G83),G83)</f>
        <v>8566.0367999999999</v>
      </c>
      <c r="H5" s="90">
        <f>IF('BH (1)'!$D$4="Simples Nacional",IF('BH (1)'!$D$15="Simplificado",Simp6!H14+Simp6!H15+Simp6!H17,H83),H83)</f>
        <v>8424.294899999999</v>
      </c>
      <c r="I5" s="90">
        <f>IF('BH (1)'!$D$4="Simples Nacional",IF('BH (1)'!$D$15="Simplificado",Simp6!I14+Simp6!I15+Simp6!I17,I83),I83)</f>
        <v>7055.4126000000006</v>
      </c>
      <c r="J5" s="90">
        <f>IF('BH (1)'!$D$4="Simples Nacional",IF('BH (1)'!$D$15="Simplificado",Simp6!J14+Simp6!J15+Simp6!J17,J83),J83)</f>
        <v>9064.942500000001</v>
      </c>
      <c r="K5" s="90">
        <f>IF('BH (1)'!$D$4="Simples Nacional",IF('BH (1)'!$D$15="Simplificado",Simp6!K14+Simp6!K15+Simp6!K17,K83),K83)</f>
        <v>6796.5195000000003</v>
      </c>
      <c r="L5" s="90">
        <f>IF('BH (1)'!$D$4="Simples Nacional",IF('BH (1)'!$D$15="Simplificado",Simp6!L14+Simp6!L15+Simp6!L17,L83),L83)</f>
        <v>7770.8454000000002</v>
      </c>
      <c r="M5" s="90">
        <f>IF('BH (1)'!$D$4="Simples Nacional",IF('BH (1)'!$D$15="Simplificado",Simp6!M14+Simp6!M15+Simp6!M17,M83),M83)</f>
        <v>7877.7735000000002</v>
      </c>
      <c r="N5" s="90">
        <f>IF('BH (1)'!$D$4="Simples Nacional",IF('BH (1)'!$D$15="Simplificado",Simp6!N14+Simp6!N15+Simp6!N17,N83),N83)</f>
        <v>7653.0495000000001</v>
      </c>
      <c r="O5" s="90">
        <f>IF('BH (1)'!$D$4="Simples Nacional",IF('BH (1)'!$D$15="Simplificado",Simp6!O14+Simp6!O15+Simp6!O17,O83),O83)</f>
        <v>7713.2828999999992</v>
      </c>
      <c r="P5" s="93">
        <f>SUM(D5:O5)</f>
        <v>97814.528699999995</v>
      </c>
    </row>
    <row r="6" spans="3:16" ht="21.95" customHeight="1" x14ac:dyDescent="0.25">
      <c r="C6" s="44" t="s">
        <v>44</v>
      </c>
      <c r="D6" s="90">
        <f>IF('BH (1)'!$D$4="Simples Nacional",IF('BH (1)'!$D$15="Simplificado",Simp6!D16+Simp6!D18,D101),D101)</f>
        <v>19780.86</v>
      </c>
      <c r="E6" s="90">
        <f>IF('BH (1)'!$D$4="Simples Nacional",IF('BH (1)'!$D$15="Simplificado",Simp6!E16+Simp6!E18,E101),E101)</f>
        <v>15003.945</v>
      </c>
      <c r="F6" s="90">
        <f>IF('BH (1)'!$D$4="Simples Nacional",IF('BH (1)'!$D$15="Simplificado",Simp6!F16+Simp6!F18,F101),F101)</f>
        <v>19817.512000000002</v>
      </c>
      <c r="G6" s="90">
        <f>IF('BH (1)'!$D$4="Simples Nacional",IF('BH (1)'!$D$15="Simplificado",Simp6!G16+Simp6!G18,G101),G101)</f>
        <v>17392.495999999999</v>
      </c>
      <c r="H6" s="90">
        <f>IF('BH (1)'!$D$4="Simples Nacional",IF('BH (1)'!$D$15="Simplificado",Simp6!H16+Simp6!H18,H101),H101)</f>
        <v>17104.703000000001</v>
      </c>
      <c r="I6" s="90">
        <f>IF('BH (1)'!$D$4="Simples Nacional",IF('BH (1)'!$D$15="Simplificado",Simp6!I16+Simp6!I18,I101),I101)</f>
        <v>14325.322</v>
      </c>
      <c r="J6" s="90">
        <f>IF('BH (1)'!$D$4="Simples Nacional",IF('BH (1)'!$D$15="Simplificado",Simp6!J16+Simp6!J18,J101),J101)</f>
        <v>18405.474999999999</v>
      </c>
      <c r="K6" s="90">
        <f>IF('BH (1)'!$D$4="Simples Nacional",IF('BH (1)'!$D$15="Simplificado",Simp6!K16+Simp6!K18,K101),K101)</f>
        <v>13799.665000000001</v>
      </c>
      <c r="L6" s="90">
        <f>IF('BH (1)'!$D$4="Simples Nacional",IF('BH (1)'!$D$15="Simplificado",Simp6!L16+Simp6!L18,L101),L101)</f>
        <v>15777.938000000002</v>
      </c>
      <c r="M6" s="90">
        <f>IF('BH (1)'!$D$4="Simples Nacional",IF('BH (1)'!$D$15="Simplificado",Simp6!M16+Simp6!M18,M101),M101)</f>
        <v>15995.045</v>
      </c>
      <c r="N6" s="90">
        <f>IF('BH (1)'!$D$4="Simples Nacional",IF('BH (1)'!$D$15="Simplificado",Simp6!N16+Simp6!N18,N101),N101)</f>
        <v>15538.764999999999</v>
      </c>
      <c r="O6" s="90">
        <f>IF('BH (1)'!$D$4="Simples Nacional",IF('BH (1)'!$D$15="Simplificado",Simp6!O16+Simp6!O18,O101),O101)</f>
        <v>15661.062999999998</v>
      </c>
      <c r="P6" s="93">
        <f>SUM(D6:O6)</f>
        <v>198602.78900000002</v>
      </c>
    </row>
    <row r="7" spans="3:16" ht="24.95" hidden="1" customHeight="1" x14ac:dyDescent="0.25">
      <c r="C7" s="44" t="s">
        <v>97</v>
      </c>
      <c r="D7" s="90">
        <v>0</v>
      </c>
      <c r="E7" s="90">
        <v>0</v>
      </c>
      <c r="F7" s="90">
        <v>0</v>
      </c>
      <c r="G7" s="90">
        <v>0</v>
      </c>
      <c r="H7" s="90">
        <v>0</v>
      </c>
      <c r="I7" s="90">
        <v>0</v>
      </c>
      <c r="J7" s="90">
        <v>0</v>
      </c>
      <c r="K7" s="90">
        <v>0</v>
      </c>
      <c r="L7" s="90">
        <v>0</v>
      </c>
      <c r="M7" s="90">
        <v>0</v>
      </c>
      <c r="N7" s="90">
        <v>0</v>
      </c>
      <c r="O7" s="90">
        <v>0</v>
      </c>
      <c r="P7" s="93">
        <f>SUM(D7:O7)</f>
        <v>0</v>
      </c>
    </row>
    <row r="8" spans="3:16" ht="24.95" hidden="1" customHeight="1" x14ac:dyDescent="0.25">
      <c r="C8" s="44" t="s">
        <v>98</v>
      </c>
      <c r="D8" s="90">
        <v>0</v>
      </c>
      <c r="E8" s="90">
        <v>0</v>
      </c>
      <c r="F8" s="90">
        <v>0</v>
      </c>
      <c r="G8" s="90">
        <v>0</v>
      </c>
      <c r="H8" s="90">
        <v>0</v>
      </c>
      <c r="I8" s="90">
        <v>0</v>
      </c>
      <c r="J8" s="90">
        <v>0</v>
      </c>
      <c r="K8" s="90">
        <v>0</v>
      </c>
      <c r="L8" s="90">
        <v>0</v>
      </c>
      <c r="M8" s="90">
        <v>0</v>
      </c>
      <c r="N8" s="90">
        <v>0</v>
      </c>
      <c r="O8" s="90">
        <v>0</v>
      </c>
      <c r="P8" s="93">
        <f>SUM(D8:O8)</f>
        <v>0</v>
      </c>
    </row>
    <row r="9" spans="3:16" ht="24.95" hidden="1" customHeight="1" x14ac:dyDescent="0.25">
      <c r="C9" s="44" t="s">
        <v>37</v>
      </c>
      <c r="D9" s="90">
        <v>0</v>
      </c>
      <c r="E9" s="90">
        <v>0</v>
      </c>
      <c r="F9" s="90">
        <v>0</v>
      </c>
      <c r="G9" s="90">
        <v>0</v>
      </c>
      <c r="H9" s="90">
        <v>0</v>
      </c>
      <c r="I9" s="90">
        <v>0</v>
      </c>
      <c r="J9" s="90">
        <v>0</v>
      </c>
      <c r="K9" s="90">
        <v>0</v>
      </c>
      <c r="L9" s="90">
        <v>0</v>
      </c>
      <c r="M9" s="90">
        <v>0</v>
      </c>
      <c r="N9" s="90">
        <v>0</v>
      </c>
      <c r="O9" s="90">
        <v>0</v>
      </c>
      <c r="P9" s="93">
        <f>SUM(D9:O9)</f>
        <v>0</v>
      </c>
    </row>
    <row r="10" spans="3:16" ht="24.95" hidden="1" customHeight="1" x14ac:dyDescent="0.25">
      <c r="C10" s="44" t="s">
        <v>38</v>
      </c>
      <c r="D10" s="90">
        <v>0</v>
      </c>
      <c r="E10" s="90">
        <v>0</v>
      </c>
      <c r="F10" s="90">
        <v>0</v>
      </c>
      <c r="G10" s="90">
        <v>0</v>
      </c>
      <c r="H10" s="90">
        <v>0</v>
      </c>
      <c r="I10" s="90">
        <v>0</v>
      </c>
      <c r="J10" s="90">
        <v>0</v>
      </c>
      <c r="K10" s="90">
        <v>0</v>
      </c>
      <c r="L10" s="90">
        <v>0</v>
      </c>
      <c r="M10" s="90">
        <v>0</v>
      </c>
      <c r="N10" s="90">
        <v>0</v>
      </c>
      <c r="O10" s="90">
        <v>0</v>
      </c>
      <c r="P10" s="93">
        <f t="shared" ref="P10:P17" si="0">SUM(D10:O10)</f>
        <v>0</v>
      </c>
    </row>
    <row r="11" spans="3:16" ht="24.95" hidden="1" customHeight="1" x14ac:dyDescent="0.25">
      <c r="C11" s="44" t="s">
        <v>39</v>
      </c>
      <c r="D11" s="90">
        <v>0</v>
      </c>
      <c r="E11" s="90">
        <v>0</v>
      </c>
      <c r="F11" s="90">
        <v>0</v>
      </c>
      <c r="G11" s="90">
        <v>0</v>
      </c>
      <c r="H11" s="90">
        <v>0</v>
      </c>
      <c r="I11" s="90">
        <v>0</v>
      </c>
      <c r="J11" s="90">
        <v>0</v>
      </c>
      <c r="K11" s="90">
        <v>0</v>
      </c>
      <c r="L11" s="90">
        <v>0</v>
      </c>
      <c r="M11" s="90">
        <v>0</v>
      </c>
      <c r="N11" s="90">
        <v>0</v>
      </c>
      <c r="O11" s="90">
        <v>0</v>
      </c>
      <c r="P11" s="93">
        <f t="shared" si="0"/>
        <v>0</v>
      </c>
    </row>
    <row r="12" spans="3:16" ht="24.95" customHeight="1" x14ac:dyDescent="0.25">
      <c r="C12" s="44" t="s">
        <v>129</v>
      </c>
      <c r="D12" s="90">
        <f>D50</f>
        <v>2400</v>
      </c>
      <c r="E12" s="90">
        <f t="shared" ref="E12:O12" si="1">E50</f>
        <v>2400</v>
      </c>
      <c r="F12" s="90">
        <f t="shared" si="1"/>
        <v>2400</v>
      </c>
      <c r="G12" s="90">
        <f t="shared" si="1"/>
        <v>2400</v>
      </c>
      <c r="H12" s="90">
        <f t="shared" si="1"/>
        <v>2400</v>
      </c>
      <c r="I12" s="90">
        <f t="shared" si="1"/>
        <v>2400</v>
      </c>
      <c r="J12" s="90">
        <f t="shared" si="1"/>
        <v>2400</v>
      </c>
      <c r="K12" s="90">
        <f t="shared" si="1"/>
        <v>2400</v>
      </c>
      <c r="L12" s="90">
        <f t="shared" si="1"/>
        <v>2400</v>
      </c>
      <c r="M12" s="90">
        <f t="shared" si="1"/>
        <v>2400</v>
      </c>
      <c r="N12" s="90">
        <f t="shared" si="1"/>
        <v>2400</v>
      </c>
      <c r="O12" s="90">
        <f t="shared" si="1"/>
        <v>2400</v>
      </c>
      <c r="P12" s="93">
        <f t="shared" si="0"/>
        <v>28800</v>
      </c>
    </row>
    <row r="13" spans="3:16" ht="24.95" customHeight="1" x14ac:dyDescent="0.25">
      <c r="C13" s="44" t="s">
        <v>42</v>
      </c>
      <c r="D13" s="90">
        <f>D57</f>
        <v>0</v>
      </c>
      <c r="E13" s="90">
        <f t="shared" ref="E13:O13" si="2">E57</f>
        <v>0</v>
      </c>
      <c r="F13" s="90">
        <f>F57</f>
        <v>4068.6731999999993</v>
      </c>
      <c r="G13" s="90">
        <f t="shared" si="2"/>
        <v>0</v>
      </c>
      <c r="H13" s="90">
        <f t="shared" si="2"/>
        <v>0</v>
      </c>
      <c r="I13" s="90">
        <f t="shared" si="2"/>
        <v>3711.4848000000002</v>
      </c>
      <c r="J13" s="90">
        <f t="shared" si="2"/>
        <v>0</v>
      </c>
      <c r="K13" s="90">
        <f t="shared" si="2"/>
        <v>0</v>
      </c>
      <c r="L13" s="90">
        <f t="shared" si="2"/>
        <v>3629.9771999999998</v>
      </c>
      <c r="M13" s="90">
        <f t="shared" si="2"/>
        <v>0</v>
      </c>
      <c r="N13" s="90">
        <f t="shared" si="2"/>
        <v>0</v>
      </c>
      <c r="O13" s="90">
        <f t="shared" si="2"/>
        <v>3625.8083999999999</v>
      </c>
      <c r="P13" s="93">
        <f>IF('BH (1)'!$D$4="Lucro Presumido",Relatórios!P11,SUM(D13:O13))</f>
        <v>15035.943599999999</v>
      </c>
    </row>
    <row r="14" spans="3:16" ht="24.95" customHeight="1" x14ac:dyDescent="0.25">
      <c r="C14" s="44" t="s">
        <v>40</v>
      </c>
      <c r="D14" s="90">
        <f>IF('BH (1)'!$D$4="Simples Nacional",D55,D55+D56)</f>
        <v>0</v>
      </c>
      <c r="E14" s="90">
        <f>IF('BH (1)'!$D$4="Simples Nacional",E55,E55+E56)</f>
        <v>0</v>
      </c>
      <c r="F14" s="90">
        <f>IF('BH (1)'!$D$4="Simples Nacional",F55,F55+F56)</f>
        <v>4520.7479999999996</v>
      </c>
      <c r="G14" s="90">
        <f>IF('BH (1)'!$D$4="Simples Nacional",G55,G55+G56)</f>
        <v>0</v>
      </c>
      <c r="H14" s="90">
        <f>IF('BH (1)'!$D$4="Simples Nacional",H55,H55+H56)</f>
        <v>0</v>
      </c>
      <c r="I14" s="90">
        <f>IF('BH (1)'!$D$4="Simples Nacional",I55,I55+I56)</f>
        <v>4123.8719999999994</v>
      </c>
      <c r="J14" s="90">
        <f>IF('BH (1)'!$D$4="Simples Nacional",J55,J55+J56)</f>
        <v>0</v>
      </c>
      <c r="K14" s="90">
        <f>IF('BH (1)'!$D$4="Simples Nacional",K55,K55+K56)</f>
        <v>0</v>
      </c>
      <c r="L14" s="90">
        <f>IF('BH (1)'!$D$4="Simples Nacional",L55,L55+L56)</f>
        <v>4033.308</v>
      </c>
      <c r="M14" s="90">
        <f>IF('BH (1)'!$D$4="Simples Nacional",M55,M55+M56)</f>
        <v>0</v>
      </c>
      <c r="N14" s="90">
        <f>IF('BH (1)'!$D$4="Simples Nacional",N55,N55+N56)</f>
        <v>0</v>
      </c>
      <c r="O14" s="90">
        <f>IF('BH (1)'!$D$4="Simples Nacional",O55,O55+O56)</f>
        <v>4028.6759999999999</v>
      </c>
      <c r="P14" s="93">
        <f>IF('BH (1)'!$D$4="Lucro Presumido",Relatórios!P12,SUM(D14:O14))</f>
        <v>16706.603999999999</v>
      </c>
    </row>
    <row r="15" spans="3:16" ht="24.95" customHeight="1" x14ac:dyDescent="0.25">
      <c r="C15" s="44" t="s">
        <v>155</v>
      </c>
      <c r="D15" s="90">
        <f>D51</f>
        <v>960</v>
      </c>
      <c r="E15" s="90">
        <f t="shared" ref="E15:O17" si="3">E51</f>
        <v>960</v>
      </c>
      <c r="F15" s="90">
        <f t="shared" si="3"/>
        <v>960</v>
      </c>
      <c r="G15" s="90">
        <f t="shared" si="3"/>
        <v>960</v>
      </c>
      <c r="H15" s="90">
        <f t="shared" si="3"/>
        <v>960</v>
      </c>
      <c r="I15" s="90">
        <f t="shared" si="3"/>
        <v>960</v>
      </c>
      <c r="J15" s="90">
        <f t="shared" si="3"/>
        <v>960</v>
      </c>
      <c r="K15" s="90">
        <f t="shared" si="3"/>
        <v>960</v>
      </c>
      <c r="L15" s="90">
        <f t="shared" si="3"/>
        <v>960</v>
      </c>
      <c r="M15" s="90">
        <f t="shared" si="3"/>
        <v>960</v>
      </c>
      <c r="N15" s="90">
        <f t="shared" si="3"/>
        <v>960</v>
      </c>
      <c r="O15" s="90">
        <f t="shared" si="3"/>
        <v>960</v>
      </c>
      <c r="P15" s="93">
        <f t="shared" si="0"/>
        <v>11520</v>
      </c>
    </row>
    <row r="16" spans="3:16" ht="24.95" customHeight="1" x14ac:dyDescent="0.25">
      <c r="C16" s="44" t="str">
        <f>IF('BH (1)'!D4="Simples Nacional","","Terceiros")</f>
        <v>Terceiros</v>
      </c>
      <c r="D16" s="90">
        <f>D52</f>
        <v>696</v>
      </c>
      <c r="E16" s="90">
        <f t="shared" si="3"/>
        <v>696</v>
      </c>
      <c r="F16" s="90">
        <f t="shared" si="3"/>
        <v>696</v>
      </c>
      <c r="G16" s="90">
        <f t="shared" si="3"/>
        <v>696</v>
      </c>
      <c r="H16" s="90">
        <f t="shared" si="3"/>
        <v>696</v>
      </c>
      <c r="I16" s="90">
        <f t="shared" si="3"/>
        <v>696</v>
      </c>
      <c r="J16" s="90">
        <f t="shared" si="3"/>
        <v>696</v>
      </c>
      <c r="K16" s="90">
        <f t="shared" si="3"/>
        <v>696</v>
      </c>
      <c r="L16" s="90">
        <f t="shared" si="3"/>
        <v>696</v>
      </c>
      <c r="M16" s="90">
        <f t="shared" si="3"/>
        <v>696</v>
      </c>
      <c r="N16" s="90">
        <f t="shared" si="3"/>
        <v>696</v>
      </c>
      <c r="O16" s="90">
        <f t="shared" si="3"/>
        <v>696</v>
      </c>
      <c r="P16" s="93">
        <f t="shared" si="0"/>
        <v>8352</v>
      </c>
    </row>
    <row r="17" spans="3:16" ht="24.95" customHeight="1" x14ac:dyDescent="0.25">
      <c r="C17" s="198" t="str">
        <f>IF('BH (1)'!D4="Simples Nacional","","RAT")</f>
        <v>RAT</v>
      </c>
      <c r="D17" s="189">
        <f>D53</f>
        <v>240</v>
      </c>
      <c r="E17" s="189">
        <f t="shared" si="3"/>
        <v>240</v>
      </c>
      <c r="F17" s="189">
        <f t="shared" si="3"/>
        <v>240</v>
      </c>
      <c r="G17" s="189">
        <f t="shared" si="3"/>
        <v>240</v>
      </c>
      <c r="H17" s="189">
        <f t="shared" si="3"/>
        <v>240</v>
      </c>
      <c r="I17" s="189">
        <f t="shared" si="3"/>
        <v>240</v>
      </c>
      <c r="J17" s="189">
        <f t="shared" si="3"/>
        <v>240</v>
      </c>
      <c r="K17" s="189">
        <f t="shared" si="3"/>
        <v>240</v>
      </c>
      <c r="L17" s="189">
        <f t="shared" si="3"/>
        <v>240</v>
      </c>
      <c r="M17" s="189">
        <f t="shared" si="3"/>
        <v>240</v>
      </c>
      <c r="N17" s="189">
        <f t="shared" si="3"/>
        <v>240</v>
      </c>
      <c r="O17" s="189">
        <f t="shared" si="3"/>
        <v>240</v>
      </c>
      <c r="P17" s="93">
        <f t="shared" si="0"/>
        <v>2880</v>
      </c>
    </row>
    <row r="18" spans="3:16" ht="24.95" customHeight="1" x14ac:dyDescent="0.25">
      <c r="C18" s="196" t="s">
        <v>245</v>
      </c>
      <c r="D18" s="97">
        <f>SUM(D5:D17)</f>
        <v>33819.198000000004</v>
      </c>
      <c r="E18" s="97">
        <f>SUM(E5:E17)</f>
        <v>26689.588499999998</v>
      </c>
      <c r="F18" s="97">
        <f t="shared" ref="F18:N18" si="4">SUM(F5:F17)</f>
        <v>42463.322800000002</v>
      </c>
      <c r="G18" s="97">
        <f t="shared" si="4"/>
        <v>30254.532800000001</v>
      </c>
      <c r="H18" s="97">
        <f t="shared" si="4"/>
        <v>29824.997900000002</v>
      </c>
      <c r="I18" s="97">
        <f t="shared" si="4"/>
        <v>33512.091400000005</v>
      </c>
      <c r="J18" s="97">
        <f t="shared" si="4"/>
        <v>31766.4175</v>
      </c>
      <c r="K18" s="97">
        <f t="shared" si="4"/>
        <v>24892.184500000003</v>
      </c>
      <c r="L18" s="97">
        <f t="shared" si="4"/>
        <v>35508.068599999999</v>
      </c>
      <c r="M18" s="97">
        <f t="shared" si="4"/>
        <v>28168.818500000001</v>
      </c>
      <c r="N18" s="97">
        <f t="shared" si="4"/>
        <v>27487.8145</v>
      </c>
      <c r="O18" s="97">
        <f>SUM(O5:O17)</f>
        <v>35324.830299999994</v>
      </c>
      <c r="P18" s="98">
        <f>SUM(P5:P17)</f>
        <v>379711.8653</v>
      </c>
    </row>
    <row r="19" spans="3:16" ht="30" customHeight="1" thickBot="1" x14ac:dyDescent="0.3">
      <c r="C19" s="180" t="s">
        <v>277</v>
      </c>
    </row>
    <row r="20" spans="3:16" ht="21.95" customHeight="1" x14ac:dyDescent="0.25">
      <c r="C20" s="85" t="s">
        <v>82</v>
      </c>
      <c r="D20" s="55" t="s">
        <v>83</v>
      </c>
      <c r="E20" s="55" t="s">
        <v>84</v>
      </c>
      <c r="F20" s="55" t="s">
        <v>85</v>
      </c>
      <c r="G20" s="55" t="s">
        <v>86</v>
      </c>
      <c r="H20" s="55" t="s">
        <v>87</v>
      </c>
      <c r="I20" s="55" t="s">
        <v>88</v>
      </c>
      <c r="J20" s="55" t="s">
        <v>89</v>
      </c>
      <c r="K20" s="55" t="s">
        <v>90</v>
      </c>
      <c r="L20" s="55" t="s">
        <v>91</v>
      </c>
      <c r="M20" s="55" t="s">
        <v>92</v>
      </c>
      <c r="N20" s="55" t="s">
        <v>93</v>
      </c>
      <c r="O20" s="55" t="s">
        <v>94</v>
      </c>
      <c r="P20" s="56" t="s">
        <v>294</v>
      </c>
    </row>
    <row r="21" spans="3:16" ht="24.95" customHeight="1" x14ac:dyDescent="0.25">
      <c r="C21" s="197" t="str">
        <f>'2027'!C21</f>
        <v>Indústria</v>
      </c>
      <c r="D21" s="90">
        <f>'2027'!D21</f>
        <v>0</v>
      </c>
      <c r="E21" s="90">
        <f>'2027'!E21</f>
        <v>0</v>
      </c>
      <c r="F21" s="90">
        <f>'2027'!F21</f>
        <v>0</v>
      </c>
      <c r="G21" s="90">
        <f>'2027'!G21</f>
        <v>0</v>
      </c>
      <c r="H21" s="90">
        <f>'2027'!H21</f>
        <v>0</v>
      </c>
      <c r="I21" s="90">
        <f>'2027'!I21</f>
        <v>0</v>
      </c>
      <c r="J21" s="90">
        <f>'2027'!J21</f>
        <v>0</v>
      </c>
      <c r="K21" s="90">
        <f>'2027'!K21</f>
        <v>0</v>
      </c>
      <c r="L21" s="90">
        <f>'2027'!L21</f>
        <v>0</v>
      </c>
      <c r="M21" s="90">
        <f>'2027'!M21</f>
        <v>0</v>
      </c>
      <c r="N21" s="90">
        <f>'2027'!N21</f>
        <v>0</v>
      </c>
      <c r="O21" s="90">
        <f>'2027'!O21</f>
        <v>0</v>
      </c>
      <c r="P21" s="91">
        <f>SUM(D21:O21)</f>
        <v>0</v>
      </c>
    </row>
    <row r="22" spans="3:16" ht="24.95" customHeight="1" x14ac:dyDescent="0.25">
      <c r="C22" s="44" t="str">
        <f>'2027'!C22</f>
        <v>Comércio</v>
      </c>
      <c r="D22" s="90">
        <f>'2027'!D22</f>
        <v>134725</v>
      </c>
      <c r="E22" s="90">
        <f>'2027'!E22</f>
        <v>108391</v>
      </c>
      <c r="F22" s="90">
        <f>'2027'!F22</f>
        <v>133613</v>
      </c>
      <c r="G22" s="90">
        <f>'2027'!G22</f>
        <v>120356</v>
      </c>
      <c r="H22" s="90">
        <f>'2027'!H22</f>
        <v>119059</v>
      </c>
      <c r="I22" s="90">
        <f>'2027'!I22</f>
        <v>104241</v>
      </c>
      <c r="J22" s="90">
        <f>'2027'!J22</f>
        <v>123748</v>
      </c>
      <c r="K22" s="90">
        <f>'2027'!K22</f>
        <v>102602</v>
      </c>
      <c r="L22" s="90">
        <f>'2027'!L22</f>
        <v>109759</v>
      </c>
      <c r="M22" s="90">
        <f>'2027'!M22</f>
        <v>115659</v>
      </c>
      <c r="N22" s="90">
        <f>'2027'!N22</f>
        <v>110531</v>
      </c>
      <c r="O22" s="90">
        <f>'2027'!O22</f>
        <v>109533</v>
      </c>
      <c r="P22" s="93">
        <f>SUM(D22:O22)</f>
        <v>1392217</v>
      </c>
    </row>
    <row r="23" spans="3:16" ht="24.95" customHeight="1" x14ac:dyDescent="0.25">
      <c r="C23" s="43" t="str">
        <f>'2027'!C23</f>
        <v>Serviços</v>
      </c>
      <c r="D23" s="90">
        <f>'2027'!D23</f>
        <v>0</v>
      </c>
      <c r="E23" s="90">
        <f>'2027'!E23</f>
        <v>0</v>
      </c>
      <c r="F23" s="90">
        <f>'2027'!F23</f>
        <v>0</v>
      </c>
      <c r="G23" s="90">
        <f>'2027'!G23</f>
        <v>0</v>
      </c>
      <c r="H23" s="90">
        <f>'2027'!H23</f>
        <v>0</v>
      </c>
      <c r="I23" s="90">
        <f>'2027'!I23</f>
        <v>0</v>
      </c>
      <c r="J23" s="90">
        <f>'2027'!J23</f>
        <v>0</v>
      </c>
      <c r="K23" s="90">
        <f>'2027'!K23</f>
        <v>0</v>
      </c>
      <c r="L23" s="90">
        <f>'2027'!L23</f>
        <v>0</v>
      </c>
      <c r="M23" s="90">
        <f>'2027'!M23</f>
        <v>0</v>
      </c>
      <c r="N23" s="90">
        <f>'2027'!N23</f>
        <v>0</v>
      </c>
      <c r="O23" s="90">
        <f>'2027'!O23</f>
        <v>0</v>
      </c>
      <c r="P23" s="93">
        <f>SUM(D23:O23)</f>
        <v>0</v>
      </c>
    </row>
    <row r="24" spans="3:16" ht="24.95" customHeight="1" x14ac:dyDescent="0.25">
      <c r="C24" s="43" t="str">
        <f>'2027'!C24</f>
        <v/>
      </c>
      <c r="D24" s="90" t="str">
        <f>'2027'!D24</f>
        <v/>
      </c>
      <c r="E24" s="90" t="str">
        <f>'2027'!E24</f>
        <v/>
      </c>
      <c r="F24" s="90" t="str">
        <f>'2027'!F24</f>
        <v/>
      </c>
      <c r="G24" s="90" t="str">
        <f>'2027'!G24</f>
        <v/>
      </c>
      <c r="H24" s="90" t="str">
        <f>'2027'!H24</f>
        <v/>
      </c>
      <c r="I24" s="90" t="str">
        <f>'2027'!I24</f>
        <v/>
      </c>
      <c r="J24" s="90" t="str">
        <f>'2027'!J24</f>
        <v/>
      </c>
      <c r="K24" s="90" t="str">
        <f>'2027'!K24</f>
        <v/>
      </c>
      <c r="L24" s="90" t="str">
        <f>'2027'!L24</f>
        <v/>
      </c>
      <c r="M24" s="90" t="str">
        <f>'2027'!M24</f>
        <v/>
      </c>
      <c r="N24" s="90" t="str">
        <f>'2027'!N24</f>
        <v/>
      </c>
      <c r="O24" s="90" t="str">
        <f>'2027'!O24</f>
        <v/>
      </c>
      <c r="P24" s="93">
        <f t="shared" ref="P24:P34" si="5">SUM(D24:O24)</f>
        <v>0</v>
      </c>
    </row>
    <row r="25" spans="3:16" ht="24.95" customHeight="1" x14ac:dyDescent="0.25">
      <c r="C25" s="43" t="str">
        <f>'2027'!C25</f>
        <v/>
      </c>
      <c r="D25" s="90" t="str">
        <f>'2027'!D25</f>
        <v/>
      </c>
      <c r="E25" s="90" t="str">
        <f>'2027'!E25</f>
        <v/>
      </c>
      <c r="F25" s="90" t="str">
        <f>'2027'!F25</f>
        <v/>
      </c>
      <c r="G25" s="90" t="str">
        <f>'2027'!G25</f>
        <v/>
      </c>
      <c r="H25" s="90" t="str">
        <f>'2027'!H25</f>
        <v/>
      </c>
      <c r="I25" s="90" t="str">
        <f>'2027'!I25</f>
        <v/>
      </c>
      <c r="J25" s="90" t="str">
        <f>'2027'!J25</f>
        <v/>
      </c>
      <c r="K25" s="90" t="str">
        <f>'2027'!K25</f>
        <v/>
      </c>
      <c r="L25" s="90" t="str">
        <f>'2027'!L25</f>
        <v/>
      </c>
      <c r="M25" s="90" t="str">
        <f>'2027'!M25</f>
        <v/>
      </c>
      <c r="N25" s="90" t="str">
        <f>'2027'!N25</f>
        <v/>
      </c>
      <c r="O25" s="90" t="str">
        <f>'2027'!O25</f>
        <v/>
      </c>
      <c r="P25" s="93">
        <f t="shared" si="5"/>
        <v>0</v>
      </c>
    </row>
    <row r="26" spans="3:16" ht="24.95" customHeight="1" x14ac:dyDescent="0.25">
      <c r="C26" s="198" t="s">
        <v>209</v>
      </c>
      <c r="D26" s="100">
        <f>Desp!D19</f>
        <v>0</v>
      </c>
      <c r="E26" s="99">
        <f>Desp!E19</f>
        <v>0</v>
      </c>
      <c r="F26" s="99">
        <f>Desp!F19</f>
        <v>0</v>
      </c>
      <c r="G26" s="99">
        <f>Desp!G19</f>
        <v>0</v>
      </c>
      <c r="H26" s="99">
        <f>Desp!H19</f>
        <v>0</v>
      </c>
      <c r="I26" s="99">
        <f>Desp!I19</f>
        <v>0</v>
      </c>
      <c r="J26" s="99">
        <f>Desp!J19</f>
        <v>0</v>
      </c>
      <c r="K26" s="99">
        <f>Desp!K19</f>
        <v>0</v>
      </c>
      <c r="L26" s="99">
        <f>Desp!L19</f>
        <v>0</v>
      </c>
      <c r="M26" s="99">
        <f>Desp!M19</f>
        <v>0</v>
      </c>
      <c r="N26" s="99">
        <f>Desp!N19</f>
        <v>0</v>
      </c>
      <c r="O26" s="100">
        <f>Desp!O19</f>
        <v>0</v>
      </c>
      <c r="P26" s="93">
        <f t="shared" si="5"/>
        <v>0</v>
      </c>
    </row>
    <row r="27" spans="3:16" ht="24.95" customHeight="1" x14ac:dyDescent="0.25">
      <c r="C27" s="196" t="s">
        <v>210</v>
      </c>
      <c r="D27" s="97">
        <f>SUM(D21:D25)-D26</f>
        <v>134725</v>
      </c>
      <c r="E27" s="97">
        <f t="shared" ref="E27:O27" si="6">SUM(E21:E25)-E26</f>
        <v>108391</v>
      </c>
      <c r="F27" s="97">
        <f t="shared" si="6"/>
        <v>133613</v>
      </c>
      <c r="G27" s="97">
        <f t="shared" si="6"/>
        <v>120356</v>
      </c>
      <c r="H27" s="97">
        <f t="shared" si="6"/>
        <v>119059</v>
      </c>
      <c r="I27" s="97">
        <f t="shared" si="6"/>
        <v>104241</v>
      </c>
      <c r="J27" s="97">
        <f t="shared" si="6"/>
        <v>123748</v>
      </c>
      <c r="K27" s="97">
        <f t="shared" si="6"/>
        <v>102602</v>
      </c>
      <c r="L27" s="97">
        <f t="shared" si="6"/>
        <v>109759</v>
      </c>
      <c r="M27" s="97">
        <f t="shared" si="6"/>
        <v>115659</v>
      </c>
      <c r="N27" s="97">
        <f t="shared" si="6"/>
        <v>110531</v>
      </c>
      <c r="O27" s="97">
        <f t="shared" si="6"/>
        <v>109533</v>
      </c>
      <c r="P27" s="93">
        <f t="shared" si="5"/>
        <v>1392217</v>
      </c>
    </row>
    <row r="28" spans="3:16" ht="24.95" hidden="1" customHeight="1" x14ac:dyDescent="0.25">
      <c r="C28" s="44" t="s">
        <v>214</v>
      </c>
      <c r="D28" s="90">
        <v>0</v>
      </c>
      <c r="E28" s="90">
        <v>0</v>
      </c>
      <c r="F28" s="90">
        <v>0</v>
      </c>
      <c r="G28" s="90">
        <v>0</v>
      </c>
      <c r="H28" s="90">
        <v>0</v>
      </c>
      <c r="I28" s="90">
        <v>0</v>
      </c>
      <c r="J28" s="90">
        <v>0</v>
      </c>
      <c r="K28" s="90">
        <v>0</v>
      </c>
      <c r="L28" s="90">
        <v>0</v>
      </c>
      <c r="M28" s="90">
        <v>0</v>
      </c>
      <c r="N28" s="90">
        <v>0</v>
      </c>
      <c r="O28" s="90">
        <v>0</v>
      </c>
      <c r="P28" s="93">
        <f t="shared" si="5"/>
        <v>0</v>
      </c>
    </row>
    <row r="29" spans="3:16" ht="24.95" hidden="1" customHeight="1" x14ac:dyDescent="0.25">
      <c r="C29" s="44" t="s">
        <v>215</v>
      </c>
      <c r="D29" s="90">
        <v>0</v>
      </c>
      <c r="E29" s="90">
        <v>0</v>
      </c>
      <c r="F29" s="90">
        <v>0</v>
      </c>
      <c r="G29" s="90">
        <v>0</v>
      </c>
      <c r="H29" s="90">
        <v>0</v>
      </c>
      <c r="I29" s="90">
        <v>0</v>
      </c>
      <c r="J29" s="90">
        <v>0</v>
      </c>
      <c r="K29" s="90">
        <v>0</v>
      </c>
      <c r="L29" s="90">
        <v>0</v>
      </c>
      <c r="M29" s="90">
        <v>0</v>
      </c>
      <c r="N29" s="90">
        <v>0</v>
      </c>
      <c r="O29" s="90">
        <v>0</v>
      </c>
      <c r="P29" s="93">
        <f t="shared" si="5"/>
        <v>0</v>
      </c>
    </row>
    <row r="30" spans="3:16" ht="24.95" customHeight="1" x14ac:dyDescent="0.25">
      <c r="C30" s="44" t="s">
        <v>216</v>
      </c>
      <c r="D30" s="90">
        <f>D87</f>
        <v>0</v>
      </c>
      <c r="E30" s="90">
        <f t="shared" ref="E30:O30" si="7">E87</f>
        <v>0</v>
      </c>
      <c r="F30" s="90">
        <f t="shared" si="7"/>
        <v>0</v>
      </c>
      <c r="G30" s="90">
        <f t="shared" si="7"/>
        <v>0</v>
      </c>
      <c r="H30" s="90">
        <f t="shared" si="7"/>
        <v>0</v>
      </c>
      <c r="I30" s="90">
        <f t="shared" si="7"/>
        <v>0</v>
      </c>
      <c r="J30" s="90">
        <f t="shared" si="7"/>
        <v>0</v>
      </c>
      <c r="K30" s="90">
        <f t="shared" si="7"/>
        <v>0</v>
      </c>
      <c r="L30" s="90">
        <f t="shared" si="7"/>
        <v>0</v>
      </c>
      <c r="M30" s="90">
        <f t="shared" si="7"/>
        <v>0</v>
      </c>
      <c r="N30" s="90">
        <f t="shared" si="7"/>
        <v>0</v>
      </c>
      <c r="O30" s="90">
        <f t="shared" si="7"/>
        <v>0</v>
      </c>
      <c r="P30" s="93">
        <f t="shared" si="5"/>
        <v>0</v>
      </c>
    </row>
    <row r="31" spans="3:16" ht="24.95" hidden="1" customHeight="1" x14ac:dyDescent="0.25">
      <c r="C31" s="44" t="s">
        <v>217</v>
      </c>
      <c r="D31" s="90">
        <v>0</v>
      </c>
      <c r="E31" s="90">
        <v>0</v>
      </c>
      <c r="F31" s="90">
        <v>0</v>
      </c>
      <c r="G31" s="90">
        <v>0</v>
      </c>
      <c r="H31" s="90">
        <v>0</v>
      </c>
      <c r="I31" s="90">
        <v>0</v>
      </c>
      <c r="J31" s="90">
        <v>0</v>
      </c>
      <c r="K31" s="90">
        <v>0</v>
      </c>
      <c r="L31" s="90">
        <v>0</v>
      </c>
      <c r="M31" s="90">
        <v>0</v>
      </c>
      <c r="N31" s="90">
        <v>0</v>
      </c>
      <c r="O31" s="90">
        <v>0</v>
      </c>
      <c r="P31" s="93">
        <f t="shared" si="5"/>
        <v>0</v>
      </c>
    </row>
    <row r="32" spans="3:16" ht="24.95" customHeight="1" x14ac:dyDescent="0.25">
      <c r="C32" s="44" t="s">
        <v>218</v>
      </c>
      <c r="D32" s="90">
        <f>D88</f>
        <v>0</v>
      </c>
      <c r="E32" s="90">
        <f t="shared" ref="E32:O32" si="8">E88</f>
        <v>0</v>
      </c>
      <c r="F32" s="90">
        <f t="shared" si="8"/>
        <v>0</v>
      </c>
      <c r="G32" s="90">
        <f t="shared" si="8"/>
        <v>0</v>
      </c>
      <c r="H32" s="90">
        <f t="shared" si="8"/>
        <v>0</v>
      </c>
      <c r="I32" s="90">
        <f t="shared" si="8"/>
        <v>0</v>
      </c>
      <c r="J32" s="90">
        <f t="shared" si="8"/>
        <v>0</v>
      </c>
      <c r="K32" s="90">
        <f t="shared" si="8"/>
        <v>0</v>
      </c>
      <c r="L32" s="90">
        <f t="shared" si="8"/>
        <v>0</v>
      </c>
      <c r="M32" s="90">
        <f t="shared" si="8"/>
        <v>0</v>
      </c>
      <c r="N32" s="90">
        <f t="shared" si="8"/>
        <v>0</v>
      </c>
      <c r="O32" s="90">
        <f t="shared" si="8"/>
        <v>0</v>
      </c>
      <c r="P32" s="93">
        <f t="shared" si="5"/>
        <v>0</v>
      </c>
    </row>
    <row r="33" spans="3:16" ht="24.95" customHeight="1" x14ac:dyDescent="0.25">
      <c r="C33" s="44" t="s">
        <v>247</v>
      </c>
      <c r="D33" s="90">
        <f>D81</f>
        <v>12408.172500000001</v>
      </c>
      <c r="E33" s="90">
        <f t="shared" ref="E33:O33" si="9">E81</f>
        <v>9982.8111000000008</v>
      </c>
      <c r="F33" s="90">
        <f t="shared" si="9"/>
        <v>12305.757299999999</v>
      </c>
      <c r="G33" s="90">
        <f t="shared" si="9"/>
        <v>11084.7876</v>
      </c>
      <c r="H33" s="90">
        <f t="shared" si="9"/>
        <v>10965.3339</v>
      </c>
      <c r="I33" s="90">
        <f t="shared" si="9"/>
        <v>9600.5961000000007</v>
      </c>
      <c r="J33" s="90">
        <f t="shared" si="9"/>
        <v>11397.1908</v>
      </c>
      <c r="K33" s="90">
        <f t="shared" si="9"/>
        <v>9449.6442000000006</v>
      </c>
      <c r="L33" s="90">
        <f t="shared" si="9"/>
        <v>10108.803900000001</v>
      </c>
      <c r="M33" s="90">
        <f t="shared" si="9"/>
        <v>10652.1939</v>
      </c>
      <c r="N33" s="90">
        <f t="shared" si="9"/>
        <v>10179.9051</v>
      </c>
      <c r="O33" s="90">
        <f t="shared" si="9"/>
        <v>10087.989299999999</v>
      </c>
      <c r="P33" s="93">
        <f t="shared" si="5"/>
        <v>128223.18569999999</v>
      </c>
    </row>
    <row r="34" spans="3:16" ht="24.95" customHeight="1" x14ac:dyDescent="0.25">
      <c r="C34" s="198" t="s">
        <v>248</v>
      </c>
      <c r="D34" s="99">
        <f>D98</f>
        <v>25193.575000000001</v>
      </c>
      <c r="E34" s="99">
        <f t="shared" ref="E34:O34" si="10">E98</f>
        <v>20269.116999999998</v>
      </c>
      <c r="F34" s="99">
        <f t="shared" si="10"/>
        <v>24985.631000000001</v>
      </c>
      <c r="G34" s="99">
        <f t="shared" si="10"/>
        <v>22506.572</v>
      </c>
      <c r="H34" s="99">
        <f t="shared" si="10"/>
        <v>22264.032999999999</v>
      </c>
      <c r="I34" s="99">
        <f t="shared" si="10"/>
        <v>19493.066999999999</v>
      </c>
      <c r="J34" s="99">
        <f t="shared" si="10"/>
        <v>23140.876</v>
      </c>
      <c r="K34" s="99">
        <f t="shared" si="10"/>
        <v>19186.574000000001</v>
      </c>
      <c r="L34" s="99">
        <f t="shared" si="10"/>
        <v>20524.933000000001</v>
      </c>
      <c r="M34" s="99">
        <f t="shared" si="10"/>
        <v>21628.233</v>
      </c>
      <c r="N34" s="99">
        <f t="shared" si="10"/>
        <v>20669.296999999999</v>
      </c>
      <c r="O34" s="99">
        <f t="shared" si="10"/>
        <v>20482.670999999998</v>
      </c>
      <c r="P34" s="93">
        <f t="shared" si="5"/>
        <v>260344.57899999997</v>
      </c>
    </row>
    <row r="35" spans="3:16" ht="24.95" customHeight="1" x14ac:dyDescent="0.25">
      <c r="C35" s="199" t="s">
        <v>211</v>
      </c>
      <c r="D35" s="97">
        <f>D27-SUM(D28:D34)</f>
        <v>97123.252500000002</v>
      </c>
      <c r="E35" s="97">
        <f t="shared" ref="E35:O35" si="11">E27-SUM(E28:E34)</f>
        <v>78139.07190000001</v>
      </c>
      <c r="F35" s="97">
        <f t="shared" si="11"/>
        <v>96321.611700000009</v>
      </c>
      <c r="G35" s="97">
        <f t="shared" si="11"/>
        <v>86764.640400000004</v>
      </c>
      <c r="H35" s="97">
        <f t="shared" si="11"/>
        <v>85829.633100000006</v>
      </c>
      <c r="I35" s="97">
        <f t="shared" si="11"/>
        <v>75147.336899999995</v>
      </c>
      <c r="J35" s="97">
        <f t="shared" si="11"/>
        <v>89209.933199999999</v>
      </c>
      <c r="K35" s="97">
        <f t="shared" si="11"/>
        <v>73965.781799999997</v>
      </c>
      <c r="L35" s="97">
        <f t="shared" si="11"/>
        <v>79125.263099999996</v>
      </c>
      <c r="M35" s="97">
        <f t="shared" si="11"/>
        <v>83378.573100000009</v>
      </c>
      <c r="N35" s="97">
        <f t="shared" si="11"/>
        <v>79681.797900000005</v>
      </c>
      <c r="O35" s="97">
        <f t="shared" si="11"/>
        <v>78962.339700000011</v>
      </c>
      <c r="P35" s="93">
        <f>SUM(D35:O35)</f>
        <v>1003649.2353000001</v>
      </c>
    </row>
    <row r="36" spans="3:16" ht="24.95" customHeight="1" x14ac:dyDescent="0.25">
      <c r="C36" s="43" t="s">
        <v>219</v>
      </c>
      <c r="D36" s="90">
        <f>Cus!D5</f>
        <v>0</v>
      </c>
      <c r="E36" s="90">
        <f>Cus!E5</f>
        <v>0</v>
      </c>
      <c r="F36" s="90">
        <f>Cus!F5</f>
        <v>0</v>
      </c>
      <c r="G36" s="90">
        <f>Cus!G5</f>
        <v>0</v>
      </c>
      <c r="H36" s="90">
        <f>Cus!H5</f>
        <v>0</v>
      </c>
      <c r="I36" s="90">
        <f>Cus!I5</f>
        <v>0</v>
      </c>
      <c r="J36" s="90">
        <f>Cus!J5</f>
        <v>0</v>
      </c>
      <c r="K36" s="90">
        <f>Cus!K5</f>
        <v>0</v>
      </c>
      <c r="L36" s="90">
        <f>Cus!L5</f>
        <v>0</v>
      </c>
      <c r="M36" s="90">
        <f>Cus!M5</f>
        <v>0</v>
      </c>
      <c r="N36" s="90">
        <f>Cus!N5</f>
        <v>0</v>
      </c>
      <c r="O36" s="90">
        <f>Cus!O5</f>
        <v>0</v>
      </c>
      <c r="P36" s="93">
        <f t="shared" ref="P36:P45" si="12">SUM(D36:O36)</f>
        <v>0</v>
      </c>
    </row>
    <row r="37" spans="3:16" ht="24.95" customHeight="1" x14ac:dyDescent="0.25">
      <c r="C37" s="44" t="s">
        <v>220</v>
      </c>
      <c r="D37" s="90">
        <f>Cus!D6</f>
        <v>38671</v>
      </c>
      <c r="E37" s="90">
        <f>Cus!E6</f>
        <v>35038</v>
      </c>
      <c r="F37" s="90">
        <f>Cus!F6</f>
        <v>38988</v>
      </c>
      <c r="G37" s="90">
        <f>Cus!G6</f>
        <v>36366</v>
      </c>
      <c r="H37" s="90">
        <f>Cus!H6</f>
        <v>36221</v>
      </c>
      <c r="I37" s="90">
        <f>Cus!I6</f>
        <v>36625</v>
      </c>
      <c r="J37" s="90">
        <f>Cus!J6</f>
        <v>37727</v>
      </c>
      <c r="K37" s="90">
        <f>Cus!K6</f>
        <v>38303</v>
      </c>
      <c r="L37" s="90">
        <f>Cus!L6</f>
        <v>39407</v>
      </c>
      <c r="M37" s="90">
        <f>Cus!M6</f>
        <v>36094</v>
      </c>
      <c r="N37" s="90">
        <f>Cus!N6</f>
        <v>37011</v>
      </c>
      <c r="O37" s="90">
        <f>Cus!O6</f>
        <v>39167</v>
      </c>
      <c r="P37" s="93">
        <f t="shared" si="12"/>
        <v>449618</v>
      </c>
    </row>
    <row r="38" spans="3:16" ht="24.95" customHeight="1" x14ac:dyDescent="0.25">
      <c r="C38" s="44" t="s">
        <v>221</v>
      </c>
      <c r="D38" s="126">
        <f>Cus!D7</f>
        <v>0</v>
      </c>
      <c r="E38" s="125">
        <f>Cus!E7</f>
        <v>0</v>
      </c>
      <c r="F38" s="125">
        <f>Cus!F7</f>
        <v>0</v>
      </c>
      <c r="G38" s="125">
        <f>Cus!G7</f>
        <v>0</v>
      </c>
      <c r="H38" s="125">
        <f>Cus!H7</f>
        <v>0</v>
      </c>
      <c r="I38" s="125">
        <f>Cus!I7</f>
        <v>0</v>
      </c>
      <c r="J38" s="125">
        <f>Cus!J7</f>
        <v>0</v>
      </c>
      <c r="K38" s="125">
        <f>Cus!K7</f>
        <v>0</v>
      </c>
      <c r="L38" s="125">
        <f>Cus!L7</f>
        <v>0</v>
      </c>
      <c r="M38" s="125">
        <f>Cus!M7</f>
        <v>0</v>
      </c>
      <c r="N38" s="125">
        <f>Cus!N7</f>
        <v>0</v>
      </c>
      <c r="O38" s="126">
        <f>Cus!O7</f>
        <v>0</v>
      </c>
      <c r="P38" s="93">
        <f t="shared" si="12"/>
        <v>0</v>
      </c>
    </row>
    <row r="39" spans="3:16" ht="24.95" customHeight="1" x14ac:dyDescent="0.25">
      <c r="C39" s="228" t="s">
        <v>353</v>
      </c>
      <c r="D39" s="263">
        <f>IF('BH (1)'!$D$4="Simples Nacional",IF('BH (1)'!$C$15=1,0,D79+D99),D79+D89+D90+D99)</f>
        <v>8078.5495000000001</v>
      </c>
      <c r="E39" s="263">
        <f>IF('BH (1)'!$D$4="Simples Nacional",IF('BH (1)'!$C$15=1,0,E79+E99),E79+E89+E90+E99)</f>
        <v>7858.3395999999993</v>
      </c>
      <c r="F39" s="263">
        <f>IF('BH (1)'!$D$4="Simples Nacional",IF('BH (1)'!$C$15=1,0,F79+F99),F79+F89+F90+F99)</f>
        <v>7713.4866999999995</v>
      </c>
      <c r="G39" s="263">
        <f>IF('BH (1)'!$D$4="Simples Nacional",IF('BH (1)'!$C$15=1,0,G79+G99),G79+G89+G90+G99)</f>
        <v>7632.8268000000007</v>
      </c>
      <c r="H39" s="263">
        <f>IF('BH (1)'!$D$4="Simples Nacional",IF('BH (1)'!$C$15=1,0,H79+H99),H79+H89+H90+H99)</f>
        <v>7700.3690000000006</v>
      </c>
      <c r="I39" s="263">
        <f>IF('BH (1)'!$D$4="Simples Nacional",IF('BH (1)'!$C$15=1,0,I79+I99),I79+I89+I90+I99)</f>
        <v>7712.9285</v>
      </c>
      <c r="J39" s="263">
        <f>IF('BH (1)'!$D$4="Simples Nacional",IF('BH (1)'!$C$15=1,0,J79+J99),J79+J89+J90+J99)</f>
        <v>7067.6493</v>
      </c>
      <c r="K39" s="263">
        <f>IF('BH (1)'!$D$4="Simples Nacional",IF('BH (1)'!$C$15=1,0,K79+K99),K79+K89+K90+K99)</f>
        <v>8040.0337</v>
      </c>
      <c r="L39" s="263">
        <f>IF('BH (1)'!$D$4="Simples Nacional",IF('BH (1)'!$C$15=1,0,L79+L99),L79+L89+L90+L99)</f>
        <v>7084.9534999999996</v>
      </c>
      <c r="M39" s="263">
        <f>IF('BH (1)'!$D$4="Simples Nacional",IF('BH (1)'!$C$15=1,0,M79+M99),M79+M89+M90+M99)</f>
        <v>8407.608400000001</v>
      </c>
      <c r="N39" s="263">
        <f>IF('BH (1)'!$D$4="Simples Nacional",IF('BH (1)'!$C$15=1,0,N79+N99),N79+N89+N90+N99)</f>
        <v>7657.3876</v>
      </c>
      <c r="O39" s="263">
        <f>IF('BH (1)'!$D$4="Simples Nacional",IF('BH (1)'!$C$15=1,0,O79+O99),O79+O89+O90+O99)</f>
        <v>7196.3144000000002</v>
      </c>
      <c r="P39" s="93">
        <f>SUM(D39:O39)</f>
        <v>92150.447</v>
      </c>
    </row>
    <row r="40" spans="3:16" ht="24.95" customHeight="1" x14ac:dyDescent="0.25">
      <c r="C40" s="196" t="s">
        <v>212</v>
      </c>
      <c r="D40" s="97">
        <f>IFERROR(IF(SUM(D36:D38)=0,D35-SUM(D36:D38),D35-SUM(D36:D38)+D39),0)</f>
        <v>66530.801999999996</v>
      </c>
      <c r="E40" s="97">
        <f t="shared" ref="E40:N40" si="13">IFERROR(IF(SUM(E36:E38)=0,E35-SUM(E36:E38),E35-SUM(E36:E38)+E39),0)</f>
        <v>50959.411500000009</v>
      </c>
      <c r="F40" s="97">
        <f t="shared" si="13"/>
        <v>65047.09840000001</v>
      </c>
      <c r="G40" s="97">
        <f t="shared" si="13"/>
        <v>58031.467200000006</v>
      </c>
      <c r="H40" s="97">
        <f t="shared" si="13"/>
        <v>57309.002100000005</v>
      </c>
      <c r="I40" s="97">
        <f t="shared" si="13"/>
        <v>46235.265399999997</v>
      </c>
      <c r="J40" s="97">
        <f t="shared" si="13"/>
        <v>58550.582499999997</v>
      </c>
      <c r="K40" s="97">
        <f t="shared" si="13"/>
        <v>43702.815499999997</v>
      </c>
      <c r="L40" s="97">
        <f t="shared" si="13"/>
        <v>46803.2166</v>
      </c>
      <c r="M40" s="97">
        <f t="shared" si="13"/>
        <v>55692.181500000006</v>
      </c>
      <c r="N40" s="97">
        <f t="shared" si="13"/>
        <v>50328.185500000007</v>
      </c>
      <c r="O40" s="97">
        <f>IFERROR(IF(SUM(O36:O38)=0,O35-SUM(O36:O38),O35-SUM(O36:O38)+O39),0)</f>
        <v>46991.654100000014</v>
      </c>
      <c r="P40" s="93">
        <f>SUM(D40:O40)</f>
        <v>646181.6823000001</v>
      </c>
    </row>
    <row r="41" spans="3:16" ht="24.95" customHeight="1" x14ac:dyDescent="0.25">
      <c r="C41" s="44" t="s">
        <v>226</v>
      </c>
      <c r="D41" s="90">
        <f>Desp!D5</f>
        <v>26739</v>
      </c>
      <c r="E41" s="90">
        <f>Desp!E5</f>
        <v>27419</v>
      </c>
      <c r="F41" s="90">
        <f>Desp!F5</f>
        <v>25474</v>
      </c>
      <c r="G41" s="90">
        <f>Desp!G5</f>
        <v>27975</v>
      </c>
      <c r="H41" s="90">
        <f>Desp!H5</f>
        <v>26284</v>
      </c>
      <c r="I41" s="90">
        <f>Desp!I5</f>
        <v>27556</v>
      </c>
      <c r="J41" s="90">
        <f>Desp!J5</f>
        <v>27311</v>
      </c>
      <c r="K41" s="90">
        <f>Desp!K5</f>
        <v>27931</v>
      </c>
      <c r="L41" s="90">
        <f>Desp!L5</f>
        <v>26172</v>
      </c>
      <c r="M41" s="90">
        <f>Desp!M5</f>
        <v>27441</v>
      </c>
      <c r="N41" s="90">
        <f>Desp!N5</f>
        <v>27567</v>
      </c>
      <c r="O41" s="90">
        <f>Desp!O5</f>
        <v>27298</v>
      </c>
      <c r="P41" s="93">
        <f t="shared" si="12"/>
        <v>325167</v>
      </c>
    </row>
    <row r="42" spans="3:16" ht="24.95" customHeight="1" x14ac:dyDescent="0.25">
      <c r="C42" s="44" t="s">
        <v>227</v>
      </c>
      <c r="D42" s="90">
        <f>Desp!D6</f>
        <v>0</v>
      </c>
      <c r="E42" s="90">
        <f>Desp!E6</f>
        <v>0</v>
      </c>
      <c r="F42" s="90">
        <f>Desp!F6</f>
        <v>0</v>
      </c>
      <c r="G42" s="90">
        <f>Desp!G6</f>
        <v>0</v>
      </c>
      <c r="H42" s="90">
        <f>Desp!H6</f>
        <v>0</v>
      </c>
      <c r="I42" s="90">
        <f>Desp!I6</f>
        <v>0</v>
      </c>
      <c r="J42" s="90">
        <f>Desp!J6</f>
        <v>0</v>
      </c>
      <c r="K42" s="90">
        <f>Desp!K6</f>
        <v>0</v>
      </c>
      <c r="L42" s="90">
        <f>Desp!L6</f>
        <v>0</v>
      </c>
      <c r="M42" s="90">
        <f>Desp!M6</f>
        <v>0</v>
      </c>
      <c r="N42" s="90">
        <f>Desp!N6</f>
        <v>0</v>
      </c>
      <c r="O42" s="90">
        <f>Desp!O6</f>
        <v>0</v>
      </c>
      <c r="P42" s="93">
        <f t="shared" si="12"/>
        <v>0</v>
      </c>
    </row>
    <row r="43" spans="3:16" ht="24.95" customHeight="1" x14ac:dyDescent="0.25">
      <c r="C43" s="44" t="s">
        <v>228</v>
      </c>
      <c r="D43" s="90">
        <f>Desp!D7</f>
        <v>0</v>
      </c>
      <c r="E43" s="90">
        <f>Desp!E7</f>
        <v>0</v>
      </c>
      <c r="F43" s="90">
        <f>Desp!F7</f>
        <v>0</v>
      </c>
      <c r="G43" s="90">
        <f>Desp!G7</f>
        <v>0</v>
      </c>
      <c r="H43" s="90">
        <f>Desp!H7</f>
        <v>0</v>
      </c>
      <c r="I43" s="90">
        <f>Desp!I7</f>
        <v>0</v>
      </c>
      <c r="J43" s="90">
        <f>Desp!J7</f>
        <v>0</v>
      </c>
      <c r="K43" s="90">
        <f>Desp!K7</f>
        <v>0</v>
      </c>
      <c r="L43" s="90">
        <f>Desp!L7</f>
        <v>0</v>
      </c>
      <c r="M43" s="90">
        <f>Desp!M7</f>
        <v>0</v>
      </c>
      <c r="N43" s="90">
        <f>Desp!N7</f>
        <v>0</v>
      </c>
      <c r="O43" s="90">
        <f>Desp!O7</f>
        <v>0</v>
      </c>
      <c r="P43" s="93">
        <f t="shared" si="12"/>
        <v>0</v>
      </c>
    </row>
    <row r="44" spans="3:16" ht="24.95" customHeight="1" x14ac:dyDescent="0.25">
      <c r="C44" s="44" t="s">
        <v>229</v>
      </c>
      <c r="D44" s="90">
        <f>Desp!D8</f>
        <v>0</v>
      </c>
      <c r="E44" s="90">
        <f>Desp!E8</f>
        <v>0</v>
      </c>
      <c r="F44" s="90">
        <f>Desp!F8</f>
        <v>0</v>
      </c>
      <c r="G44" s="90">
        <f>Desp!G8</f>
        <v>0</v>
      </c>
      <c r="H44" s="90">
        <f>Desp!H8</f>
        <v>0</v>
      </c>
      <c r="I44" s="90">
        <f>Desp!I8</f>
        <v>0</v>
      </c>
      <c r="J44" s="90">
        <f>Desp!J8</f>
        <v>0</v>
      </c>
      <c r="K44" s="90">
        <f>Desp!K8</f>
        <v>0</v>
      </c>
      <c r="L44" s="90">
        <f>Desp!L8</f>
        <v>0</v>
      </c>
      <c r="M44" s="90">
        <f>Desp!M8</f>
        <v>0</v>
      </c>
      <c r="N44" s="90">
        <f>Desp!N8</f>
        <v>0</v>
      </c>
      <c r="O44" s="90">
        <f>Desp!O8</f>
        <v>0</v>
      </c>
      <c r="P44" s="93">
        <f t="shared" si="12"/>
        <v>0</v>
      </c>
    </row>
    <row r="45" spans="3:16" ht="24.95" customHeight="1" x14ac:dyDescent="0.25">
      <c r="C45" s="44" t="s">
        <v>230</v>
      </c>
      <c r="D45" s="90">
        <f>Desp!D9</f>
        <v>0</v>
      </c>
      <c r="E45" s="90">
        <f>Desp!E9</f>
        <v>0</v>
      </c>
      <c r="F45" s="90">
        <f>Desp!F9</f>
        <v>0</v>
      </c>
      <c r="G45" s="90">
        <f>Desp!G9</f>
        <v>0</v>
      </c>
      <c r="H45" s="90">
        <f>Desp!H9</f>
        <v>0</v>
      </c>
      <c r="I45" s="90">
        <f>Desp!I9</f>
        <v>0</v>
      </c>
      <c r="J45" s="90">
        <f>Desp!J9</f>
        <v>0</v>
      </c>
      <c r="K45" s="90">
        <f>Desp!K9</f>
        <v>0</v>
      </c>
      <c r="L45" s="90">
        <f>Desp!L9</f>
        <v>0</v>
      </c>
      <c r="M45" s="90">
        <f>Desp!M9</f>
        <v>0</v>
      </c>
      <c r="N45" s="90">
        <f>Desp!N9</f>
        <v>0</v>
      </c>
      <c r="O45" s="90">
        <f>Desp!O9</f>
        <v>0</v>
      </c>
      <c r="P45" s="93">
        <f t="shared" si="12"/>
        <v>0</v>
      </c>
    </row>
    <row r="46" spans="3:16" ht="24.95" customHeight="1" x14ac:dyDescent="0.25">
      <c r="C46" s="44" t="s">
        <v>231</v>
      </c>
      <c r="D46" s="90">
        <f>Desp!D10</f>
        <v>0</v>
      </c>
      <c r="E46" s="90">
        <f>Desp!E10</f>
        <v>0</v>
      </c>
      <c r="F46" s="90">
        <f>Desp!F10</f>
        <v>0</v>
      </c>
      <c r="G46" s="90">
        <f>Desp!G10</f>
        <v>0</v>
      </c>
      <c r="H46" s="90">
        <f>Desp!H10</f>
        <v>0</v>
      </c>
      <c r="I46" s="90">
        <f>Desp!I10</f>
        <v>0</v>
      </c>
      <c r="J46" s="90">
        <f>Desp!J10</f>
        <v>0</v>
      </c>
      <c r="K46" s="90">
        <f>Desp!K10</f>
        <v>0</v>
      </c>
      <c r="L46" s="90">
        <f>Desp!L10</f>
        <v>0</v>
      </c>
      <c r="M46" s="90">
        <f>Desp!M10</f>
        <v>0</v>
      </c>
      <c r="N46" s="90">
        <f>Desp!N10</f>
        <v>0</v>
      </c>
      <c r="O46" s="90">
        <f>Desp!O10</f>
        <v>0</v>
      </c>
      <c r="P46" s="93">
        <f t="shared" ref="P46:P58" si="14">SUM(D46:O46)</f>
        <v>0</v>
      </c>
    </row>
    <row r="47" spans="3:16" ht="24.95" customHeight="1" x14ac:dyDescent="0.25">
      <c r="C47" s="44" t="s">
        <v>232</v>
      </c>
      <c r="D47" s="90">
        <f>Desp!D11</f>
        <v>0</v>
      </c>
      <c r="E47" s="90">
        <f>Desp!E11</f>
        <v>0</v>
      </c>
      <c r="F47" s="90">
        <f>Desp!F11</f>
        <v>0</v>
      </c>
      <c r="G47" s="90">
        <f>Desp!G11</f>
        <v>0</v>
      </c>
      <c r="H47" s="90">
        <f>Desp!H11</f>
        <v>0</v>
      </c>
      <c r="I47" s="90">
        <f>Desp!I11</f>
        <v>0</v>
      </c>
      <c r="J47" s="90">
        <f>Desp!J11</f>
        <v>0</v>
      </c>
      <c r="K47" s="90">
        <f>Desp!K11</f>
        <v>0</v>
      </c>
      <c r="L47" s="90">
        <f>Desp!L11</f>
        <v>0</v>
      </c>
      <c r="M47" s="90">
        <f>Desp!M11</f>
        <v>0</v>
      </c>
      <c r="N47" s="90">
        <f>Desp!N11</f>
        <v>0</v>
      </c>
      <c r="O47" s="90">
        <f>Desp!O11</f>
        <v>0</v>
      </c>
      <c r="P47" s="93">
        <f t="shared" si="14"/>
        <v>0</v>
      </c>
    </row>
    <row r="48" spans="3:16" ht="24.95" customHeight="1" x14ac:dyDescent="0.25">
      <c r="C48" s="44" t="s">
        <v>234</v>
      </c>
      <c r="D48" s="90">
        <f>Cus!D13</f>
        <v>12000</v>
      </c>
      <c r="E48" s="90">
        <f>Cus!E13</f>
        <v>12000</v>
      </c>
      <c r="F48" s="90">
        <f>Cus!F13</f>
        <v>12000</v>
      </c>
      <c r="G48" s="90">
        <f>Cus!G13</f>
        <v>12000</v>
      </c>
      <c r="H48" s="90">
        <f>Cus!H13</f>
        <v>12000</v>
      </c>
      <c r="I48" s="90">
        <f>Cus!I13</f>
        <v>12000</v>
      </c>
      <c r="J48" s="90">
        <f>Cus!J13</f>
        <v>12000</v>
      </c>
      <c r="K48" s="90">
        <f>Cus!K13</f>
        <v>12000</v>
      </c>
      <c r="L48" s="90">
        <f>Cus!L13</f>
        <v>12000</v>
      </c>
      <c r="M48" s="90">
        <f>Cus!M13</f>
        <v>12000</v>
      </c>
      <c r="N48" s="90">
        <f>Cus!N13</f>
        <v>12000</v>
      </c>
      <c r="O48" s="90">
        <f>Cus!O13</f>
        <v>12000</v>
      </c>
      <c r="P48" s="93">
        <f t="shared" si="14"/>
        <v>144000</v>
      </c>
    </row>
    <row r="49" spans="3:16" ht="24.95" customHeight="1" x14ac:dyDescent="0.25">
      <c r="C49" s="44" t="s">
        <v>235</v>
      </c>
      <c r="D49" s="90">
        <f>Cus!D14</f>
        <v>0</v>
      </c>
      <c r="E49" s="90">
        <f>Cus!E14</f>
        <v>0</v>
      </c>
      <c r="F49" s="90">
        <f>Cus!F14</f>
        <v>0</v>
      </c>
      <c r="G49" s="90">
        <f>Cus!G14</f>
        <v>0</v>
      </c>
      <c r="H49" s="90">
        <f>Cus!H14</f>
        <v>0</v>
      </c>
      <c r="I49" s="90">
        <f>Cus!I14</f>
        <v>0</v>
      </c>
      <c r="J49" s="90">
        <f>Cus!J14</f>
        <v>0</v>
      </c>
      <c r="K49" s="90">
        <f>Cus!K14</f>
        <v>0</v>
      </c>
      <c r="L49" s="90">
        <f>Cus!L14</f>
        <v>0</v>
      </c>
      <c r="M49" s="90">
        <f>Cus!M14</f>
        <v>0</v>
      </c>
      <c r="N49" s="90">
        <f>Cus!N14</f>
        <v>0</v>
      </c>
      <c r="O49" s="90">
        <f>Cus!O14</f>
        <v>0</v>
      </c>
      <c r="P49" s="93">
        <f t="shared" si="14"/>
        <v>0</v>
      </c>
    </row>
    <row r="50" spans="3:16" ht="24.95" customHeight="1" x14ac:dyDescent="0.25">
      <c r="C50" s="44" t="s">
        <v>233</v>
      </c>
      <c r="D50" s="90">
        <f>IF('BH (1)'!$D$4="Simples Nacional",Simp6!D19,Cus!D15)</f>
        <v>2400</v>
      </c>
      <c r="E50" s="90">
        <f>IF('BH (1)'!$D$4="Simples Nacional",Simp6!E19,Cus!E15)</f>
        <v>2400</v>
      </c>
      <c r="F50" s="90">
        <f>IF('BH (1)'!$D$4="Simples Nacional",Simp6!F19,Cus!F15)</f>
        <v>2400</v>
      </c>
      <c r="G50" s="90">
        <f>IF('BH (1)'!$D$4="Simples Nacional",Simp6!G19,Cus!G15)</f>
        <v>2400</v>
      </c>
      <c r="H50" s="90">
        <f>IF('BH (1)'!$D$4="Simples Nacional",Simp6!H19,Cus!H15)</f>
        <v>2400</v>
      </c>
      <c r="I50" s="90">
        <f>IF('BH (1)'!$D$4="Simples Nacional",Simp6!I19,Cus!I15)</f>
        <v>2400</v>
      </c>
      <c r="J50" s="90">
        <f>IF('BH (1)'!$D$4="Simples Nacional",Simp6!J19,Cus!J15)</f>
        <v>2400</v>
      </c>
      <c r="K50" s="90">
        <f>IF('BH (1)'!$D$4="Simples Nacional",Simp6!K19,Cus!K15)</f>
        <v>2400</v>
      </c>
      <c r="L50" s="90">
        <f>IF('BH (1)'!$D$4="Simples Nacional",Simp6!L19,Cus!L15)</f>
        <v>2400</v>
      </c>
      <c r="M50" s="90">
        <f>IF('BH (1)'!$D$4="Simples Nacional",Simp6!M19,Cus!M15)</f>
        <v>2400</v>
      </c>
      <c r="N50" s="90">
        <f>IF('BH (1)'!$D$4="Simples Nacional",Simp6!N19,Cus!N15)</f>
        <v>2400</v>
      </c>
      <c r="O50" s="90">
        <f>IF('BH (1)'!$D$4="Simples Nacional",Simp6!O19,Cus!O15)</f>
        <v>2400</v>
      </c>
      <c r="P50" s="93">
        <f t="shared" si="14"/>
        <v>28800</v>
      </c>
    </row>
    <row r="51" spans="3:16" ht="24.95" customHeight="1" x14ac:dyDescent="0.25">
      <c r="C51" s="44" t="s">
        <v>236</v>
      </c>
      <c r="D51" s="90">
        <f>Cus!D18</f>
        <v>960</v>
      </c>
      <c r="E51" s="90">
        <f>Cus!E18</f>
        <v>960</v>
      </c>
      <c r="F51" s="90">
        <f>Cus!F18</f>
        <v>960</v>
      </c>
      <c r="G51" s="90">
        <f>Cus!G18</f>
        <v>960</v>
      </c>
      <c r="H51" s="90">
        <f>Cus!H18</f>
        <v>960</v>
      </c>
      <c r="I51" s="90">
        <f>Cus!I18</f>
        <v>960</v>
      </c>
      <c r="J51" s="90">
        <f>Cus!J18</f>
        <v>960</v>
      </c>
      <c r="K51" s="90">
        <f>Cus!K18</f>
        <v>960</v>
      </c>
      <c r="L51" s="90">
        <f>Cus!L18</f>
        <v>960</v>
      </c>
      <c r="M51" s="90">
        <f>Cus!M18</f>
        <v>960</v>
      </c>
      <c r="N51" s="90">
        <f>Cus!N18</f>
        <v>960</v>
      </c>
      <c r="O51" s="90">
        <f>Cus!O18</f>
        <v>960</v>
      </c>
      <c r="P51" s="93">
        <f t="shared" si="14"/>
        <v>11520</v>
      </c>
    </row>
    <row r="52" spans="3:16" ht="24.95" customHeight="1" x14ac:dyDescent="0.25">
      <c r="C52" s="44" t="str">
        <f>IF('BH (1)'!$D$4="Simples Nacional","","(-) Terceiros")</f>
        <v>(-) Terceiros</v>
      </c>
      <c r="D52" s="90">
        <f>IF('BH (1)'!$D$4="Simples Nacional","",Cus!D16)</f>
        <v>696</v>
      </c>
      <c r="E52" s="90">
        <f>IF('BH (1)'!$D$4="Simples Nacional","",Cus!E16)</f>
        <v>696</v>
      </c>
      <c r="F52" s="90">
        <f>IF('BH (1)'!$D$4="Simples Nacional","",Cus!F16)</f>
        <v>696</v>
      </c>
      <c r="G52" s="90">
        <f>IF('BH (1)'!$D$4="Simples Nacional","",Cus!G16)</f>
        <v>696</v>
      </c>
      <c r="H52" s="90">
        <f>IF('BH (1)'!$D$4="Simples Nacional","",Cus!H16)</f>
        <v>696</v>
      </c>
      <c r="I52" s="90">
        <f>IF('BH (1)'!$D$4="Simples Nacional","",Cus!I16)</f>
        <v>696</v>
      </c>
      <c r="J52" s="90">
        <f>IF('BH (1)'!$D$4="Simples Nacional","",Cus!J16)</f>
        <v>696</v>
      </c>
      <c r="K52" s="90">
        <f>IF('BH (1)'!$D$4="Simples Nacional","",Cus!K16)</f>
        <v>696</v>
      </c>
      <c r="L52" s="90">
        <f>IF('BH (1)'!$D$4="Simples Nacional","",Cus!L16)</f>
        <v>696</v>
      </c>
      <c r="M52" s="90">
        <f>IF('BH (1)'!$D$4="Simples Nacional","",Cus!M16)</f>
        <v>696</v>
      </c>
      <c r="N52" s="90">
        <f>IF('BH (1)'!$D$4="Simples Nacional","",Cus!N16)</f>
        <v>696</v>
      </c>
      <c r="O52" s="90">
        <f>IF('BH (1)'!$D$4="Simples Nacional","",Cus!O16)</f>
        <v>696</v>
      </c>
      <c r="P52" s="93">
        <f t="shared" si="14"/>
        <v>8352</v>
      </c>
    </row>
    <row r="53" spans="3:16" ht="24.95" customHeight="1" x14ac:dyDescent="0.25">
      <c r="C53" s="198" t="str">
        <f>IF('BH (1)'!$D$4="Simples Nacional","","(-) RAT")</f>
        <v>(-) RAT</v>
      </c>
      <c r="D53" s="95">
        <f>IF('BH (1)'!$D$4="Simples Nacional","",Cus!D17)</f>
        <v>240</v>
      </c>
      <c r="E53" s="95">
        <f>IF('BH (1)'!$D$4="Simples Nacional","",Cus!E17)</f>
        <v>240</v>
      </c>
      <c r="F53" s="95">
        <f>IF('BH (1)'!$D$4="Simples Nacional","",Cus!F17)</f>
        <v>240</v>
      </c>
      <c r="G53" s="95">
        <f>IF('BH (1)'!$D$4="Simples Nacional","",Cus!G17)</f>
        <v>240</v>
      </c>
      <c r="H53" s="95">
        <f>IF('BH (1)'!$D$4="Simples Nacional","",Cus!H17)</f>
        <v>240</v>
      </c>
      <c r="I53" s="95">
        <f>IF('BH (1)'!$D$4="Simples Nacional","",Cus!I17)</f>
        <v>240</v>
      </c>
      <c r="J53" s="95">
        <f>IF('BH (1)'!$D$4="Simples Nacional","",Cus!J17)</f>
        <v>240</v>
      </c>
      <c r="K53" s="95">
        <f>IF('BH (1)'!$D$4="Simples Nacional","",Cus!K17)</f>
        <v>240</v>
      </c>
      <c r="L53" s="95">
        <f>IF('BH (1)'!$D$4="Simples Nacional","",Cus!L17)</f>
        <v>240</v>
      </c>
      <c r="M53" s="95">
        <f>IF('BH (1)'!$D$4="Simples Nacional","",Cus!M17)</f>
        <v>240</v>
      </c>
      <c r="N53" s="95">
        <f>IF('BH (1)'!$D$4="Simples Nacional","",Cus!N17)</f>
        <v>240</v>
      </c>
      <c r="O53" s="95">
        <f>IF('BH (1)'!$D$4="Simples Nacional","",Cus!O17)</f>
        <v>240</v>
      </c>
      <c r="P53" s="93">
        <f t="shared" si="14"/>
        <v>2880</v>
      </c>
    </row>
    <row r="54" spans="3:16" ht="24.95" customHeight="1" x14ac:dyDescent="0.25">
      <c r="C54" s="196" t="s">
        <v>213</v>
      </c>
      <c r="D54" s="97">
        <f>D40-SUM(D41:D53)</f>
        <v>23495.801999999996</v>
      </c>
      <c r="E54" s="97">
        <f t="shared" ref="E54:O54" si="15">E40-SUM(E41:E53)</f>
        <v>7244.4115000000093</v>
      </c>
      <c r="F54" s="97">
        <f t="shared" si="15"/>
        <v>23277.09840000001</v>
      </c>
      <c r="G54" s="97">
        <f t="shared" si="15"/>
        <v>13760.467200000006</v>
      </c>
      <c r="H54" s="97">
        <f t="shared" si="15"/>
        <v>14729.002100000005</v>
      </c>
      <c r="I54" s="97">
        <f t="shared" si="15"/>
        <v>2383.2653999999966</v>
      </c>
      <c r="J54" s="97">
        <f t="shared" si="15"/>
        <v>14943.582499999997</v>
      </c>
      <c r="K54" s="97">
        <f t="shared" si="15"/>
        <v>-524.18450000000303</v>
      </c>
      <c r="L54" s="97">
        <f t="shared" si="15"/>
        <v>4335.2165999999997</v>
      </c>
      <c r="M54" s="97">
        <f t="shared" si="15"/>
        <v>11955.181500000006</v>
      </c>
      <c r="N54" s="97">
        <f t="shared" si="15"/>
        <v>6465.1855000000069</v>
      </c>
      <c r="O54" s="97">
        <f t="shared" si="15"/>
        <v>3397.6541000000143</v>
      </c>
      <c r="P54" s="191">
        <f t="shared" si="14"/>
        <v>125462.68230000004</v>
      </c>
    </row>
    <row r="55" spans="3:16" ht="24.95" customHeight="1" x14ac:dyDescent="0.25">
      <c r="C55" s="44" t="s">
        <v>238</v>
      </c>
      <c r="D55" s="90">
        <f>IF('BH (1)'!$D$4="Lucro Real",'2033'!D64,IF('BH (1)'!$D$4="Lucro Presumido",Relatórios!D136,IF('BH (1)'!$D$4="Simples Nacional",Simp6!D21)))</f>
        <v>0</v>
      </c>
      <c r="E55" s="90">
        <f>IF('BH (1)'!$D$4="Lucro Real",'2033'!E64,IF('BH (1)'!$D$4="Lucro Presumido",Relatórios!E136,IF('BH (1)'!$D$4="Simples Nacional",Simp6!E21)))</f>
        <v>0</v>
      </c>
      <c r="F55" s="90">
        <f>IF('BH (1)'!$D$4="Lucro Real",'2033'!F64,IF('BH (1)'!$D$4="Lucro Presumido",Relatórios!F136,IF('BH (1)'!$D$4="Simples Nacional",Simp6!F21)))</f>
        <v>4520.7479999999996</v>
      </c>
      <c r="G55" s="90">
        <f>IF('BH (1)'!$D$4="Lucro Real",'2033'!G64,IF('BH (1)'!$D$4="Lucro Presumido",Relatórios!G136,IF('BH (1)'!$D$4="Simples Nacional",Simp6!G21)))</f>
        <v>0</v>
      </c>
      <c r="H55" s="90">
        <f>IF('BH (1)'!$D$4="Lucro Real",'2033'!H64,IF('BH (1)'!$D$4="Lucro Presumido",Relatórios!H136,IF('BH (1)'!$D$4="Simples Nacional",Simp6!H21)))</f>
        <v>0</v>
      </c>
      <c r="I55" s="90">
        <f>IF('BH (1)'!$D$4="Lucro Real",'2033'!I64,IF('BH (1)'!$D$4="Lucro Presumido",Relatórios!I136,IF('BH (1)'!$D$4="Simples Nacional",Simp6!I21)))</f>
        <v>4123.8719999999994</v>
      </c>
      <c r="J55" s="90">
        <f>IF('BH (1)'!$D$4="Lucro Real",'2033'!J64,IF('BH (1)'!$D$4="Lucro Presumido",Relatórios!J136,IF('BH (1)'!$D$4="Simples Nacional",Simp6!J21)))</f>
        <v>0</v>
      </c>
      <c r="K55" s="90">
        <f>IF('BH (1)'!$D$4="Lucro Real",'2033'!K64,IF('BH (1)'!$D$4="Lucro Presumido",Relatórios!K136,IF('BH (1)'!$D$4="Simples Nacional",Simp6!K21)))</f>
        <v>0</v>
      </c>
      <c r="L55" s="90">
        <f>IF('BH (1)'!$D$4="Lucro Real",'2033'!L64,IF('BH (1)'!$D$4="Lucro Presumido",Relatórios!L136,IF('BH (1)'!$D$4="Simples Nacional",Simp6!L21)))</f>
        <v>4033.308</v>
      </c>
      <c r="M55" s="90">
        <f>IF('BH (1)'!$D$4="Lucro Real",'2033'!M64,IF('BH (1)'!$D$4="Lucro Presumido",Relatórios!M136,IF('BH (1)'!$D$4="Simples Nacional",Simp6!M21)))</f>
        <v>0</v>
      </c>
      <c r="N55" s="90">
        <f>IF('BH (1)'!$D$4="Lucro Real",'2033'!N64,IF('BH (1)'!$D$4="Lucro Presumido",Relatórios!N136,IF('BH (1)'!$D$4="Simples Nacional",Simp6!N21)))</f>
        <v>0</v>
      </c>
      <c r="O55" s="90">
        <f>IF('BH (1)'!$D$4="Lucro Real",'2033'!O64,IF('BH (1)'!$D$4="Lucro Presumido",Relatórios!O136,IF('BH (1)'!$D$4="Simples Nacional",Simp6!O21)))</f>
        <v>4028.6759999999999</v>
      </c>
      <c r="P55" s="93">
        <f t="shared" si="14"/>
        <v>16706.603999999999</v>
      </c>
    </row>
    <row r="56" spans="3:16" ht="24.95" customHeight="1" x14ac:dyDescent="0.25">
      <c r="C56" s="44" t="str">
        <f>IF('BH (1)'!$D$4="Simples Nacional","","(-) Adicional")</f>
        <v>(-) Adicional</v>
      </c>
      <c r="D56" s="90">
        <f>IF('BH (1)'!$D$4="Simples Nacional","",IF('BH (1)'!$D$4="Lucro Real",'2033'!D65,IF('BH (1)'!$D$4="Lucro Presumido",Relatórios!D137)))</f>
        <v>0</v>
      </c>
      <c r="E56" s="90">
        <f>IF('BH (1)'!$D$4="Simples Nacional","",IF('BH (1)'!$D$4="Lucro Real",'2033'!E65,IF('BH (1)'!$D$4="Lucro Presumido",Relatórios!E137)))</f>
        <v>0</v>
      </c>
      <c r="F56" s="90">
        <f>IF('BH (1)'!$D$4="Simples Nacional","",IF('BH (1)'!$D$4="Lucro Real",'2033'!F65,IF('BH (1)'!$D$4="Lucro Presumido",Relatórios!F137)))</f>
        <v>0</v>
      </c>
      <c r="G56" s="90">
        <f>IF('BH (1)'!$D$4="Simples Nacional","",IF('BH (1)'!$D$4="Lucro Real",'2033'!G65,IF('BH (1)'!$D$4="Lucro Presumido",Relatórios!G137)))</f>
        <v>0</v>
      </c>
      <c r="H56" s="90">
        <f>IF('BH (1)'!$D$4="Simples Nacional","",IF('BH (1)'!$D$4="Lucro Real",'2033'!H65,IF('BH (1)'!$D$4="Lucro Presumido",Relatórios!H137)))</f>
        <v>0</v>
      </c>
      <c r="I56" s="90">
        <f>IF('BH (1)'!$D$4="Simples Nacional","",IF('BH (1)'!$D$4="Lucro Real",'2033'!I65,IF('BH (1)'!$D$4="Lucro Presumido",Relatórios!I137)))</f>
        <v>0</v>
      </c>
      <c r="J56" s="90">
        <f>IF('BH (1)'!$D$4="Simples Nacional","",IF('BH (1)'!$D$4="Lucro Real",'2033'!J65,IF('BH (1)'!$D$4="Lucro Presumido",Relatórios!J137)))</f>
        <v>0</v>
      </c>
      <c r="K56" s="90">
        <f>IF('BH (1)'!$D$4="Simples Nacional","",IF('BH (1)'!$D$4="Lucro Real",'2033'!K65,IF('BH (1)'!$D$4="Lucro Presumido",Relatórios!K137)))</f>
        <v>0</v>
      </c>
      <c r="L56" s="90">
        <f>IF('BH (1)'!$D$4="Simples Nacional","",IF('BH (1)'!$D$4="Lucro Real",'2033'!L65,IF('BH (1)'!$D$4="Lucro Presumido",Relatórios!L137)))</f>
        <v>0</v>
      </c>
      <c r="M56" s="90">
        <f>IF('BH (1)'!$D$4="Simples Nacional","",IF('BH (1)'!$D$4="Lucro Real",'2033'!M65,IF('BH (1)'!$D$4="Lucro Presumido",Relatórios!M137)))</f>
        <v>0</v>
      </c>
      <c r="N56" s="90">
        <f>IF('BH (1)'!$D$4="Simples Nacional","",IF('BH (1)'!$D$4="Lucro Real",'2033'!N65,IF('BH (1)'!$D$4="Lucro Presumido",Relatórios!N137)))</f>
        <v>0</v>
      </c>
      <c r="O56" s="90">
        <f>IF('BH (1)'!$D$4="Simples Nacional","",IF('BH (1)'!$D$4="Lucro Real",'2033'!O65,IF('BH (1)'!$D$4="Lucro Presumido",Relatórios!O137)))</f>
        <v>0</v>
      </c>
      <c r="P56" s="93">
        <f t="shared" si="14"/>
        <v>0</v>
      </c>
    </row>
    <row r="57" spans="3:16" ht="24.95" customHeight="1" x14ac:dyDescent="0.25">
      <c r="C57" s="198" t="s">
        <v>239</v>
      </c>
      <c r="D57" s="95">
        <f>IF('BH (1)'!$D$4="Lucro Real",'2033'!D66,IF('BH (1)'!$D$4="Lucro Presumido",Relatórios!D138,IF('BH (1)'!$D$4="Simples Nacional",Simp6!D20)))</f>
        <v>0</v>
      </c>
      <c r="E57" s="95">
        <f>IF('BH (1)'!$D$4="Lucro Real",'2033'!E66,IF('BH (1)'!$D$4="Lucro Presumido",Relatórios!E138,IF('BH (1)'!$D$4="Simples Nacional",Simp6!E20)))</f>
        <v>0</v>
      </c>
      <c r="F57" s="95">
        <f>IF('BH (1)'!$D$4="Lucro Real",'2033'!F66,IF('BH (1)'!$D$4="Lucro Presumido",Relatórios!F138,IF('BH (1)'!$D$4="Simples Nacional",Simp6!F20)))</f>
        <v>4068.6731999999993</v>
      </c>
      <c r="G57" s="95">
        <f>IF('BH (1)'!$D$4="Lucro Real",'2033'!G66,IF('BH (1)'!$D$4="Lucro Presumido",Relatórios!G138,IF('BH (1)'!$D$4="Simples Nacional",Simp6!G20)))</f>
        <v>0</v>
      </c>
      <c r="H57" s="95">
        <f>IF('BH (1)'!$D$4="Lucro Real",'2033'!H66,IF('BH (1)'!$D$4="Lucro Presumido",Relatórios!H138,IF('BH (1)'!$D$4="Simples Nacional",Simp6!H20)))</f>
        <v>0</v>
      </c>
      <c r="I57" s="95">
        <f>IF('BH (1)'!$D$4="Lucro Real",'2033'!I66,IF('BH (1)'!$D$4="Lucro Presumido",Relatórios!I138,IF('BH (1)'!$D$4="Simples Nacional",Simp6!I20)))</f>
        <v>3711.4848000000002</v>
      </c>
      <c r="J57" s="95">
        <f>IF('BH (1)'!$D$4="Lucro Real",'2033'!J66,IF('BH (1)'!$D$4="Lucro Presumido",Relatórios!J138,IF('BH (1)'!$D$4="Simples Nacional",Simp6!J20)))</f>
        <v>0</v>
      </c>
      <c r="K57" s="95">
        <f>IF('BH (1)'!$D$4="Lucro Real",'2033'!K66,IF('BH (1)'!$D$4="Lucro Presumido",Relatórios!K138,IF('BH (1)'!$D$4="Simples Nacional",Simp6!K20)))</f>
        <v>0</v>
      </c>
      <c r="L57" s="95">
        <f>IF('BH (1)'!$D$4="Lucro Real",'2033'!L66,IF('BH (1)'!$D$4="Lucro Presumido",Relatórios!L138,IF('BH (1)'!$D$4="Simples Nacional",Simp6!L20)))</f>
        <v>3629.9771999999998</v>
      </c>
      <c r="M57" s="95">
        <f>IF('BH (1)'!$D$4="Lucro Real",'2033'!M66,IF('BH (1)'!$D$4="Lucro Presumido",Relatórios!M138,IF('BH (1)'!$D$4="Simples Nacional",Simp6!M20)))</f>
        <v>0</v>
      </c>
      <c r="N57" s="95">
        <f>IF('BH (1)'!$D$4="Lucro Real",'2033'!N66,IF('BH (1)'!$D$4="Lucro Presumido",Relatórios!N138,IF('BH (1)'!$D$4="Simples Nacional",Simp6!N20)))</f>
        <v>0</v>
      </c>
      <c r="O57" s="95">
        <f>IF('BH (1)'!$D$4="Lucro Real",'2033'!O66,IF('BH (1)'!$D$4="Lucro Presumido",Relatórios!O138,IF('BH (1)'!$D$4="Simples Nacional",Simp6!O20)))</f>
        <v>3625.8083999999999</v>
      </c>
      <c r="P57" s="93">
        <f t="shared" si="14"/>
        <v>15035.943599999999</v>
      </c>
    </row>
    <row r="58" spans="3:16" ht="24.95" customHeight="1" x14ac:dyDescent="0.25">
      <c r="C58" s="196" t="s">
        <v>237</v>
      </c>
      <c r="D58" s="97">
        <f>D54-SUM(D55:D57)</f>
        <v>23495.801999999996</v>
      </c>
      <c r="E58" s="97">
        <f t="shared" ref="E58:O58" si="16">E54-SUM(E55:E57)</f>
        <v>7244.4115000000093</v>
      </c>
      <c r="F58" s="97">
        <f t="shared" si="16"/>
        <v>14687.677200000011</v>
      </c>
      <c r="G58" s="97">
        <f t="shared" si="16"/>
        <v>13760.467200000006</v>
      </c>
      <c r="H58" s="97">
        <f t="shared" si="16"/>
        <v>14729.002100000005</v>
      </c>
      <c r="I58" s="97">
        <f t="shared" si="16"/>
        <v>-5452.091400000003</v>
      </c>
      <c r="J58" s="97">
        <f t="shared" si="16"/>
        <v>14943.582499999997</v>
      </c>
      <c r="K58" s="97">
        <f t="shared" si="16"/>
        <v>-524.18450000000303</v>
      </c>
      <c r="L58" s="97">
        <f t="shared" si="16"/>
        <v>-3328.0686000000005</v>
      </c>
      <c r="M58" s="97">
        <f t="shared" si="16"/>
        <v>11955.181500000006</v>
      </c>
      <c r="N58" s="97">
        <f t="shared" si="16"/>
        <v>6465.1855000000069</v>
      </c>
      <c r="O58" s="97">
        <f t="shared" si="16"/>
        <v>-4256.8302999999851</v>
      </c>
      <c r="P58" s="192">
        <f t="shared" si="14"/>
        <v>93720.134700000053</v>
      </c>
    </row>
    <row r="59" spans="3:16" ht="24.95" hidden="1" customHeight="1" x14ac:dyDescent="0.25"/>
    <row r="60" spans="3:16" ht="15" hidden="1" customHeight="1" x14ac:dyDescent="0.25">
      <c r="C60" s="188" t="s">
        <v>240</v>
      </c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</row>
    <row r="61" spans="3:16" ht="15" hidden="1" customHeight="1" x14ac:dyDescent="0.25">
      <c r="C61" s="112" t="s">
        <v>82</v>
      </c>
      <c r="D61" s="112" t="s">
        <v>83</v>
      </c>
      <c r="E61" s="112" t="s">
        <v>84</v>
      </c>
      <c r="F61" s="112" t="s">
        <v>85</v>
      </c>
      <c r="G61" s="112" t="s">
        <v>86</v>
      </c>
      <c r="H61" s="112" t="s">
        <v>87</v>
      </c>
      <c r="I61" s="112" t="s">
        <v>88</v>
      </c>
      <c r="J61" s="112" t="s">
        <v>89</v>
      </c>
      <c r="K61" s="112" t="s">
        <v>90</v>
      </c>
      <c r="L61" s="112" t="s">
        <v>91</v>
      </c>
      <c r="M61" s="112" t="s">
        <v>92</v>
      </c>
      <c r="N61" s="112" t="s">
        <v>93</v>
      </c>
      <c r="O61" s="112" t="s">
        <v>94</v>
      </c>
      <c r="P61" s="112" t="s">
        <v>95</v>
      </c>
    </row>
    <row r="62" spans="3:16" ht="15" hidden="1" customHeight="1" x14ac:dyDescent="0.25">
      <c r="C62" s="19" t="s">
        <v>241</v>
      </c>
      <c r="D62" s="132">
        <f>D54</f>
        <v>23495.801999999996</v>
      </c>
      <c r="E62" s="132">
        <f t="shared" ref="E62:O62" si="17">E54</f>
        <v>7244.4115000000093</v>
      </c>
      <c r="F62" s="132">
        <f>F54</f>
        <v>23277.09840000001</v>
      </c>
      <c r="G62" s="132">
        <f t="shared" si="17"/>
        <v>13760.467200000006</v>
      </c>
      <c r="H62" s="132">
        <f t="shared" si="17"/>
        <v>14729.002100000005</v>
      </c>
      <c r="I62" s="132">
        <f t="shared" si="17"/>
        <v>2383.2653999999966</v>
      </c>
      <c r="J62" s="132">
        <f t="shared" si="17"/>
        <v>14943.582499999997</v>
      </c>
      <c r="K62" s="132">
        <f t="shared" si="17"/>
        <v>-524.18450000000303</v>
      </c>
      <c r="L62" s="132">
        <f t="shared" si="17"/>
        <v>4335.2165999999997</v>
      </c>
      <c r="M62" s="132">
        <f t="shared" si="17"/>
        <v>11955.181500000006</v>
      </c>
      <c r="N62" s="132">
        <f t="shared" si="17"/>
        <v>6465.1855000000069</v>
      </c>
      <c r="O62" s="132">
        <f t="shared" si="17"/>
        <v>3397.6541000000143</v>
      </c>
      <c r="P62" s="114">
        <f>SUM(D62:O62)</f>
        <v>125462.68230000004</v>
      </c>
    </row>
    <row r="63" spans="3:16" ht="15" hidden="1" customHeight="1" x14ac:dyDescent="0.25">
      <c r="C63" s="19" t="s">
        <v>243</v>
      </c>
      <c r="D63" s="132">
        <v>0</v>
      </c>
      <c r="E63" s="132">
        <v>0</v>
      </c>
      <c r="F63" s="132">
        <f>SUM(D62:F62)</f>
        <v>54017.311900000015</v>
      </c>
      <c r="G63" s="132">
        <v>0</v>
      </c>
      <c r="H63" s="132">
        <v>0</v>
      </c>
      <c r="I63" s="132">
        <f>SUM(G62:I62)</f>
        <v>30872.734700000008</v>
      </c>
      <c r="J63" s="132">
        <v>0</v>
      </c>
      <c r="K63" s="132">
        <v>0</v>
      </c>
      <c r="L63" s="132">
        <f>SUM(J62:L62)</f>
        <v>18754.614599999994</v>
      </c>
      <c r="M63" s="132">
        <v>0</v>
      </c>
      <c r="N63" s="132">
        <v>0</v>
      </c>
      <c r="O63" s="132">
        <f>SUM(M62:O62)</f>
        <v>21818.021100000027</v>
      </c>
      <c r="P63" s="114">
        <f>SUM(D63:O63)</f>
        <v>125462.68230000006</v>
      </c>
    </row>
    <row r="64" spans="3:16" ht="15" hidden="1" customHeight="1" x14ac:dyDescent="0.25">
      <c r="C64" s="19" t="s">
        <v>40</v>
      </c>
      <c r="D64" s="132">
        <v>0</v>
      </c>
      <c r="E64" s="132">
        <v>0</v>
      </c>
      <c r="F64" s="132">
        <f>IF(F63&lt;0,0,F63*TabR!$E$10)</f>
        <v>8102.5967850000015</v>
      </c>
      <c r="G64" s="132">
        <v>0</v>
      </c>
      <c r="H64" s="132">
        <v>0</v>
      </c>
      <c r="I64" s="132">
        <f>IF(I63&lt;0,0,I63*TabR!$E$10)</f>
        <v>4630.910205000001</v>
      </c>
      <c r="J64" s="132">
        <v>0</v>
      </c>
      <c r="K64" s="132">
        <v>0</v>
      </c>
      <c r="L64" s="132">
        <f>IF(L63&lt;0,0,L63*TabR!$E$10)</f>
        <v>2813.1921899999988</v>
      </c>
      <c r="M64" s="132">
        <v>0</v>
      </c>
      <c r="N64" s="132">
        <v>0</v>
      </c>
      <c r="O64" s="132">
        <f>IF(O63&lt;0,0,O63*TabR!$E$10)</f>
        <v>3272.703165000004</v>
      </c>
      <c r="P64" s="114">
        <f>SUM(D64:O64)</f>
        <v>18819.402345000002</v>
      </c>
    </row>
    <row r="65" spans="3:18" ht="15" hidden="1" customHeight="1" x14ac:dyDescent="0.25">
      <c r="C65" s="19" t="s">
        <v>242</v>
      </c>
      <c r="D65" s="132">
        <v>0</v>
      </c>
      <c r="E65" s="132">
        <v>0</v>
      </c>
      <c r="F65" s="132">
        <f>IF(F63=0,0,IF(F63&lt;60000,0,(F63-60000)*TabR!$E$11))</f>
        <v>0</v>
      </c>
      <c r="G65" s="132">
        <v>0</v>
      </c>
      <c r="H65" s="132">
        <v>0</v>
      </c>
      <c r="I65" s="132">
        <f>IF(I63=0,0,IF(I63&lt;60000,0,(I63-60000)*TabR!$E$11))</f>
        <v>0</v>
      </c>
      <c r="J65" s="132">
        <v>0</v>
      </c>
      <c r="K65" s="132">
        <v>0</v>
      </c>
      <c r="L65" s="132">
        <f>IF(L63=0,0,IF(L63&lt;60000,0,(L63-60000)*TabR!$E$11))</f>
        <v>0</v>
      </c>
      <c r="M65" s="132">
        <v>0</v>
      </c>
      <c r="N65" s="132">
        <v>0</v>
      </c>
      <c r="O65" s="132">
        <f>IF(O63=0,0,IF(O63&lt;60000,0,(O63-60000)*TabR!$E$11))</f>
        <v>0</v>
      </c>
      <c r="P65" s="114">
        <f>SUM(D65:O65)</f>
        <v>0</v>
      </c>
    </row>
    <row r="66" spans="3:18" ht="15" hidden="1" customHeight="1" x14ac:dyDescent="0.25">
      <c r="C66" s="19" t="s">
        <v>42</v>
      </c>
      <c r="D66" s="132">
        <v>0</v>
      </c>
      <c r="E66" s="132">
        <v>0</v>
      </c>
      <c r="F66" s="132">
        <f>IF(F63&lt;0,0,F63*TabR!$E$12)</f>
        <v>4861.5580710000013</v>
      </c>
      <c r="G66" s="132">
        <v>0</v>
      </c>
      <c r="H66" s="132">
        <v>0</v>
      </c>
      <c r="I66" s="132">
        <f>IF(I63&lt;0,0,I63*TabR!$E$12)</f>
        <v>2778.5461230000005</v>
      </c>
      <c r="J66" s="132">
        <v>0</v>
      </c>
      <c r="K66" s="132">
        <v>0</v>
      </c>
      <c r="L66" s="132">
        <f>IF(L63&lt;0,0,L63*TabR!$E$12)</f>
        <v>1687.9153139999994</v>
      </c>
      <c r="M66" s="132">
        <v>0</v>
      </c>
      <c r="N66" s="132">
        <v>0</v>
      </c>
      <c r="O66" s="132">
        <f>IF(O63&lt;0,0,O63*TabR!$E$12)</f>
        <v>1963.6218990000025</v>
      </c>
      <c r="P66" s="114">
        <f>SUM(D66:O66)</f>
        <v>11291.641407000003</v>
      </c>
    </row>
    <row r="67" spans="3:18" ht="15" hidden="1" customHeight="1" x14ac:dyDescent="0.25"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</row>
    <row r="68" spans="3:18" ht="15" hidden="1" customHeight="1" x14ac:dyDescent="0.25">
      <c r="C68" s="188" t="s">
        <v>244</v>
      </c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</row>
    <row r="69" spans="3:18" ht="15" hidden="1" customHeight="1" x14ac:dyDescent="0.25">
      <c r="C69" s="112" t="s">
        <v>82</v>
      </c>
      <c r="D69" s="112" t="s">
        <v>83</v>
      </c>
      <c r="E69" s="112" t="s">
        <v>84</v>
      </c>
      <c r="F69" s="112" t="s">
        <v>85</v>
      </c>
      <c r="G69" s="112" t="s">
        <v>86</v>
      </c>
      <c r="H69" s="112" t="s">
        <v>87</v>
      </c>
      <c r="I69" s="112" t="s">
        <v>88</v>
      </c>
      <c r="J69" s="112" t="s">
        <v>89</v>
      </c>
      <c r="K69" s="112" t="s">
        <v>90</v>
      </c>
      <c r="L69" s="112" t="s">
        <v>91</v>
      </c>
      <c r="M69" s="112" t="s">
        <v>92</v>
      </c>
      <c r="N69" s="112" t="s">
        <v>93</v>
      </c>
      <c r="O69" s="112" t="s">
        <v>94</v>
      </c>
      <c r="P69" s="112" t="s">
        <v>95</v>
      </c>
    </row>
    <row r="70" spans="3:18" ht="15" hidden="1" customHeight="1" x14ac:dyDescent="0.25">
      <c r="C70" s="19" t="s">
        <v>62</v>
      </c>
      <c r="D70" s="132">
        <f>D27</f>
        <v>134725</v>
      </c>
      <c r="E70" s="132">
        <f t="shared" ref="E70:O70" si="18">E27</f>
        <v>108391</v>
      </c>
      <c r="F70" s="132">
        <f t="shared" si="18"/>
        <v>133613</v>
      </c>
      <c r="G70" s="132">
        <f t="shared" si="18"/>
        <v>120356</v>
      </c>
      <c r="H70" s="132">
        <f t="shared" si="18"/>
        <v>119059</v>
      </c>
      <c r="I70" s="132">
        <f t="shared" si="18"/>
        <v>104241</v>
      </c>
      <c r="J70" s="132">
        <f t="shared" si="18"/>
        <v>123748</v>
      </c>
      <c r="K70" s="132">
        <f t="shared" si="18"/>
        <v>102602</v>
      </c>
      <c r="L70" s="132">
        <f t="shared" si="18"/>
        <v>109759</v>
      </c>
      <c r="M70" s="132">
        <f t="shared" si="18"/>
        <v>115659</v>
      </c>
      <c r="N70" s="132">
        <f t="shared" si="18"/>
        <v>110531</v>
      </c>
      <c r="O70" s="132">
        <f t="shared" si="18"/>
        <v>109533</v>
      </c>
      <c r="P70" s="114">
        <f>SUM(D70:O70)</f>
        <v>1392217</v>
      </c>
    </row>
    <row r="71" spans="3:18" ht="15" hidden="1" customHeight="1" x14ac:dyDescent="0.25">
      <c r="C71" s="19" t="s">
        <v>243</v>
      </c>
      <c r="D71" s="132">
        <v>0</v>
      </c>
      <c r="E71" s="132">
        <v>0</v>
      </c>
      <c r="F71" s="132">
        <f>SUM(D70:F70)</f>
        <v>376729</v>
      </c>
      <c r="G71" s="132">
        <v>0</v>
      </c>
      <c r="H71" s="132">
        <v>0</v>
      </c>
      <c r="I71" s="132">
        <f>SUM(G70:I70)</f>
        <v>343656</v>
      </c>
      <c r="J71" s="132">
        <v>0</v>
      </c>
      <c r="K71" s="132">
        <v>0</v>
      </c>
      <c r="L71" s="132">
        <f>SUM(J70:L70)</f>
        <v>336109</v>
      </c>
      <c r="M71" s="132">
        <v>0</v>
      </c>
      <c r="N71" s="132">
        <v>0</v>
      </c>
      <c r="O71" s="132">
        <f>SUM(M70:O70)</f>
        <v>335723</v>
      </c>
      <c r="P71" s="114">
        <f>SUM(D71:O71)</f>
        <v>1392217</v>
      </c>
    </row>
    <row r="72" spans="3:18" ht="15" hidden="1" customHeight="1" x14ac:dyDescent="0.25">
      <c r="C72" s="19" t="s">
        <v>40</v>
      </c>
      <c r="D72" s="132">
        <v>0</v>
      </c>
      <c r="E72" s="132">
        <v>0</v>
      </c>
      <c r="F72" s="132">
        <f>IFERROR((F71*TabP!$E$10)*TabP!$F$10,0)</f>
        <v>4520.7479999999996</v>
      </c>
      <c r="G72" s="132">
        <v>0</v>
      </c>
      <c r="H72" s="132">
        <v>0</v>
      </c>
      <c r="I72" s="132">
        <f>IFERROR((I71*TabP!$E$10)*TabP!$F$10,0)</f>
        <v>4123.8719999999994</v>
      </c>
      <c r="J72" s="132">
        <v>0</v>
      </c>
      <c r="K72" s="132">
        <v>0</v>
      </c>
      <c r="L72" s="132">
        <f>IFERROR((L71*TabP!$E$10)*TabP!$F$10,0)</f>
        <v>4033.308</v>
      </c>
      <c r="M72" s="132">
        <v>0</v>
      </c>
      <c r="N72" s="132">
        <v>0</v>
      </c>
      <c r="O72" s="132">
        <f>IFERROR((O71*TabP!$E$10)*TabP!$F$10,0)</f>
        <v>4028.6759999999999</v>
      </c>
      <c r="P72" s="114">
        <f>SUM(D72:O72)</f>
        <v>16706.603999999999</v>
      </c>
    </row>
    <row r="73" spans="3:18" ht="15" hidden="1" customHeight="1" x14ac:dyDescent="0.25">
      <c r="C73" s="19" t="s">
        <v>242</v>
      </c>
      <c r="D73" s="132">
        <v>0</v>
      </c>
      <c r="E73" s="132">
        <v>0</v>
      </c>
      <c r="F73" s="132">
        <f>IF(IFERROR(((F71*TabP!$E$10)-60000)*TabP!$F$11,0)&lt;0,0,IFERROR(((F71*TabP!$E$10)-60000)*TabP!$F$11,0))</f>
        <v>0</v>
      </c>
      <c r="G73" s="132">
        <v>0</v>
      </c>
      <c r="H73" s="132">
        <v>0</v>
      </c>
      <c r="I73" s="132">
        <f>IF(IFERROR(((I71*TabP!$E$10)-60000)*TabP!$F$11,0)&lt;0,0,IFERROR(((I71*TabP!$E$10)-60000)*TabP!$F$11,0))</f>
        <v>0</v>
      </c>
      <c r="J73" s="132">
        <v>0</v>
      </c>
      <c r="K73" s="132">
        <v>0</v>
      </c>
      <c r="L73" s="132">
        <f>IF(IFERROR(((L71*TabP!$E$10)-60000)*TabP!$F$11,0)&lt;0,0,IFERROR(((L71*TabP!$E$10)-60000)*TabP!$F$11,0))</f>
        <v>0</v>
      </c>
      <c r="M73" s="132">
        <v>0</v>
      </c>
      <c r="N73" s="132">
        <v>0</v>
      </c>
      <c r="O73" s="132">
        <f>IF(IFERROR(((O71*TabP!$E$10)-60000)*TabP!$F$11,0)&lt;0,0,IFERROR(((O71*TabP!$E$10)-60000)*TabP!$F$11,0))</f>
        <v>0</v>
      </c>
      <c r="P73" s="114">
        <f>SUM(D73:O73)</f>
        <v>0</v>
      </c>
    </row>
    <row r="74" spans="3:18" ht="15" hidden="1" customHeight="1" x14ac:dyDescent="0.25">
      <c r="C74" s="19" t="s">
        <v>42</v>
      </c>
      <c r="D74" s="132">
        <v>0</v>
      </c>
      <c r="E74" s="132">
        <v>0</v>
      </c>
      <c r="F74" s="132">
        <f>IFERROR((F71*TabP!$E$12)*TabP!$F$12,0)</f>
        <v>4068.6731999999993</v>
      </c>
      <c r="G74" s="132">
        <v>0</v>
      </c>
      <c r="H74" s="132">
        <v>0</v>
      </c>
      <c r="I74" s="132">
        <f>IFERROR((I71*TabP!$E$12)*TabP!$F$12,0)</f>
        <v>3711.4848000000002</v>
      </c>
      <c r="J74" s="132">
        <v>0</v>
      </c>
      <c r="K74" s="132">
        <v>0</v>
      </c>
      <c r="L74" s="132">
        <f>IFERROR((L71*TabP!$E$12)*TabP!$F$12,0)</f>
        <v>3629.9771999999998</v>
      </c>
      <c r="M74" s="132">
        <v>0</v>
      </c>
      <c r="N74" s="132">
        <v>0</v>
      </c>
      <c r="O74" s="132">
        <f>IFERROR((O71*TabP!$E$12)*TabP!$F$12,0)</f>
        <v>3625.8083999999999</v>
      </c>
      <c r="P74" s="114">
        <f>SUM(D74:O74)</f>
        <v>15035.943599999999</v>
      </c>
    </row>
    <row r="75" spans="3:18" ht="15" hidden="1" customHeight="1" x14ac:dyDescent="0.25"/>
    <row r="76" spans="3:18" ht="30" customHeight="1" thickBot="1" x14ac:dyDescent="0.3">
      <c r="C76" s="180" t="s">
        <v>311</v>
      </c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</row>
    <row r="77" spans="3:18" ht="21.95" customHeight="1" x14ac:dyDescent="0.25">
      <c r="C77" s="85" t="s">
        <v>82</v>
      </c>
      <c r="D77" s="55" t="s">
        <v>83</v>
      </c>
      <c r="E77" s="55" t="s">
        <v>84</v>
      </c>
      <c r="F77" s="55" t="s">
        <v>85</v>
      </c>
      <c r="G77" s="55" t="s">
        <v>86</v>
      </c>
      <c r="H77" s="55" t="s">
        <v>87</v>
      </c>
      <c r="I77" s="55" t="s">
        <v>88</v>
      </c>
      <c r="J77" s="55" t="s">
        <v>89</v>
      </c>
      <c r="K77" s="55" t="s">
        <v>90</v>
      </c>
      <c r="L77" s="55" t="s">
        <v>91</v>
      </c>
      <c r="M77" s="55" t="s">
        <v>92</v>
      </c>
      <c r="N77" s="55" t="s">
        <v>93</v>
      </c>
      <c r="O77" s="55" t="s">
        <v>94</v>
      </c>
      <c r="P77" s="56" t="s">
        <v>95</v>
      </c>
    </row>
    <row r="78" spans="3:18" ht="24.95" hidden="1" customHeight="1" x14ac:dyDescent="0.25">
      <c r="C78" s="44" t="s">
        <v>96</v>
      </c>
      <c r="D78" s="90">
        <f>'2027'!D78</f>
        <v>35095.8125</v>
      </c>
      <c r="E78" s="90">
        <f>'2027'!E78</f>
        <v>34139.15</v>
      </c>
      <c r="F78" s="90">
        <f>'2027'!F78</f>
        <v>33509.862500000003</v>
      </c>
      <c r="G78" s="90">
        <f>'2027'!G78</f>
        <v>33159.449999999997</v>
      </c>
      <c r="H78" s="90">
        <f>'2027'!H78</f>
        <v>33452.875</v>
      </c>
      <c r="I78" s="90">
        <f>'2027'!I78</f>
        <v>33507.4375</v>
      </c>
      <c r="J78" s="90">
        <f>'2027'!J78</f>
        <v>30704.137500000001</v>
      </c>
      <c r="K78" s="90">
        <f>'2027'!K78</f>
        <v>34928.487500000003</v>
      </c>
      <c r="L78" s="90">
        <f>'2027'!L78</f>
        <v>30779.3125</v>
      </c>
      <c r="M78" s="90">
        <f>'2027'!M78</f>
        <v>36525.35</v>
      </c>
      <c r="N78" s="90">
        <f>'2027'!N78</f>
        <v>33266.15</v>
      </c>
      <c r="O78" s="90">
        <f>'2027'!O78</f>
        <v>31263.1</v>
      </c>
      <c r="P78" s="93">
        <f t="shared" ref="P78:P83" si="19">SUM(D78:O78)</f>
        <v>400331.125</v>
      </c>
      <c r="Q78" s="18" t="s">
        <v>250</v>
      </c>
      <c r="R78" s="18" t="s">
        <v>251</v>
      </c>
    </row>
    <row r="79" spans="3:18" ht="24.95" customHeight="1" x14ac:dyDescent="0.25">
      <c r="C79" s="44" t="s">
        <v>249</v>
      </c>
      <c r="D79" s="90">
        <f>'2027'!D79</f>
        <v>2665.8344999999999</v>
      </c>
      <c r="E79" s="90">
        <f>'2027'!E79</f>
        <v>2593.1676000000002</v>
      </c>
      <c r="F79" s="90">
        <f>'2027'!F79</f>
        <v>2545.3677000000002</v>
      </c>
      <c r="G79" s="90">
        <f>'2027'!G79</f>
        <v>2518.7508000000003</v>
      </c>
      <c r="H79" s="90">
        <f>'2027'!H79</f>
        <v>2541.0390000000002</v>
      </c>
      <c r="I79" s="90">
        <f>'2027'!I79</f>
        <v>2545.1835000000001</v>
      </c>
      <c r="J79" s="90">
        <f>'2027'!J79</f>
        <v>2332.2483000000002</v>
      </c>
      <c r="K79" s="90">
        <f>'2027'!K79</f>
        <v>2653.1246999999998</v>
      </c>
      <c r="L79" s="90">
        <f>'2027'!L79</f>
        <v>2337.9585000000002</v>
      </c>
      <c r="M79" s="90">
        <f>'2027'!M79</f>
        <v>2774.4204</v>
      </c>
      <c r="N79" s="90">
        <f>'2027'!N79</f>
        <v>2526.8555999999999</v>
      </c>
      <c r="O79" s="90">
        <f>'2027'!O79</f>
        <v>2374.7064</v>
      </c>
      <c r="P79" s="93">
        <f>SUM(D79:O79)</f>
        <v>30408.656999999999</v>
      </c>
      <c r="Q79" s="201">
        <f>IF('BH (1)'!$D$4="Lucro Real",TabR!E13,IF('BH (1)'!$D$4="Lucro Presumido",TabP!F13,IF('BH (1)'!$D$4="Simples Nacional",TabS!$H$35)))</f>
        <v>9.2100000000000001E-2</v>
      </c>
      <c r="R79" s="201">
        <f>IF('BH (1)'!$D$4="Lucro Real",TabR!E15,IF('BH (1)'!$D$4="Lucro Presumido",TabP!F15,IF('BH (1)'!$D$4="Simples Nacional",TabS!$H$37)))</f>
        <v>0.6</v>
      </c>
    </row>
    <row r="80" spans="3:18" ht="24.95" hidden="1" customHeight="1" x14ac:dyDescent="0.25">
      <c r="C80" s="44" t="s">
        <v>135</v>
      </c>
      <c r="D80" s="90">
        <f>'2027'!D80</f>
        <v>134725</v>
      </c>
      <c r="E80" s="90">
        <f>'2027'!E80</f>
        <v>108391</v>
      </c>
      <c r="F80" s="90">
        <f>'2027'!F80</f>
        <v>133613</v>
      </c>
      <c r="G80" s="90">
        <f>'2027'!G80</f>
        <v>120356</v>
      </c>
      <c r="H80" s="90">
        <f>'2027'!H80</f>
        <v>119059</v>
      </c>
      <c r="I80" s="90">
        <f>'2027'!I80</f>
        <v>104241</v>
      </c>
      <c r="J80" s="90">
        <f>'2027'!J80</f>
        <v>123748</v>
      </c>
      <c r="K80" s="90">
        <f>'2027'!K80</f>
        <v>102602</v>
      </c>
      <c r="L80" s="90">
        <f>'2027'!L80</f>
        <v>109759</v>
      </c>
      <c r="M80" s="90">
        <f>'2027'!M80</f>
        <v>115659</v>
      </c>
      <c r="N80" s="90">
        <f>'2027'!N80</f>
        <v>110531</v>
      </c>
      <c r="O80" s="90">
        <f>'2027'!O80</f>
        <v>109533</v>
      </c>
      <c r="P80" s="93">
        <f>SUM(D80:O80)</f>
        <v>1392217</v>
      </c>
    </row>
    <row r="81" spans="3:18" ht="24.95" customHeight="1" x14ac:dyDescent="0.25">
      <c r="C81" s="198" t="s">
        <v>252</v>
      </c>
      <c r="D81" s="99">
        <f>'2027'!D81</f>
        <v>12408.172500000001</v>
      </c>
      <c r="E81" s="99">
        <f>'2027'!E81</f>
        <v>9982.8111000000008</v>
      </c>
      <c r="F81" s="99">
        <f>'2027'!F81</f>
        <v>12305.757299999999</v>
      </c>
      <c r="G81" s="99">
        <f>'2027'!G81</f>
        <v>11084.7876</v>
      </c>
      <c r="H81" s="99">
        <f>'2027'!H81</f>
        <v>10965.3339</v>
      </c>
      <c r="I81" s="99">
        <f>'2027'!I81</f>
        <v>9600.5961000000007</v>
      </c>
      <c r="J81" s="99">
        <f>'2027'!J81</f>
        <v>11397.1908</v>
      </c>
      <c r="K81" s="99">
        <f>'2027'!K81</f>
        <v>9449.6442000000006</v>
      </c>
      <c r="L81" s="99">
        <f>'2027'!L81</f>
        <v>10108.803900000001</v>
      </c>
      <c r="M81" s="99">
        <f>'2027'!M81</f>
        <v>10652.1939</v>
      </c>
      <c r="N81" s="99">
        <f>'2027'!N81</f>
        <v>10179.9051</v>
      </c>
      <c r="O81" s="100">
        <f>'2027'!O81</f>
        <v>10087.989299999999</v>
      </c>
      <c r="P81" s="93">
        <f>SUM(D81:O81)</f>
        <v>128223.18569999999</v>
      </c>
    </row>
    <row r="82" spans="3:18" ht="24.95" hidden="1" customHeight="1" x14ac:dyDescent="0.25">
      <c r="C82" s="228" t="s">
        <v>207</v>
      </c>
      <c r="D82" s="90">
        <f>'2027'!D82</f>
        <v>-9742.3379999999997</v>
      </c>
      <c r="E82" s="90">
        <f>'2027'!E82</f>
        <v>-7389.6435000000001</v>
      </c>
      <c r="F82" s="90">
        <f>'2027'!F82</f>
        <v>-9760.3895999999986</v>
      </c>
      <c r="G82" s="90">
        <f>'2027'!G82</f>
        <v>-8566.0367999999999</v>
      </c>
      <c r="H82" s="90">
        <f>'2027'!H82</f>
        <v>-8424.294899999999</v>
      </c>
      <c r="I82" s="90">
        <f>'2027'!I82</f>
        <v>-7055.4126000000006</v>
      </c>
      <c r="J82" s="90">
        <f>'2027'!J82</f>
        <v>-9064.942500000001</v>
      </c>
      <c r="K82" s="90">
        <f>'2027'!K82</f>
        <v>-6796.5195000000003</v>
      </c>
      <c r="L82" s="90">
        <f>'2027'!L82</f>
        <v>-7770.8454000000002</v>
      </c>
      <c r="M82" s="90">
        <f>'2027'!M82</f>
        <v>-7877.7735000000002</v>
      </c>
      <c r="N82" s="90">
        <f>'2027'!N82</f>
        <v>-7653.0495000000001</v>
      </c>
      <c r="O82" s="90">
        <f>'2027'!O82</f>
        <v>-7713.2828999999992</v>
      </c>
      <c r="P82" s="230">
        <f t="shared" si="19"/>
        <v>-97814.528699999995</v>
      </c>
    </row>
    <row r="83" spans="3:18" ht="24.95" customHeight="1" x14ac:dyDescent="0.25">
      <c r="C83" s="199" t="s">
        <v>321</v>
      </c>
      <c r="D83" s="202">
        <f>'2027'!D83</f>
        <v>9742.3379999999997</v>
      </c>
      <c r="E83" s="202">
        <f>'2027'!E83</f>
        <v>7389.6435000000001</v>
      </c>
      <c r="F83" s="202">
        <f>'2027'!F83</f>
        <v>9760.3895999999986</v>
      </c>
      <c r="G83" s="202">
        <f>'2027'!G83</f>
        <v>8566.0367999999999</v>
      </c>
      <c r="H83" s="202">
        <f>'2027'!H83</f>
        <v>8424.294899999999</v>
      </c>
      <c r="I83" s="202">
        <f>'2027'!I83</f>
        <v>7055.4126000000006</v>
      </c>
      <c r="J83" s="202">
        <f>'2027'!J83</f>
        <v>9064.942500000001</v>
      </c>
      <c r="K83" s="202">
        <f>'2027'!K83</f>
        <v>6796.5195000000003</v>
      </c>
      <c r="L83" s="202">
        <f>'2027'!L83</f>
        <v>7770.8454000000002</v>
      </c>
      <c r="M83" s="202">
        <f>'2027'!M83</f>
        <v>7877.7735000000002</v>
      </c>
      <c r="N83" s="202">
        <f>'2027'!N83</f>
        <v>7653.0495000000001</v>
      </c>
      <c r="O83" s="202">
        <f>'2027'!O83</f>
        <v>7713.2828999999992</v>
      </c>
      <c r="P83" s="93">
        <f t="shared" si="19"/>
        <v>97814.528699999995</v>
      </c>
    </row>
    <row r="84" spans="3:18" ht="24.95" hidden="1" customHeight="1" x14ac:dyDescent="0.25"/>
    <row r="85" spans="3:18" ht="30" customHeight="1" thickBot="1" x14ac:dyDescent="0.3">
      <c r="C85" s="288" t="s">
        <v>312</v>
      </c>
      <c r="D85" s="288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231"/>
    </row>
    <row r="86" spans="3:18" ht="21.95" customHeight="1" x14ac:dyDescent="0.25">
      <c r="C86" s="85" t="s">
        <v>82</v>
      </c>
      <c r="D86" s="55" t="s">
        <v>83</v>
      </c>
      <c r="E86" s="55" t="s">
        <v>84</v>
      </c>
      <c r="F86" s="55" t="s">
        <v>85</v>
      </c>
      <c r="G86" s="55" t="s">
        <v>86</v>
      </c>
      <c r="H86" s="55" t="s">
        <v>87</v>
      </c>
      <c r="I86" s="55" t="s">
        <v>88</v>
      </c>
      <c r="J86" s="55" t="s">
        <v>89</v>
      </c>
      <c r="K86" s="55" t="s">
        <v>90</v>
      </c>
      <c r="L86" s="55" t="s">
        <v>91</v>
      </c>
      <c r="M86" s="55" t="s">
        <v>92</v>
      </c>
      <c r="N86" s="55" t="s">
        <v>93</v>
      </c>
      <c r="O86" s="55" t="s">
        <v>94</v>
      </c>
      <c r="P86" s="56" t="s">
        <v>95</v>
      </c>
      <c r="Q86" s="18" t="s">
        <v>251</v>
      </c>
      <c r="R86" s="18" t="s">
        <v>264</v>
      </c>
    </row>
    <row r="87" spans="3:18" ht="24.95" customHeight="1" x14ac:dyDescent="0.25">
      <c r="C87" s="44" t="s">
        <v>316</v>
      </c>
      <c r="D87" s="90">
        <f>IF('BH (1)'!$D$4="Simples Nacional",IF('BH (1)'!$C$15=1,Simp6!D16,Simp6!D16-(Simp6!D16*$R$87)),'Fat6'!D13-('Fat6'!D13*$R$87))</f>
        <v>0</v>
      </c>
      <c r="E87" s="90">
        <f>IF('BH (1)'!$D$4="Simples Nacional",IF('BH (1)'!$C$15=1,Simp6!E16,Simp6!E16-(Simp6!E16*$R$87)),'Fat6'!E13-('Fat6'!E13*$R$87))</f>
        <v>0</v>
      </c>
      <c r="F87" s="90">
        <f>IF('BH (1)'!$D$4="Simples Nacional",IF('BH (1)'!$C$15=1,Simp6!F16,Simp6!F16-(Simp6!F16*$R$87)),'Fat6'!F13-('Fat6'!F13*$R$87))</f>
        <v>0</v>
      </c>
      <c r="G87" s="90">
        <f>IF('BH (1)'!$D$4="Simples Nacional",IF('BH (1)'!$C$15=1,Simp6!G16,Simp6!G16-(Simp6!G16*$R$87)),'Fat6'!G13-('Fat6'!G13*$R$87))</f>
        <v>0</v>
      </c>
      <c r="H87" s="90">
        <f>IF('BH (1)'!$D$4="Simples Nacional",IF('BH (1)'!$C$15=1,Simp6!H16,Simp6!H16-(Simp6!H16*$R$87)),'Fat6'!H13-('Fat6'!H13*$R$87))</f>
        <v>0</v>
      </c>
      <c r="I87" s="90">
        <f>IF('BH (1)'!$D$4="Simples Nacional",IF('BH (1)'!$C$15=1,Simp6!I16,Simp6!I16-(Simp6!I16*$R$87)),'Fat6'!I13-('Fat6'!I13*$R$87))</f>
        <v>0</v>
      </c>
      <c r="J87" s="90">
        <f>IF('BH (1)'!$D$4="Simples Nacional",IF('BH (1)'!$C$15=1,Simp6!J16,Simp6!J16-(Simp6!J16*$R$87)),'Fat6'!J13-('Fat6'!J13*$R$87))</f>
        <v>0</v>
      </c>
      <c r="K87" s="90">
        <f>IF('BH (1)'!$D$4="Simples Nacional",IF('BH (1)'!$C$15=1,Simp6!K16,Simp6!K16-(Simp6!K16*$R$87)),'Fat6'!K13-('Fat6'!K13*$R$87))</f>
        <v>0</v>
      </c>
      <c r="L87" s="90">
        <f>IF('BH (1)'!$D$4="Simples Nacional",IF('BH (1)'!$C$15=1,Simp6!L16,Simp6!L16-(Simp6!L16*$R$87)),'Fat6'!L13-('Fat6'!L13*$R$87))</f>
        <v>0</v>
      </c>
      <c r="M87" s="90">
        <f>IF('BH (1)'!$D$4="Simples Nacional",IF('BH (1)'!$C$15=1,Simp6!M16,Simp6!M16-(Simp6!M16*$R$87)),'Fat6'!M13-('Fat6'!M13*$R$87))</f>
        <v>0</v>
      </c>
      <c r="N87" s="90">
        <f>IF('BH (1)'!$D$4="Simples Nacional",IF('BH (1)'!$C$15=1,Simp6!N16,Simp6!N16-(Simp6!N16*$R$87)),'Fat6'!N13-('Fat6'!N13*$R$87))</f>
        <v>0</v>
      </c>
      <c r="O87" s="90">
        <f>IF('BH (1)'!$D$4="Simples Nacional",IF('BH (1)'!$C$15=1,Simp6!O16,Simp6!O16-(Simp6!O16*$R$87)),'Fat6'!O13-('Fat6'!O13*$R$87))</f>
        <v>0</v>
      </c>
      <c r="P87" s="93">
        <f>SUM(D87:O87)</f>
        <v>0</v>
      </c>
      <c r="Q87" s="203">
        <v>0</v>
      </c>
      <c r="R87" s="203">
        <f>100%-Q87</f>
        <v>1</v>
      </c>
    </row>
    <row r="88" spans="3:18" ht="24.95" customHeight="1" x14ac:dyDescent="0.25">
      <c r="C88" s="44" t="s">
        <v>317</v>
      </c>
      <c r="D88" s="90">
        <f>IF('BH (1)'!$D$4="Simples Nacional",IF('BH (1)'!$C$15=1,Simp6!D18,Simp6!D18-(Simp6!D18*$R$87)),'Fat6'!D15-('Fat6'!D15*$R$87))</f>
        <v>0</v>
      </c>
      <c r="E88" s="90">
        <f>IF('BH (1)'!$D$4="Simples Nacional",IF('BH (1)'!$C$15=1,Simp6!E18,Simp6!E18-(Simp6!E18*$R$87)),'Fat6'!E15-('Fat6'!E15*$R$87))</f>
        <v>0</v>
      </c>
      <c r="F88" s="90">
        <f>IF('BH (1)'!$D$4="Simples Nacional",IF('BH (1)'!$C$15=1,Simp6!F18,Simp6!F18-(Simp6!F18*$R$87)),'Fat6'!F15-('Fat6'!F15*$R$87))</f>
        <v>0</v>
      </c>
      <c r="G88" s="90">
        <f>IF('BH (1)'!$D$4="Simples Nacional",IF('BH (1)'!$C$15=1,Simp6!G18,Simp6!G18-(Simp6!G18*$R$87)),'Fat6'!G15-('Fat6'!G15*$R$87))</f>
        <v>0</v>
      </c>
      <c r="H88" s="90">
        <f>IF('BH (1)'!$D$4="Simples Nacional",IF('BH (1)'!$C$15=1,Simp6!H18,Simp6!H18-(Simp6!H18*$R$87)),'Fat6'!H15-('Fat6'!H15*$R$87))</f>
        <v>0</v>
      </c>
      <c r="I88" s="90">
        <f>IF('BH (1)'!$D$4="Simples Nacional",IF('BH (1)'!$C$15=1,Simp6!I18,Simp6!I18-(Simp6!I18*$R$87)),'Fat6'!I15-('Fat6'!I15*$R$87))</f>
        <v>0</v>
      </c>
      <c r="J88" s="90">
        <f>IF('BH (1)'!$D$4="Simples Nacional",IF('BH (1)'!$C$15=1,Simp6!J18,Simp6!J18-(Simp6!J18*$R$87)),'Fat6'!J15-('Fat6'!J15*$R$87))</f>
        <v>0</v>
      </c>
      <c r="K88" s="90">
        <f>IF('BH (1)'!$D$4="Simples Nacional",IF('BH (1)'!$C$15=1,Simp6!K18,Simp6!K18-(Simp6!K18*$R$87)),'Fat6'!K15-('Fat6'!K15*$R$87))</f>
        <v>0</v>
      </c>
      <c r="L88" s="90">
        <f>IF('BH (1)'!$D$4="Simples Nacional",IF('BH (1)'!$C$15=1,Simp6!L18,Simp6!L18-(Simp6!L18*$R$87)),'Fat6'!L15-('Fat6'!L15*$R$87))</f>
        <v>0</v>
      </c>
      <c r="M88" s="90">
        <f>IF('BH (1)'!$D$4="Simples Nacional",IF('BH (1)'!$C$15=1,Simp6!M18,Simp6!M18-(Simp6!M18*$R$87)),'Fat6'!M15-('Fat6'!M15*$R$87))</f>
        <v>0</v>
      </c>
      <c r="N88" s="90">
        <f>IF('BH (1)'!$D$4="Simples Nacional",IF('BH (1)'!$C$15=1,Simp6!N18,Simp6!N18-(Simp6!N18*$R$87)),'Fat6'!N15-('Fat6'!N15*$R$87))</f>
        <v>0</v>
      </c>
      <c r="O88" s="90">
        <f>IF('BH (1)'!$D$4="Simples Nacional",IF('BH (1)'!$C$15=1,Simp6!O18,Simp6!O18-(Simp6!O18*$R$87)),'Fat6'!O15-('Fat6'!O15*$R$87))</f>
        <v>0</v>
      </c>
      <c r="P88" s="93">
        <f>SUM(D88:O88)</f>
        <v>0</v>
      </c>
    </row>
    <row r="89" spans="3:18" ht="24.95" customHeight="1" x14ac:dyDescent="0.25">
      <c r="C89" s="44" t="s">
        <v>318</v>
      </c>
      <c r="D89" s="90">
        <f>IF('BH (1)'!$D$4="Simples Nacional",0,Lançamentos!D12-(Lançamentos!D12*$R$87))</f>
        <v>0</v>
      </c>
      <c r="E89" s="90">
        <f>IF('BH (1)'!$D$4="Simples Nacional",0,Lançamentos!E12-(Lançamentos!E12*$R$87))</f>
        <v>0</v>
      </c>
      <c r="F89" s="90">
        <f>IF('BH (1)'!$D$4="Simples Nacional",0,Lançamentos!F12-(Lançamentos!F12*$R$87))</f>
        <v>0</v>
      </c>
      <c r="G89" s="90">
        <f>IF('BH (1)'!$D$4="Simples Nacional",0,Lançamentos!G12-(Lançamentos!G12*$R$87))</f>
        <v>0</v>
      </c>
      <c r="H89" s="90">
        <f>IF('BH (1)'!$D$4="Simples Nacional",0,Lançamentos!H12-(Lançamentos!H12*$R$87))</f>
        <v>0</v>
      </c>
      <c r="I89" s="90">
        <f>IF('BH (1)'!$D$4="Simples Nacional",0,Lançamentos!I12-(Lançamentos!I12*$R$87))</f>
        <v>0</v>
      </c>
      <c r="J89" s="90">
        <f>IF('BH (1)'!$D$4="Simples Nacional",0,Lançamentos!J12-(Lançamentos!J12*$R$87))</f>
        <v>0</v>
      </c>
      <c r="K89" s="90">
        <f>IF('BH (1)'!$D$4="Simples Nacional",0,Lançamentos!K12-(Lançamentos!K12*$R$87))</f>
        <v>0</v>
      </c>
      <c r="L89" s="90">
        <f>IF('BH (1)'!$D$4="Simples Nacional",0,Lançamentos!L12-(Lançamentos!L12*$R$87))</f>
        <v>0</v>
      </c>
      <c r="M89" s="90">
        <f>IF('BH (1)'!$D$4="Simples Nacional",0,Lançamentos!M12-(Lançamentos!M12*$R$87))</f>
        <v>0</v>
      </c>
      <c r="N89" s="90">
        <f>IF('BH (1)'!$D$4="Simples Nacional",0,Lançamentos!N12-(Lançamentos!N12*$R$87))</f>
        <v>0</v>
      </c>
      <c r="O89" s="90">
        <f>IF('BH (1)'!$D$4="Simples Nacional",0,Lançamentos!O12-(Lançamentos!O12*$R$87))</f>
        <v>0</v>
      </c>
      <c r="P89" s="93">
        <f t="shared" ref="P89:P94" si="20">SUM(D89:O89)</f>
        <v>0</v>
      </c>
    </row>
    <row r="90" spans="3:18" ht="24.95" customHeight="1" x14ac:dyDescent="0.25">
      <c r="C90" s="198" t="s">
        <v>319</v>
      </c>
      <c r="D90" s="99">
        <f>IF('BH (1)'!$D$4="Simples Nacional",0,Lançamentos!D14-(Lançamentos!D14*$R$87))</f>
        <v>0</v>
      </c>
      <c r="E90" s="99">
        <f>IF('BH (1)'!$D$4="Simples Nacional",0,Lançamentos!E14-(Lançamentos!E14*$R$87))</f>
        <v>0</v>
      </c>
      <c r="F90" s="99">
        <f>IF('BH (1)'!$D$4="Simples Nacional",0,Lançamentos!F14-(Lançamentos!F14*$R$87))</f>
        <v>0</v>
      </c>
      <c r="G90" s="99">
        <f>IF('BH (1)'!$D$4="Simples Nacional",0,Lançamentos!G14-(Lançamentos!G14*$R$87))</f>
        <v>0</v>
      </c>
      <c r="H90" s="99">
        <f>IF('BH (1)'!$D$4="Simples Nacional",0,Lançamentos!H14-(Lançamentos!H14*$R$87))</f>
        <v>0</v>
      </c>
      <c r="I90" s="99">
        <f>IF('BH (1)'!$D$4="Simples Nacional",0,Lançamentos!I14-(Lançamentos!I14*$R$87))</f>
        <v>0</v>
      </c>
      <c r="J90" s="99">
        <f>IF('BH (1)'!$D$4="Simples Nacional",0,Lançamentos!J14-(Lançamentos!J14*$R$87))</f>
        <v>0</v>
      </c>
      <c r="K90" s="99">
        <f>IF('BH (1)'!$D$4="Simples Nacional",0,Lançamentos!K14-(Lançamentos!K14*$R$87))</f>
        <v>0</v>
      </c>
      <c r="L90" s="99">
        <f>IF('BH (1)'!$D$4="Simples Nacional",0,Lançamentos!L14-(Lançamentos!L14*$R$87))</f>
        <v>0</v>
      </c>
      <c r="M90" s="99">
        <f>IF('BH (1)'!$D$4="Simples Nacional",0,Lançamentos!M14-(Lançamentos!M14*$R$87))</f>
        <v>0</v>
      </c>
      <c r="N90" s="99">
        <f>IF('BH (1)'!$D$4="Simples Nacional",0,Lançamentos!N14-(Lançamentos!N14*$R$87))</f>
        <v>0</v>
      </c>
      <c r="O90" s="100">
        <f>IF('BH (1)'!$D$4="Simples Nacional",0,Lançamentos!O14-(Lançamentos!O14*$R$87))</f>
        <v>0</v>
      </c>
      <c r="P90" s="93">
        <f t="shared" si="20"/>
        <v>0</v>
      </c>
    </row>
    <row r="91" spans="3:18" ht="24.95" hidden="1" customHeight="1" x14ac:dyDescent="0.25">
      <c r="C91" s="43" t="s">
        <v>265</v>
      </c>
      <c r="D91" s="90">
        <f>IFERROR(D89-D87,0)</f>
        <v>0</v>
      </c>
      <c r="E91" s="90">
        <f>IFERROR(IF(D91&lt;0,E89-E87,D91+E89-E87),0)</f>
        <v>0</v>
      </c>
      <c r="F91" s="90">
        <f t="shared" ref="F91:O92" si="21">IFERROR(IF(E91&lt;0,F89-F87,E91+F89-F87),0)</f>
        <v>0</v>
      </c>
      <c r="G91" s="90">
        <f t="shared" si="21"/>
        <v>0</v>
      </c>
      <c r="H91" s="90">
        <f t="shared" si="21"/>
        <v>0</v>
      </c>
      <c r="I91" s="90">
        <f t="shared" si="21"/>
        <v>0</v>
      </c>
      <c r="J91" s="90">
        <f t="shared" si="21"/>
        <v>0</v>
      </c>
      <c r="K91" s="90">
        <f t="shared" si="21"/>
        <v>0</v>
      </c>
      <c r="L91" s="90">
        <f t="shared" si="21"/>
        <v>0</v>
      </c>
      <c r="M91" s="90">
        <f t="shared" si="21"/>
        <v>0</v>
      </c>
      <c r="N91" s="90">
        <f t="shared" si="21"/>
        <v>0</v>
      </c>
      <c r="O91" s="90">
        <f t="shared" si="21"/>
        <v>0</v>
      </c>
      <c r="P91" s="93">
        <f t="shared" si="20"/>
        <v>0</v>
      </c>
    </row>
    <row r="92" spans="3:18" ht="24.95" hidden="1" customHeight="1" x14ac:dyDescent="0.25">
      <c r="C92" s="198" t="s">
        <v>266</v>
      </c>
      <c r="D92" s="95">
        <f>IFERROR(D90-D88,0)</f>
        <v>0</v>
      </c>
      <c r="E92" s="95">
        <f>IFERROR(IF(D92&lt;0,E90-E88,D92+E90-E88),0)</f>
        <v>0</v>
      </c>
      <c r="F92" s="95">
        <f t="shared" si="21"/>
        <v>0</v>
      </c>
      <c r="G92" s="95">
        <f t="shared" si="21"/>
        <v>0</v>
      </c>
      <c r="H92" s="95">
        <f t="shared" si="21"/>
        <v>0</v>
      </c>
      <c r="I92" s="95">
        <f t="shared" si="21"/>
        <v>0</v>
      </c>
      <c r="J92" s="95">
        <f t="shared" si="21"/>
        <v>0</v>
      </c>
      <c r="K92" s="95">
        <f t="shared" si="21"/>
        <v>0</v>
      </c>
      <c r="L92" s="95">
        <f t="shared" si="21"/>
        <v>0</v>
      </c>
      <c r="M92" s="95">
        <f t="shared" si="21"/>
        <v>0</v>
      </c>
      <c r="N92" s="95">
        <f t="shared" si="21"/>
        <v>0</v>
      </c>
      <c r="O92" s="95">
        <f t="shared" si="21"/>
        <v>0</v>
      </c>
      <c r="P92" s="93">
        <f t="shared" si="20"/>
        <v>0</v>
      </c>
    </row>
    <row r="93" spans="3:18" ht="24.95" customHeight="1" x14ac:dyDescent="0.25">
      <c r="C93" s="232" t="s">
        <v>267</v>
      </c>
      <c r="D93" s="233">
        <f>IF(D91&lt;0,D91*-1,0)</f>
        <v>0</v>
      </c>
      <c r="E93" s="233">
        <f t="shared" ref="E93:O94" si="22">IF(E91&lt;0,E91*-1,0)</f>
        <v>0</v>
      </c>
      <c r="F93" s="233">
        <f t="shared" si="22"/>
        <v>0</v>
      </c>
      <c r="G93" s="233">
        <f t="shared" si="22"/>
        <v>0</v>
      </c>
      <c r="H93" s="233">
        <f t="shared" si="22"/>
        <v>0</v>
      </c>
      <c r="I93" s="233">
        <f t="shared" si="22"/>
        <v>0</v>
      </c>
      <c r="J93" s="233">
        <f t="shared" si="22"/>
        <v>0</v>
      </c>
      <c r="K93" s="233">
        <f t="shared" si="22"/>
        <v>0</v>
      </c>
      <c r="L93" s="233">
        <f t="shared" si="22"/>
        <v>0</v>
      </c>
      <c r="M93" s="233">
        <f t="shared" si="22"/>
        <v>0</v>
      </c>
      <c r="N93" s="233">
        <f t="shared" si="22"/>
        <v>0</v>
      </c>
      <c r="O93" s="233">
        <f t="shared" si="22"/>
        <v>0</v>
      </c>
      <c r="P93" s="191">
        <f t="shared" si="20"/>
        <v>0</v>
      </c>
    </row>
    <row r="94" spans="3:18" ht="24.95" customHeight="1" x14ac:dyDescent="0.25">
      <c r="C94" s="196" t="s">
        <v>268</v>
      </c>
      <c r="D94" s="97">
        <f>IF(D92&lt;0,D92*-1,0)</f>
        <v>0</v>
      </c>
      <c r="E94" s="97">
        <f t="shared" si="22"/>
        <v>0</v>
      </c>
      <c r="F94" s="97">
        <f t="shared" si="22"/>
        <v>0</v>
      </c>
      <c r="G94" s="97">
        <f t="shared" si="22"/>
        <v>0</v>
      </c>
      <c r="H94" s="97">
        <f t="shared" si="22"/>
        <v>0</v>
      </c>
      <c r="I94" s="97">
        <f t="shared" si="22"/>
        <v>0</v>
      </c>
      <c r="J94" s="97">
        <f t="shared" si="22"/>
        <v>0</v>
      </c>
      <c r="K94" s="97">
        <f t="shared" si="22"/>
        <v>0</v>
      </c>
      <c r="L94" s="97">
        <f t="shared" si="22"/>
        <v>0</v>
      </c>
      <c r="M94" s="97">
        <f t="shared" si="22"/>
        <v>0</v>
      </c>
      <c r="N94" s="97">
        <f t="shared" si="22"/>
        <v>0</v>
      </c>
      <c r="O94" s="97">
        <f t="shared" si="22"/>
        <v>0</v>
      </c>
      <c r="P94" s="98">
        <f t="shared" si="20"/>
        <v>0</v>
      </c>
    </row>
    <row r="95" spans="3:18" ht="24.95" hidden="1" customHeight="1" x14ac:dyDescent="0.25"/>
    <row r="96" spans="3:18" ht="30" customHeight="1" thickBot="1" x14ac:dyDescent="0.3">
      <c r="C96" s="288" t="s">
        <v>313</v>
      </c>
      <c r="D96" s="288"/>
    </row>
    <row r="97" spans="3:18" ht="21.95" customHeight="1" x14ac:dyDescent="0.25">
      <c r="C97" s="85" t="s">
        <v>82</v>
      </c>
      <c r="D97" s="55" t="s">
        <v>83</v>
      </c>
      <c r="E97" s="55" t="s">
        <v>84</v>
      </c>
      <c r="F97" s="55" t="s">
        <v>85</v>
      </c>
      <c r="G97" s="55" t="s">
        <v>86</v>
      </c>
      <c r="H97" s="55" t="s">
        <v>87</v>
      </c>
      <c r="I97" s="55" t="s">
        <v>88</v>
      </c>
      <c r="J97" s="55" t="s">
        <v>89</v>
      </c>
      <c r="K97" s="55" t="s">
        <v>90</v>
      </c>
      <c r="L97" s="55" t="s">
        <v>91</v>
      </c>
      <c r="M97" s="55" t="s">
        <v>92</v>
      </c>
      <c r="N97" s="55" t="s">
        <v>93</v>
      </c>
      <c r="O97" s="55" t="s">
        <v>94</v>
      </c>
      <c r="P97" s="56" t="s">
        <v>95</v>
      </c>
      <c r="Q97" s="18" t="s">
        <v>269</v>
      </c>
      <c r="R97" s="18" t="s">
        <v>251</v>
      </c>
    </row>
    <row r="98" spans="3:18" ht="24.95" customHeight="1" x14ac:dyDescent="0.25">
      <c r="C98" s="44" t="s">
        <v>314</v>
      </c>
      <c r="D98" s="90">
        <f>IF('BH (1)'!$D$4="Simples Nacional",IF('BH (1)'!$C$15=1,0,'Ref4'!D12*$R$101),'Ref4'!D12*$R$101)</f>
        <v>25193.575000000001</v>
      </c>
      <c r="E98" s="90">
        <f>IF('BH (1)'!$D$4="Simples Nacional",IF('BH (1)'!$C$15=1,0,'Ref4'!E12*$R$101),'Ref4'!E12*$R$101)</f>
        <v>20269.116999999998</v>
      </c>
      <c r="F98" s="90">
        <f>IF('BH (1)'!$D$4="Simples Nacional",IF('BH (1)'!$C$15=1,0,'Ref4'!F12*$R$101),'Ref4'!F12*$R$101)</f>
        <v>24985.631000000001</v>
      </c>
      <c r="G98" s="90">
        <f>IF('BH (1)'!$D$4="Simples Nacional",IF('BH (1)'!$C$15=1,0,'Ref4'!G12*$R$101),'Ref4'!G12*$R$101)</f>
        <v>22506.572</v>
      </c>
      <c r="H98" s="90">
        <f>IF('BH (1)'!$D$4="Simples Nacional",IF('BH (1)'!$C$15=1,0,'Ref4'!H12*$R$101),'Ref4'!H12*$R$101)</f>
        <v>22264.032999999999</v>
      </c>
      <c r="I98" s="90">
        <f>IF('BH (1)'!$D$4="Simples Nacional",IF('BH (1)'!$C$15=1,0,'Ref4'!I12*$R$101),'Ref4'!I12*$R$101)</f>
        <v>19493.066999999999</v>
      </c>
      <c r="J98" s="90">
        <f>IF('BH (1)'!$D$4="Simples Nacional",IF('BH (1)'!$C$15=1,0,'Ref4'!J12*$R$101),'Ref4'!J12*$R$101)</f>
        <v>23140.876</v>
      </c>
      <c r="K98" s="90">
        <f>IF('BH (1)'!$D$4="Simples Nacional",IF('BH (1)'!$C$15=1,0,'Ref4'!K12*$R$101),'Ref4'!K12*$R$101)</f>
        <v>19186.574000000001</v>
      </c>
      <c r="L98" s="90">
        <f>IF('BH (1)'!$D$4="Simples Nacional",IF('BH (1)'!$C$15=1,0,'Ref4'!L12*$R$101),'Ref4'!L12*$R$101)</f>
        <v>20524.933000000001</v>
      </c>
      <c r="M98" s="90">
        <f>IF('BH (1)'!$D$4="Simples Nacional",IF('BH (1)'!$C$15=1,0,'Ref4'!M12*$R$101),'Ref4'!M12*$R$101)</f>
        <v>21628.233</v>
      </c>
      <c r="N98" s="90">
        <f>IF('BH (1)'!$D$4="Simples Nacional",IF('BH (1)'!$C$15=1,0,'Ref4'!N12*$R$101),'Ref4'!N12*$R$101)</f>
        <v>20669.296999999999</v>
      </c>
      <c r="O98" s="90">
        <f>IF('BH (1)'!$D$4="Simples Nacional",IF('BH (1)'!$C$15=1,0,'Ref4'!O12*$R$101),'Ref4'!O12*$R$101)</f>
        <v>20482.670999999998</v>
      </c>
      <c r="P98" s="93">
        <f>SUM(D98:O98)</f>
        <v>260344.57899999997</v>
      </c>
      <c r="Q98" s="203">
        <f>IF('BH (1)'!$D$4="Lucro Real",TabR!E14,IF('BH (1)'!$D$4="Lucro Presumido",TabP!F14,IF('BH (1)'!$D$4="Simples Nacional",TabS!$H$36)))</f>
        <v>0.187</v>
      </c>
      <c r="R98" s="203">
        <f>IF('BH (1)'!$D$4="Lucro Real",TabR!E16,IF('BH (1)'!$D$4="Lucro Presumido",TabP!F16,IF('BH (1)'!$D$4="Simples Nacional",TabS!$H$38)))</f>
        <v>0.6</v>
      </c>
    </row>
    <row r="99" spans="3:18" ht="24.95" customHeight="1" x14ac:dyDescent="0.25">
      <c r="C99" s="198" t="s">
        <v>315</v>
      </c>
      <c r="D99" s="99">
        <f>IF('BH (1)'!$D$4="Simples Nacional",IF('BH (1)'!$C$15=1,0,Lançamentos!D24*$R$101),Lançamentos!D24*$R$101)</f>
        <v>5412.7150000000001</v>
      </c>
      <c r="E99" s="99">
        <f>IF('BH (1)'!$D$4="Simples Nacional",IF('BH (1)'!$C$15=1,0,Lançamentos!E24*$R$101),Lançamentos!E24*$R$101)</f>
        <v>5265.1719999999996</v>
      </c>
      <c r="F99" s="99">
        <f>IF('BH (1)'!$D$4="Simples Nacional",IF('BH (1)'!$C$15=1,0,Lançamentos!F24*$R$101),Lançamentos!F24*$R$101)</f>
        <v>5168.1189999999997</v>
      </c>
      <c r="G99" s="99">
        <f>IF('BH (1)'!$D$4="Simples Nacional",IF('BH (1)'!$C$15=1,0,Lançamentos!G24*$R$101),Lançamentos!G24*$R$101)</f>
        <v>5114.076</v>
      </c>
      <c r="H99" s="99">
        <f>IF('BH (1)'!$D$4="Simples Nacional",IF('BH (1)'!$C$15=1,0,Lançamentos!H24*$R$101),Lançamentos!H24*$R$101)</f>
        <v>5159.33</v>
      </c>
      <c r="I99" s="99">
        <f>IF('BH (1)'!$D$4="Simples Nacional",IF('BH (1)'!$C$15=1,0,Lançamentos!I24*$R$101),Lançamentos!I24*$R$101)</f>
        <v>5167.7449999999999</v>
      </c>
      <c r="J99" s="99">
        <f>IF('BH (1)'!$D$4="Simples Nacional",IF('BH (1)'!$C$15=1,0,Lançamentos!J24*$R$101),Lançamentos!J24*$R$101)</f>
        <v>4735.4009999999998</v>
      </c>
      <c r="K99" s="99">
        <f>IF('BH (1)'!$D$4="Simples Nacional",IF('BH (1)'!$C$15=1,0,Lançamentos!K24*$R$101),Lançamentos!K24*$R$101)</f>
        <v>5386.9089999999997</v>
      </c>
      <c r="L99" s="99">
        <f>IF('BH (1)'!$D$4="Simples Nacional",IF('BH (1)'!$C$15=1,0,Lançamentos!L24*$R$101),Lançamentos!L24*$R$101)</f>
        <v>4746.9949999999999</v>
      </c>
      <c r="M99" s="99">
        <f>IF('BH (1)'!$D$4="Simples Nacional",IF('BH (1)'!$C$15=1,0,Lançamentos!M24*$R$101),Lançamentos!M24*$R$101)</f>
        <v>5633.1880000000001</v>
      </c>
      <c r="N99" s="99">
        <f>IF('BH (1)'!$D$4="Simples Nacional",IF('BH (1)'!$C$15=1,0,Lançamentos!N24*$R$101),Lançamentos!N24*$R$101)</f>
        <v>5130.5320000000002</v>
      </c>
      <c r="O99" s="99">
        <f>IF('BH (1)'!$D$4="Simples Nacional",IF('BH (1)'!$C$15=1,0,Lançamentos!O24*$R$101),Lançamentos!O24*$R$101)</f>
        <v>4821.6080000000002</v>
      </c>
      <c r="P99" s="93">
        <f>SUM(D99:O99)</f>
        <v>61741.79</v>
      </c>
      <c r="Q99" s="18" t="s">
        <v>270</v>
      </c>
    </row>
    <row r="100" spans="3:18" ht="24.95" hidden="1" customHeight="1" x14ac:dyDescent="0.25">
      <c r="C100" s="228" t="s">
        <v>207</v>
      </c>
      <c r="D100" s="229">
        <f>D99-D98</f>
        <v>-19780.86</v>
      </c>
      <c r="E100" s="229">
        <f>IF(D100&lt;0,E99-E98,D100+E99-E98)</f>
        <v>-15003.945</v>
      </c>
      <c r="F100" s="229">
        <f t="shared" ref="F100:O100" si="23">IF(E100&lt;0,F99-F98,E100+F99-F98)</f>
        <v>-19817.512000000002</v>
      </c>
      <c r="G100" s="229">
        <f t="shared" si="23"/>
        <v>-17392.495999999999</v>
      </c>
      <c r="H100" s="229">
        <f t="shared" si="23"/>
        <v>-17104.703000000001</v>
      </c>
      <c r="I100" s="229">
        <f t="shared" si="23"/>
        <v>-14325.322</v>
      </c>
      <c r="J100" s="229">
        <f t="shared" si="23"/>
        <v>-18405.474999999999</v>
      </c>
      <c r="K100" s="229">
        <f t="shared" si="23"/>
        <v>-13799.665000000001</v>
      </c>
      <c r="L100" s="229">
        <f t="shared" si="23"/>
        <v>-15777.938000000002</v>
      </c>
      <c r="M100" s="229">
        <f t="shared" si="23"/>
        <v>-15995.045</v>
      </c>
      <c r="N100" s="229">
        <f t="shared" si="23"/>
        <v>-15538.764999999999</v>
      </c>
      <c r="O100" s="229">
        <f t="shared" si="23"/>
        <v>-15661.062999999998</v>
      </c>
      <c r="P100" s="230">
        <f>SUM(D100:O100)</f>
        <v>-198602.78900000002</v>
      </c>
      <c r="Q100" s="203">
        <f>IFERROR(Q98-(Q98*R98),0)</f>
        <v>7.4800000000000005E-2</v>
      </c>
    </row>
    <row r="101" spans="3:18" ht="24.95" customHeight="1" x14ac:dyDescent="0.25">
      <c r="C101" s="199" t="s">
        <v>320</v>
      </c>
      <c r="D101" s="202">
        <f>IF(D100&lt;0,D100*-1,0)</f>
        <v>19780.86</v>
      </c>
      <c r="E101" s="202">
        <f t="shared" ref="E101:O101" si="24">IF(E100&lt;0,E100*-1,0)</f>
        <v>15003.945</v>
      </c>
      <c r="F101" s="202">
        <f t="shared" si="24"/>
        <v>19817.512000000002</v>
      </c>
      <c r="G101" s="202">
        <f t="shared" si="24"/>
        <v>17392.495999999999</v>
      </c>
      <c r="H101" s="202">
        <f t="shared" si="24"/>
        <v>17104.703000000001</v>
      </c>
      <c r="I101" s="202">
        <f t="shared" si="24"/>
        <v>14325.322</v>
      </c>
      <c r="J101" s="202">
        <f t="shared" si="24"/>
        <v>18405.474999999999</v>
      </c>
      <c r="K101" s="202">
        <f t="shared" si="24"/>
        <v>13799.665000000001</v>
      </c>
      <c r="L101" s="202">
        <f t="shared" si="24"/>
        <v>15777.938000000002</v>
      </c>
      <c r="M101" s="202">
        <f t="shared" si="24"/>
        <v>15995.045</v>
      </c>
      <c r="N101" s="202">
        <f t="shared" si="24"/>
        <v>15538.764999999999</v>
      </c>
      <c r="O101" s="202">
        <f t="shared" si="24"/>
        <v>15661.062999999998</v>
      </c>
      <c r="P101" s="192">
        <f>SUM(D101:O101)</f>
        <v>198602.78900000002</v>
      </c>
      <c r="Q101" s="203">
        <f>Q87</f>
        <v>0</v>
      </c>
      <c r="R101" s="203">
        <f>R87</f>
        <v>1</v>
      </c>
    </row>
    <row r="102" spans="3:18" ht="15" customHeight="1" x14ac:dyDescent="0.25">
      <c r="Q102" s="203">
        <f>IFERROR(Q100*R101,0)</f>
        <v>7.4800000000000005E-2</v>
      </c>
    </row>
    <row r="200" spans="3:16" ht="15" hidden="1" customHeight="1" x14ac:dyDescent="0.25"/>
    <row r="201" spans="3:16" ht="15" hidden="1" customHeight="1" x14ac:dyDescent="0.25">
      <c r="C201" s="188" t="s">
        <v>283</v>
      </c>
      <c r="D201" s="201">
        <f>IF('BH (1)'!$C$4=1,TabR!E17,IF('BH (1)'!$C$4=2,TabP!F17,IF('BH (1)'!$C$4=3,TabS!H39)))</f>
        <v>1.5</v>
      </c>
    </row>
    <row r="202" spans="3:16" ht="15" hidden="1" customHeight="1" x14ac:dyDescent="0.25">
      <c r="C202" s="112" t="s">
        <v>82</v>
      </c>
      <c r="D202" s="112" t="s">
        <v>83</v>
      </c>
      <c r="E202" s="112" t="s">
        <v>84</v>
      </c>
      <c r="F202" s="112" t="s">
        <v>85</v>
      </c>
      <c r="G202" s="112" t="s">
        <v>86</v>
      </c>
      <c r="H202" s="112" t="s">
        <v>87</v>
      </c>
      <c r="I202" s="112" t="s">
        <v>88</v>
      </c>
      <c r="J202" s="112" t="s">
        <v>89</v>
      </c>
      <c r="K202" s="112" t="s">
        <v>90</v>
      </c>
      <c r="L202" s="112" t="s">
        <v>91</v>
      </c>
      <c r="M202" s="112" t="s">
        <v>92</v>
      </c>
      <c r="N202" s="112" t="s">
        <v>93</v>
      </c>
      <c r="O202" s="112" t="s">
        <v>94</v>
      </c>
      <c r="P202" s="112" t="s">
        <v>95</v>
      </c>
    </row>
    <row r="203" spans="3:16" ht="15" hidden="1" customHeight="1" x14ac:dyDescent="0.25">
      <c r="C203" s="200" t="s">
        <v>135</v>
      </c>
      <c r="D203" s="193">
        <f>IF('BH (1)'!$C$4=3,Simp6!D10,'Fat6'!D8)</f>
        <v>134725</v>
      </c>
      <c r="E203" s="193">
        <f>IF('BH (1)'!$C$4=3,Simp6!E10,'Fat6'!E8)</f>
        <v>108391</v>
      </c>
      <c r="F203" s="193">
        <f>IF('BH (1)'!$C$4=3,Simp6!F10,'Fat6'!F8)</f>
        <v>133613</v>
      </c>
      <c r="G203" s="193">
        <f>IF('BH (1)'!$C$4=3,Simp6!G10,'Fat6'!G8)</f>
        <v>120356</v>
      </c>
      <c r="H203" s="193">
        <f>IF('BH (1)'!$C$4=3,Simp6!H10,'Fat6'!H8)</f>
        <v>119059</v>
      </c>
      <c r="I203" s="193">
        <f>IF('BH (1)'!$C$4=3,Simp6!I10,'Fat6'!I8)</f>
        <v>104241</v>
      </c>
      <c r="J203" s="193">
        <f>IF('BH (1)'!$C$4=3,Simp6!J10,'Fat6'!J8)</f>
        <v>123748</v>
      </c>
      <c r="K203" s="193">
        <f>IF('BH (1)'!$C$4=3,Simp6!K10,'Fat6'!K8)</f>
        <v>102602</v>
      </c>
      <c r="L203" s="193">
        <f>IF('BH (1)'!$C$4=3,Simp6!L10,'Fat6'!L8)</f>
        <v>109759</v>
      </c>
      <c r="M203" s="193">
        <f>IF('BH (1)'!$C$4=3,Simp6!M10,'Fat6'!M8)</f>
        <v>115659</v>
      </c>
      <c r="N203" s="193">
        <f>IF('BH (1)'!$C$4=3,Simp6!N10,'Fat6'!N8)</f>
        <v>110531</v>
      </c>
      <c r="O203" s="193">
        <f>IF('BH (1)'!$C$4=3,Simp6!O10,'Fat6'!O8)</f>
        <v>109533</v>
      </c>
      <c r="P203" s="114">
        <f>SUM(D203:O203)</f>
        <v>1392217</v>
      </c>
    </row>
    <row r="204" spans="3:16" ht="15" hidden="1" customHeight="1" x14ac:dyDescent="0.25">
      <c r="C204" s="200" t="s">
        <v>284</v>
      </c>
      <c r="D204" s="193">
        <f>IF('BH (1)'!$B$18=1,D203*$D$201,D203)</f>
        <v>134725</v>
      </c>
      <c r="E204" s="193">
        <f>IF('BH (1)'!$B$18=1,E203*$D$201,E203)</f>
        <v>108391</v>
      </c>
      <c r="F204" s="193">
        <f>IF('BH (1)'!$B$18=1,F203*$D$201,F203)</f>
        <v>133613</v>
      </c>
      <c r="G204" s="193">
        <f>IF('BH (1)'!$B$18=1,G203*$D$201,G203)</f>
        <v>120356</v>
      </c>
      <c r="H204" s="193">
        <f>IF('BH (1)'!$B$18=1,H203*$D$201,H203)</f>
        <v>119059</v>
      </c>
      <c r="I204" s="193">
        <f>IF('BH (1)'!$B$18=1,I203*$D$201,I203)</f>
        <v>104241</v>
      </c>
      <c r="J204" s="193">
        <f>IF('BH (1)'!$B$18=1,J203*$D$201,J203)</f>
        <v>123748</v>
      </c>
      <c r="K204" s="193">
        <f>IF('BH (1)'!$B$18=1,K203*$D$201,K203)</f>
        <v>102602</v>
      </c>
      <c r="L204" s="193">
        <f>IF('BH (1)'!$B$18=1,L203*$D$201,L203)</f>
        <v>109759</v>
      </c>
      <c r="M204" s="193">
        <f>IF('BH (1)'!$B$18=1,M203*$D$201,M203)</f>
        <v>115659</v>
      </c>
      <c r="N204" s="193">
        <f>IF('BH (1)'!$B$18=1,N203*$D$201,N203)</f>
        <v>110531</v>
      </c>
      <c r="O204" s="193">
        <f>IF('BH (1)'!$B$18=1,O203*$D$201,O203)</f>
        <v>109533</v>
      </c>
      <c r="P204" s="114">
        <f>SUM(D204:O204)</f>
        <v>1392217</v>
      </c>
    </row>
  </sheetData>
  <sheetProtection sheet="1" objects="1" scenarios="1" selectLockedCells="1" selectUnlockedCells="1"/>
  <mergeCells count="2">
    <mergeCell ref="C85:D85"/>
    <mergeCell ref="C96:D96"/>
  </mergeCells>
  <pageMargins left="0.25" right="0.25" top="0.75" bottom="0.75" header="0.3" footer="0.3"/>
  <pageSetup paperSize="9" scale="5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Drop Down 1">
              <controlPr defaultSize="0" print="0" autoLine="0" autoPict="0">
                <anchor moveWithCells="1">
                  <from>
                    <xdr:col>12</xdr:col>
                    <xdr:colOff>133350</xdr:colOff>
                    <xdr:row>2</xdr:row>
                    <xdr:rowOff>257175</xdr:rowOff>
                  </from>
                  <to>
                    <xdr:col>20</xdr:col>
                    <xdr:colOff>9525</xdr:colOff>
                    <xdr:row>2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Planilha13">
    <tabColor rgb="FF00B050"/>
    <pageSetUpPr fitToPage="1"/>
  </sheetPr>
  <dimension ref="C1:P75"/>
  <sheetViews>
    <sheetView showGridLines="0" showRowColHeaders="0" workbookViewId="0">
      <pane ySplit="4" topLeftCell="A5" activePane="bottomLeft" state="frozen"/>
      <selection activeCell="Q10" sqref="Q10"/>
      <selection pane="bottomLeft"/>
    </sheetView>
  </sheetViews>
  <sheetFormatPr defaultRowHeight="24.95" customHeight="1" x14ac:dyDescent="0.25"/>
  <cols>
    <col min="1" max="2" width="1.7109375" style="18" customWidth="1"/>
    <col min="3" max="3" width="13.7109375" style="18" customWidth="1"/>
    <col min="4" max="16" width="13.140625" style="18" customWidth="1"/>
    <col min="17" max="16384" width="9.140625" style="18"/>
  </cols>
  <sheetData>
    <row r="1" spans="3:16" s="1" customFormat="1" ht="35.1" customHeight="1" x14ac:dyDescent="0.25"/>
    <row r="2" spans="3:16" s="3" customFormat="1" ht="30" customHeight="1" x14ac:dyDescent="0.25"/>
    <row r="3" spans="3:16" s="181" customFormat="1" ht="50.1" customHeight="1" thickBot="1" x14ac:dyDescent="0.3">
      <c r="C3" s="227" t="s">
        <v>195</v>
      </c>
    </row>
    <row r="4" spans="3:16" ht="21.95" customHeight="1" x14ac:dyDescent="0.25">
      <c r="C4" s="85" t="s">
        <v>82</v>
      </c>
      <c r="D4" s="55" t="s">
        <v>83</v>
      </c>
      <c r="E4" s="55" t="s">
        <v>84</v>
      </c>
      <c r="F4" s="55" t="s">
        <v>85</v>
      </c>
      <c r="G4" s="55" t="s">
        <v>86</v>
      </c>
      <c r="H4" s="55" t="s">
        <v>87</v>
      </c>
      <c r="I4" s="55" t="s">
        <v>88</v>
      </c>
      <c r="J4" s="55" t="s">
        <v>89</v>
      </c>
      <c r="K4" s="55" t="s">
        <v>90</v>
      </c>
      <c r="L4" s="55" t="s">
        <v>91</v>
      </c>
      <c r="M4" s="55" t="s">
        <v>92</v>
      </c>
      <c r="N4" s="55" t="s">
        <v>93</v>
      </c>
      <c r="O4" s="55" t="s">
        <v>94</v>
      </c>
      <c r="P4" s="56" t="s">
        <v>294</v>
      </c>
    </row>
    <row r="5" spans="3:16" ht="24.95" customHeight="1" x14ac:dyDescent="0.25">
      <c r="C5" s="86" t="s">
        <v>102</v>
      </c>
      <c r="D5" s="90">
        <f>'Fat6'!D5</f>
        <v>0</v>
      </c>
      <c r="E5" s="90">
        <f>'Fat6'!E5</f>
        <v>0</v>
      </c>
      <c r="F5" s="90">
        <f>'Fat6'!F5</f>
        <v>0</v>
      </c>
      <c r="G5" s="90">
        <f>'Fat6'!G5</f>
        <v>0</v>
      </c>
      <c r="H5" s="90">
        <f>'Fat6'!H5</f>
        <v>0</v>
      </c>
      <c r="I5" s="90">
        <f>'Fat6'!I5</f>
        <v>0</v>
      </c>
      <c r="J5" s="90">
        <f>'Fat6'!J5</f>
        <v>0</v>
      </c>
      <c r="K5" s="90">
        <f>'Fat6'!K5</f>
        <v>0</v>
      </c>
      <c r="L5" s="90">
        <f>'Fat6'!L5</f>
        <v>0</v>
      </c>
      <c r="M5" s="90">
        <f>'Fat6'!M5</f>
        <v>0</v>
      </c>
      <c r="N5" s="90">
        <f>'Fat6'!N5</f>
        <v>0</v>
      </c>
      <c r="O5" s="90">
        <f>'Fat6'!O5</f>
        <v>0</v>
      </c>
      <c r="P5" s="91">
        <f>SUM(D5:O5)</f>
        <v>0</v>
      </c>
    </row>
    <row r="6" spans="3:16" ht="24.95" customHeight="1" x14ac:dyDescent="0.25">
      <c r="C6" s="92" t="s">
        <v>103</v>
      </c>
      <c r="D6" s="90">
        <f>'Fat6'!D6</f>
        <v>134725</v>
      </c>
      <c r="E6" s="90">
        <f>'Fat6'!E6</f>
        <v>108391</v>
      </c>
      <c r="F6" s="90">
        <f>'Fat6'!F6</f>
        <v>133613</v>
      </c>
      <c r="G6" s="90">
        <f>'Fat6'!G6</f>
        <v>120356</v>
      </c>
      <c r="H6" s="90">
        <f>'Fat6'!H6</f>
        <v>119059</v>
      </c>
      <c r="I6" s="90">
        <f>'Fat6'!I6</f>
        <v>104241</v>
      </c>
      <c r="J6" s="90">
        <f>'Fat6'!J6</f>
        <v>123748</v>
      </c>
      <c r="K6" s="90">
        <f>'Fat6'!K6</f>
        <v>102602</v>
      </c>
      <c r="L6" s="90">
        <f>'Fat6'!L6</f>
        <v>109759</v>
      </c>
      <c r="M6" s="90">
        <f>'Fat6'!M6</f>
        <v>115659</v>
      </c>
      <c r="N6" s="90">
        <f>'Fat6'!N6</f>
        <v>110531</v>
      </c>
      <c r="O6" s="90">
        <f>'Fat6'!O6</f>
        <v>109533</v>
      </c>
      <c r="P6" s="93">
        <f>SUM(D6:O6)</f>
        <v>1392217</v>
      </c>
    </row>
    <row r="7" spans="3:16" ht="24.95" customHeight="1" x14ac:dyDescent="0.25">
      <c r="C7" s="94" t="s">
        <v>104</v>
      </c>
      <c r="D7" s="95">
        <f>'Fat6'!D7</f>
        <v>0</v>
      </c>
      <c r="E7" s="95">
        <f>'Fat6'!E7</f>
        <v>0</v>
      </c>
      <c r="F7" s="95">
        <f>'Fat6'!F7</f>
        <v>0</v>
      </c>
      <c r="G7" s="95">
        <f>'Fat6'!G7</f>
        <v>0</v>
      </c>
      <c r="H7" s="95">
        <f>'Fat6'!H7</f>
        <v>0</v>
      </c>
      <c r="I7" s="95">
        <f>'Fat6'!I7</f>
        <v>0</v>
      </c>
      <c r="J7" s="95">
        <f>'Fat6'!J7</f>
        <v>0</v>
      </c>
      <c r="K7" s="95">
        <f>'Fat6'!K7</f>
        <v>0</v>
      </c>
      <c r="L7" s="95">
        <f>'Fat6'!L7</f>
        <v>0</v>
      </c>
      <c r="M7" s="95">
        <f>'Fat6'!M7</f>
        <v>0</v>
      </c>
      <c r="N7" s="95">
        <f>'Fat6'!N7</f>
        <v>0</v>
      </c>
      <c r="O7" s="95">
        <f>'Fat6'!O7</f>
        <v>0</v>
      </c>
      <c r="P7" s="93">
        <f>SUM(D7:O7)</f>
        <v>0</v>
      </c>
    </row>
    <row r="8" spans="3:16" ht="24.95" customHeight="1" x14ac:dyDescent="0.25">
      <c r="C8" s="96" t="s">
        <v>99</v>
      </c>
      <c r="D8" s="97">
        <f>SUM(D5:D7)</f>
        <v>134725</v>
      </c>
      <c r="E8" s="97">
        <f t="shared" ref="E8:O8" si="0">SUM(E5:E7)</f>
        <v>108391</v>
      </c>
      <c r="F8" s="97">
        <f t="shared" si="0"/>
        <v>133613</v>
      </c>
      <c r="G8" s="97">
        <f t="shared" si="0"/>
        <v>120356</v>
      </c>
      <c r="H8" s="97">
        <f t="shared" si="0"/>
        <v>119059</v>
      </c>
      <c r="I8" s="97">
        <f t="shared" si="0"/>
        <v>104241</v>
      </c>
      <c r="J8" s="97">
        <f t="shared" si="0"/>
        <v>123748</v>
      </c>
      <c r="K8" s="97">
        <f t="shared" si="0"/>
        <v>102602</v>
      </c>
      <c r="L8" s="97">
        <f t="shared" si="0"/>
        <v>109759</v>
      </c>
      <c r="M8" s="97">
        <f t="shared" si="0"/>
        <v>115659</v>
      </c>
      <c r="N8" s="97">
        <f t="shared" si="0"/>
        <v>110531</v>
      </c>
      <c r="O8" s="97">
        <f t="shared" si="0"/>
        <v>109533</v>
      </c>
      <c r="P8" s="98">
        <f>SUM(D8:O8)</f>
        <v>1392217</v>
      </c>
    </row>
    <row r="9" spans="3:16" ht="24.95" customHeight="1" thickBot="1" x14ac:dyDescent="0.3">
      <c r="C9" s="180" t="s">
        <v>196</v>
      </c>
    </row>
    <row r="10" spans="3:16" ht="21.95" customHeight="1" x14ac:dyDescent="0.25">
      <c r="C10" s="85" t="s">
        <v>82</v>
      </c>
      <c r="D10" s="55" t="s">
        <v>83</v>
      </c>
      <c r="E10" s="55" t="s">
        <v>84</v>
      </c>
      <c r="F10" s="55" t="s">
        <v>85</v>
      </c>
      <c r="G10" s="55" t="s">
        <v>86</v>
      </c>
      <c r="H10" s="55" t="s">
        <v>87</v>
      </c>
      <c r="I10" s="55" t="s">
        <v>88</v>
      </c>
      <c r="J10" s="55" t="s">
        <v>89</v>
      </c>
      <c r="K10" s="55" t="s">
        <v>90</v>
      </c>
      <c r="L10" s="55" t="s">
        <v>91</v>
      </c>
      <c r="M10" s="55" t="s">
        <v>92</v>
      </c>
      <c r="N10" s="55" t="s">
        <v>93</v>
      </c>
      <c r="O10" s="55" t="s">
        <v>94</v>
      </c>
      <c r="P10" s="56" t="s">
        <v>294</v>
      </c>
    </row>
    <row r="11" spans="3:16" ht="24.95" customHeight="1" x14ac:dyDescent="0.25">
      <c r="C11" s="86" t="s">
        <v>80</v>
      </c>
      <c r="D11" s="186">
        <f>IFERROR(Simp6!D5,0)</f>
        <v>0</v>
      </c>
      <c r="E11" s="186">
        <f>IFERROR(Simp6!E5,0)</f>
        <v>0</v>
      </c>
      <c r="F11" s="186">
        <f>IFERROR(Simp6!F5,0)</f>
        <v>0</v>
      </c>
      <c r="G11" s="186">
        <f>IFERROR(Simp6!G5,0)</f>
        <v>0</v>
      </c>
      <c r="H11" s="186">
        <f>IFERROR(Simp6!H5,0)</f>
        <v>0</v>
      </c>
      <c r="I11" s="186">
        <f>IFERROR(Simp6!I5,0)</f>
        <v>0</v>
      </c>
      <c r="J11" s="186">
        <f>IFERROR(Simp6!J5,0)</f>
        <v>0</v>
      </c>
      <c r="K11" s="186">
        <f>IFERROR(Simp6!K5,0)</f>
        <v>0</v>
      </c>
      <c r="L11" s="186">
        <f>IFERROR(Simp6!L5,0)</f>
        <v>0</v>
      </c>
      <c r="M11" s="186">
        <f>IFERROR(Simp6!M5,0)</f>
        <v>0</v>
      </c>
      <c r="N11" s="186">
        <f>IFERROR(Simp6!N5,0)</f>
        <v>0</v>
      </c>
      <c r="O11" s="187">
        <f>IFERROR(Simp6!O5,0)</f>
        <v>0</v>
      </c>
      <c r="P11" s="91">
        <f t="shared" ref="P11:P16" si="1">SUM(D11:O11)</f>
        <v>0</v>
      </c>
    </row>
    <row r="12" spans="3:16" ht="21.95" customHeight="1" x14ac:dyDescent="0.25">
      <c r="C12" s="92" t="s">
        <v>81</v>
      </c>
      <c r="D12" s="90">
        <f>IFERROR(Simp6!D6,0)</f>
        <v>0</v>
      </c>
      <c r="E12" s="90">
        <f>IFERROR(Simp6!E6,0)</f>
        <v>0</v>
      </c>
      <c r="F12" s="90">
        <f>IFERROR(Simp6!F6,0)</f>
        <v>0</v>
      </c>
      <c r="G12" s="90">
        <f>IFERROR(Simp6!G6,0)</f>
        <v>0</v>
      </c>
      <c r="H12" s="90">
        <f>IFERROR(Simp6!H6,0)</f>
        <v>0</v>
      </c>
      <c r="I12" s="90">
        <f>IFERROR(Simp6!I6,0)</f>
        <v>0</v>
      </c>
      <c r="J12" s="90">
        <f>IFERROR(Simp6!J6,0)</f>
        <v>0</v>
      </c>
      <c r="K12" s="90">
        <f>IFERROR(Simp6!K6,0)</f>
        <v>0</v>
      </c>
      <c r="L12" s="90">
        <f>IFERROR(Simp6!L6,0)</f>
        <v>0</v>
      </c>
      <c r="M12" s="90">
        <f>IFERROR(Simp6!M6,0)</f>
        <v>0</v>
      </c>
      <c r="N12" s="90">
        <f>IFERROR(Simp6!N6,0)</f>
        <v>0</v>
      </c>
      <c r="O12" s="127">
        <f>IFERROR(Simp6!O6,0)</f>
        <v>0</v>
      </c>
      <c r="P12" s="93">
        <f t="shared" si="1"/>
        <v>0</v>
      </c>
    </row>
    <row r="13" spans="3:16" ht="24.95" customHeight="1" x14ac:dyDescent="0.25">
      <c r="C13" s="92" t="s">
        <v>75</v>
      </c>
      <c r="D13" s="90">
        <f>IFERROR(Simp6!D7,0)</f>
        <v>0</v>
      </c>
      <c r="E13" s="90">
        <f>IFERROR(Simp6!E7,0)</f>
        <v>0</v>
      </c>
      <c r="F13" s="90">
        <f>IFERROR(Simp6!F7,0)</f>
        <v>0</v>
      </c>
      <c r="G13" s="90">
        <f>IFERROR(Simp6!G7,0)</f>
        <v>0</v>
      </c>
      <c r="H13" s="90">
        <f>IFERROR(Simp6!H7,0)</f>
        <v>0</v>
      </c>
      <c r="I13" s="90">
        <f>IFERROR(Simp6!I7,0)</f>
        <v>0</v>
      </c>
      <c r="J13" s="90">
        <f>IFERROR(Simp6!J7,0)</f>
        <v>0</v>
      </c>
      <c r="K13" s="90">
        <f>IFERROR(Simp6!K7,0)</f>
        <v>0</v>
      </c>
      <c r="L13" s="90">
        <f>IFERROR(Simp6!L7,0)</f>
        <v>0</v>
      </c>
      <c r="M13" s="90">
        <f>IFERROR(Simp6!M7,0)</f>
        <v>0</v>
      </c>
      <c r="N13" s="90">
        <f>IFERROR(Simp6!N7,0)</f>
        <v>0</v>
      </c>
      <c r="O13" s="127">
        <f>IFERROR(Simp6!O7,0)</f>
        <v>0</v>
      </c>
      <c r="P13" s="93">
        <f t="shared" si="1"/>
        <v>0</v>
      </c>
    </row>
    <row r="14" spans="3:16" ht="24.95" customHeight="1" x14ac:dyDescent="0.25">
      <c r="C14" s="92" t="s">
        <v>76</v>
      </c>
      <c r="D14" s="90">
        <f>IFERROR(Simp6!D8,0)</f>
        <v>0</v>
      </c>
      <c r="E14" s="90">
        <f>IFERROR(Simp6!E8,0)</f>
        <v>0</v>
      </c>
      <c r="F14" s="90">
        <f>IFERROR(Simp6!F8,0)</f>
        <v>0</v>
      </c>
      <c r="G14" s="90">
        <f>IFERROR(Simp6!G8,0)</f>
        <v>0</v>
      </c>
      <c r="H14" s="90">
        <f>IFERROR(Simp6!H8,0)</f>
        <v>0</v>
      </c>
      <c r="I14" s="90">
        <f>IFERROR(Simp6!I8,0)</f>
        <v>0</v>
      </c>
      <c r="J14" s="90">
        <f>IFERROR(Simp6!J8,0)</f>
        <v>0</v>
      </c>
      <c r="K14" s="90">
        <f>IFERROR(Simp6!K8,0)</f>
        <v>0</v>
      </c>
      <c r="L14" s="90">
        <f>IFERROR(Simp6!L8,0)</f>
        <v>0</v>
      </c>
      <c r="M14" s="90">
        <f>IFERROR(Simp6!M8,0)</f>
        <v>0</v>
      </c>
      <c r="N14" s="90">
        <f>IFERROR(Simp6!N8,0)</f>
        <v>0</v>
      </c>
      <c r="O14" s="127">
        <f>IFERROR(Simp6!O8,0)</f>
        <v>0</v>
      </c>
      <c r="P14" s="93">
        <f t="shared" si="1"/>
        <v>0</v>
      </c>
    </row>
    <row r="15" spans="3:16" ht="24.95" customHeight="1" x14ac:dyDescent="0.25">
      <c r="C15" s="94" t="s">
        <v>77</v>
      </c>
      <c r="D15" s="95">
        <f>IFERROR(Simp6!D9,0)</f>
        <v>0</v>
      </c>
      <c r="E15" s="95">
        <f>IFERROR(Simp6!E9,0)</f>
        <v>0</v>
      </c>
      <c r="F15" s="95">
        <f>IFERROR(Simp6!F9,0)</f>
        <v>0</v>
      </c>
      <c r="G15" s="95">
        <f>IFERROR(Simp6!G9,0)</f>
        <v>0</v>
      </c>
      <c r="H15" s="95">
        <f>IFERROR(Simp6!H9,0)</f>
        <v>0</v>
      </c>
      <c r="I15" s="95">
        <f>IFERROR(Simp6!I9,0)</f>
        <v>0</v>
      </c>
      <c r="J15" s="95">
        <f>IFERROR(Simp6!J9,0)</f>
        <v>0</v>
      </c>
      <c r="K15" s="95">
        <f>IFERROR(Simp6!K9,0)</f>
        <v>0</v>
      </c>
      <c r="L15" s="95">
        <f>IFERROR(Simp6!L9,0)</f>
        <v>0</v>
      </c>
      <c r="M15" s="95">
        <f>IFERROR(Simp6!M9,0)</f>
        <v>0</v>
      </c>
      <c r="N15" s="95">
        <f>IFERROR(Simp6!N9,0)</f>
        <v>0</v>
      </c>
      <c r="O15" s="128">
        <f>IFERROR(Simp6!O9,0)</f>
        <v>0</v>
      </c>
      <c r="P15" s="93">
        <f t="shared" si="1"/>
        <v>0</v>
      </c>
    </row>
    <row r="16" spans="3:16" ht="24.95" customHeight="1" x14ac:dyDescent="0.25">
      <c r="C16" s="96" t="s">
        <v>99</v>
      </c>
      <c r="D16" s="97">
        <f>SUM(D11:D15)</f>
        <v>0</v>
      </c>
      <c r="E16" s="97">
        <f t="shared" ref="E16:O16" si="2">SUM(E11:E15)</f>
        <v>0</v>
      </c>
      <c r="F16" s="97">
        <f t="shared" si="2"/>
        <v>0</v>
      </c>
      <c r="G16" s="97">
        <f t="shared" si="2"/>
        <v>0</v>
      </c>
      <c r="H16" s="97">
        <f t="shared" si="2"/>
        <v>0</v>
      </c>
      <c r="I16" s="97">
        <f t="shared" si="2"/>
        <v>0</v>
      </c>
      <c r="J16" s="97">
        <f t="shared" si="2"/>
        <v>0</v>
      </c>
      <c r="K16" s="97">
        <f t="shared" si="2"/>
        <v>0</v>
      </c>
      <c r="L16" s="97">
        <f t="shared" si="2"/>
        <v>0</v>
      </c>
      <c r="M16" s="97">
        <f t="shared" si="2"/>
        <v>0</v>
      </c>
      <c r="N16" s="97">
        <f t="shared" si="2"/>
        <v>0</v>
      </c>
      <c r="O16" s="97">
        <f t="shared" si="2"/>
        <v>0</v>
      </c>
      <c r="P16" s="98">
        <f t="shared" si="1"/>
        <v>0</v>
      </c>
    </row>
    <row r="17" spans="3:16" ht="24.95" customHeight="1" thickBot="1" x14ac:dyDescent="0.3">
      <c r="C17" s="180" t="s">
        <v>197</v>
      </c>
    </row>
    <row r="18" spans="3:16" ht="21.95" customHeight="1" x14ac:dyDescent="0.25">
      <c r="C18" s="85" t="s">
        <v>82</v>
      </c>
      <c r="D18" s="55" t="s">
        <v>83</v>
      </c>
      <c r="E18" s="55" t="s">
        <v>84</v>
      </c>
      <c r="F18" s="55" t="s">
        <v>85</v>
      </c>
      <c r="G18" s="55" t="s">
        <v>86</v>
      </c>
      <c r="H18" s="55" t="s">
        <v>87</v>
      </c>
      <c r="I18" s="55" t="s">
        <v>88</v>
      </c>
      <c r="J18" s="55" t="s">
        <v>89</v>
      </c>
      <c r="K18" s="55" t="s">
        <v>90</v>
      </c>
      <c r="L18" s="55" t="s">
        <v>91</v>
      </c>
      <c r="M18" s="55" t="s">
        <v>92</v>
      </c>
      <c r="N18" s="55" t="s">
        <v>93</v>
      </c>
      <c r="O18" s="55" t="s">
        <v>94</v>
      </c>
      <c r="P18" s="56" t="s">
        <v>294</v>
      </c>
    </row>
    <row r="19" spans="3:16" ht="24.95" customHeight="1" x14ac:dyDescent="0.25">
      <c r="C19" s="86" t="s">
        <v>97</v>
      </c>
      <c r="D19" s="90">
        <f>Lançamentos!D10</f>
        <v>579.08090625</v>
      </c>
      <c r="E19" s="90">
        <f>Lançamentos!E10</f>
        <v>563.295975</v>
      </c>
      <c r="F19" s="90">
        <f>Lançamentos!F10</f>
        <v>552.91273125000009</v>
      </c>
      <c r="G19" s="90">
        <f>Lançamentos!G10</f>
        <v>547.13092499999993</v>
      </c>
      <c r="H19" s="90">
        <f>Lançamentos!H10</f>
        <v>551.97243750000007</v>
      </c>
      <c r="I19" s="90">
        <f>Lançamentos!I10</f>
        <v>552.87271874999999</v>
      </c>
      <c r="J19" s="90">
        <f>Lançamentos!J10</f>
        <v>506.61826875000003</v>
      </c>
      <c r="K19" s="90">
        <f>Lançamentos!K10</f>
        <v>576.32004375000008</v>
      </c>
      <c r="L19" s="90">
        <f>Lançamentos!L10</f>
        <v>507.85865625000002</v>
      </c>
      <c r="M19" s="90">
        <f>Lançamentos!M10</f>
        <v>602.66827499999999</v>
      </c>
      <c r="N19" s="90">
        <f>Lançamentos!N10</f>
        <v>548.89147500000001</v>
      </c>
      <c r="O19" s="90">
        <f>Lançamentos!O10</f>
        <v>515.84114999999997</v>
      </c>
      <c r="P19" s="91">
        <f t="shared" ref="P19:P24" si="3">SUM(D19:O19)</f>
        <v>6605.463562500001</v>
      </c>
    </row>
    <row r="20" spans="3:16" ht="24.95" customHeight="1" x14ac:dyDescent="0.25">
      <c r="C20" s="92" t="s">
        <v>98</v>
      </c>
      <c r="D20" s="90">
        <f>Lançamentos!D11</f>
        <v>2667.2817500000001</v>
      </c>
      <c r="E20" s="90">
        <f>Lançamentos!E11</f>
        <v>2594.5754000000002</v>
      </c>
      <c r="F20" s="90">
        <f>Lançamentos!F11</f>
        <v>2546.74955</v>
      </c>
      <c r="G20" s="90">
        <f>Lançamentos!G11</f>
        <v>2520.1181999999999</v>
      </c>
      <c r="H20" s="90">
        <f>Lançamentos!H11</f>
        <v>2542.4184999999998</v>
      </c>
      <c r="I20" s="90">
        <f>Lançamentos!I11</f>
        <v>2546.5652500000001</v>
      </c>
      <c r="J20" s="90">
        <f>Lançamentos!J11</f>
        <v>2333.5144500000001</v>
      </c>
      <c r="K20" s="90">
        <f>Lançamentos!K11</f>
        <v>2654.5650500000002</v>
      </c>
      <c r="L20" s="90">
        <f>Lançamentos!L11</f>
        <v>2339.22775</v>
      </c>
      <c r="M20" s="90">
        <f>Lançamentos!M11</f>
        <v>2775.9265999999998</v>
      </c>
      <c r="N20" s="90">
        <f>Lançamentos!N11</f>
        <v>2528.2274000000002</v>
      </c>
      <c r="O20" s="90">
        <f>Lançamentos!O11</f>
        <v>2375.9955999999997</v>
      </c>
      <c r="P20" s="93">
        <f t="shared" si="3"/>
        <v>30425.165499999996</v>
      </c>
    </row>
    <row r="21" spans="3:16" ht="24.95" customHeight="1" x14ac:dyDescent="0.25">
      <c r="C21" s="92" t="s">
        <v>37</v>
      </c>
      <c r="D21" s="90">
        <f>Lançamentos!D12</f>
        <v>4211.4974999999995</v>
      </c>
      <c r="E21" s="90">
        <f>Lançamentos!E12</f>
        <v>4096.6980000000003</v>
      </c>
      <c r="F21" s="90">
        <f>Lançamentos!F12</f>
        <v>4021.1835000000001</v>
      </c>
      <c r="G21" s="90">
        <f>Lançamentos!G12</f>
        <v>3979.1339999999996</v>
      </c>
      <c r="H21" s="90">
        <f>Lançamentos!H12</f>
        <v>4014.3449999999998</v>
      </c>
      <c r="I21" s="90">
        <f>Lançamentos!I12</f>
        <v>4020.8924999999999</v>
      </c>
      <c r="J21" s="90">
        <f>Lançamentos!J12</f>
        <v>3684.4964999999997</v>
      </c>
      <c r="K21" s="90">
        <f>Lançamentos!K12</f>
        <v>4191.4184999999998</v>
      </c>
      <c r="L21" s="90">
        <f>Lançamentos!L12</f>
        <v>3693.5174999999999</v>
      </c>
      <c r="M21" s="90">
        <f>Lançamentos!M12</f>
        <v>4383.0419999999995</v>
      </c>
      <c r="N21" s="90">
        <f>Lançamentos!N12</f>
        <v>3991.9380000000001</v>
      </c>
      <c r="O21" s="90">
        <f>Lançamentos!O12</f>
        <v>3751.5719999999997</v>
      </c>
      <c r="P21" s="93">
        <f t="shared" si="3"/>
        <v>48039.735000000008</v>
      </c>
    </row>
    <row r="22" spans="3:16" ht="24.95" customHeight="1" x14ac:dyDescent="0.25">
      <c r="C22" s="92" t="s">
        <v>38</v>
      </c>
      <c r="D22" s="90">
        <f>Lançamentos!D13</f>
        <v>0</v>
      </c>
      <c r="E22" s="90">
        <f>Lançamentos!E13</f>
        <v>0</v>
      </c>
      <c r="F22" s="90">
        <f>Lançamentos!F13</f>
        <v>0</v>
      </c>
      <c r="G22" s="90">
        <f>Lançamentos!G13</f>
        <v>0</v>
      </c>
      <c r="H22" s="90">
        <f>Lançamentos!H13</f>
        <v>0</v>
      </c>
      <c r="I22" s="90">
        <f>Lançamentos!I13</f>
        <v>0</v>
      </c>
      <c r="J22" s="90">
        <f>Lançamentos!J13</f>
        <v>0</v>
      </c>
      <c r="K22" s="90">
        <f>Lançamentos!K13</f>
        <v>0</v>
      </c>
      <c r="L22" s="90">
        <f>Lançamentos!L13</f>
        <v>0</v>
      </c>
      <c r="M22" s="90">
        <f>Lançamentos!M13</f>
        <v>0</v>
      </c>
      <c r="N22" s="90">
        <f>Lançamentos!N13</f>
        <v>0</v>
      </c>
      <c r="O22" s="90">
        <f>Lançamentos!O13</f>
        <v>0</v>
      </c>
      <c r="P22" s="93">
        <f t="shared" si="3"/>
        <v>0</v>
      </c>
    </row>
    <row r="23" spans="3:16" ht="24.95" customHeight="1" x14ac:dyDescent="0.25">
      <c r="C23" s="94" t="s">
        <v>39</v>
      </c>
      <c r="D23" s="95">
        <f>Lançamentos!D14</f>
        <v>0</v>
      </c>
      <c r="E23" s="95">
        <f>Lançamentos!E14</f>
        <v>0</v>
      </c>
      <c r="F23" s="95">
        <f>Lançamentos!F14</f>
        <v>0</v>
      </c>
      <c r="G23" s="95">
        <f>Lançamentos!G14</f>
        <v>0</v>
      </c>
      <c r="H23" s="95">
        <f>Lançamentos!H14</f>
        <v>0</v>
      </c>
      <c r="I23" s="95">
        <f>Lançamentos!I14</f>
        <v>0</v>
      </c>
      <c r="J23" s="95">
        <f>Lançamentos!J14</f>
        <v>0</v>
      </c>
      <c r="K23" s="95">
        <f>Lançamentos!K14</f>
        <v>0</v>
      </c>
      <c r="L23" s="95">
        <f>Lançamentos!L14</f>
        <v>0</v>
      </c>
      <c r="M23" s="95">
        <f>Lançamentos!M14</f>
        <v>0</v>
      </c>
      <c r="N23" s="95">
        <f>Lançamentos!N14</f>
        <v>0</v>
      </c>
      <c r="O23" s="95">
        <f>Lançamentos!O14</f>
        <v>0</v>
      </c>
      <c r="P23" s="93">
        <f t="shared" si="3"/>
        <v>0</v>
      </c>
    </row>
    <row r="24" spans="3:16" ht="24.95" customHeight="1" x14ac:dyDescent="0.25">
      <c r="C24" s="96" t="s">
        <v>99</v>
      </c>
      <c r="D24" s="97">
        <f>SUM(D19:D23)</f>
        <v>7457.8601562499998</v>
      </c>
      <c r="E24" s="97">
        <f t="shared" ref="E24:O24" si="4">SUM(E19:E23)</f>
        <v>7254.5693750000009</v>
      </c>
      <c r="F24" s="97">
        <f t="shared" si="4"/>
        <v>7120.8457812500001</v>
      </c>
      <c r="G24" s="97">
        <f t="shared" si="4"/>
        <v>7046.3831249999994</v>
      </c>
      <c r="H24" s="97">
        <f t="shared" si="4"/>
        <v>7108.7359374999996</v>
      </c>
      <c r="I24" s="97">
        <f t="shared" si="4"/>
        <v>7120.3304687500004</v>
      </c>
      <c r="J24" s="97">
        <f t="shared" si="4"/>
        <v>6524.6292187500003</v>
      </c>
      <c r="K24" s="97">
        <f t="shared" si="4"/>
        <v>7422.3035937499999</v>
      </c>
      <c r="L24" s="97">
        <f t="shared" si="4"/>
        <v>6540.6039062500004</v>
      </c>
      <c r="M24" s="97">
        <f t="shared" si="4"/>
        <v>7761.6368749999992</v>
      </c>
      <c r="N24" s="97">
        <f t="shared" si="4"/>
        <v>7069.0568750000002</v>
      </c>
      <c r="O24" s="97">
        <f t="shared" si="4"/>
        <v>6643.4087499999987</v>
      </c>
      <c r="P24" s="98">
        <f t="shared" si="3"/>
        <v>85070.364062499997</v>
      </c>
    </row>
    <row r="25" spans="3:16" ht="24.95" customHeight="1" thickBot="1" x14ac:dyDescent="0.3">
      <c r="C25" s="180" t="s">
        <v>198</v>
      </c>
    </row>
    <row r="26" spans="3:16" ht="21.95" customHeight="1" x14ac:dyDescent="0.25">
      <c r="C26" s="85" t="s">
        <v>82</v>
      </c>
      <c r="D26" s="55" t="s">
        <v>83</v>
      </c>
      <c r="E26" s="55" t="s">
        <v>84</v>
      </c>
      <c r="F26" s="55" t="s">
        <v>85</v>
      </c>
      <c r="G26" s="55" t="s">
        <v>86</v>
      </c>
      <c r="H26" s="55" t="s">
        <v>87</v>
      </c>
      <c r="I26" s="55" t="s">
        <v>88</v>
      </c>
      <c r="J26" s="55" t="s">
        <v>89</v>
      </c>
      <c r="K26" s="55" t="s">
        <v>90</v>
      </c>
      <c r="L26" s="55" t="s">
        <v>91</v>
      </c>
      <c r="M26" s="55" t="s">
        <v>92</v>
      </c>
      <c r="N26" s="55" t="s">
        <v>93</v>
      </c>
      <c r="O26" s="55" t="s">
        <v>94</v>
      </c>
      <c r="P26" s="56" t="s">
        <v>294</v>
      </c>
    </row>
    <row r="27" spans="3:16" ht="24.95" customHeight="1" x14ac:dyDescent="0.25">
      <c r="C27" s="86" t="s">
        <v>97</v>
      </c>
      <c r="D27" s="90">
        <f>'Fat6'!D11</f>
        <v>770.62699999999995</v>
      </c>
      <c r="E27" s="90">
        <f>'Fat6'!E11</f>
        <v>619.99652000000003</v>
      </c>
      <c r="F27" s="90">
        <f>'Fat6'!F11</f>
        <v>764.26635999999996</v>
      </c>
      <c r="G27" s="90">
        <f>'Fat6'!G11</f>
        <v>688.43631999999991</v>
      </c>
      <c r="H27" s="90">
        <f>'Fat6'!H11</f>
        <v>681.01747999999998</v>
      </c>
      <c r="I27" s="90">
        <f>'Fat6'!I11</f>
        <v>596.25851999999998</v>
      </c>
      <c r="J27" s="90">
        <f>'Fat6'!J11</f>
        <v>707.83856000000003</v>
      </c>
      <c r="K27" s="90">
        <f>'Fat6'!K11</f>
        <v>586.88343999999995</v>
      </c>
      <c r="L27" s="90">
        <f>'Fat6'!L11</f>
        <v>627.82147999999995</v>
      </c>
      <c r="M27" s="90">
        <f>'Fat6'!M11</f>
        <v>661.56948</v>
      </c>
      <c r="N27" s="90">
        <f>'Fat6'!N11</f>
        <v>632.23731999999995</v>
      </c>
      <c r="O27" s="90">
        <f>'Fat6'!O11</f>
        <v>626.52876000000003</v>
      </c>
      <c r="P27" s="91">
        <f t="shared" ref="P27:P32" si="5">SUM(D27:O27)</f>
        <v>7963.4812400000001</v>
      </c>
    </row>
    <row r="28" spans="3:16" ht="24.95" customHeight="1" x14ac:dyDescent="0.25">
      <c r="C28" s="92" t="s">
        <v>98</v>
      </c>
      <c r="D28" s="90">
        <f>'Fat6'!D12</f>
        <v>3556.74</v>
      </c>
      <c r="E28" s="90">
        <f>'Fat6'!E12</f>
        <v>2861.5223999999998</v>
      </c>
      <c r="F28" s="90">
        <f>'Fat6'!F12</f>
        <v>3527.3831999999998</v>
      </c>
      <c r="G28" s="90">
        <f>'Fat6'!G12</f>
        <v>3177.3984</v>
      </c>
      <c r="H28" s="90">
        <f>'Fat6'!H12</f>
        <v>3143.1576</v>
      </c>
      <c r="I28" s="90">
        <f>'Fat6'!I12</f>
        <v>2751.9623999999999</v>
      </c>
      <c r="J28" s="90">
        <f>'Fat6'!J12</f>
        <v>3266.9472000000001</v>
      </c>
      <c r="K28" s="90">
        <f>'Fat6'!K12</f>
        <v>2708.6927999999998</v>
      </c>
      <c r="L28" s="90">
        <f>'Fat6'!L12</f>
        <v>2897.6376</v>
      </c>
      <c r="M28" s="90">
        <f>'Fat6'!M12</f>
        <v>3053.3975999999998</v>
      </c>
      <c r="N28" s="90">
        <f>'Fat6'!N12</f>
        <v>2918.0183999999999</v>
      </c>
      <c r="O28" s="90">
        <f>'Fat6'!O12</f>
        <v>2891.6712000000002</v>
      </c>
      <c r="P28" s="93">
        <f t="shared" si="5"/>
        <v>36754.528799999993</v>
      </c>
    </row>
    <row r="29" spans="3:16" ht="24.95" customHeight="1" x14ac:dyDescent="0.25">
      <c r="C29" s="92" t="s">
        <v>37</v>
      </c>
      <c r="D29" s="90">
        <f>'Fat6'!D13</f>
        <v>16167</v>
      </c>
      <c r="E29" s="90">
        <f>'Fat6'!E13</f>
        <v>13006.92</v>
      </c>
      <c r="F29" s="90">
        <f>'Fat6'!F13</f>
        <v>16033.56</v>
      </c>
      <c r="G29" s="90">
        <f>'Fat6'!G13</f>
        <v>14442.72</v>
      </c>
      <c r="H29" s="90">
        <f>'Fat6'!H13</f>
        <v>14287.08</v>
      </c>
      <c r="I29" s="90">
        <f>'Fat6'!I13</f>
        <v>12508.92</v>
      </c>
      <c r="J29" s="90">
        <f>'Fat6'!J13</f>
        <v>14849.76</v>
      </c>
      <c r="K29" s="90">
        <f>'Fat6'!K13</f>
        <v>12312.24</v>
      </c>
      <c r="L29" s="90">
        <f>'Fat6'!L13</f>
        <v>13171.08</v>
      </c>
      <c r="M29" s="90">
        <f>'Fat6'!M13</f>
        <v>13879.08</v>
      </c>
      <c r="N29" s="90">
        <f>'Fat6'!N13</f>
        <v>13263.72</v>
      </c>
      <c r="O29" s="90">
        <f>'Fat6'!O13</f>
        <v>13143.96</v>
      </c>
      <c r="P29" s="93">
        <f t="shared" si="5"/>
        <v>167066.03999999998</v>
      </c>
    </row>
    <row r="30" spans="3:16" ht="24.95" customHeight="1" x14ac:dyDescent="0.25">
      <c r="C30" s="92" t="s">
        <v>38</v>
      </c>
      <c r="D30" s="90">
        <f>'Fat6'!D14</f>
        <v>0</v>
      </c>
      <c r="E30" s="90">
        <f>'Fat6'!E14</f>
        <v>0</v>
      </c>
      <c r="F30" s="90">
        <f>'Fat6'!F14</f>
        <v>0</v>
      </c>
      <c r="G30" s="90">
        <f>'Fat6'!G14</f>
        <v>0</v>
      </c>
      <c r="H30" s="90">
        <f>'Fat6'!H14</f>
        <v>0</v>
      </c>
      <c r="I30" s="90">
        <f>'Fat6'!I14</f>
        <v>0</v>
      </c>
      <c r="J30" s="90">
        <f>'Fat6'!J14</f>
        <v>0</v>
      </c>
      <c r="K30" s="90">
        <f>'Fat6'!K14</f>
        <v>0</v>
      </c>
      <c r="L30" s="90">
        <f>'Fat6'!L14</f>
        <v>0</v>
      </c>
      <c r="M30" s="90">
        <f>'Fat6'!M14</f>
        <v>0</v>
      </c>
      <c r="N30" s="90">
        <f>'Fat6'!N14</f>
        <v>0</v>
      </c>
      <c r="O30" s="90">
        <f>'Fat6'!O14</f>
        <v>0</v>
      </c>
      <c r="P30" s="93">
        <f t="shared" si="5"/>
        <v>0</v>
      </c>
    </row>
    <row r="31" spans="3:16" ht="24.95" customHeight="1" x14ac:dyDescent="0.25">
      <c r="C31" s="94" t="s">
        <v>39</v>
      </c>
      <c r="D31" s="95">
        <f>'Fat6'!D15</f>
        <v>0</v>
      </c>
      <c r="E31" s="95">
        <f>'Fat6'!E15</f>
        <v>0</v>
      </c>
      <c r="F31" s="95">
        <f>'Fat6'!F15</f>
        <v>0</v>
      </c>
      <c r="G31" s="95">
        <f>'Fat6'!G15</f>
        <v>0</v>
      </c>
      <c r="H31" s="95">
        <f>'Fat6'!H15</f>
        <v>0</v>
      </c>
      <c r="I31" s="95">
        <f>'Fat6'!I15</f>
        <v>0</v>
      </c>
      <c r="J31" s="95">
        <f>'Fat6'!J15</f>
        <v>0</v>
      </c>
      <c r="K31" s="95">
        <f>'Fat6'!K15</f>
        <v>0</v>
      </c>
      <c r="L31" s="95">
        <f>'Fat6'!L15</f>
        <v>0</v>
      </c>
      <c r="M31" s="95">
        <f>'Fat6'!M15</f>
        <v>0</v>
      </c>
      <c r="N31" s="95">
        <f>'Fat6'!N15</f>
        <v>0</v>
      </c>
      <c r="O31" s="95">
        <f>'Fat6'!O15</f>
        <v>0</v>
      </c>
      <c r="P31" s="93">
        <f t="shared" si="5"/>
        <v>0</v>
      </c>
    </row>
    <row r="32" spans="3:16" ht="24.95" customHeight="1" x14ac:dyDescent="0.25">
      <c r="C32" s="96" t="s">
        <v>99</v>
      </c>
      <c r="D32" s="97">
        <f>SUM(D27:D31)</f>
        <v>20494.366999999998</v>
      </c>
      <c r="E32" s="97">
        <f t="shared" ref="E32:O32" si="6">SUM(E27:E31)</f>
        <v>16488.438920000001</v>
      </c>
      <c r="F32" s="97">
        <f t="shared" si="6"/>
        <v>20325.209559999999</v>
      </c>
      <c r="G32" s="97">
        <f t="shared" si="6"/>
        <v>18308.55472</v>
      </c>
      <c r="H32" s="97">
        <f t="shared" si="6"/>
        <v>18111.255079999999</v>
      </c>
      <c r="I32" s="97">
        <f t="shared" si="6"/>
        <v>15857.14092</v>
      </c>
      <c r="J32" s="97">
        <f t="shared" si="6"/>
        <v>18824.545760000001</v>
      </c>
      <c r="K32" s="97">
        <f t="shared" si="6"/>
        <v>15607.81624</v>
      </c>
      <c r="L32" s="97">
        <f t="shared" si="6"/>
        <v>16696.539079999999</v>
      </c>
      <c r="M32" s="97">
        <f t="shared" si="6"/>
        <v>17594.04708</v>
      </c>
      <c r="N32" s="97">
        <f t="shared" si="6"/>
        <v>16813.975719999999</v>
      </c>
      <c r="O32" s="97">
        <f t="shared" si="6"/>
        <v>16662.159960000001</v>
      </c>
      <c r="P32" s="98">
        <f t="shared" si="5"/>
        <v>211784.05003999994</v>
      </c>
    </row>
    <row r="33" spans="3:16" ht="24.95" customHeight="1" thickBot="1" x14ac:dyDescent="0.3">
      <c r="C33" s="180" t="s">
        <v>199</v>
      </c>
    </row>
    <row r="34" spans="3:16" ht="21.95" customHeight="1" x14ac:dyDescent="0.25">
      <c r="C34" s="85" t="s">
        <v>82</v>
      </c>
      <c r="D34" s="55" t="s">
        <v>83</v>
      </c>
      <c r="E34" s="55" t="s">
        <v>84</v>
      </c>
      <c r="F34" s="55" t="s">
        <v>85</v>
      </c>
      <c r="G34" s="55" t="s">
        <v>86</v>
      </c>
      <c r="H34" s="55" t="s">
        <v>87</v>
      </c>
      <c r="I34" s="55" t="s">
        <v>88</v>
      </c>
      <c r="J34" s="55" t="s">
        <v>89</v>
      </c>
      <c r="K34" s="55" t="s">
        <v>90</v>
      </c>
      <c r="L34" s="55" t="s">
        <v>91</v>
      </c>
      <c r="M34" s="55" t="s">
        <v>92</v>
      </c>
      <c r="N34" s="55" t="s">
        <v>93</v>
      </c>
      <c r="O34" s="55" t="s">
        <v>94</v>
      </c>
      <c r="P34" s="56" t="s">
        <v>294</v>
      </c>
    </row>
    <row r="35" spans="3:16" ht="24.95" customHeight="1" x14ac:dyDescent="0.25">
      <c r="C35" s="86" t="s">
        <v>97</v>
      </c>
      <c r="D35" s="90">
        <f>Simp6!D14</f>
        <v>0</v>
      </c>
      <c r="E35" s="90">
        <f>Simp6!E14</f>
        <v>0</v>
      </c>
      <c r="F35" s="90">
        <f>Simp6!F14</f>
        <v>0</v>
      </c>
      <c r="G35" s="90">
        <f>Simp6!G14</f>
        <v>0</v>
      </c>
      <c r="H35" s="90">
        <f>Simp6!H14</f>
        <v>0</v>
      </c>
      <c r="I35" s="90">
        <f>Simp6!I14</f>
        <v>0</v>
      </c>
      <c r="J35" s="90">
        <f>Simp6!J14</f>
        <v>0</v>
      </c>
      <c r="K35" s="90">
        <f>Simp6!K14</f>
        <v>0</v>
      </c>
      <c r="L35" s="90">
        <f>Simp6!L14</f>
        <v>0</v>
      </c>
      <c r="M35" s="90">
        <f>Simp6!M14</f>
        <v>0</v>
      </c>
      <c r="N35" s="90">
        <f>Simp6!N14</f>
        <v>0</v>
      </c>
      <c r="O35" s="90">
        <f>Simp6!O14</f>
        <v>0</v>
      </c>
      <c r="P35" s="91">
        <f t="shared" ref="P35:P43" si="7">SUM(D35:O35)</f>
        <v>0</v>
      </c>
    </row>
    <row r="36" spans="3:16" ht="24.95" customHeight="1" x14ac:dyDescent="0.25">
      <c r="C36" s="92" t="s">
        <v>98</v>
      </c>
      <c r="D36" s="90">
        <f>Simp6!D15</f>
        <v>0</v>
      </c>
      <c r="E36" s="90">
        <f>Simp6!E15</f>
        <v>0</v>
      </c>
      <c r="F36" s="90">
        <f>Simp6!F15</f>
        <v>0</v>
      </c>
      <c r="G36" s="90">
        <f>Simp6!G15</f>
        <v>0</v>
      </c>
      <c r="H36" s="90">
        <f>Simp6!H15</f>
        <v>0</v>
      </c>
      <c r="I36" s="90">
        <f>Simp6!I15</f>
        <v>0</v>
      </c>
      <c r="J36" s="90">
        <f>Simp6!J15</f>
        <v>0</v>
      </c>
      <c r="K36" s="90">
        <f>Simp6!K15</f>
        <v>0</v>
      </c>
      <c r="L36" s="90">
        <f>Simp6!L15</f>
        <v>0</v>
      </c>
      <c r="M36" s="90">
        <f>Simp6!M15</f>
        <v>0</v>
      </c>
      <c r="N36" s="90">
        <f>Simp6!N15</f>
        <v>0</v>
      </c>
      <c r="O36" s="90">
        <f>Simp6!O15</f>
        <v>0</v>
      </c>
      <c r="P36" s="93">
        <f t="shared" si="7"/>
        <v>0</v>
      </c>
    </row>
    <row r="37" spans="3:16" ht="24.95" customHeight="1" x14ac:dyDescent="0.25">
      <c r="C37" s="92" t="s">
        <v>37</v>
      </c>
      <c r="D37" s="90">
        <f>Simp6!D16</f>
        <v>0</v>
      </c>
      <c r="E37" s="90">
        <f>Simp6!E16</f>
        <v>0</v>
      </c>
      <c r="F37" s="90">
        <f>Simp6!F16</f>
        <v>0</v>
      </c>
      <c r="G37" s="90">
        <f>Simp6!G16</f>
        <v>0</v>
      </c>
      <c r="H37" s="90">
        <f>Simp6!H16</f>
        <v>0</v>
      </c>
      <c r="I37" s="90">
        <f>Simp6!I16</f>
        <v>0</v>
      </c>
      <c r="J37" s="90">
        <f>Simp6!J16</f>
        <v>0</v>
      </c>
      <c r="K37" s="90">
        <f>Simp6!K16</f>
        <v>0</v>
      </c>
      <c r="L37" s="90">
        <f>Simp6!L16</f>
        <v>0</v>
      </c>
      <c r="M37" s="90">
        <f>Simp6!M16</f>
        <v>0</v>
      </c>
      <c r="N37" s="90">
        <f>Simp6!N16</f>
        <v>0</v>
      </c>
      <c r="O37" s="90">
        <f>Simp6!O16</f>
        <v>0</v>
      </c>
      <c r="P37" s="93">
        <f t="shared" si="7"/>
        <v>0</v>
      </c>
    </row>
    <row r="38" spans="3:16" ht="24.95" customHeight="1" x14ac:dyDescent="0.25">
      <c r="C38" s="92" t="s">
        <v>38</v>
      </c>
      <c r="D38" s="90">
        <f>Simp6!D17</f>
        <v>0</v>
      </c>
      <c r="E38" s="90">
        <f>Simp6!E17</f>
        <v>0</v>
      </c>
      <c r="F38" s="90">
        <f>Simp6!F17</f>
        <v>0</v>
      </c>
      <c r="G38" s="90">
        <f>Simp6!G17</f>
        <v>0</v>
      </c>
      <c r="H38" s="90">
        <f>Simp6!H17</f>
        <v>0</v>
      </c>
      <c r="I38" s="90">
        <f>Simp6!I17</f>
        <v>0</v>
      </c>
      <c r="J38" s="90">
        <f>Simp6!J17</f>
        <v>0</v>
      </c>
      <c r="K38" s="90">
        <f>Simp6!K17</f>
        <v>0</v>
      </c>
      <c r="L38" s="90">
        <f>Simp6!L17</f>
        <v>0</v>
      </c>
      <c r="M38" s="90">
        <f>Simp6!M17</f>
        <v>0</v>
      </c>
      <c r="N38" s="90">
        <f>Simp6!N17</f>
        <v>0</v>
      </c>
      <c r="O38" s="90">
        <f>Simp6!O17</f>
        <v>0</v>
      </c>
      <c r="P38" s="93">
        <f t="shared" si="7"/>
        <v>0</v>
      </c>
    </row>
    <row r="39" spans="3:16" ht="24.95" customHeight="1" x14ac:dyDescent="0.25">
      <c r="C39" s="92" t="s">
        <v>39</v>
      </c>
      <c r="D39" s="90">
        <f>Simp6!D18</f>
        <v>0</v>
      </c>
      <c r="E39" s="90">
        <f>Simp6!E18</f>
        <v>0</v>
      </c>
      <c r="F39" s="90">
        <f>Simp6!F18</f>
        <v>0</v>
      </c>
      <c r="G39" s="90">
        <f>Simp6!G18</f>
        <v>0</v>
      </c>
      <c r="H39" s="90">
        <f>Simp6!H18</f>
        <v>0</v>
      </c>
      <c r="I39" s="90">
        <f>Simp6!I18</f>
        <v>0</v>
      </c>
      <c r="J39" s="90">
        <f>Simp6!J18</f>
        <v>0</v>
      </c>
      <c r="K39" s="90">
        <f>Simp6!K18</f>
        <v>0</v>
      </c>
      <c r="L39" s="90">
        <f>Simp6!L18</f>
        <v>0</v>
      </c>
      <c r="M39" s="90">
        <f>Simp6!M18</f>
        <v>0</v>
      </c>
      <c r="N39" s="90">
        <f>Simp6!N18</f>
        <v>0</v>
      </c>
      <c r="O39" s="90">
        <f>Simp6!O18</f>
        <v>0</v>
      </c>
      <c r="P39" s="93">
        <f t="shared" si="7"/>
        <v>0</v>
      </c>
    </row>
    <row r="40" spans="3:16" ht="24.95" customHeight="1" x14ac:dyDescent="0.25">
      <c r="C40" s="92" t="s">
        <v>129</v>
      </c>
      <c r="D40" s="90">
        <f>Simp6!D19</f>
        <v>0</v>
      </c>
      <c r="E40" s="90">
        <f>Simp6!E19</f>
        <v>0</v>
      </c>
      <c r="F40" s="90">
        <f>Simp6!F19</f>
        <v>0</v>
      </c>
      <c r="G40" s="90">
        <f>Simp6!G19</f>
        <v>0</v>
      </c>
      <c r="H40" s="90">
        <f>Simp6!H19</f>
        <v>0</v>
      </c>
      <c r="I40" s="90">
        <f>Simp6!I19</f>
        <v>0</v>
      </c>
      <c r="J40" s="90">
        <f>Simp6!J19</f>
        <v>0</v>
      </c>
      <c r="K40" s="90">
        <f>Simp6!K19</f>
        <v>0</v>
      </c>
      <c r="L40" s="90">
        <f>Simp6!L19</f>
        <v>0</v>
      </c>
      <c r="M40" s="90">
        <f>Simp6!M19</f>
        <v>0</v>
      </c>
      <c r="N40" s="90">
        <f>Simp6!N19</f>
        <v>0</v>
      </c>
      <c r="O40" s="90">
        <f>Simp6!O19</f>
        <v>0</v>
      </c>
      <c r="P40" s="93">
        <f t="shared" si="7"/>
        <v>0</v>
      </c>
    </row>
    <row r="41" spans="3:16" ht="24.95" customHeight="1" x14ac:dyDescent="0.25">
      <c r="C41" s="92" t="s">
        <v>42</v>
      </c>
      <c r="D41" s="90">
        <f>Simp6!D20</f>
        <v>0</v>
      </c>
      <c r="E41" s="90">
        <f>Simp6!E20</f>
        <v>0</v>
      </c>
      <c r="F41" s="90">
        <f>Simp6!F20</f>
        <v>0</v>
      </c>
      <c r="G41" s="90">
        <f>Simp6!G20</f>
        <v>0</v>
      </c>
      <c r="H41" s="90">
        <f>Simp6!H20</f>
        <v>0</v>
      </c>
      <c r="I41" s="90">
        <f>Simp6!I20</f>
        <v>0</v>
      </c>
      <c r="J41" s="90">
        <f>Simp6!J20</f>
        <v>0</v>
      </c>
      <c r="K41" s="90">
        <f>Simp6!K20</f>
        <v>0</v>
      </c>
      <c r="L41" s="90">
        <f>Simp6!L20</f>
        <v>0</v>
      </c>
      <c r="M41" s="90">
        <f>Simp6!M20</f>
        <v>0</v>
      </c>
      <c r="N41" s="90">
        <f>Simp6!N20</f>
        <v>0</v>
      </c>
      <c r="O41" s="90">
        <f>Simp6!O20</f>
        <v>0</v>
      </c>
      <c r="P41" s="93">
        <f t="shared" si="7"/>
        <v>0</v>
      </c>
    </row>
    <row r="42" spans="3:16" ht="24.95" customHeight="1" x14ac:dyDescent="0.25">
      <c r="C42" s="94" t="s">
        <v>40</v>
      </c>
      <c r="D42" s="95">
        <f>Simp6!D21</f>
        <v>0</v>
      </c>
      <c r="E42" s="95">
        <f>Simp6!E21</f>
        <v>0</v>
      </c>
      <c r="F42" s="95">
        <f>Simp6!F21</f>
        <v>0</v>
      </c>
      <c r="G42" s="95">
        <f>Simp6!G21</f>
        <v>0</v>
      </c>
      <c r="H42" s="95">
        <f>Simp6!H21</f>
        <v>0</v>
      </c>
      <c r="I42" s="95">
        <f>Simp6!I21</f>
        <v>0</v>
      </c>
      <c r="J42" s="95">
        <f>Simp6!J21</f>
        <v>0</v>
      </c>
      <c r="K42" s="95">
        <f>Simp6!K21</f>
        <v>0</v>
      </c>
      <c r="L42" s="95">
        <f>Simp6!L21</f>
        <v>0</v>
      </c>
      <c r="M42" s="95">
        <f>Simp6!M21</f>
        <v>0</v>
      </c>
      <c r="N42" s="95">
        <f>Simp6!N21</f>
        <v>0</v>
      </c>
      <c r="O42" s="95">
        <f>Simp6!O21</f>
        <v>0</v>
      </c>
      <c r="P42" s="93">
        <f t="shared" si="7"/>
        <v>0</v>
      </c>
    </row>
    <row r="43" spans="3:16" ht="24.95" customHeight="1" x14ac:dyDescent="0.25">
      <c r="C43" s="96" t="s">
        <v>99</v>
      </c>
      <c r="D43" s="97">
        <f>SUM(D35:D42)</f>
        <v>0</v>
      </c>
      <c r="E43" s="97">
        <f t="shared" ref="E43:O43" si="8">SUM(E35:E42)</f>
        <v>0</v>
      </c>
      <c r="F43" s="97">
        <f t="shared" si="8"/>
        <v>0</v>
      </c>
      <c r="G43" s="97">
        <f t="shared" si="8"/>
        <v>0</v>
      </c>
      <c r="H43" s="97">
        <f t="shared" si="8"/>
        <v>0</v>
      </c>
      <c r="I43" s="97">
        <f t="shared" si="8"/>
        <v>0</v>
      </c>
      <c r="J43" s="97">
        <f t="shared" si="8"/>
        <v>0</v>
      </c>
      <c r="K43" s="97">
        <f t="shared" si="8"/>
        <v>0</v>
      </c>
      <c r="L43" s="97">
        <f t="shared" si="8"/>
        <v>0</v>
      </c>
      <c r="M43" s="97">
        <f t="shared" si="8"/>
        <v>0</v>
      </c>
      <c r="N43" s="97">
        <f t="shared" si="8"/>
        <v>0</v>
      </c>
      <c r="O43" s="97">
        <f t="shared" si="8"/>
        <v>0</v>
      </c>
      <c r="P43" s="98">
        <f t="shared" si="7"/>
        <v>0</v>
      </c>
    </row>
    <row r="44" spans="3:16" ht="24.95" customHeight="1" thickBot="1" x14ac:dyDescent="0.3">
      <c r="C44" s="180" t="s">
        <v>200</v>
      </c>
    </row>
    <row r="45" spans="3:16" ht="21.95" customHeight="1" x14ac:dyDescent="0.25">
      <c r="C45" s="85" t="s">
        <v>82</v>
      </c>
      <c r="D45" s="55" t="s">
        <v>83</v>
      </c>
      <c r="E45" s="55" t="s">
        <v>84</v>
      </c>
      <c r="F45" s="55" t="s">
        <v>85</v>
      </c>
      <c r="G45" s="55" t="s">
        <v>86</v>
      </c>
      <c r="H45" s="55" t="s">
        <v>87</v>
      </c>
      <c r="I45" s="55" t="s">
        <v>88</v>
      </c>
      <c r="J45" s="55" t="s">
        <v>89</v>
      </c>
      <c r="K45" s="55" t="s">
        <v>90</v>
      </c>
      <c r="L45" s="55" t="s">
        <v>91</v>
      </c>
      <c r="M45" s="55" t="s">
        <v>92</v>
      </c>
      <c r="N45" s="55" t="s">
        <v>93</v>
      </c>
      <c r="O45" s="55" t="s">
        <v>94</v>
      </c>
      <c r="P45" s="56" t="s">
        <v>294</v>
      </c>
    </row>
    <row r="46" spans="3:16" ht="24.95" customHeight="1" x14ac:dyDescent="0.25">
      <c r="C46" s="86" t="s">
        <v>149</v>
      </c>
      <c r="D46" s="186">
        <f>Cus!D5</f>
        <v>0</v>
      </c>
      <c r="E46" s="186">
        <f>Cus!E5</f>
        <v>0</v>
      </c>
      <c r="F46" s="186">
        <f>Cus!F5</f>
        <v>0</v>
      </c>
      <c r="G46" s="186">
        <f>Cus!G5</f>
        <v>0</v>
      </c>
      <c r="H46" s="186">
        <f>Cus!H5</f>
        <v>0</v>
      </c>
      <c r="I46" s="186">
        <f>Cus!I5</f>
        <v>0</v>
      </c>
      <c r="J46" s="186">
        <f>Cus!J5</f>
        <v>0</v>
      </c>
      <c r="K46" s="186">
        <f>Cus!K5</f>
        <v>0</v>
      </c>
      <c r="L46" s="186">
        <f>Cus!L5</f>
        <v>0</v>
      </c>
      <c r="M46" s="186">
        <f>Cus!M5</f>
        <v>0</v>
      </c>
      <c r="N46" s="186">
        <f>Cus!N5</f>
        <v>0</v>
      </c>
      <c r="O46" s="187">
        <f>Cus!O5</f>
        <v>0</v>
      </c>
      <c r="P46" s="91">
        <f>SUM(D46:O46)</f>
        <v>0</v>
      </c>
    </row>
    <row r="47" spans="3:16" ht="24.95" customHeight="1" x14ac:dyDescent="0.25">
      <c r="C47" s="92" t="s">
        <v>148</v>
      </c>
      <c r="D47" s="90">
        <f>Cus!D6</f>
        <v>38671</v>
      </c>
      <c r="E47" s="90">
        <f>Cus!E6</f>
        <v>35038</v>
      </c>
      <c r="F47" s="90">
        <f>Cus!F6</f>
        <v>38988</v>
      </c>
      <c r="G47" s="90">
        <f>Cus!G6</f>
        <v>36366</v>
      </c>
      <c r="H47" s="90">
        <f>Cus!H6</f>
        <v>36221</v>
      </c>
      <c r="I47" s="90">
        <f>Cus!I6</f>
        <v>36625</v>
      </c>
      <c r="J47" s="90">
        <f>Cus!J6</f>
        <v>37727</v>
      </c>
      <c r="K47" s="90">
        <f>Cus!K6</f>
        <v>38303</v>
      </c>
      <c r="L47" s="90">
        <f>Cus!L6</f>
        <v>39407</v>
      </c>
      <c r="M47" s="90">
        <f>Cus!M6</f>
        <v>36094</v>
      </c>
      <c r="N47" s="90">
        <f>Cus!N6</f>
        <v>37011</v>
      </c>
      <c r="O47" s="127">
        <f>Cus!O6</f>
        <v>39167</v>
      </c>
      <c r="P47" s="93">
        <f>SUM(D47:O47)</f>
        <v>449618</v>
      </c>
    </row>
    <row r="48" spans="3:16" ht="24.95" customHeight="1" x14ac:dyDescent="0.25">
      <c r="C48" s="148" t="s">
        <v>150</v>
      </c>
      <c r="D48" s="95">
        <f>Cus!D7</f>
        <v>0</v>
      </c>
      <c r="E48" s="95">
        <f>Cus!E7</f>
        <v>0</v>
      </c>
      <c r="F48" s="95">
        <f>Cus!F7</f>
        <v>0</v>
      </c>
      <c r="G48" s="95">
        <f>Cus!G7</f>
        <v>0</v>
      </c>
      <c r="H48" s="95">
        <f>Cus!H7</f>
        <v>0</v>
      </c>
      <c r="I48" s="95">
        <f>Cus!I7</f>
        <v>0</v>
      </c>
      <c r="J48" s="95">
        <f>Cus!J7</f>
        <v>0</v>
      </c>
      <c r="K48" s="95">
        <f>Cus!K7</f>
        <v>0</v>
      </c>
      <c r="L48" s="95">
        <f>Cus!L7</f>
        <v>0</v>
      </c>
      <c r="M48" s="95">
        <f>Cus!M7</f>
        <v>0</v>
      </c>
      <c r="N48" s="95">
        <f>Cus!N7</f>
        <v>0</v>
      </c>
      <c r="O48" s="128">
        <f>Cus!O7</f>
        <v>0</v>
      </c>
      <c r="P48" s="93">
        <f>SUM(D48:O48)</f>
        <v>0</v>
      </c>
    </row>
    <row r="49" spans="3:16" ht="24.95" customHeight="1" x14ac:dyDescent="0.25">
      <c r="C49" s="96" t="s">
        <v>99</v>
      </c>
      <c r="D49" s="97">
        <f>SUM(D46:D48)</f>
        <v>38671</v>
      </c>
      <c r="E49" s="97">
        <f t="shared" ref="E49:O49" si="9">SUM(E46:E48)</f>
        <v>35038</v>
      </c>
      <c r="F49" s="97">
        <f t="shared" si="9"/>
        <v>38988</v>
      </c>
      <c r="G49" s="97">
        <f t="shared" si="9"/>
        <v>36366</v>
      </c>
      <c r="H49" s="97">
        <f t="shared" si="9"/>
        <v>36221</v>
      </c>
      <c r="I49" s="97">
        <f t="shared" si="9"/>
        <v>36625</v>
      </c>
      <c r="J49" s="97">
        <f t="shared" si="9"/>
        <v>37727</v>
      </c>
      <c r="K49" s="97">
        <f t="shared" si="9"/>
        <v>38303</v>
      </c>
      <c r="L49" s="97">
        <f t="shared" si="9"/>
        <v>39407</v>
      </c>
      <c r="M49" s="97">
        <f t="shared" si="9"/>
        <v>36094</v>
      </c>
      <c r="N49" s="97">
        <f t="shared" si="9"/>
        <v>37011</v>
      </c>
      <c r="O49" s="97">
        <f t="shared" si="9"/>
        <v>39167</v>
      </c>
      <c r="P49" s="98">
        <f>SUM(D49:O49)</f>
        <v>449618</v>
      </c>
    </row>
    <row r="50" spans="3:16" ht="24.95" customHeight="1" thickBot="1" x14ac:dyDescent="0.3">
      <c r="C50" s="180" t="s">
        <v>201</v>
      </c>
    </row>
    <row r="51" spans="3:16" ht="21.95" customHeight="1" x14ac:dyDescent="0.25">
      <c r="C51" s="85" t="s">
        <v>82</v>
      </c>
      <c r="D51" s="55" t="s">
        <v>83</v>
      </c>
      <c r="E51" s="55" t="s">
        <v>84</v>
      </c>
      <c r="F51" s="55" t="s">
        <v>85</v>
      </c>
      <c r="G51" s="55" t="s">
        <v>86</v>
      </c>
      <c r="H51" s="55" t="s">
        <v>87</v>
      </c>
      <c r="I51" s="55" t="s">
        <v>88</v>
      </c>
      <c r="J51" s="55" t="s">
        <v>89</v>
      </c>
      <c r="K51" s="55" t="s">
        <v>90</v>
      </c>
      <c r="L51" s="55" t="s">
        <v>91</v>
      </c>
      <c r="M51" s="55" t="s">
        <v>92</v>
      </c>
      <c r="N51" s="55" t="s">
        <v>93</v>
      </c>
      <c r="O51" s="55" t="s">
        <v>94</v>
      </c>
      <c r="P51" s="56" t="s">
        <v>294</v>
      </c>
    </row>
    <row r="52" spans="3:16" ht="24.95" customHeight="1" x14ac:dyDescent="0.25">
      <c r="C52" s="86" t="s">
        <v>151</v>
      </c>
      <c r="D52" s="186">
        <f>Cus!D13</f>
        <v>12000</v>
      </c>
      <c r="E52" s="186">
        <f>Cus!E13</f>
        <v>12000</v>
      </c>
      <c r="F52" s="186">
        <f>Cus!F13</f>
        <v>12000</v>
      </c>
      <c r="G52" s="186">
        <f>Cus!G13</f>
        <v>12000</v>
      </c>
      <c r="H52" s="186">
        <f>Cus!H13</f>
        <v>12000</v>
      </c>
      <c r="I52" s="186">
        <f>Cus!I13</f>
        <v>12000</v>
      </c>
      <c r="J52" s="186">
        <f>Cus!J13</f>
        <v>12000</v>
      </c>
      <c r="K52" s="186">
        <f>Cus!K13</f>
        <v>12000</v>
      </c>
      <c r="L52" s="186">
        <f>Cus!L13</f>
        <v>12000</v>
      </c>
      <c r="M52" s="186">
        <f>Cus!M13</f>
        <v>12000</v>
      </c>
      <c r="N52" s="186">
        <f>Cus!N13</f>
        <v>12000</v>
      </c>
      <c r="O52" s="187">
        <f>Cus!O13</f>
        <v>12000</v>
      </c>
      <c r="P52" s="91">
        <f t="shared" ref="P52:P57" si="10">SUM(D52:O52)</f>
        <v>144000</v>
      </c>
    </row>
    <row r="53" spans="3:16" ht="24.95" customHeight="1" x14ac:dyDescent="0.25">
      <c r="C53" s="92" t="s">
        <v>152</v>
      </c>
      <c r="D53" s="90">
        <f>Cus!D14</f>
        <v>0</v>
      </c>
      <c r="E53" s="90">
        <f>Cus!E14</f>
        <v>0</v>
      </c>
      <c r="F53" s="90">
        <f>Cus!F14</f>
        <v>0</v>
      </c>
      <c r="G53" s="90">
        <f>Cus!G14</f>
        <v>0</v>
      </c>
      <c r="H53" s="90">
        <f>Cus!H14</f>
        <v>0</v>
      </c>
      <c r="I53" s="90">
        <f>Cus!I14</f>
        <v>0</v>
      </c>
      <c r="J53" s="90">
        <f>Cus!J14</f>
        <v>0</v>
      </c>
      <c r="K53" s="90">
        <f>Cus!K14</f>
        <v>0</v>
      </c>
      <c r="L53" s="90">
        <f>Cus!L14</f>
        <v>0</v>
      </c>
      <c r="M53" s="90">
        <f>Cus!M14</f>
        <v>0</v>
      </c>
      <c r="N53" s="90">
        <f>Cus!N14</f>
        <v>0</v>
      </c>
      <c r="O53" s="127">
        <f>Cus!O14</f>
        <v>0</v>
      </c>
      <c r="P53" s="93">
        <f t="shared" si="10"/>
        <v>0</v>
      </c>
    </row>
    <row r="54" spans="3:16" ht="24.95" customHeight="1" x14ac:dyDescent="0.25">
      <c r="C54" s="92" t="s">
        <v>129</v>
      </c>
      <c r="D54" s="90">
        <f>Cus!D15</f>
        <v>2400</v>
      </c>
      <c r="E54" s="90">
        <f>Cus!E15</f>
        <v>2400</v>
      </c>
      <c r="F54" s="90">
        <f>Cus!F15</f>
        <v>2400</v>
      </c>
      <c r="G54" s="90">
        <f>Cus!G15</f>
        <v>2400</v>
      </c>
      <c r="H54" s="90">
        <f>Cus!H15</f>
        <v>2400</v>
      </c>
      <c r="I54" s="90">
        <f>Cus!I15</f>
        <v>2400</v>
      </c>
      <c r="J54" s="90">
        <f>Cus!J15</f>
        <v>2400</v>
      </c>
      <c r="K54" s="90">
        <f>Cus!K15</f>
        <v>2400</v>
      </c>
      <c r="L54" s="90">
        <f>Cus!L15</f>
        <v>2400</v>
      </c>
      <c r="M54" s="90">
        <f>Cus!M15</f>
        <v>2400</v>
      </c>
      <c r="N54" s="90">
        <f>Cus!N15</f>
        <v>2400</v>
      </c>
      <c r="O54" s="127">
        <f>Cus!O15</f>
        <v>2400</v>
      </c>
      <c r="P54" s="93">
        <f t="shared" si="10"/>
        <v>28800</v>
      </c>
    </row>
    <row r="55" spans="3:16" ht="24.95" customHeight="1" x14ac:dyDescent="0.25">
      <c r="C55" s="92" t="s">
        <v>153</v>
      </c>
      <c r="D55" s="90">
        <f>Cus!D16</f>
        <v>696</v>
      </c>
      <c r="E55" s="90">
        <f>Cus!E16</f>
        <v>696</v>
      </c>
      <c r="F55" s="90">
        <f>Cus!F16</f>
        <v>696</v>
      </c>
      <c r="G55" s="90">
        <f>Cus!G16</f>
        <v>696</v>
      </c>
      <c r="H55" s="90">
        <f>Cus!H16</f>
        <v>696</v>
      </c>
      <c r="I55" s="90">
        <f>Cus!I16</f>
        <v>696</v>
      </c>
      <c r="J55" s="90">
        <f>Cus!J16</f>
        <v>696</v>
      </c>
      <c r="K55" s="90">
        <f>Cus!K16</f>
        <v>696</v>
      </c>
      <c r="L55" s="90">
        <f>Cus!L16</f>
        <v>696</v>
      </c>
      <c r="M55" s="90">
        <f>Cus!M16</f>
        <v>696</v>
      </c>
      <c r="N55" s="90">
        <f>Cus!N16</f>
        <v>696</v>
      </c>
      <c r="O55" s="127">
        <f>Cus!O16</f>
        <v>696</v>
      </c>
      <c r="P55" s="93">
        <f t="shared" si="10"/>
        <v>8352</v>
      </c>
    </row>
    <row r="56" spans="3:16" ht="24.95" customHeight="1" x14ac:dyDescent="0.25">
      <c r="C56" s="92" t="s">
        <v>154</v>
      </c>
      <c r="D56" s="90">
        <f>Cus!D17</f>
        <v>240</v>
      </c>
      <c r="E56" s="90">
        <f>Cus!E17</f>
        <v>240</v>
      </c>
      <c r="F56" s="90">
        <f>Cus!F17</f>
        <v>240</v>
      </c>
      <c r="G56" s="90">
        <f>Cus!G17</f>
        <v>240</v>
      </c>
      <c r="H56" s="90">
        <f>Cus!H17</f>
        <v>240</v>
      </c>
      <c r="I56" s="90">
        <f>Cus!I17</f>
        <v>240</v>
      </c>
      <c r="J56" s="90">
        <f>Cus!J17</f>
        <v>240</v>
      </c>
      <c r="K56" s="90">
        <f>Cus!K17</f>
        <v>240</v>
      </c>
      <c r="L56" s="90">
        <f>Cus!L17</f>
        <v>240</v>
      </c>
      <c r="M56" s="90">
        <f>Cus!M17</f>
        <v>240</v>
      </c>
      <c r="N56" s="90">
        <f>Cus!N17</f>
        <v>240</v>
      </c>
      <c r="O56" s="127">
        <f>Cus!O17</f>
        <v>240</v>
      </c>
      <c r="P56" s="93">
        <f t="shared" si="10"/>
        <v>2880</v>
      </c>
    </row>
    <row r="57" spans="3:16" ht="24.95" customHeight="1" x14ac:dyDescent="0.25">
      <c r="C57" s="94" t="s">
        <v>155</v>
      </c>
      <c r="D57" s="95">
        <f>Cus!D18</f>
        <v>960</v>
      </c>
      <c r="E57" s="95">
        <f>Cus!E18</f>
        <v>960</v>
      </c>
      <c r="F57" s="95">
        <f>Cus!F18</f>
        <v>960</v>
      </c>
      <c r="G57" s="95">
        <f>Cus!G18</f>
        <v>960</v>
      </c>
      <c r="H57" s="95">
        <f>Cus!H18</f>
        <v>960</v>
      </c>
      <c r="I57" s="95">
        <f>Cus!I18</f>
        <v>960</v>
      </c>
      <c r="J57" s="95">
        <f>Cus!J18</f>
        <v>960</v>
      </c>
      <c r="K57" s="95">
        <f>Cus!K18</f>
        <v>960</v>
      </c>
      <c r="L57" s="95">
        <f>Cus!L18</f>
        <v>960</v>
      </c>
      <c r="M57" s="95">
        <f>Cus!M18</f>
        <v>960</v>
      </c>
      <c r="N57" s="95">
        <f>Cus!N18</f>
        <v>960</v>
      </c>
      <c r="O57" s="128">
        <f>Cus!O18</f>
        <v>960</v>
      </c>
      <c r="P57" s="93">
        <f t="shared" si="10"/>
        <v>11520</v>
      </c>
    </row>
    <row r="58" spans="3:16" ht="24.95" customHeight="1" x14ac:dyDescent="0.25">
      <c r="C58" s="96" t="s">
        <v>99</v>
      </c>
      <c r="D58" s="97">
        <f>SUM(D52:D57)</f>
        <v>16296</v>
      </c>
      <c r="E58" s="97">
        <f t="shared" ref="E58:O58" si="11">SUM(E52:E57)</f>
        <v>16296</v>
      </c>
      <c r="F58" s="97">
        <f t="shared" si="11"/>
        <v>16296</v>
      </c>
      <c r="G58" s="97">
        <f t="shared" si="11"/>
        <v>16296</v>
      </c>
      <c r="H58" s="97">
        <f t="shared" si="11"/>
        <v>16296</v>
      </c>
      <c r="I58" s="97">
        <f t="shared" si="11"/>
        <v>16296</v>
      </c>
      <c r="J58" s="97">
        <f t="shared" si="11"/>
        <v>16296</v>
      </c>
      <c r="K58" s="97">
        <f t="shared" si="11"/>
        <v>16296</v>
      </c>
      <c r="L58" s="97">
        <f t="shared" si="11"/>
        <v>16296</v>
      </c>
      <c r="M58" s="97">
        <f t="shared" si="11"/>
        <v>16296</v>
      </c>
      <c r="N58" s="97">
        <f t="shared" si="11"/>
        <v>16296</v>
      </c>
      <c r="O58" s="97">
        <f t="shared" si="11"/>
        <v>16296</v>
      </c>
      <c r="P58" s="98">
        <f>SUM(D58:O58)</f>
        <v>195552</v>
      </c>
    </row>
    <row r="59" spans="3:16" ht="24.95" customHeight="1" thickBot="1" x14ac:dyDescent="0.3">
      <c r="C59" s="180" t="s">
        <v>202</v>
      </c>
    </row>
    <row r="60" spans="3:16" ht="21.95" customHeight="1" x14ac:dyDescent="0.25">
      <c r="C60" s="85" t="s">
        <v>82</v>
      </c>
      <c r="D60" s="55" t="s">
        <v>83</v>
      </c>
      <c r="E60" s="55" t="s">
        <v>84</v>
      </c>
      <c r="F60" s="55" t="s">
        <v>85</v>
      </c>
      <c r="G60" s="55" t="s">
        <v>86</v>
      </c>
      <c r="H60" s="55" t="s">
        <v>87</v>
      </c>
      <c r="I60" s="55" t="s">
        <v>88</v>
      </c>
      <c r="J60" s="55" t="s">
        <v>89</v>
      </c>
      <c r="K60" s="55" t="s">
        <v>90</v>
      </c>
      <c r="L60" s="55" t="s">
        <v>91</v>
      </c>
      <c r="M60" s="55" t="s">
        <v>92</v>
      </c>
      <c r="N60" s="55" t="s">
        <v>93</v>
      </c>
      <c r="O60" s="55" t="s">
        <v>94</v>
      </c>
      <c r="P60" s="56" t="s">
        <v>294</v>
      </c>
    </row>
    <row r="61" spans="3:16" ht="24.95" customHeight="1" x14ac:dyDescent="0.25">
      <c r="C61" s="175" t="s">
        <v>156</v>
      </c>
      <c r="D61" s="186">
        <f>Desp!D5</f>
        <v>26739</v>
      </c>
      <c r="E61" s="186">
        <f>Desp!E5</f>
        <v>27419</v>
      </c>
      <c r="F61" s="186">
        <f>Desp!F5</f>
        <v>25474</v>
      </c>
      <c r="G61" s="186">
        <f>Desp!G5</f>
        <v>27975</v>
      </c>
      <c r="H61" s="186">
        <f>Desp!H5</f>
        <v>26284</v>
      </c>
      <c r="I61" s="186">
        <f>Desp!I5</f>
        <v>27556</v>
      </c>
      <c r="J61" s="186">
        <f>Desp!J5</f>
        <v>27311</v>
      </c>
      <c r="K61" s="186">
        <f>Desp!K5</f>
        <v>27931</v>
      </c>
      <c r="L61" s="186">
        <f>Desp!L5</f>
        <v>26172</v>
      </c>
      <c r="M61" s="186">
        <f>Desp!M5</f>
        <v>27441</v>
      </c>
      <c r="N61" s="186">
        <f>Desp!N5</f>
        <v>27567</v>
      </c>
      <c r="O61" s="187">
        <f>Desp!O5</f>
        <v>27298</v>
      </c>
      <c r="P61" s="93">
        <f t="shared" ref="P61:P68" si="12">SUM(D61:O61)</f>
        <v>325167</v>
      </c>
    </row>
    <row r="62" spans="3:16" ht="24.95" customHeight="1" x14ac:dyDescent="0.25">
      <c r="C62" s="176" t="s">
        <v>157</v>
      </c>
      <c r="D62" s="90">
        <f>Desp!D6</f>
        <v>0</v>
      </c>
      <c r="E62" s="90">
        <f>Desp!E6</f>
        <v>0</v>
      </c>
      <c r="F62" s="90">
        <f>Desp!F6</f>
        <v>0</v>
      </c>
      <c r="G62" s="90">
        <f>Desp!G6</f>
        <v>0</v>
      </c>
      <c r="H62" s="90">
        <f>Desp!H6</f>
        <v>0</v>
      </c>
      <c r="I62" s="90">
        <f>Desp!I6</f>
        <v>0</v>
      </c>
      <c r="J62" s="90">
        <f>Desp!J6</f>
        <v>0</v>
      </c>
      <c r="K62" s="90">
        <f>Desp!K6</f>
        <v>0</v>
      </c>
      <c r="L62" s="90">
        <f>Desp!L6</f>
        <v>0</v>
      </c>
      <c r="M62" s="90">
        <f>Desp!M6</f>
        <v>0</v>
      </c>
      <c r="N62" s="90">
        <f>Desp!N6</f>
        <v>0</v>
      </c>
      <c r="O62" s="127">
        <f>Desp!O6</f>
        <v>0</v>
      </c>
      <c r="P62" s="93">
        <f t="shared" si="12"/>
        <v>0</v>
      </c>
    </row>
    <row r="63" spans="3:16" ht="24.95" customHeight="1" x14ac:dyDescent="0.25">
      <c r="C63" s="176" t="s">
        <v>158</v>
      </c>
      <c r="D63" s="90">
        <f>Desp!D7</f>
        <v>0</v>
      </c>
      <c r="E63" s="90">
        <f>Desp!E7</f>
        <v>0</v>
      </c>
      <c r="F63" s="90">
        <f>Desp!F7</f>
        <v>0</v>
      </c>
      <c r="G63" s="90">
        <f>Desp!G7</f>
        <v>0</v>
      </c>
      <c r="H63" s="90">
        <f>Desp!H7</f>
        <v>0</v>
      </c>
      <c r="I63" s="90">
        <f>Desp!I7</f>
        <v>0</v>
      </c>
      <c r="J63" s="90">
        <f>Desp!J7</f>
        <v>0</v>
      </c>
      <c r="K63" s="90">
        <f>Desp!K7</f>
        <v>0</v>
      </c>
      <c r="L63" s="90">
        <f>Desp!L7</f>
        <v>0</v>
      </c>
      <c r="M63" s="90">
        <f>Desp!M7</f>
        <v>0</v>
      </c>
      <c r="N63" s="90">
        <f>Desp!N7</f>
        <v>0</v>
      </c>
      <c r="O63" s="127">
        <f>Desp!O7</f>
        <v>0</v>
      </c>
      <c r="P63" s="93">
        <f t="shared" si="12"/>
        <v>0</v>
      </c>
    </row>
    <row r="64" spans="3:16" ht="24.95" customHeight="1" x14ac:dyDescent="0.25">
      <c r="C64" s="176" t="s">
        <v>159</v>
      </c>
      <c r="D64" s="90">
        <f>Desp!D8</f>
        <v>0</v>
      </c>
      <c r="E64" s="90">
        <f>Desp!E8</f>
        <v>0</v>
      </c>
      <c r="F64" s="90">
        <f>Desp!F8</f>
        <v>0</v>
      </c>
      <c r="G64" s="90">
        <f>Desp!G8</f>
        <v>0</v>
      </c>
      <c r="H64" s="90">
        <f>Desp!H8</f>
        <v>0</v>
      </c>
      <c r="I64" s="90">
        <f>Desp!I8</f>
        <v>0</v>
      </c>
      <c r="J64" s="90">
        <f>Desp!J8</f>
        <v>0</v>
      </c>
      <c r="K64" s="90">
        <f>Desp!K8</f>
        <v>0</v>
      </c>
      <c r="L64" s="90">
        <f>Desp!L8</f>
        <v>0</v>
      </c>
      <c r="M64" s="90">
        <f>Desp!M8</f>
        <v>0</v>
      </c>
      <c r="N64" s="90">
        <f>Desp!N8</f>
        <v>0</v>
      </c>
      <c r="O64" s="127">
        <f>Desp!O8</f>
        <v>0</v>
      </c>
      <c r="P64" s="93">
        <f t="shared" si="12"/>
        <v>0</v>
      </c>
    </row>
    <row r="65" spans="3:16" ht="24.95" customHeight="1" x14ac:dyDescent="0.25">
      <c r="C65" s="176" t="s">
        <v>160</v>
      </c>
      <c r="D65" s="90">
        <f>Desp!D9</f>
        <v>0</v>
      </c>
      <c r="E65" s="90">
        <f>Desp!E9</f>
        <v>0</v>
      </c>
      <c r="F65" s="90">
        <f>Desp!F9</f>
        <v>0</v>
      </c>
      <c r="G65" s="90">
        <f>Desp!G9</f>
        <v>0</v>
      </c>
      <c r="H65" s="90">
        <f>Desp!H9</f>
        <v>0</v>
      </c>
      <c r="I65" s="90">
        <f>Desp!I9</f>
        <v>0</v>
      </c>
      <c r="J65" s="90">
        <f>Desp!J9</f>
        <v>0</v>
      </c>
      <c r="K65" s="90">
        <f>Desp!K9</f>
        <v>0</v>
      </c>
      <c r="L65" s="90">
        <f>Desp!L9</f>
        <v>0</v>
      </c>
      <c r="M65" s="90">
        <f>Desp!M9</f>
        <v>0</v>
      </c>
      <c r="N65" s="90">
        <f>Desp!N9</f>
        <v>0</v>
      </c>
      <c r="O65" s="127">
        <f>Desp!O9</f>
        <v>0</v>
      </c>
      <c r="P65" s="93">
        <f t="shared" si="12"/>
        <v>0</v>
      </c>
    </row>
    <row r="66" spans="3:16" ht="24.95" customHeight="1" x14ac:dyDescent="0.25">
      <c r="C66" s="176" t="s">
        <v>161</v>
      </c>
      <c r="D66" s="90">
        <f>Desp!D10</f>
        <v>0</v>
      </c>
      <c r="E66" s="90">
        <f>Desp!E10</f>
        <v>0</v>
      </c>
      <c r="F66" s="90">
        <f>Desp!F10</f>
        <v>0</v>
      </c>
      <c r="G66" s="90">
        <f>Desp!G10</f>
        <v>0</v>
      </c>
      <c r="H66" s="90">
        <f>Desp!H10</f>
        <v>0</v>
      </c>
      <c r="I66" s="90">
        <f>Desp!I10</f>
        <v>0</v>
      </c>
      <c r="J66" s="90">
        <f>Desp!J10</f>
        <v>0</v>
      </c>
      <c r="K66" s="90">
        <f>Desp!K10</f>
        <v>0</v>
      </c>
      <c r="L66" s="90">
        <f>Desp!L10</f>
        <v>0</v>
      </c>
      <c r="M66" s="90">
        <f>Desp!M10</f>
        <v>0</v>
      </c>
      <c r="N66" s="90">
        <f>Desp!N10</f>
        <v>0</v>
      </c>
      <c r="O66" s="127">
        <f>Desp!O10</f>
        <v>0</v>
      </c>
      <c r="P66" s="93">
        <f t="shared" si="12"/>
        <v>0</v>
      </c>
    </row>
    <row r="67" spans="3:16" ht="24.95" customHeight="1" x14ac:dyDescent="0.25">
      <c r="C67" s="176" t="s">
        <v>162</v>
      </c>
      <c r="D67" s="90">
        <f>Desp!D11</f>
        <v>0</v>
      </c>
      <c r="E67" s="90">
        <f>Desp!E11</f>
        <v>0</v>
      </c>
      <c r="F67" s="90">
        <f>Desp!F11</f>
        <v>0</v>
      </c>
      <c r="G67" s="90">
        <f>Desp!G11</f>
        <v>0</v>
      </c>
      <c r="H67" s="90">
        <f>Desp!H11</f>
        <v>0</v>
      </c>
      <c r="I67" s="90">
        <f>Desp!I11</f>
        <v>0</v>
      </c>
      <c r="J67" s="90">
        <f>Desp!J11</f>
        <v>0</v>
      </c>
      <c r="K67" s="90">
        <f>Desp!K11</f>
        <v>0</v>
      </c>
      <c r="L67" s="90">
        <f>Desp!L11</f>
        <v>0</v>
      </c>
      <c r="M67" s="90">
        <f>Desp!M11</f>
        <v>0</v>
      </c>
      <c r="N67" s="90">
        <f>Desp!N11</f>
        <v>0</v>
      </c>
      <c r="O67" s="127">
        <f>Desp!O11</f>
        <v>0</v>
      </c>
      <c r="P67" s="93">
        <f t="shared" si="12"/>
        <v>0</v>
      </c>
    </row>
    <row r="68" spans="3:16" ht="24.95" customHeight="1" x14ac:dyDescent="0.25">
      <c r="C68" s="177" t="s">
        <v>163</v>
      </c>
      <c r="D68" s="95">
        <f>Desp!D12</f>
        <v>0</v>
      </c>
      <c r="E68" s="95">
        <f>Desp!E12</f>
        <v>0</v>
      </c>
      <c r="F68" s="95">
        <f>Desp!F12</f>
        <v>0</v>
      </c>
      <c r="G68" s="95">
        <f>Desp!G12</f>
        <v>0</v>
      </c>
      <c r="H68" s="95">
        <f>Desp!H12</f>
        <v>0</v>
      </c>
      <c r="I68" s="95">
        <f>Desp!I12</f>
        <v>0</v>
      </c>
      <c r="J68" s="95">
        <f>Desp!J12</f>
        <v>0</v>
      </c>
      <c r="K68" s="95">
        <f>Desp!K12</f>
        <v>0</v>
      </c>
      <c r="L68" s="95">
        <f>Desp!L12</f>
        <v>0</v>
      </c>
      <c r="M68" s="95">
        <f>Desp!M12</f>
        <v>0</v>
      </c>
      <c r="N68" s="95">
        <f>Desp!N12</f>
        <v>0</v>
      </c>
      <c r="O68" s="128">
        <f>Desp!O12</f>
        <v>0</v>
      </c>
      <c r="P68" s="93">
        <f t="shared" si="12"/>
        <v>0</v>
      </c>
    </row>
    <row r="69" spans="3:16" ht="24.95" customHeight="1" x14ac:dyDescent="0.25">
      <c r="C69" s="96" t="s">
        <v>99</v>
      </c>
      <c r="D69" s="97">
        <f>SUM(D61:D68)</f>
        <v>26739</v>
      </c>
      <c r="E69" s="97">
        <f t="shared" ref="E69:O69" si="13">SUM(E61:E68)</f>
        <v>27419</v>
      </c>
      <c r="F69" s="97">
        <f t="shared" si="13"/>
        <v>25474</v>
      </c>
      <c r="G69" s="97">
        <f t="shared" si="13"/>
        <v>27975</v>
      </c>
      <c r="H69" s="97">
        <f t="shared" si="13"/>
        <v>26284</v>
      </c>
      <c r="I69" s="97">
        <f t="shared" si="13"/>
        <v>27556</v>
      </c>
      <c r="J69" s="97">
        <f t="shared" si="13"/>
        <v>27311</v>
      </c>
      <c r="K69" s="97">
        <f t="shared" si="13"/>
        <v>27931</v>
      </c>
      <c r="L69" s="97">
        <f t="shared" si="13"/>
        <v>26172</v>
      </c>
      <c r="M69" s="97">
        <f t="shared" si="13"/>
        <v>27441</v>
      </c>
      <c r="N69" s="97">
        <f t="shared" si="13"/>
        <v>27567</v>
      </c>
      <c r="O69" s="97">
        <f t="shared" si="13"/>
        <v>27298</v>
      </c>
      <c r="P69" s="98">
        <f>SUM(D69:O69)</f>
        <v>325167</v>
      </c>
    </row>
    <row r="70" spans="3:16" ht="24.95" customHeight="1" thickBot="1" x14ac:dyDescent="0.3">
      <c r="C70" s="180" t="s">
        <v>203</v>
      </c>
    </row>
    <row r="71" spans="3:16" ht="21.95" customHeight="1" x14ac:dyDescent="0.25">
      <c r="C71" s="85" t="s">
        <v>82</v>
      </c>
      <c r="D71" s="55" t="s">
        <v>83</v>
      </c>
      <c r="E71" s="55" t="s">
        <v>84</v>
      </c>
      <c r="F71" s="55" t="s">
        <v>85</v>
      </c>
      <c r="G71" s="55" t="s">
        <v>86</v>
      </c>
      <c r="H71" s="55" t="s">
        <v>87</v>
      </c>
      <c r="I71" s="55" t="s">
        <v>88</v>
      </c>
      <c r="J71" s="55" t="s">
        <v>89</v>
      </c>
      <c r="K71" s="55" t="s">
        <v>90</v>
      </c>
      <c r="L71" s="55" t="s">
        <v>91</v>
      </c>
      <c r="M71" s="55" t="s">
        <v>92</v>
      </c>
      <c r="N71" s="55" t="s">
        <v>93</v>
      </c>
      <c r="O71" s="55" t="s">
        <v>94</v>
      </c>
      <c r="P71" s="56" t="s">
        <v>294</v>
      </c>
    </row>
    <row r="72" spans="3:16" ht="24.95" customHeight="1" x14ac:dyDescent="0.25">
      <c r="C72" s="86" t="s">
        <v>102</v>
      </c>
      <c r="D72" s="186">
        <f>Desp!D16</f>
        <v>0</v>
      </c>
      <c r="E72" s="186">
        <f>Desp!E16</f>
        <v>0</v>
      </c>
      <c r="F72" s="186">
        <f>Desp!F16</f>
        <v>0</v>
      </c>
      <c r="G72" s="186">
        <f>Desp!G16</f>
        <v>0</v>
      </c>
      <c r="H72" s="186">
        <f>Desp!H16</f>
        <v>0</v>
      </c>
      <c r="I72" s="186">
        <f>Desp!I16</f>
        <v>0</v>
      </c>
      <c r="J72" s="186">
        <f>Desp!J16</f>
        <v>0</v>
      </c>
      <c r="K72" s="186">
        <f>Desp!K16</f>
        <v>0</v>
      </c>
      <c r="L72" s="186">
        <f>Desp!L16</f>
        <v>0</v>
      </c>
      <c r="M72" s="186">
        <f>Desp!M16</f>
        <v>0</v>
      </c>
      <c r="N72" s="186">
        <f>Desp!N16</f>
        <v>0</v>
      </c>
      <c r="O72" s="186">
        <f>Desp!O16</f>
        <v>0</v>
      </c>
      <c r="P72" s="91">
        <f>SUM(D72:O72)</f>
        <v>0</v>
      </c>
    </row>
    <row r="73" spans="3:16" ht="24.95" customHeight="1" x14ac:dyDescent="0.25">
      <c r="C73" s="92" t="s">
        <v>103</v>
      </c>
      <c r="D73" s="90">
        <f>Desp!D17</f>
        <v>0</v>
      </c>
      <c r="E73" s="90">
        <f>Desp!E17</f>
        <v>0</v>
      </c>
      <c r="F73" s="90">
        <f>Desp!F17</f>
        <v>0</v>
      </c>
      <c r="G73" s="90">
        <f>Desp!G17</f>
        <v>0</v>
      </c>
      <c r="H73" s="90">
        <f>Desp!H17</f>
        <v>0</v>
      </c>
      <c r="I73" s="90">
        <f>Desp!I17</f>
        <v>0</v>
      </c>
      <c r="J73" s="90">
        <f>Desp!J17</f>
        <v>0</v>
      </c>
      <c r="K73" s="90">
        <f>Desp!K17</f>
        <v>0</v>
      </c>
      <c r="L73" s="90">
        <f>Desp!L17</f>
        <v>0</v>
      </c>
      <c r="M73" s="90">
        <f>Desp!M17</f>
        <v>0</v>
      </c>
      <c r="N73" s="90">
        <f>Desp!N17</f>
        <v>0</v>
      </c>
      <c r="O73" s="90">
        <f>Desp!O17</f>
        <v>0</v>
      </c>
      <c r="P73" s="93">
        <f>SUM(D73:O73)</f>
        <v>0</v>
      </c>
    </row>
    <row r="74" spans="3:16" ht="24.95" customHeight="1" x14ac:dyDescent="0.25">
      <c r="C74" s="94" t="s">
        <v>104</v>
      </c>
      <c r="D74" s="95">
        <f>Desp!D18</f>
        <v>0</v>
      </c>
      <c r="E74" s="95">
        <f>Desp!E18</f>
        <v>0</v>
      </c>
      <c r="F74" s="95">
        <f>Desp!F18</f>
        <v>0</v>
      </c>
      <c r="G74" s="95">
        <f>Desp!G18</f>
        <v>0</v>
      </c>
      <c r="H74" s="95">
        <f>Desp!H18</f>
        <v>0</v>
      </c>
      <c r="I74" s="95">
        <f>Desp!I18</f>
        <v>0</v>
      </c>
      <c r="J74" s="95">
        <f>Desp!J18</f>
        <v>0</v>
      </c>
      <c r="K74" s="95">
        <f>Desp!K18</f>
        <v>0</v>
      </c>
      <c r="L74" s="95">
        <f>Desp!L18</f>
        <v>0</v>
      </c>
      <c r="M74" s="95">
        <f>Desp!M18</f>
        <v>0</v>
      </c>
      <c r="N74" s="95">
        <f>Desp!N18</f>
        <v>0</v>
      </c>
      <c r="O74" s="95">
        <f>Desp!O18</f>
        <v>0</v>
      </c>
      <c r="P74" s="93">
        <f>SUM(D74:O74)</f>
        <v>0</v>
      </c>
    </row>
    <row r="75" spans="3:16" ht="24.95" customHeight="1" x14ac:dyDescent="0.25">
      <c r="C75" s="96" t="s">
        <v>99</v>
      </c>
      <c r="D75" s="97">
        <f>SUM(D72:D74)</f>
        <v>0</v>
      </c>
      <c r="E75" s="97">
        <f t="shared" ref="E75:O75" si="14">SUM(E72:E74)</f>
        <v>0</v>
      </c>
      <c r="F75" s="97">
        <f t="shared" si="14"/>
        <v>0</v>
      </c>
      <c r="G75" s="97">
        <f t="shared" si="14"/>
        <v>0</v>
      </c>
      <c r="H75" s="97">
        <f t="shared" si="14"/>
        <v>0</v>
      </c>
      <c r="I75" s="97">
        <f t="shared" si="14"/>
        <v>0</v>
      </c>
      <c r="J75" s="97">
        <f t="shared" si="14"/>
        <v>0</v>
      </c>
      <c r="K75" s="97">
        <f t="shared" si="14"/>
        <v>0</v>
      </c>
      <c r="L75" s="97">
        <f t="shared" si="14"/>
        <v>0</v>
      </c>
      <c r="M75" s="97">
        <f t="shared" si="14"/>
        <v>0</v>
      </c>
      <c r="N75" s="97">
        <f t="shared" si="14"/>
        <v>0</v>
      </c>
      <c r="O75" s="97">
        <f t="shared" si="14"/>
        <v>0</v>
      </c>
      <c r="P75" s="98">
        <f>SUM(D75:O75)</f>
        <v>0</v>
      </c>
    </row>
  </sheetData>
  <sheetProtection sheet="1" objects="1" scenarios="1" selectLockedCells="1" selectUnlockedCells="1"/>
  <pageMargins left="0.25" right="0.25" top="0.75" bottom="0.75" header="0.3" footer="0.3"/>
  <pageSetup paperSize="9" scale="53" fitToHeight="0"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Planilha49">
    <tabColor rgb="FF00B050"/>
    <pageSetUpPr fitToPage="1"/>
  </sheetPr>
  <dimension ref="C1:P21"/>
  <sheetViews>
    <sheetView showGridLines="0" showRowColHeaders="0" workbookViewId="0">
      <pane ySplit="4" topLeftCell="A5" activePane="bottomLeft" state="frozen"/>
      <selection activeCell="S7" sqref="S7"/>
      <selection pane="bottomLeft"/>
    </sheetView>
  </sheetViews>
  <sheetFormatPr defaultRowHeight="24.95" customHeight="1" x14ac:dyDescent="0.25"/>
  <cols>
    <col min="1" max="2" width="1.7109375" style="18" customWidth="1"/>
    <col min="3" max="3" width="13.7109375" style="18" customWidth="1"/>
    <col min="4" max="16" width="13.140625" style="18" customWidth="1"/>
    <col min="17" max="16384" width="9.140625" style="18"/>
  </cols>
  <sheetData>
    <row r="1" spans="3:16" s="1" customFormat="1" ht="35.1" customHeight="1" x14ac:dyDescent="0.25"/>
    <row r="2" spans="3:16" s="3" customFormat="1" ht="30" customHeight="1" x14ac:dyDescent="0.25"/>
    <row r="3" spans="3:16" s="181" customFormat="1" ht="50.1" customHeight="1" thickBot="1" x14ac:dyDescent="0.3">
      <c r="C3" s="227" t="s">
        <v>279</v>
      </c>
    </row>
    <row r="4" spans="3:16" ht="21.95" customHeight="1" x14ac:dyDescent="0.25">
      <c r="C4" s="85" t="s">
        <v>82</v>
      </c>
      <c r="D4" s="55" t="s">
        <v>83</v>
      </c>
      <c r="E4" s="55" t="s">
        <v>84</v>
      </c>
      <c r="F4" s="55" t="s">
        <v>85</v>
      </c>
      <c r="G4" s="55" t="s">
        <v>86</v>
      </c>
      <c r="H4" s="55" t="s">
        <v>87</v>
      </c>
      <c r="I4" s="55" t="s">
        <v>88</v>
      </c>
      <c r="J4" s="55" t="s">
        <v>89</v>
      </c>
      <c r="K4" s="55" t="s">
        <v>90</v>
      </c>
      <c r="L4" s="55" t="s">
        <v>91</v>
      </c>
      <c r="M4" s="55" t="s">
        <v>92</v>
      </c>
      <c r="N4" s="55" t="s">
        <v>93</v>
      </c>
      <c r="O4" s="55" t="s">
        <v>94</v>
      </c>
      <c r="P4" s="56" t="s">
        <v>294</v>
      </c>
    </row>
    <row r="5" spans="3:16" ht="24.95" customHeight="1" x14ac:dyDescent="0.25">
      <c r="C5" s="238">
        <v>2025</v>
      </c>
      <c r="D5" s="90">
        <f>Relatórios!D16</f>
        <v>20578.869500000001</v>
      </c>
      <c r="E5" s="90">
        <f>Relatórios!E16</f>
        <v>16687.74092</v>
      </c>
      <c r="F5" s="90">
        <f>Relatórios!F16</f>
        <v>29189.447259999994</v>
      </c>
      <c r="G5" s="90">
        <f>Relatórios!G16</f>
        <v>18625.420719999998</v>
      </c>
      <c r="H5" s="90">
        <f>Relatórios!H16</f>
        <v>18392.910080000001</v>
      </c>
      <c r="I5" s="90">
        <f>Relatórios!I16</f>
        <v>23967.605220000001</v>
      </c>
      <c r="J5" s="90">
        <f>Relatórios!J16</f>
        <v>19436.04926</v>
      </c>
      <c r="K5" s="90">
        <f>Relatórios!K16</f>
        <v>15712.39774</v>
      </c>
      <c r="L5" s="90">
        <f>Relatórios!L16</f>
        <v>24962.306780000003</v>
      </c>
      <c r="M5" s="90">
        <f>Relatórios!M16</f>
        <v>17507.005080000003</v>
      </c>
      <c r="N5" s="90">
        <f>Relatórios!N16</f>
        <v>17118.03772</v>
      </c>
      <c r="O5" s="90">
        <f>Relatórios!O16</f>
        <v>24861.072359999998</v>
      </c>
      <c r="P5" s="91">
        <f>SUM(D5:O5)</f>
        <v>247038.86263999998</v>
      </c>
    </row>
    <row r="6" spans="3:16" ht="24.95" customHeight="1" x14ac:dyDescent="0.25">
      <c r="C6" s="205">
        <v>2026</v>
      </c>
      <c r="D6" s="100">
        <f>'2026'!D20</f>
        <v>20578.869500000001</v>
      </c>
      <c r="E6" s="95">
        <f>'2026'!E20</f>
        <v>16687.74092</v>
      </c>
      <c r="F6" s="95">
        <f>'2026'!F20</f>
        <v>29189.447259999997</v>
      </c>
      <c r="G6" s="95">
        <f>'2026'!G20</f>
        <v>18625.420719999998</v>
      </c>
      <c r="H6" s="95">
        <f>'2026'!H20</f>
        <v>18392.910080000001</v>
      </c>
      <c r="I6" s="95">
        <f>'2026'!I20</f>
        <v>23967.605219999998</v>
      </c>
      <c r="J6" s="95">
        <f>'2026'!J20</f>
        <v>19436.049260000003</v>
      </c>
      <c r="K6" s="95">
        <f>'2026'!K20</f>
        <v>15712.39774</v>
      </c>
      <c r="L6" s="95">
        <f>'2026'!L20</f>
        <v>24962.306780000003</v>
      </c>
      <c r="M6" s="95">
        <f>'2026'!M20</f>
        <v>17507.005079999999</v>
      </c>
      <c r="N6" s="95">
        <f>'2026'!N20</f>
        <v>17118.037719999997</v>
      </c>
      <c r="O6" s="95">
        <f>'2026'!O20</f>
        <v>24861.072359999998</v>
      </c>
      <c r="P6" s="93">
        <f>SUM(D6:O6)</f>
        <v>247038.86263999998</v>
      </c>
    </row>
    <row r="7" spans="3:16" ht="24.95" customHeight="1" x14ac:dyDescent="0.25">
      <c r="C7" s="207" t="s">
        <v>285</v>
      </c>
      <c r="D7" s="208">
        <f>D6-D5</f>
        <v>0</v>
      </c>
      <c r="E7" s="208">
        <f t="shared" ref="E7:O7" si="0">E6-E5</f>
        <v>0</v>
      </c>
      <c r="F7" s="208">
        <f t="shared" si="0"/>
        <v>0</v>
      </c>
      <c r="G7" s="208">
        <f t="shared" si="0"/>
        <v>0</v>
      </c>
      <c r="H7" s="208">
        <f t="shared" si="0"/>
        <v>0</v>
      </c>
      <c r="I7" s="208">
        <f t="shared" si="0"/>
        <v>0</v>
      </c>
      <c r="J7" s="208">
        <f t="shared" si="0"/>
        <v>0</v>
      </c>
      <c r="K7" s="208">
        <f t="shared" si="0"/>
        <v>0</v>
      </c>
      <c r="L7" s="208">
        <f t="shared" si="0"/>
        <v>0</v>
      </c>
      <c r="M7" s="208">
        <f t="shared" si="0"/>
        <v>0</v>
      </c>
      <c r="N7" s="208">
        <f t="shared" si="0"/>
        <v>0</v>
      </c>
      <c r="O7" s="208">
        <f t="shared" si="0"/>
        <v>0</v>
      </c>
      <c r="P7" s="204">
        <f>SUM(D7:O7)</f>
        <v>0</v>
      </c>
    </row>
    <row r="8" spans="3:16" ht="24.95" customHeight="1" x14ac:dyDescent="0.25">
      <c r="C8" s="206">
        <v>2027</v>
      </c>
      <c r="D8" s="95">
        <f>'2027'!D18</f>
        <v>26128.565500000001</v>
      </c>
      <c r="E8" s="95">
        <f>'2027'!E18</f>
        <v>20704.2565</v>
      </c>
      <c r="F8" s="95">
        <f>'2027'!F18</f>
        <v>34791.800299999995</v>
      </c>
      <c r="G8" s="95">
        <f>'2027'!G18</f>
        <v>23445.978799999997</v>
      </c>
      <c r="H8" s="95">
        <f>'2027'!H18</f>
        <v>23112.088899999999</v>
      </c>
      <c r="I8" s="95">
        <f>'2027'!I18</f>
        <v>27779.037899999999</v>
      </c>
      <c r="J8" s="95">
        <f>'2027'!J18</f>
        <v>24649.954000000002</v>
      </c>
      <c r="K8" s="95">
        <f>'2027'!K18</f>
        <v>19315.942999999999</v>
      </c>
      <c r="L8" s="95">
        <f>'2027'!L18</f>
        <v>29317.452100000002</v>
      </c>
      <c r="M8" s="95">
        <f>'2027'!M18</f>
        <v>21785.470499999999</v>
      </c>
      <c r="N8" s="95">
        <f>'2027'!N18</f>
        <v>21331.362499999999</v>
      </c>
      <c r="O8" s="95">
        <f>'2027'!O18</f>
        <v>29165.688300000002</v>
      </c>
      <c r="P8" s="191">
        <f t="shared" ref="P8:P18" si="1">SUM(D8:O8)</f>
        <v>301527.59829999995</v>
      </c>
    </row>
    <row r="9" spans="3:16" ht="24.95" customHeight="1" x14ac:dyDescent="0.25">
      <c r="C9" s="207" t="s">
        <v>286</v>
      </c>
      <c r="D9" s="208">
        <f>D8-D6</f>
        <v>5549.6959999999999</v>
      </c>
      <c r="E9" s="208">
        <f t="shared" ref="E9:O9" si="2">E8-E6</f>
        <v>4016.5155799999993</v>
      </c>
      <c r="F9" s="208">
        <f t="shared" si="2"/>
        <v>5602.3530399999981</v>
      </c>
      <c r="G9" s="208">
        <f t="shared" si="2"/>
        <v>4820.5580799999989</v>
      </c>
      <c r="H9" s="208">
        <f t="shared" si="2"/>
        <v>4719.1788199999974</v>
      </c>
      <c r="I9" s="208">
        <f t="shared" si="2"/>
        <v>3811.4326800000017</v>
      </c>
      <c r="J9" s="208">
        <f t="shared" si="2"/>
        <v>5213.9047399999981</v>
      </c>
      <c r="K9" s="208">
        <f t="shared" si="2"/>
        <v>3603.545259999999</v>
      </c>
      <c r="L9" s="208">
        <f t="shared" si="2"/>
        <v>4355.1453199999996</v>
      </c>
      <c r="M9" s="208">
        <f t="shared" si="2"/>
        <v>4278.4654200000004</v>
      </c>
      <c r="N9" s="208">
        <f t="shared" si="2"/>
        <v>4213.3247800000026</v>
      </c>
      <c r="O9" s="208">
        <f t="shared" si="2"/>
        <v>4304.6159400000033</v>
      </c>
      <c r="P9" s="204">
        <f t="shared" si="1"/>
        <v>54488.735659999991</v>
      </c>
    </row>
    <row r="10" spans="3:16" ht="24.95" customHeight="1" x14ac:dyDescent="0.25">
      <c r="C10" s="206">
        <v>2028</v>
      </c>
      <c r="D10" s="95">
        <f>'2028'!D18</f>
        <v>26128.565500000001</v>
      </c>
      <c r="E10" s="95">
        <f>'2028'!E18</f>
        <v>20704.2565</v>
      </c>
      <c r="F10" s="95">
        <f>'2028'!F18</f>
        <v>34791.800299999995</v>
      </c>
      <c r="G10" s="95">
        <f>'2028'!G18</f>
        <v>23445.978799999997</v>
      </c>
      <c r="H10" s="95">
        <f>'2028'!H18</f>
        <v>23112.088899999999</v>
      </c>
      <c r="I10" s="95">
        <f>'2028'!I18</f>
        <v>27779.037899999999</v>
      </c>
      <c r="J10" s="95">
        <f>'2028'!J18</f>
        <v>24649.954000000002</v>
      </c>
      <c r="K10" s="95">
        <f>'2028'!K18</f>
        <v>19315.942999999999</v>
      </c>
      <c r="L10" s="95">
        <f>'2028'!L18</f>
        <v>29317.452100000002</v>
      </c>
      <c r="M10" s="95">
        <f>'2028'!M18</f>
        <v>21785.470499999999</v>
      </c>
      <c r="N10" s="95">
        <f>'2028'!N18</f>
        <v>21331.362499999999</v>
      </c>
      <c r="O10" s="95">
        <f>'2028'!O18</f>
        <v>29165.688300000002</v>
      </c>
      <c r="P10" s="191">
        <f t="shared" si="1"/>
        <v>301527.59829999995</v>
      </c>
    </row>
    <row r="11" spans="3:16" ht="24.95" customHeight="1" x14ac:dyDescent="0.25">
      <c r="C11" s="207" t="s">
        <v>287</v>
      </c>
      <c r="D11" s="208">
        <f t="shared" ref="D11:O11" si="3">D10-D8</f>
        <v>0</v>
      </c>
      <c r="E11" s="208">
        <f t="shared" si="3"/>
        <v>0</v>
      </c>
      <c r="F11" s="208">
        <f t="shared" si="3"/>
        <v>0</v>
      </c>
      <c r="G11" s="208">
        <f t="shared" si="3"/>
        <v>0</v>
      </c>
      <c r="H11" s="208">
        <f t="shared" si="3"/>
        <v>0</v>
      </c>
      <c r="I11" s="208">
        <f t="shared" si="3"/>
        <v>0</v>
      </c>
      <c r="J11" s="208">
        <f t="shared" si="3"/>
        <v>0</v>
      </c>
      <c r="K11" s="208">
        <f t="shared" si="3"/>
        <v>0</v>
      </c>
      <c r="L11" s="208">
        <f t="shared" si="3"/>
        <v>0</v>
      </c>
      <c r="M11" s="208">
        <f t="shared" si="3"/>
        <v>0</v>
      </c>
      <c r="N11" s="208">
        <f t="shared" si="3"/>
        <v>0</v>
      </c>
      <c r="O11" s="208">
        <f t="shared" si="3"/>
        <v>0</v>
      </c>
      <c r="P11" s="204">
        <f>SUM(D11:O11)</f>
        <v>0</v>
      </c>
    </row>
    <row r="12" spans="3:16" ht="24.95" customHeight="1" x14ac:dyDescent="0.25">
      <c r="C12" s="206">
        <v>2029</v>
      </c>
      <c r="D12" s="95">
        <f>'2029'!D18</f>
        <v>26776.376250000001</v>
      </c>
      <c r="E12" s="95">
        <f>'2029'!E18</f>
        <v>21205.237800000003</v>
      </c>
      <c r="F12" s="95">
        <f>'2029'!F18</f>
        <v>35438.700849999994</v>
      </c>
      <c r="G12" s="95">
        <f>'2029'!G18</f>
        <v>24018.513800000001</v>
      </c>
      <c r="H12" s="95">
        <f>'2029'!H18</f>
        <v>23676.226699999999</v>
      </c>
      <c r="I12" s="95">
        <f>'2029'!I18</f>
        <v>28258.526350000004</v>
      </c>
      <c r="J12" s="95">
        <f>'2029'!J18</f>
        <v>25250.227149999999</v>
      </c>
      <c r="K12" s="95">
        <f>'2029'!K18</f>
        <v>19781.225350000001</v>
      </c>
      <c r="L12" s="95">
        <f>'2029'!L18</f>
        <v>29837.730650000001</v>
      </c>
      <c r="M12" s="95">
        <f>'2029'!M18</f>
        <v>22319.712200000002</v>
      </c>
      <c r="N12" s="95">
        <f>'2029'!N18</f>
        <v>21847.5298</v>
      </c>
      <c r="O12" s="95">
        <f>'2029'!O18</f>
        <v>29683.022799999999</v>
      </c>
      <c r="P12" s="191">
        <f t="shared" si="1"/>
        <v>308093.02970000001</v>
      </c>
    </row>
    <row r="13" spans="3:16" ht="24.95" customHeight="1" x14ac:dyDescent="0.25">
      <c r="C13" s="207" t="s">
        <v>288</v>
      </c>
      <c r="D13" s="208">
        <f t="shared" ref="D13:O13" si="4">D12-D10</f>
        <v>647.81075000000055</v>
      </c>
      <c r="E13" s="208">
        <f t="shared" si="4"/>
        <v>500.9813000000031</v>
      </c>
      <c r="F13" s="208">
        <f t="shared" si="4"/>
        <v>646.90054999999847</v>
      </c>
      <c r="G13" s="208">
        <f t="shared" si="4"/>
        <v>572.53500000000349</v>
      </c>
      <c r="H13" s="208">
        <f t="shared" si="4"/>
        <v>564.13780000000042</v>
      </c>
      <c r="I13" s="208">
        <f t="shared" si="4"/>
        <v>479.48845000000438</v>
      </c>
      <c r="J13" s="208">
        <f t="shared" si="4"/>
        <v>600.27314999999726</v>
      </c>
      <c r="K13" s="208">
        <f t="shared" si="4"/>
        <v>465.28235000000132</v>
      </c>
      <c r="L13" s="208">
        <f t="shared" si="4"/>
        <v>520.27854999999909</v>
      </c>
      <c r="M13" s="208">
        <f t="shared" si="4"/>
        <v>534.24170000000231</v>
      </c>
      <c r="N13" s="208">
        <f t="shared" si="4"/>
        <v>516.16730000000098</v>
      </c>
      <c r="O13" s="208">
        <f t="shared" si="4"/>
        <v>517.33449999999721</v>
      </c>
      <c r="P13" s="204">
        <f>SUM(D13:O13)</f>
        <v>6565.4314000000086</v>
      </c>
    </row>
    <row r="14" spans="3:16" ht="24.95" customHeight="1" x14ac:dyDescent="0.25">
      <c r="C14" s="206">
        <v>2030</v>
      </c>
      <c r="D14" s="95">
        <f>'2030'!D18</f>
        <v>27558.911999999997</v>
      </c>
      <c r="E14" s="95">
        <f>'2030'!E18</f>
        <v>21814.610099999998</v>
      </c>
      <c r="F14" s="95">
        <f>'2030'!F18</f>
        <v>36219.214399999997</v>
      </c>
      <c r="G14" s="95">
        <f>'2030'!G18</f>
        <v>24711.4048</v>
      </c>
      <c r="H14" s="95">
        <f>'2030'!H18</f>
        <v>24359.423499999997</v>
      </c>
      <c r="I14" s="95">
        <f>'2030'!I18</f>
        <v>28842.255799999995</v>
      </c>
      <c r="J14" s="95">
        <f>'2030'!J18</f>
        <v>25974.248299999999</v>
      </c>
      <c r="K14" s="95">
        <f>'2030'!K18</f>
        <v>20349.109700000001</v>
      </c>
      <c r="L14" s="95">
        <f>'2030'!L18</f>
        <v>30467.768200000002</v>
      </c>
      <c r="M14" s="95">
        <f>'2030'!M18</f>
        <v>22969.6129</v>
      </c>
      <c r="N14" s="95">
        <f>'2030'!N18</f>
        <v>22474.2281</v>
      </c>
      <c r="O14" s="95">
        <f>'2030'!O18</f>
        <v>30309.890299999999</v>
      </c>
      <c r="P14" s="191">
        <f t="shared" si="1"/>
        <v>316050.67810000002</v>
      </c>
    </row>
    <row r="15" spans="3:16" ht="24.95" customHeight="1" x14ac:dyDescent="0.25">
      <c r="C15" s="207" t="s">
        <v>289</v>
      </c>
      <c r="D15" s="208">
        <f t="shared" ref="D15:O15" si="5">D14-D12</f>
        <v>782.53574999999546</v>
      </c>
      <c r="E15" s="208">
        <f t="shared" si="5"/>
        <v>609.37229999999545</v>
      </c>
      <c r="F15" s="208">
        <f t="shared" si="5"/>
        <v>780.51355000000331</v>
      </c>
      <c r="G15" s="208">
        <f t="shared" si="5"/>
        <v>692.89099999999962</v>
      </c>
      <c r="H15" s="208">
        <f t="shared" si="5"/>
        <v>683.19679999999789</v>
      </c>
      <c r="I15" s="208">
        <f t="shared" si="5"/>
        <v>583.72944999999163</v>
      </c>
      <c r="J15" s="208">
        <f t="shared" si="5"/>
        <v>724.02115000000049</v>
      </c>
      <c r="K15" s="208">
        <f t="shared" si="5"/>
        <v>567.88435000000027</v>
      </c>
      <c r="L15" s="208">
        <f t="shared" si="5"/>
        <v>630.03755000000092</v>
      </c>
      <c r="M15" s="208">
        <f t="shared" si="5"/>
        <v>649.90069999999832</v>
      </c>
      <c r="N15" s="208">
        <f t="shared" si="5"/>
        <v>626.69830000000002</v>
      </c>
      <c r="O15" s="208">
        <f t="shared" si="5"/>
        <v>626.86750000000029</v>
      </c>
      <c r="P15" s="204">
        <f>SUM(D15:O15)</f>
        <v>7957.6483999999837</v>
      </c>
    </row>
    <row r="16" spans="3:16" ht="24.95" customHeight="1" x14ac:dyDescent="0.25">
      <c r="C16" s="206">
        <v>2031</v>
      </c>
      <c r="D16" s="95">
        <f>'2031'!D18</f>
        <v>28341.447749999999</v>
      </c>
      <c r="E16" s="95">
        <f>'2031'!E18</f>
        <v>22423.982400000001</v>
      </c>
      <c r="F16" s="95">
        <f>'2031'!F18</f>
        <v>36999.727949999993</v>
      </c>
      <c r="G16" s="95">
        <f>'2031'!G18</f>
        <v>25404.2958</v>
      </c>
      <c r="H16" s="95">
        <f>'2031'!H18</f>
        <v>25042.620299999999</v>
      </c>
      <c r="I16" s="95">
        <f>'2031'!I18</f>
        <v>29425.985250000002</v>
      </c>
      <c r="J16" s="95">
        <f>'2031'!J18</f>
        <v>26698.26945</v>
      </c>
      <c r="K16" s="95">
        <f>'2031'!K18</f>
        <v>20916.994050000001</v>
      </c>
      <c r="L16" s="95">
        <f>'2031'!L18</f>
        <v>31097.805750000003</v>
      </c>
      <c r="M16" s="95">
        <f>'2031'!M18</f>
        <v>23619.513599999998</v>
      </c>
      <c r="N16" s="95">
        <f>'2031'!N18</f>
        <v>23100.9264</v>
      </c>
      <c r="O16" s="95">
        <f>'2031'!O18</f>
        <v>30936.757799999999</v>
      </c>
      <c r="P16" s="191">
        <f t="shared" si="1"/>
        <v>324008.32650000002</v>
      </c>
    </row>
    <row r="17" spans="3:16" ht="24.95" customHeight="1" x14ac:dyDescent="0.25">
      <c r="C17" s="207" t="s">
        <v>290</v>
      </c>
      <c r="D17" s="208">
        <f t="shared" ref="D17:O17" si="6">D16-D14</f>
        <v>782.53575000000274</v>
      </c>
      <c r="E17" s="208">
        <f t="shared" si="6"/>
        <v>609.37230000000272</v>
      </c>
      <c r="F17" s="208">
        <f t="shared" si="6"/>
        <v>780.51354999999603</v>
      </c>
      <c r="G17" s="208">
        <f t="shared" si="6"/>
        <v>692.89099999999962</v>
      </c>
      <c r="H17" s="208">
        <f t="shared" si="6"/>
        <v>683.19680000000153</v>
      </c>
      <c r="I17" s="208">
        <f t="shared" si="6"/>
        <v>583.72945000000618</v>
      </c>
      <c r="J17" s="208">
        <f t="shared" si="6"/>
        <v>724.02115000000049</v>
      </c>
      <c r="K17" s="208">
        <f t="shared" si="6"/>
        <v>567.88435000000027</v>
      </c>
      <c r="L17" s="208">
        <f t="shared" si="6"/>
        <v>630.03755000000092</v>
      </c>
      <c r="M17" s="208">
        <f t="shared" si="6"/>
        <v>649.90069999999832</v>
      </c>
      <c r="N17" s="208">
        <f t="shared" si="6"/>
        <v>626.69830000000002</v>
      </c>
      <c r="O17" s="208">
        <f t="shared" si="6"/>
        <v>626.86750000000029</v>
      </c>
      <c r="P17" s="204">
        <f>SUM(D17:O17)</f>
        <v>7957.6484000000091</v>
      </c>
    </row>
    <row r="18" spans="3:16" ht="24.95" customHeight="1" x14ac:dyDescent="0.25">
      <c r="C18" s="206">
        <v>2032</v>
      </c>
      <c r="D18" s="95">
        <f>'2032'!D18</f>
        <v>29123.983500000002</v>
      </c>
      <c r="E18" s="95">
        <f>'2032'!E18</f>
        <v>23033.3547</v>
      </c>
      <c r="F18" s="95">
        <f>'2032'!F18</f>
        <v>37780.241499999996</v>
      </c>
      <c r="G18" s="95">
        <f>'2032'!G18</f>
        <v>26097.186799999999</v>
      </c>
      <c r="H18" s="95">
        <f>'2032'!H18</f>
        <v>25725.8171</v>
      </c>
      <c r="I18" s="95">
        <f>'2032'!I18</f>
        <v>30009.7147</v>
      </c>
      <c r="J18" s="95">
        <f>'2032'!J18</f>
        <v>27422.290600000004</v>
      </c>
      <c r="K18" s="95">
        <f>'2032'!K18</f>
        <v>21484.878400000001</v>
      </c>
      <c r="L18" s="95">
        <f>'2032'!L18</f>
        <v>31727.8433</v>
      </c>
      <c r="M18" s="95">
        <f>'2032'!M18</f>
        <v>24269.4143</v>
      </c>
      <c r="N18" s="95">
        <f>'2032'!N18</f>
        <v>23727.6247</v>
      </c>
      <c r="O18" s="95">
        <f>'2032'!O18</f>
        <v>31563.6253</v>
      </c>
      <c r="P18" s="191">
        <f t="shared" si="1"/>
        <v>331965.97490000003</v>
      </c>
    </row>
    <row r="19" spans="3:16" ht="24.95" customHeight="1" x14ac:dyDescent="0.25">
      <c r="C19" s="207" t="s">
        <v>291</v>
      </c>
      <c r="D19" s="208">
        <f t="shared" ref="D19:O19" si="7">D18-D16</f>
        <v>782.53575000000274</v>
      </c>
      <c r="E19" s="208">
        <f t="shared" si="7"/>
        <v>609.37229999999909</v>
      </c>
      <c r="F19" s="208">
        <f t="shared" si="7"/>
        <v>780.51355000000331</v>
      </c>
      <c r="G19" s="208">
        <f t="shared" si="7"/>
        <v>692.89099999999962</v>
      </c>
      <c r="H19" s="208">
        <f t="shared" si="7"/>
        <v>683.19680000000153</v>
      </c>
      <c r="I19" s="208">
        <f t="shared" si="7"/>
        <v>583.72944999999891</v>
      </c>
      <c r="J19" s="208">
        <f t="shared" si="7"/>
        <v>724.02115000000413</v>
      </c>
      <c r="K19" s="208">
        <f t="shared" si="7"/>
        <v>567.88435000000027</v>
      </c>
      <c r="L19" s="208">
        <f t="shared" si="7"/>
        <v>630.03754999999728</v>
      </c>
      <c r="M19" s="208">
        <f t="shared" si="7"/>
        <v>649.90070000000196</v>
      </c>
      <c r="N19" s="208">
        <f t="shared" si="7"/>
        <v>626.69830000000002</v>
      </c>
      <c r="O19" s="208">
        <f t="shared" si="7"/>
        <v>626.86750000000029</v>
      </c>
      <c r="P19" s="204">
        <f>SUM(D19:O19)</f>
        <v>7957.6484000000091</v>
      </c>
    </row>
    <row r="20" spans="3:16" ht="24.95" customHeight="1" x14ac:dyDescent="0.25">
      <c r="C20" s="209">
        <v>2033</v>
      </c>
      <c r="D20" s="208">
        <f>'2033'!D18</f>
        <v>33819.198000000004</v>
      </c>
      <c r="E20" s="208">
        <f>'2033'!E18</f>
        <v>26689.588499999998</v>
      </c>
      <c r="F20" s="208">
        <f>'2033'!F18</f>
        <v>42463.322800000002</v>
      </c>
      <c r="G20" s="208">
        <f>'2033'!G18</f>
        <v>30254.532800000001</v>
      </c>
      <c r="H20" s="208">
        <f>'2033'!H18</f>
        <v>29824.997900000002</v>
      </c>
      <c r="I20" s="208">
        <f>'2033'!I18</f>
        <v>33512.091400000005</v>
      </c>
      <c r="J20" s="208">
        <f>'2033'!J18</f>
        <v>31766.4175</v>
      </c>
      <c r="K20" s="208">
        <f>'2033'!K18</f>
        <v>24892.184500000003</v>
      </c>
      <c r="L20" s="208">
        <f>'2033'!L18</f>
        <v>35508.068599999999</v>
      </c>
      <c r="M20" s="208">
        <f>'2033'!M18</f>
        <v>28168.818500000001</v>
      </c>
      <c r="N20" s="208">
        <f>'2033'!N18</f>
        <v>27487.8145</v>
      </c>
      <c r="O20" s="208">
        <f>'2033'!O18</f>
        <v>35324.830299999994</v>
      </c>
      <c r="P20" s="93">
        <f>SUM(D20:O20)</f>
        <v>379711.86529999995</v>
      </c>
    </row>
    <row r="21" spans="3:16" ht="24.95" customHeight="1" x14ac:dyDescent="0.25">
      <c r="C21" s="199" t="s">
        <v>292</v>
      </c>
      <c r="D21" s="211">
        <f t="shared" ref="D21:O21" si="8">D20-D18</f>
        <v>4695.2145000000019</v>
      </c>
      <c r="E21" s="211">
        <f t="shared" si="8"/>
        <v>3656.2337999999982</v>
      </c>
      <c r="F21" s="211">
        <f t="shared" si="8"/>
        <v>4683.0813000000053</v>
      </c>
      <c r="G21" s="211">
        <f t="shared" si="8"/>
        <v>4157.3460000000014</v>
      </c>
      <c r="H21" s="211">
        <f t="shared" si="8"/>
        <v>4099.1808000000019</v>
      </c>
      <c r="I21" s="211">
        <f t="shared" si="8"/>
        <v>3502.3767000000043</v>
      </c>
      <c r="J21" s="211">
        <f t="shared" si="8"/>
        <v>4344.1268999999957</v>
      </c>
      <c r="K21" s="211">
        <f t="shared" si="8"/>
        <v>3407.3061000000016</v>
      </c>
      <c r="L21" s="211">
        <f t="shared" si="8"/>
        <v>3780.2252999999982</v>
      </c>
      <c r="M21" s="211">
        <f t="shared" si="8"/>
        <v>3899.4042000000009</v>
      </c>
      <c r="N21" s="211">
        <f t="shared" si="8"/>
        <v>3760.1898000000001</v>
      </c>
      <c r="O21" s="210">
        <f t="shared" si="8"/>
        <v>3761.2049999999945</v>
      </c>
      <c r="P21" s="212">
        <f>SUM(D21:O21)</f>
        <v>47745.890400000004</v>
      </c>
    </row>
  </sheetData>
  <sheetProtection sheet="1" objects="1" scenarios="1" selectLockedCells="1" selectUnlockedCells="1"/>
  <conditionalFormatting sqref="D7:P7">
    <cfRule type="cellIs" dxfId="50" priority="22" operator="greaterThan">
      <formula>0</formula>
    </cfRule>
    <cfRule type="cellIs" dxfId="49" priority="23" operator="equal">
      <formula>0</formula>
    </cfRule>
    <cfRule type="cellIs" dxfId="48" priority="24" operator="lessThan">
      <formula>0</formula>
    </cfRule>
  </conditionalFormatting>
  <conditionalFormatting sqref="D9:P9">
    <cfRule type="cellIs" dxfId="47" priority="19" operator="greaterThan">
      <formula>0</formula>
    </cfRule>
    <cfRule type="cellIs" dxfId="46" priority="20" operator="equal">
      <formula>0</formula>
    </cfRule>
    <cfRule type="cellIs" dxfId="45" priority="21" operator="lessThan">
      <formula>0</formula>
    </cfRule>
  </conditionalFormatting>
  <conditionalFormatting sqref="D11:P11">
    <cfRule type="cellIs" dxfId="44" priority="16" operator="greaterThan">
      <formula>0</formula>
    </cfRule>
    <cfRule type="cellIs" dxfId="43" priority="17" operator="equal">
      <formula>0</formula>
    </cfRule>
    <cfRule type="cellIs" dxfId="42" priority="18" operator="lessThan">
      <formula>0</formula>
    </cfRule>
  </conditionalFormatting>
  <conditionalFormatting sqref="D13:P13">
    <cfRule type="cellIs" dxfId="41" priority="13" operator="greaterThan">
      <formula>0</formula>
    </cfRule>
    <cfRule type="cellIs" dxfId="40" priority="14" operator="equal">
      <formula>0</formula>
    </cfRule>
    <cfRule type="cellIs" dxfId="39" priority="15" operator="lessThan">
      <formula>0</formula>
    </cfRule>
  </conditionalFormatting>
  <conditionalFormatting sqref="D15:P15">
    <cfRule type="cellIs" dxfId="38" priority="10" operator="greaterThan">
      <formula>0</formula>
    </cfRule>
    <cfRule type="cellIs" dxfId="37" priority="11" operator="equal">
      <formula>0</formula>
    </cfRule>
    <cfRule type="cellIs" dxfId="36" priority="12" operator="lessThan">
      <formula>0</formula>
    </cfRule>
  </conditionalFormatting>
  <conditionalFormatting sqref="D17:P17">
    <cfRule type="cellIs" dxfId="35" priority="7" operator="greaterThan">
      <formula>0</formula>
    </cfRule>
    <cfRule type="cellIs" dxfId="34" priority="8" operator="equal">
      <formula>0</formula>
    </cfRule>
    <cfRule type="cellIs" dxfId="33" priority="9" operator="lessThan">
      <formula>0</formula>
    </cfRule>
  </conditionalFormatting>
  <conditionalFormatting sqref="D19:P19">
    <cfRule type="cellIs" dxfId="32" priority="4" operator="greaterThan">
      <formula>0</formula>
    </cfRule>
    <cfRule type="cellIs" dxfId="31" priority="5" operator="equal">
      <formula>0</formula>
    </cfRule>
    <cfRule type="cellIs" dxfId="30" priority="6" operator="lessThan">
      <formula>0</formula>
    </cfRule>
  </conditionalFormatting>
  <conditionalFormatting sqref="D21:P21">
    <cfRule type="cellIs" dxfId="29" priority="1" operator="greaterThan">
      <formula>0</formula>
    </cfRule>
    <cfRule type="cellIs" dxfId="28" priority="2" operator="equal">
      <formula>0</formula>
    </cfRule>
    <cfRule type="cellIs" dxfId="27" priority="3" operator="lessThan">
      <formula>0</formula>
    </cfRule>
  </conditionalFormatting>
  <pageMargins left="0.25" right="0.25" top="0.75" bottom="0.75" header="0.3" footer="0.3"/>
  <pageSetup paperSize="9" scale="77" orientation="landscape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Planilha50">
    <tabColor rgb="FF00B050"/>
    <pageSetUpPr fitToPage="1"/>
  </sheetPr>
  <dimension ref="C1:P13"/>
  <sheetViews>
    <sheetView showGridLines="0" showRowColHeaders="0" workbookViewId="0">
      <pane ySplit="4" topLeftCell="A5" activePane="bottomLeft" state="frozen"/>
      <selection activeCell="W13" sqref="W13"/>
      <selection pane="bottomLeft"/>
    </sheetView>
  </sheetViews>
  <sheetFormatPr defaultRowHeight="24.95" customHeight="1" x14ac:dyDescent="0.25"/>
  <cols>
    <col min="1" max="2" width="1.7109375" style="18" customWidth="1"/>
    <col min="3" max="3" width="13.7109375" style="18" customWidth="1"/>
    <col min="4" max="16" width="13.140625" style="18" customWidth="1"/>
    <col min="17" max="16384" width="9.140625" style="18"/>
  </cols>
  <sheetData>
    <row r="1" spans="3:16" s="1" customFormat="1" ht="35.1" customHeight="1" x14ac:dyDescent="0.25"/>
    <row r="2" spans="3:16" s="3" customFormat="1" ht="30" customHeight="1" x14ac:dyDescent="0.25"/>
    <row r="3" spans="3:16" s="181" customFormat="1" ht="50.1" customHeight="1" thickBot="1" x14ac:dyDescent="0.3">
      <c r="C3" s="227" t="s">
        <v>293</v>
      </c>
    </row>
    <row r="4" spans="3:16" ht="21.95" customHeight="1" x14ac:dyDescent="0.25">
      <c r="C4" s="85" t="s">
        <v>82</v>
      </c>
      <c r="D4" s="55" t="s">
        <v>83</v>
      </c>
      <c r="E4" s="55" t="s">
        <v>84</v>
      </c>
      <c r="F4" s="55" t="s">
        <v>85</v>
      </c>
      <c r="G4" s="55" t="s">
        <v>86</v>
      </c>
      <c r="H4" s="55" t="s">
        <v>87</v>
      </c>
      <c r="I4" s="55" t="s">
        <v>88</v>
      </c>
      <c r="J4" s="55" t="s">
        <v>89</v>
      </c>
      <c r="K4" s="55" t="s">
        <v>90</v>
      </c>
      <c r="L4" s="55" t="s">
        <v>91</v>
      </c>
      <c r="M4" s="55" t="s">
        <v>92</v>
      </c>
      <c r="N4" s="55" t="s">
        <v>93</v>
      </c>
      <c r="O4" s="55" t="s">
        <v>94</v>
      </c>
      <c r="P4" s="56" t="s">
        <v>294</v>
      </c>
    </row>
    <row r="5" spans="3:16" ht="24.95" customHeight="1" x14ac:dyDescent="0.25">
      <c r="C5" s="197">
        <v>2025</v>
      </c>
      <c r="D5" s="213">
        <f>IFERROR(Relatórios!D16/Relatórios!D25,0)</f>
        <v>0.15274722211913158</v>
      </c>
      <c r="E5" s="213">
        <f>IFERROR(Relatórios!E16/Relatórios!E25,0)</f>
        <v>0.15395873199804411</v>
      </c>
      <c r="F5" s="213">
        <f>IFERROR(Relatórios!F16/Relatórios!F25,0)</f>
        <v>0.21846262908549313</v>
      </c>
      <c r="G5" s="213">
        <f>IFERROR(Relatórios!G16/Relatórios!G25,0)</f>
        <v>0.15475273953936652</v>
      </c>
      <c r="H5" s="213">
        <f>IFERROR(Relatórios!H16/Relatórios!H25,0)</f>
        <v>0.15448567584138959</v>
      </c>
      <c r="I5" s="213">
        <f>IFERROR(Relatórios!I16/Relatórios!I25,0)</f>
        <v>0.22992493567790026</v>
      </c>
      <c r="J5" s="213">
        <f>IFERROR(Relatórios!J16/Relatórios!J25,0)</f>
        <v>0.15706152228722889</v>
      </c>
      <c r="K5" s="213">
        <f>IFERROR(Relatórios!K16/Relatórios!K25,0)</f>
        <v>0.15313929299623788</v>
      </c>
      <c r="L5" s="213">
        <f>IFERROR(Relatórios!L16/Relatórios!L25,0)</f>
        <v>0.22742833644621399</v>
      </c>
      <c r="M5" s="213">
        <f>IFERROR(Relatórios!M16/Relatórios!M25,0)</f>
        <v>0.15136742562187122</v>
      </c>
      <c r="N5" s="213">
        <f>IFERROR(Relatórios!N16/Relatórios!N25,0)</f>
        <v>0.15487092055622403</v>
      </c>
      <c r="O5" s="213">
        <f>IFERROR(Relatórios!O16/Relatórios!O25,0)</f>
        <v>0.22697335378379116</v>
      </c>
      <c r="P5" s="214">
        <f>IFERROR(Relatórios!P16/Relatórios!P25,0)</f>
        <v>0.17744278560023327</v>
      </c>
    </row>
    <row r="6" spans="3:16" ht="24.95" customHeight="1" x14ac:dyDescent="0.25">
      <c r="C6" s="44">
        <v>2026</v>
      </c>
      <c r="D6" s="213">
        <f>IFERROR('2026'!D20/'2026'!D29,0)</f>
        <v>0.15274722211913158</v>
      </c>
      <c r="E6" s="213">
        <f>IFERROR('2026'!E20/'2026'!E29,0)</f>
        <v>0.15395873199804411</v>
      </c>
      <c r="F6" s="213">
        <f>IFERROR('2026'!F20/'2026'!F29,0)</f>
        <v>0.21846262908549316</v>
      </c>
      <c r="G6" s="213">
        <f>IFERROR('2026'!G20/'2026'!G29,0)</f>
        <v>0.15475273953936652</v>
      </c>
      <c r="H6" s="213">
        <f>IFERROR('2026'!H20/'2026'!H29,0)</f>
        <v>0.15448567584138959</v>
      </c>
      <c r="I6" s="213">
        <f>IFERROR('2026'!I20/'2026'!I29,0)</f>
        <v>0.22992493567790023</v>
      </c>
      <c r="J6" s="213">
        <f>IFERROR('2026'!J20/'2026'!J29,0)</f>
        <v>0.15706152228722892</v>
      </c>
      <c r="K6" s="213">
        <f>IFERROR('2026'!K20/'2026'!K29,0)</f>
        <v>0.15313929299623788</v>
      </c>
      <c r="L6" s="213">
        <f>IFERROR('2026'!L20/'2026'!L29,0)</f>
        <v>0.22742833644621399</v>
      </c>
      <c r="M6" s="213">
        <f>IFERROR('2026'!M20/'2026'!M29,0)</f>
        <v>0.15136742562187119</v>
      </c>
      <c r="N6" s="213">
        <f>IFERROR('2026'!N20/'2026'!N29,0)</f>
        <v>0.15487092055622401</v>
      </c>
      <c r="O6" s="213">
        <f>IFERROR('2026'!O20/'2026'!O29,0)</f>
        <v>0.22697335378379116</v>
      </c>
      <c r="P6" s="214">
        <f>IFERROR('2026'!P20/'2026'!P29,0)</f>
        <v>0.17744278560023327</v>
      </c>
    </row>
    <row r="7" spans="3:16" ht="24.95" customHeight="1" x14ac:dyDescent="0.25">
      <c r="C7" s="198">
        <v>2027</v>
      </c>
      <c r="D7" s="213">
        <f>IFERROR('2027'!D18/'2027'!D27,0)</f>
        <v>0.19393999257747263</v>
      </c>
      <c r="E7" s="213">
        <f>IFERROR('2027'!E18/'2027'!E27,0)</f>
        <v>0.19101453533964996</v>
      </c>
      <c r="F7" s="213">
        <f>IFERROR('2027'!F18/'2027'!F27,0)</f>
        <v>0.26039232933921097</v>
      </c>
      <c r="G7" s="213">
        <f>IFERROR('2027'!G18/'2027'!G27,0)</f>
        <v>0.19480523447106915</v>
      </c>
      <c r="H7" s="213">
        <f>IFERROR('2027'!H18/'2027'!H27,0)</f>
        <v>0.1941229886022896</v>
      </c>
      <c r="I7" s="213">
        <f>IFERROR('2027'!I18/'2027'!I27,0)</f>
        <v>0.26648859757676924</v>
      </c>
      <c r="J7" s="213">
        <f>IFERROR('2027'!J18/'2027'!J27,0)</f>
        <v>0.19919476678410966</v>
      </c>
      <c r="K7" s="213">
        <f>IFERROR('2027'!K18/'2027'!K27,0)</f>
        <v>0.18826088185415488</v>
      </c>
      <c r="L7" s="213">
        <f>IFERROR('2027'!L18/'2027'!L27,0)</f>
        <v>0.26710750006833156</v>
      </c>
      <c r="M7" s="213">
        <f>IFERROR('2027'!M18/'2027'!M27,0)</f>
        <v>0.18835949212772027</v>
      </c>
      <c r="N7" s="213">
        <f>IFERROR('2027'!N18/'2027'!N27,0)</f>
        <v>0.19298986257249096</v>
      </c>
      <c r="O7" s="213">
        <f>IFERROR('2027'!O18/'2027'!O27,0)</f>
        <v>0.26627307112924875</v>
      </c>
      <c r="P7" s="214">
        <f>IFERROR('2027'!P18/'2027'!P27,0)</f>
        <v>0.21658089098179378</v>
      </c>
    </row>
    <row r="8" spans="3:16" ht="24.95" customHeight="1" x14ac:dyDescent="0.25">
      <c r="C8" s="198">
        <v>2028</v>
      </c>
      <c r="D8" s="213">
        <f>IFERROR('2028'!D18/'2028'!D27,0)</f>
        <v>0.19393999257747263</v>
      </c>
      <c r="E8" s="213">
        <f>IFERROR('2028'!E18/'2028'!E27,0)</f>
        <v>0.19101453533964996</v>
      </c>
      <c r="F8" s="213">
        <f>IFERROR('2028'!F18/'2028'!F27,0)</f>
        <v>0.26039232933921097</v>
      </c>
      <c r="G8" s="213">
        <f>IFERROR('2028'!G18/'2028'!G27,0)</f>
        <v>0.19480523447106915</v>
      </c>
      <c r="H8" s="213">
        <f>IFERROR('2028'!H18/'2028'!H27,0)</f>
        <v>0.1941229886022896</v>
      </c>
      <c r="I8" s="213">
        <f>IFERROR('2028'!I18/'2028'!I27,0)</f>
        <v>0.26648859757676924</v>
      </c>
      <c r="J8" s="213">
        <f>IFERROR('2028'!J18/'2028'!J27,0)</f>
        <v>0.19919476678410966</v>
      </c>
      <c r="K8" s="213">
        <f>IFERROR('2028'!K18/'2028'!K27,0)</f>
        <v>0.18826088185415488</v>
      </c>
      <c r="L8" s="213">
        <f>IFERROR('2028'!L18/'2028'!L27,0)</f>
        <v>0.26710750006833156</v>
      </c>
      <c r="M8" s="213">
        <f>IFERROR('2028'!M18/'2028'!M27,0)</f>
        <v>0.18835949212772027</v>
      </c>
      <c r="N8" s="213">
        <f>IFERROR('2028'!N18/'2028'!N27,0)</f>
        <v>0.19298986257249096</v>
      </c>
      <c r="O8" s="213">
        <f>IFERROR('2028'!O18/'2028'!O27,0)</f>
        <v>0.26627307112924875</v>
      </c>
      <c r="P8" s="214">
        <f>IFERROR('2028'!P18/'2028'!P27,0)</f>
        <v>0.21658089098179378</v>
      </c>
    </row>
    <row r="9" spans="3:16" ht="24.95" customHeight="1" x14ac:dyDescent="0.25">
      <c r="C9" s="198">
        <v>2029</v>
      </c>
      <c r="D9" s="213">
        <f>IFERROR('2029'!D18/'2029'!D27,0)</f>
        <v>0.19874838560029692</v>
      </c>
      <c r="E9" s="213">
        <f>IFERROR('2029'!E18/'2029'!E27,0)</f>
        <v>0.19563651779206764</v>
      </c>
      <c r="F9" s="213">
        <f>IFERROR('2029'!F18/'2029'!F27,0)</f>
        <v>0.26523392821057828</v>
      </c>
      <c r="G9" s="213">
        <f>IFERROR('2029'!G18/'2029'!G27,0)</f>
        <v>0.19956224700056499</v>
      </c>
      <c r="H9" s="213">
        <f>IFERROR('2029'!H18/'2029'!H27,0)</f>
        <v>0.19886129314037576</v>
      </c>
      <c r="I9" s="213">
        <f>IFERROR('2029'!I18/'2029'!I27,0)</f>
        <v>0.27108840427470959</v>
      </c>
      <c r="J9" s="213">
        <f>IFERROR('2029'!J18/'2029'!J27,0)</f>
        <v>0.20404553730161296</v>
      </c>
      <c r="K9" s="213">
        <f>IFERROR('2029'!K18/'2029'!K27,0)</f>
        <v>0.19279570914796984</v>
      </c>
      <c r="L9" s="213">
        <f>IFERROR('2029'!L18/'2029'!L27,0)</f>
        <v>0.27184769039440959</v>
      </c>
      <c r="M9" s="213">
        <f>IFERROR('2029'!M18/'2029'!M27,0)</f>
        <v>0.19297860261631175</v>
      </c>
      <c r="N9" s="213">
        <f>IFERROR('2029'!N18/'2029'!N27,0)</f>
        <v>0.19765974975346284</v>
      </c>
      <c r="O9" s="213">
        <f>IFERROR('2029'!O18/'2029'!O27,0)</f>
        <v>0.27099616371321883</v>
      </c>
      <c r="P9" s="214">
        <f>IFERROR('2029'!P18/'2029'!P27,0)</f>
        <v>0.22129670137629404</v>
      </c>
    </row>
    <row r="10" spans="3:16" ht="24.95" customHeight="1" x14ac:dyDescent="0.25">
      <c r="C10" s="198">
        <v>2030</v>
      </c>
      <c r="D10" s="213">
        <f>IFERROR('2030'!D18/'2030'!D27,0)</f>
        <v>0.20455677862312116</v>
      </c>
      <c r="E10" s="213">
        <f>IFERROR('2030'!E18/'2030'!E27,0)</f>
        <v>0.20125850024448522</v>
      </c>
      <c r="F10" s="213">
        <f>IFERROR('2030'!F18/'2030'!F27,0)</f>
        <v>0.2710755270819456</v>
      </c>
      <c r="G10" s="213">
        <f>IFERROR('2030'!G18/'2030'!G27,0)</f>
        <v>0.20531925953006083</v>
      </c>
      <c r="H10" s="213">
        <f>IFERROR('2030'!H18/'2030'!H27,0)</f>
        <v>0.20459959767846192</v>
      </c>
      <c r="I10" s="213">
        <f>IFERROR('2030'!I18/'2030'!I27,0)</f>
        <v>0.2766882109726499</v>
      </c>
      <c r="J10" s="213">
        <f>IFERROR('2030'!J18/'2030'!J27,0)</f>
        <v>0.20989630781911625</v>
      </c>
      <c r="K10" s="213">
        <f>IFERROR('2030'!K18/'2030'!K27,0)</f>
        <v>0.19833053644178478</v>
      </c>
      <c r="L10" s="213">
        <f>IFERROR('2030'!L18/'2030'!L27,0)</f>
        <v>0.27758788072048762</v>
      </c>
      <c r="M10" s="213">
        <f>IFERROR('2030'!M18/'2030'!M27,0)</f>
        <v>0.19859771310490321</v>
      </c>
      <c r="N10" s="213">
        <f>IFERROR('2030'!N18/'2030'!N27,0)</f>
        <v>0.20332963693443468</v>
      </c>
      <c r="O10" s="213">
        <f>IFERROR('2030'!O18/'2030'!O27,0)</f>
        <v>0.27671925629718896</v>
      </c>
      <c r="P10" s="214">
        <f>IFERROR('2030'!P18/'2030'!P27,0)</f>
        <v>0.22701251177079432</v>
      </c>
    </row>
    <row r="11" spans="3:16" ht="24.95" customHeight="1" x14ac:dyDescent="0.25">
      <c r="C11" s="198">
        <v>2031</v>
      </c>
      <c r="D11" s="213">
        <f>IFERROR('2031'!D18/'2031'!D27,0)</f>
        <v>0.21036517164594545</v>
      </c>
      <c r="E11" s="213">
        <f>IFERROR('2031'!E18/'2031'!E27,0)</f>
        <v>0.20688048269690287</v>
      </c>
      <c r="F11" s="213">
        <f>IFERROR('2031'!F18/'2031'!F27,0)</f>
        <v>0.27691712595331286</v>
      </c>
      <c r="G11" s="213">
        <f>IFERROR('2031'!G18/'2031'!G27,0)</f>
        <v>0.21107627205955665</v>
      </c>
      <c r="H11" s="213">
        <f>IFERROR('2031'!H18/'2031'!H27,0)</f>
        <v>0.21033790221654808</v>
      </c>
      <c r="I11" s="213">
        <f>IFERROR('2031'!I18/'2031'!I27,0)</f>
        <v>0.28228801767059031</v>
      </c>
      <c r="J11" s="213">
        <f>IFERROR('2031'!J18/'2031'!J27,0)</f>
        <v>0.21574707833661957</v>
      </c>
      <c r="K11" s="213">
        <f>IFERROR('2031'!K18/'2031'!K27,0)</f>
        <v>0.20386536373559971</v>
      </c>
      <c r="L11" s="213">
        <f>IFERROR('2031'!L18/'2031'!L27,0)</f>
        <v>0.28332807104656571</v>
      </c>
      <c r="M11" s="213">
        <f>IFERROR('2031'!M18/'2031'!M27,0)</f>
        <v>0.20421682359349466</v>
      </c>
      <c r="N11" s="213">
        <f>IFERROR('2031'!N18/'2031'!N27,0)</f>
        <v>0.20899952411540654</v>
      </c>
      <c r="O11" s="213">
        <f>IFERROR('2031'!O18/'2031'!O27,0)</f>
        <v>0.2824423488811591</v>
      </c>
      <c r="P11" s="214">
        <f>IFERROR('2031'!P18/'2031'!P27,0)</f>
        <v>0.2327283221652946</v>
      </c>
    </row>
    <row r="12" spans="3:16" ht="24.95" customHeight="1" x14ac:dyDescent="0.25">
      <c r="C12" s="198">
        <v>2032</v>
      </c>
      <c r="D12" s="213">
        <f>IFERROR('2032'!D18/'2032'!D27,0)</f>
        <v>0.21617356466876972</v>
      </c>
      <c r="E12" s="213">
        <f>IFERROR('2032'!E18/'2032'!E27,0)</f>
        <v>0.2125024651493205</v>
      </c>
      <c r="F12" s="213">
        <f>IFERROR('2032'!F18/'2032'!F27,0)</f>
        <v>0.28275872482468023</v>
      </c>
      <c r="G12" s="213">
        <f>IFERROR('2032'!G18/'2032'!G27,0)</f>
        <v>0.21683328458905246</v>
      </c>
      <c r="H12" s="213">
        <f>IFERROR('2032'!H18/'2032'!H27,0)</f>
        <v>0.21607620675463426</v>
      </c>
      <c r="I12" s="213">
        <f>IFERROR('2032'!I18/'2032'!I27,0)</f>
        <v>0.28788782436853061</v>
      </c>
      <c r="J12" s="213">
        <f>IFERROR('2032'!J18/'2032'!J27,0)</f>
        <v>0.22159784885412293</v>
      </c>
      <c r="K12" s="213">
        <f>IFERROR('2032'!K18/'2032'!K27,0)</f>
        <v>0.20940019102941465</v>
      </c>
      <c r="L12" s="213">
        <f>IFERROR('2032'!L18/'2032'!L27,0)</f>
        <v>0.28906826137264369</v>
      </c>
      <c r="M12" s="213">
        <f>IFERROR('2032'!M18/'2032'!M27,0)</f>
        <v>0.20983593408208615</v>
      </c>
      <c r="N12" s="213">
        <f>IFERROR('2032'!N18/'2032'!N27,0)</f>
        <v>0.2146694112963784</v>
      </c>
      <c r="O12" s="213">
        <f>IFERROR('2032'!O18/'2032'!O27,0)</f>
        <v>0.28816544146512924</v>
      </c>
      <c r="P12" s="214">
        <f>IFERROR('2032'!P18/'2032'!P27,0)</f>
        <v>0.23844413255979491</v>
      </c>
    </row>
    <row r="13" spans="3:16" ht="24.95" customHeight="1" x14ac:dyDescent="0.25">
      <c r="C13" s="44">
        <v>2033</v>
      </c>
      <c r="D13" s="213">
        <f>IFERROR('2033'!D18/'2033'!D27,0)</f>
        <v>0.25102392280571539</v>
      </c>
      <c r="E13" s="213">
        <f>IFERROR('2033'!E18/'2033'!E27,0)</f>
        <v>0.2462343598638263</v>
      </c>
      <c r="F13" s="213">
        <f>IFERROR('2033'!F18/'2033'!F27,0)</f>
        <v>0.31780831805288406</v>
      </c>
      <c r="G13" s="213">
        <f>IFERROR('2033'!G18/'2033'!G27,0)</f>
        <v>0.25137535976602748</v>
      </c>
      <c r="H13" s="213">
        <f>IFERROR('2033'!H18/'2033'!H27,0)</f>
        <v>0.25050603398315124</v>
      </c>
      <c r="I13" s="213">
        <f>IFERROR('2033'!I18/'2033'!I27,0)</f>
        <v>0.32148666455617275</v>
      </c>
      <c r="J13" s="213">
        <f>IFERROR('2033'!J18/'2033'!J27,0)</f>
        <v>0.25670247195914275</v>
      </c>
      <c r="K13" s="213">
        <f>IFERROR('2033'!K18/'2033'!K27,0)</f>
        <v>0.24260915479230427</v>
      </c>
      <c r="L13" s="213">
        <f>IFERROR('2033'!L18/'2033'!L27,0)</f>
        <v>0.32350940332911193</v>
      </c>
      <c r="M13" s="213">
        <f>IFERROR('2033'!M18/'2033'!M27,0)</f>
        <v>0.24355059701363491</v>
      </c>
      <c r="N13" s="213">
        <f>IFERROR('2033'!N18/'2033'!N27,0)</f>
        <v>0.24868873438220951</v>
      </c>
      <c r="O13" s="213">
        <f>IFERROR('2033'!O18/'2033'!O27,0)</f>
        <v>0.32250399696894994</v>
      </c>
      <c r="P13" s="215">
        <f>IFERROR('2033'!P18/'2033'!P27,0)</f>
        <v>0.2727389949267966</v>
      </c>
    </row>
  </sheetData>
  <sheetProtection sheet="1" objects="1" scenarios="1" selectLockedCells="1" selectUnlockedCells="1"/>
  <pageMargins left="0.25" right="0.25" top="0.75" bottom="0.75" header="0.3" footer="0.3"/>
  <pageSetup paperSize="9" scale="77" fitToHeight="0" orientation="landscape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Planilha51">
    <tabColor rgb="FF00B050"/>
    <pageSetUpPr fitToPage="1"/>
  </sheetPr>
  <dimension ref="C1:P13"/>
  <sheetViews>
    <sheetView showGridLines="0" showRowColHeaders="0" workbookViewId="0">
      <pane ySplit="4" topLeftCell="A5" activePane="bottomLeft" state="frozen"/>
      <selection activeCell="W13" sqref="W13"/>
      <selection pane="bottomLeft" activeCell="I3" sqref="I3"/>
    </sheetView>
  </sheetViews>
  <sheetFormatPr defaultRowHeight="24.95" customHeight="1" x14ac:dyDescent="0.25"/>
  <cols>
    <col min="1" max="2" width="1.7109375" style="18" customWidth="1"/>
    <col min="3" max="3" width="13.7109375" style="18" customWidth="1"/>
    <col min="4" max="16" width="13.140625" style="18" customWidth="1"/>
    <col min="17" max="16384" width="9.140625" style="18"/>
  </cols>
  <sheetData>
    <row r="1" spans="3:16" s="1" customFormat="1" ht="35.1" customHeight="1" x14ac:dyDescent="0.25"/>
    <row r="2" spans="3:16" s="3" customFormat="1" ht="30" customHeight="1" x14ac:dyDescent="0.25"/>
    <row r="3" spans="3:16" s="181" customFormat="1" ht="50.1" customHeight="1" thickBot="1" x14ac:dyDescent="0.3">
      <c r="C3" s="227" t="s">
        <v>304</v>
      </c>
    </row>
    <row r="4" spans="3:16" ht="21.95" customHeight="1" x14ac:dyDescent="0.25">
      <c r="C4" s="85" t="s">
        <v>82</v>
      </c>
      <c r="D4" s="55" t="s">
        <v>83</v>
      </c>
      <c r="E4" s="55" t="s">
        <v>84</v>
      </c>
      <c r="F4" s="55" t="s">
        <v>85</v>
      </c>
      <c r="G4" s="55" t="s">
        <v>86</v>
      </c>
      <c r="H4" s="55" t="s">
        <v>87</v>
      </c>
      <c r="I4" s="55" t="s">
        <v>88</v>
      </c>
      <c r="J4" s="55" t="s">
        <v>89</v>
      </c>
      <c r="K4" s="55" t="s">
        <v>90</v>
      </c>
      <c r="L4" s="55" t="s">
        <v>91</v>
      </c>
      <c r="M4" s="55" t="s">
        <v>92</v>
      </c>
      <c r="N4" s="55" t="s">
        <v>93</v>
      </c>
      <c r="O4" s="55" t="s">
        <v>94</v>
      </c>
      <c r="P4" s="56" t="s">
        <v>294</v>
      </c>
    </row>
    <row r="5" spans="3:16" ht="24.95" customHeight="1" x14ac:dyDescent="0.25">
      <c r="C5" s="197">
        <v>2025</v>
      </c>
      <c r="D5" s="213">
        <f>IFERROR(Relatórios!D54/Relatórios!D25,0)</f>
        <v>0.29677114979588048</v>
      </c>
      <c r="E5" s="213">
        <f>IFERROR(Relatórios!E54/Relatórios!E25,0)</f>
        <v>0.18824561499570996</v>
      </c>
      <c r="F5" s="213">
        <f>IFERROR(Relatórios!F54/Relatórios!F25,0)</f>
        <v>0.23247150368040534</v>
      </c>
      <c r="G5" s="213">
        <f>IFERROR(Relatórios!G54/Relatórios!G25,0)</f>
        <v>0.23643880159692904</v>
      </c>
      <c r="H5" s="213">
        <f>IFERROR(Relatórios!H54/Relatórios!H25,0)</f>
        <v>0.24572254812739894</v>
      </c>
      <c r="I5" s="213">
        <f>IFERROR(Relatórios!I54/Relatórios!I25,0)</f>
        <v>6.8992361438877159E-2</v>
      </c>
      <c r="J5" s="213">
        <f>IFERROR(Relatórios!J54/Relatórios!J25,0)</f>
        <v>0.243350061889889</v>
      </c>
      <c r="K5" s="213">
        <f>IFERROR(Relatórios!K54/Relatórios!K25,0)</f>
        <v>0.11585044495964994</v>
      </c>
      <c r="L5" s="213">
        <f>IFERROR(Relatórios!L54/Relatórios!L25,0)</f>
        <v>9.1698900557129676E-2</v>
      </c>
      <c r="M5" s="213">
        <f>IFERROR(Relatórios!M54/Relatórios!M25,0)</f>
        <v>0.22476063077667965</v>
      </c>
      <c r="N5" s="213">
        <f>IFERROR(Relatórios!N54/Relatórios!N25,0)</f>
        <v>0.18014928983724024</v>
      </c>
      <c r="O5" s="213">
        <f>IFERROR(Relatórios!O54/Relatórios!O25,0)</f>
        <v>8.3068704317420305E-2</v>
      </c>
      <c r="P5" s="214">
        <f>IFERROR(Relatórios!P54/Relatórios!P25,0)</f>
        <v>0.18921171514390353</v>
      </c>
    </row>
    <row r="6" spans="3:16" ht="24.95" customHeight="1" x14ac:dyDescent="0.25">
      <c r="C6" s="44">
        <v>2026</v>
      </c>
      <c r="D6" s="213">
        <f>IFERROR('2026'!D60/'2026'!D29,0)</f>
        <v>0.28677114979588048</v>
      </c>
      <c r="E6" s="213">
        <f>IFERROR('2026'!E60/'2026'!E29,0)</f>
        <v>0.17824561499570993</v>
      </c>
      <c r="F6" s="213">
        <f>IFERROR('2026'!F60/'2026'!F29,0)</f>
        <v>0.22247150368040541</v>
      </c>
      <c r="G6" s="213">
        <f>IFERROR('2026'!G60/'2026'!G29,0)</f>
        <v>0.22643880159692908</v>
      </c>
      <c r="H6" s="213">
        <f>IFERROR('2026'!H60/'2026'!H29,0)</f>
        <v>0.23572254812739898</v>
      </c>
      <c r="I6" s="213">
        <f>IFERROR('2026'!I60/'2026'!I29,0)</f>
        <v>5.8992361438877122E-2</v>
      </c>
      <c r="J6" s="213">
        <f>IFERROR('2026'!J60/'2026'!J29,0)</f>
        <v>0.23335006188988916</v>
      </c>
      <c r="K6" s="213">
        <f>IFERROR('2026'!K60/'2026'!K29,0)</f>
        <v>0.10585044495964989</v>
      </c>
      <c r="L6" s="213">
        <f>IFERROR('2026'!L60/'2026'!L29,0)</f>
        <v>8.1698900557129708E-2</v>
      </c>
      <c r="M6" s="213">
        <f>IFERROR('2026'!M60/'2026'!M29,0)</f>
        <v>0.2147606307766797</v>
      </c>
      <c r="N6" s="213">
        <f>IFERROR('2026'!N60/'2026'!N29,0)</f>
        <v>0.17014928983724026</v>
      </c>
      <c r="O6" s="213">
        <f>IFERROR('2026'!O60/'2026'!O29,0)</f>
        <v>7.3068704317420297E-2</v>
      </c>
      <c r="P6" s="214">
        <f>IFERROR('2026'!P60/'2026'!P29,0)</f>
        <v>0.17921171514390358</v>
      </c>
    </row>
    <row r="7" spans="3:16" ht="24.95" customHeight="1" x14ac:dyDescent="0.25">
      <c r="C7" s="198">
        <v>2027</v>
      </c>
      <c r="D7" s="213">
        <f>IFERROR('2027'!D58/'2027'!D27,0)</f>
        <v>0.23148216366672855</v>
      </c>
      <c r="E7" s="213">
        <f>IFERROR('2027'!E58/'2027'!E27,0)</f>
        <v>0.12205573802252952</v>
      </c>
      <c r="F7" s="213">
        <f>IFERROR('2027'!F58/'2027'!F27,0)</f>
        <v>0.16734299581627535</v>
      </c>
      <c r="G7" s="213">
        <f>IFERROR('2027'!G58/'2027'!G27,0)</f>
        <v>0.17090150221011002</v>
      </c>
      <c r="H7" s="213">
        <f>IFERROR('2027'!H58/'2027'!H27,0)</f>
        <v>0.18009483617366184</v>
      </c>
      <c r="I7" s="213">
        <f>IFERROR('2027'!I58/'2027'!I27,0)</f>
        <v>2.6953127847967576E-3</v>
      </c>
      <c r="J7" s="213">
        <f>IFERROR('2027'!J58/'2027'!J27,0)</f>
        <v>0.17826587904450983</v>
      </c>
      <c r="K7" s="213">
        <f>IFERROR('2027'!K58/'2027'!K27,0)</f>
        <v>4.9239361805812759E-2</v>
      </c>
      <c r="L7" s="213">
        <f>IFERROR('2027'!L58/'2027'!L27,0)</f>
        <v>2.608030229867251E-2</v>
      </c>
      <c r="M7" s="213">
        <f>IFERROR('2027'!M58/'2027'!M27,0)</f>
        <v>0.15855687408675501</v>
      </c>
      <c r="N7" s="213">
        <f>IFERROR('2027'!N58/'2027'!N27,0)</f>
        <v>0.11419092833684671</v>
      </c>
      <c r="O7" s="213">
        <f>IFERROR('2027'!O58/'2027'!O27,0)</f>
        <v>1.7367475555312033E-2</v>
      </c>
      <c r="P7" s="214">
        <f>IFERROR('2027'!P58/'2027'!P27,0)</f>
        <v>0.12347529278840871</v>
      </c>
    </row>
    <row r="8" spans="3:16" ht="24.95" customHeight="1" x14ac:dyDescent="0.25">
      <c r="C8" s="198">
        <v>2028</v>
      </c>
      <c r="D8" s="213">
        <f>IFERROR('2028'!D58/'2028'!D27,0)</f>
        <v>0.23148216366672855</v>
      </c>
      <c r="E8" s="213">
        <f>IFERROR('2028'!E58/'2028'!E27,0)</f>
        <v>0.12205573802252952</v>
      </c>
      <c r="F8" s="213">
        <f>IFERROR('2028'!F58/'2028'!F27,0)</f>
        <v>0.16734299581627535</v>
      </c>
      <c r="G8" s="213">
        <f>IFERROR('2028'!G58/'2028'!G27,0)</f>
        <v>0.17090150221011002</v>
      </c>
      <c r="H8" s="213">
        <f>IFERROR('2028'!H58/'2028'!H27,0)</f>
        <v>0.18009483617366184</v>
      </c>
      <c r="I8" s="213">
        <f>IFERROR('2028'!I58/'2028'!I27,0)</f>
        <v>2.6953127847967576E-3</v>
      </c>
      <c r="J8" s="213">
        <f>IFERROR('2028'!J58/'2028'!J27,0)</f>
        <v>0.17826587904450983</v>
      </c>
      <c r="K8" s="213">
        <f>IFERROR('2028'!K58/'2028'!K27,0)</f>
        <v>4.9239361805812759E-2</v>
      </c>
      <c r="L8" s="213">
        <f>IFERROR('2028'!L58/'2028'!L27,0)</f>
        <v>2.608030229867251E-2</v>
      </c>
      <c r="M8" s="213">
        <f>IFERROR('2028'!M58/'2028'!M27,0)</f>
        <v>0.15855687408675501</v>
      </c>
      <c r="N8" s="213">
        <f>IFERROR('2028'!N58/'2028'!N27,0)</f>
        <v>0.11419092833684671</v>
      </c>
      <c r="O8" s="213">
        <f>IFERROR('2028'!O58/'2028'!O27,0)</f>
        <v>1.7367475555312033E-2</v>
      </c>
      <c r="P8" s="214">
        <f>IFERROR('2028'!P58/'2028'!P27,0)</f>
        <v>0.12347529278840871</v>
      </c>
    </row>
    <row r="9" spans="3:16" ht="24.95" customHeight="1" x14ac:dyDescent="0.25">
      <c r="C9" s="198">
        <v>2029</v>
      </c>
      <c r="D9" s="213">
        <f>IFERROR('2029'!D58/'2029'!D27,0)</f>
        <v>0.22667377064390423</v>
      </c>
      <c r="E9" s="213">
        <f>IFERROR('2029'!E58/'2029'!E27,0)</f>
        <v>0.11743375557011189</v>
      </c>
      <c r="F9" s="213">
        <f>IFERROR('2029'!F58/'2029'!F27,0)</f>
        <v>0.16250139694490809</v>
      </c>
      <c r="G9" s="213">
        <f>IFERROR('2029'!G58/'2029'!G27,0)</f>
        <v>0.16614448968061418</v>
      </c>
      <c r="H9" s="213">
        <f>IFERROR('2029'!H58/'2029'!H27,0)</f>
        <v>0.17535653163557557</v>
      </c>
      <c r="I9" s="213">
        <f>IFERROR('2029'!I58/'2029'!I27,0)</f>
        <v>-1.904493913143634E-3</v>
      </c>
      <c r="J9" s="213">
        <f>IFERROR('2029'!J58/'2029'!J27,0)</f>
        <v>0.17341510852700656</v>
      </c>
      <c r="K9" s="213">
        <f>IFERROR('2029'!K58/'2029'!K27,0)</f>
        <v>4.4704534511997879E-2</v>
      </c>
      <c r="L9" s="213">
        <f>IFERROR('2029'!L58/'2029'!L27,0)</f>
        <v>2.1340111972594573E-2</v>
      </c>
      <c r="M9" s="213">
        <f>IFERROR('2029'!M58/'2029'!M27,0)</f>
        <v>0.15393776359816361</v>
      </c>
      <c r="N9" s="213">
        <f>IFERROR('2029'!N58/'2029'!N27,0)</f>
        <v>0.10952104115587472</v>
      </c>
      <c r="O9" s="213">
        <f>IFERROR('2029'!O58/'2029'!O27,0)</f>
        <v>1.2644382971341997E-2</v>
      </c>
      <c r="P9" s="214">
        <f>IFERROR('2029'!P58/'2029'!P27,0)</f>
        <v>0.11875948239390843</v>
      </c>
    </row>
    <row r="10" spans="3:16" ht="24.95" customHeight="1" x14ac:dyDescent="0.25">
      <c r="C10" s="198">
        <v>2030</v>
      </c>
      <c r="D10" s="213">
        <f>IFERROR('2030'!D58/'2030'!D27,0)</f>
        <v>0.22086537762107988</v>
      </c>
      <c r="E10" s="213">
        <f>IFERROR('2030'!E58/'2030'!E27,0)</f>
        <v>0.11181177311769436</v>
      </c>
      <c r="F10" s="213">
        <f>IFERROR('2030'!F58/'2030'!F27,0)</f>
        <v>0.15665979807354077</v>
      </c>
      <c r="G10" s="213">
        <f>IFERROR('2030'!G58/'2030'!G27,0)</f>
        <v>0.16038747715111842</v>
      </c>
      <c r="H10" s="213">
        <f>IFERROR('2030'!H58/'2030'!H27,0)</f>
        <v>0.1696182270974895</v>
      </c>
      <c r="I10" s="213">
        <f>IFERROR('2030'!I58/'2030'!I27,0)</f>
        <v>-7.5043006110839033E-3</v>
      </c>
      <c r="J10" s="213">
        <f>IFERROR('2030'!J58/'2030'!J27,0)</f>
        <v>0.16756433800950318</v>
      </c>
      <c r="K10" s="213">
        <f>IFERROR('2030'!K58/'2030'!K27,0)</f>
        <v>3.9169707218182873E-2</v>
      </c>
      <c r="L10" s="213">
        <f>IFERROR('2030'!L58/'2030'!L27,0)</f>
        <v>1.5599921646516388E-2</v>
      </c>
      <c r="M10" s="213">
        <f>IFERROR('2030'!M58/'2030'!M27,0)</f>
        <v>0.1483186531095721</v>
      </c>
      <c r="N10" s="213">
        <f>IFERROR('2030'!N58/'2030'!N27,0)</f>
        <v>0.10385115397490297</v>
      </c>
      <c r="O10" s="213">
        <f>IFERROR('2030'!O58/'2030'!O27,0)</f>
        <v>6.9212903873718673E-3</v>
      </c>
      <c r="P10" s="214">
        <f>IFERROR('2030'!P58/'2030'!P27,0)</f>
        <v>0.11304367199940815</v>
      </c>
    </row>
    <row r="11" spans="3:16" ht="24.95" customHeight="1" x14ac:dyDescent="0.25">
      <c r="C11" s="198">
        <v>2031</v>
      </c>
      <c r="D11" s="213">
        <f>IFERROR('2031'!D58/'2031'!D27,0)</f>
        <v>0.21505698459825565</v>
      </c>
      <c r="E11" s="213">
        <f>IFERROR('2031'!E58/'2031'!E27,0)</f>
        <v>0.1061897906652767</v>
      </c>
      <c r="F11" s="213">
        <f>IFERROR('2031'!F58/'2031'!F27,0)</f>
        <v>0.15081819920217354</v>
      </c>
      <c r="G11" s="213">
        <f>IFERROR('2031'!G58/'2031'!G27,0)</f>
        <v>0.15463046462162258</v>
      </c>
      <c r="H11" s="213">
        <f>IFERROR('2031'!H58/'2031'!H27,0)</f>
        <v>0.16387992255940342</v>
      </c>
      <c r="I11" s="213">
        <f>IFERROR('2031'!I58/'2031'!I27,0)</f>
        <v>-1.3104107309024313E-2</v>
      </c>
      <c r="J11" s="213">
        <f>IFERROR('2031'!J58/'2031'!J27,0)</f>
        <v>0.16171356749199986</v>
      </c>
      <c r="K11" s="213">
        <f>IFERROR('2031'!K58/'2031'!K27,0)</f>
        <v>3.3634879924368005E-2</v>
      </c>
      <c r="L11" s="213">
        <f>IFERROR('2031'!L58/'2031'!L27,0)</f>
        <v>9.8597313204384033E-3</v>
      </c>
      <c r="M11" s="213">
        <f>IFERROR('2031'!M58/'2031'!M27,0)</f>
        <v>0.14269954262098067</v>
      </c>
      <c r="N11" s="213">
        <f>IFERROR('2031'!N58/'2031'!N27,0)</f>
        <v>9.8181266793931077E-2</v>
      </c>
      <c r="O11" s="213">
        <f>IFERROR('2031'!O58/'2031'!O27,0)</f>
        <v>1.1981978034016701E-3</v>
      </c>
      <c r="P11" s="214">
        <f>IFERROR('2031'!P58/'2031'!P27,0)</f>
        <v>0.1073278616049079</v>
      </c>
    </row>
    <row r="12" spans="3:16" ht="24.95" customHeight="1" x14ac:dyDescent="0.25">
      <c r="C12" s="198">
        <v>2032</v>
      </c>
      <c r="D12" s="213">
        <f>IFERROR('2032'!D58/'2032'!D27,0)</f>
        <v>0.20924859157543141</v>
      </c>
      <c r="E12" s="213">
        <f>IFERROR('2032'!E58/'2032'!E27,0)</f>
        <v>0.10056780821285903</v>
      </c>
      <c r="F12" s="213">
        <f>IFERROR('2032'!F58/'2032'!F27,0)</f>
        <v>0.14497660033080623</v>
      </c>
      <c r="G12" s="213">
        <f>IFERROR('2032'!G58/'2032'!G27,0)</f>
        <v>0.14887345209212671</v>
      </c>
      <c r="H12" s="213">
        <f>IFERROR('2032'!H58/'2032'!H27,0)</f>
        <v>0.15814161802131715</v>
      </c>
      <c r="I12" s="213">
        <f>IFERROR('2032'!I58/'2032'!I27,0)</f>
        <v>-1.870391400696458E-2</v>
      </c>
      <c r="J12" s="213">
        <f>IFERROR('2032'!J58/'2032'!J27,0)</f>
        <v>0.15586279697449651</v>
      </c>
      <c r="K12" s="213">
        <f>IFERROR('2032'!K58/'2032'!K27,0)</f>
        <v>2.8100052630552926E-2</v>
      </c>
      <c r="L12" s="213">
        <f>IFERROR('2032'!L58/'2032'!L27,0)</f>
        <v>4.1195409943604166E-3</v>
      </c>
      <c r="M12" s="213">
        <f>IFERROR('2032'!M58/'2032'!M27,0)</f>
        <v>0.13708043213238916</v>
      </c>
      <c r="N12" s="213">
        <f>IFERROR('2032'!N58/'2032'!N27,0)</f>
        <v>9.2511379612959327E-2</v>
      </c>
      <c r="O12" s="213">
        <f>IFERROR('2032'!O58/'2032'!O27,0)</f>
        <v>-4.5248947805683276E-3</v>
      </c>
      <c r="P12" s="214">
        <f>IFERROR('2032'!P58/'2032'!P27,0)</f>
        <v>0.10161205121040762</v>
      </c>
    </row>
    <row r="13" spans="3:16" ht="24.95" customHeight="1" x14ac:dyDescent="0.25">
      <c r="C13" s="44">
        <v>2033</v>
      </c>
      <c r="D13" s="213">
        <f>IFERROR('2033'!D58/'2033'!D27,0)</f>
        <v>0.17439823343848576</v>
      </c>
      <c r="E13" s="213">
        <f>IFERROR('2033'!E58/'2033'!E27,0)</f>
        <v>6.6835913498353272E-2</v>
      </c>
      <c r="F13" s="213">
        <f>IFERROR('2033'!F58/'2033'!F27,0)</f>
        <v>0.10992700710260238</v>
      </c>
      <c r="G13" s="213">
        <f>IFERROR('2033'!G58/'2033'!G27,0)</f>
        <v>0.11433137691515177</v>
      </c>
      <c r="H13" s="213">
        <f>IFERROR('2033'!H58/'2033'!H27,0)</f>
        <v>0.12371179079280026</v>
      </c>
      <c r="I13" s="213">
        <f>IFERROR('2033'!I58/'2033'!I27,0)</f>
        <v>-5.2302754194606754E-2</v>
      </c>
      <c r="J13" s="213">
        <f>IFERROR('2033'!J58/'2033'!J27,0)</f>
        <v>0.12075817386947665</v>
      </c>
      <c r="K13" s="213">
        <f>IFERROR('2033'!K58/'2033'!K27,0)</f>
        <v>-5.1089111323366311E-3</v>
      </c>
      <c r="L13" s="213">
        <f>IFERROR('2033'!L58/'2033'!L27,0)</f>
        <v>-3.0321600962107894E-2</v>
      </c>
      <c r="M13" s="213">
        <f>IFERROR('2033'!M58/'2033'!M27,0)</f>
        <v>0.10336576920084045</v>
      </c>
      <c r="N13" s="213">
        <f>IFERROR('2033'!N58/'2033'!N27,0)</f>
        <v>5.8492056527128196E-2</v>
      </c>
      <c r="O13" s="213">
        <f>IFERROR('2033'!O58/'2033'!O27,0)</f>
        <v>-3.8863450284389041E-2</v>
      </c>
      <c r="P13" s="215">
        <f>IFERROR('2033'!P58/'2033'!P27,0)</f>
        <v>6.7317188843405915E-2</v>
      </c>
    </row>
  </sheetData>
  <sheetProtection sheet="1" objects="1" scenarios="1" selectLockedCells="1" selectUnlockedCells="1"/>
  <conditionalFormatting sqref="D5:P13">
    <cfRule type="cellIs" dxfId="26" priority="1" operator="lessThan">
      <formula>0</formula>
    </cfRule>
    <cfRule type="cellIs" dxfId="25" priority="2" operator="greaterThan">
      <formula>0</formula>
    </cfRule>
    <cfRule type="cellIs" dxfId="24" priority="3" operator="equal">
      <formula>0</formula>
    </cfRule>
  </conditionalFormatting>
  <pageMargins left="0.25" right="0.25" top="0.75" bottom="0.75" header="0.3" footer="0.3"/>
  <pageSetup paperSize="9" scale="77" fitToHeight="0" orientation="landscape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Planilha52">
    <tabColor rgb="FF00B050"/>
    <pageSetUpPr fitToPage="1"/>
  </sheetPr>
  <dimension ref="C1:L13"/>
  <sheetViews>
    <sheetView showGridLines="0" showRowColHeaders="0" workbookViewId="0">
      <pane ySplit="4" topLeftCell="A5" activePane="bottomLeft" state="frozen"/>
      <selection activeCell="W13" sqref="W13"/>
      <selection pane="bottomLeft"/>
    </sheetView>
  </sheetViews>
  <sheetFormatPr defaultRowHeight="24.95" customHeight="1" x14ac:dyDescent="0.25"/>
  <cols>
    <col min="1" max="2" width="1.7109375" style="18" customWidth="1"/>
    <col min="3" max="3" width="25.7109375" style="18" customWidth="1"/>
    <col min="4" max="12" width="17.28515625" style="18" customWidth="1"/>
    <col min="13" max="16384" width="9.140625" style="18"/>
  </cols>
  <sheetData>
    <row r="1" spans="3:12" s="1" customFormat="1" ht="35.1" customHeight="1" x14ac:dyDescent="0.25"/>
    <row r="2" spans="3:12" s="3" customFormat="1" ht="30" customHeight="1" x14ac:dyDescent="0.25"/>
    <row r="3" spans="3:12" s="181" customFormat="1" ht="50.1" customHeight="1" thickBot="1" x14ac:dyDescent="0.3">
      <c r="C3" s="227" t="s">
        <v>293</v>
      </c>
    </row>
    <row r="4" spans="3:12" ht="21.95" customHeight="1" x14ac:dyDescent="0.25">
      <c r="C4" s="216" t="s">
        <v>82</v>
      </c>
      <c r="D4" s="217">
        <v>2025</v>
      </c>
      <c r="E4" s="217">
        <v>2026</v>
      </c>
      <c r="F4" s="217">
        <v>2027</v>
      </c>
      <c r="G4" s="217">
        <v>2028</v>
      </c>
      <c r="H4" s="217">
        <v>2029</v>
      </c>
      <c r="I4" s="217">
        <v>2030</v>
      </c>
      <c r="J4" s="217">
        <v>2031</v>
      </c>
      <c r="K4" s="217">
        <v>2032</v>
      </c>
      <c r="L4" s="217">
        <v>2033</v>
      </c>
    </row>
    <row r="5" spans="3:12" ht="24.95" customHeight="1" x14ac:dyDescent="0.25">
      <c r="C5" s="43" t="s">
        <v>295</v>
      </c>
      <c r="D5" s="219">
        <f>Relatórios!P16</f>
        <v>247038.86263999998</v>
      </c>
      <c r="E5" s="218"/>
      <c r="F5" s="218"/>
      <c r="G5" s="218"/>
      <c r="H5" s="218"/>
      <c r="I5" s="218"/>
      <c r="J5" s="218"/>
      <c r="K5" s="218"/>
      <c r="L5" s="218"/>
    </row>
    <row r="6" spans="3:12" ht="24.95" customHeight="1" x14ac:dyDescent="0.25">
      <c r="C6" s="43" t="s">
        <v>296</v>
      </c>
      <c r="D6" s="218"/>
      <c r="E6" s="220">
        <f>'2026'!P20</f>
        <v>247038.86263999998</v>
      </c>
      <c r="F6" s="218"/>
      <c r="G6" s="218"/>
      <c r="H6" s="218"/>
      <c r="I6" s="218"/>
      <c r="J6" s="218"/>
      <c r="K6" s="218"/>
      <c r="L6" s="218"/>
    </row>
    <row r="7" spans="3:12" ht="24.95" customHeight="1" x14ac:dyDescent="0.25">
      <c r="C7" s="43" t="s">
        <v>297</v>
      </c>
      <c r="D7" s="218"/>
      <c r="E7" s="218"/>
      <c r="F7" s="220">
        <f>'2027'!P18</f>
        <v>301527.59830000001</v>
      </c>
      <c r="G7" s="218"/>
      <c r="H7" s="218"/>
      <c r="I7" s="218"/>
      <c r="J7" s="218"/>
      <c r="K7" s="218"/>
      <c r="L7" s="218"/>
    </row>
    <row r="8" spans="3:12" ht="24.95" customHeight="1" x14ac:dyDescent="0.25">
      <c r="C8" s="43" t="s">
        <v>298</v>
      </c>
      <c r="D8" s="218"/>
      <c r="E8" s="218"/>
      <c r="F8" s="218"/>
      <c r="G8" s="220">
        <f>'2028'!P18</f>
        <v>301527.59830000001</v>
      </c>
      <c r="H8" s="218"/>
      <c r="I8" s="218"/>
      <c r="J8" s="218"/>
      <c r="K8" s="218"/>
      <c r="L8" s="218"/>
    </row>
    <row r="9" spans="3:12" ht="24.95" customHeight="1" x14ac:dyDescent="0.25">
      <c r="C9" s="43" t="s">
        <v>299</v>
      </c>
      <c r="D9" s="218"/>
      <c r="E9" s="218"/>
      <c r="F9" s="218"/>
      <c r="G9" s="218"/>
      <c r="H9" s="220">
        <f>'2029'!P18</f>
        <v>308093.02969999996</v>
      </c>
      <c r="I9" s="218"/>
      <c r="J9" s="218"/>
      <c r="K9" s="218"/>
      <c r="L9" s="218"/>
    </row>
    <row r="10" spans="3:12" ht="24.95" customHeight="1" x14ac:dyDescent="0.25">
      <c r="C10" s="43" t="s">
        <v>300</v>
      </c>
      <c r="D10" s="218"/>
      <c r="E10" s="218"/>
      <c r="F10" s="218"/>
      <c r="G10" s="218"/>
      <c r="H10" s="218"/>
      <c r="I10" s="220">
        <f>'2030'!P18</f>
        <v>316050.67809999996</v>
      </c>
      <c r="J10" s="218"/>
      <c r="K10" s="218"/>
      <c r="L10" s="218"/>
    </row>
    <row r="11" spans="3:12" ht="24.95" customHeight="1" x14ac:dyDescent="0.25">
      <c r="C11" s="43" t="s">
        <v>301</v>
      </c>
      <c r="D11" s="218"/>
      <c r="E11" s="218"/>
      <c r="F11" s="218"/>
      <c r="G11" s="218"/>
      <c r="H11" s="218"/>
      <c r="I11" s="218"/>
      <c r="J11" s="220">
        <f>'2031'!P18</f>
        <v>324008.32649999997</v>
      </c>
      <c r="K11" s="218"/>
      <c r="L11" s="218"/>
    </row>
    <row r="12" spans="3:12" ht="24.95" customHeight="1" x14ac:dyDescent="0.25">
      <c r="C12" s="43" t="s">
        <v>302</v>
      </c>
      <c r="D12" s="218"/>
      <c r="E12" s="218"/>
      <c r="F12" s="218"/>
      <c r="G12" s="218"/>
      <c r="H12" s="218"/>
      <c r="I12" s="218"/>
      <c r="J12" s="218"/>
      <c r="K12" s="220">
        <f>'2032'!P18</f>
        <v>331965.97489999997</v>
      </c>
      <c r="L12" s="218"/>
    </row>
    <row r="13" spans="3:12" ht="24.95" customHeight="1" x14ac:dyDescent="0.25">
      <c r="C13" s="43" t="s">
        <v>303</v>
      </c>
      <c r="D13" s="218"/>
      <c r="E13" s="218"/>
      <c r="F13" s="218"/>
      <c r="G13" s="218"/>
      <c r="H13" s="218"/>
      <c r="I13" s="218"/>
      <c r="J13" s="218"/>
      <c r="K13" s="218"/>
      <c r="L13" s="220">
        <f>'2033'!P18</f>
        <v>379711.8653</v>
      </c>
    </row>
  </sheetData>
  <sheetProtection sheet="1" objects="1" scenarios="1" selectLockedCells="1" selectUnlockedCells="1"/>
  <phoneticPr fontId="20" type="noConversion"/>
  <conditionalFormatting sqref="E6">
    <cfRule type="expression" dxfId="23" priority="22">
      <formula>E6=D5</formula>
    </cfRule>
    <cfRule type="expression" dxfId="22" priority="39">
      <formula>E6&gt;D5</formula>
    </cfRule>
    <cfRule type="expression" dxfId="21" priority="40">
      <formula>E6&lt;D5</formula>
    </cfRule>
  </conditionalFormatting>
  <conditionalFormatting sqref="F7">
    <cfRule type="expression" dxfId="20" priority="19">
      <formula>F7=E6</formula>
    </cfRule>
    <cfRule type="expression" dxfId="19" priority="20">
      <formula>F7&gt;E6</formula>
    </cfRule>
    <cfRule type="expression" dxfId="18" priority="21">
      <formula>F7&lt;E6</formula>
    </cfRule>
  </conditionalFormatting>
  <conditionalFormatting sqref="G8">
    <cfRule type="expression" dxfId="17" priority="16">
      <formula>G8=F7</formula>
    </cfRule>
    <cfRule type="expression" dxfId="16" priority="17">
      <formula>G8&gt;F7</formula>
    </cfRule>
    <cfRule type="expression" dxfId="15" priority="18">
      <formula>G8&lt;F7</formula>
    </cfRule>
  </conditionalFormatting>
  <conditionalFormatting sqref="H9">
    <cfRule type="expression" dxfId="14" priority="13">
      <formula>H9=G8</formula>
    </cfRule>
    <cfRule type="expression" dxfId="13" priority="14">
      <formula>H9&gt;G8</formula>
    </cfRule>
    <cfRule type="expression" dxfId="12" priority="15">
      <formula>H9&lt;G8</formula>
    </cfRule>
  </conditionalFormatting>
  <conditionalFormatting sqref="I10">
    <cfRule type="expression" dxfId="11" priority="10">
      <formula>I10=H9</formula>
    </cfRule>
    <cfRule type="expression" dxfId="10" priority="11">
      <formula>I10&gt;H9</formula>
    </cfRule>
    <cfRule type="expression" dxfId="9" priority="12">
      <formula>I10&lt;H9</formula>
    </cfRule>
  </conditionalFormatting>
  <conditionalFormatting sqref="J11">
    <cfRule type="expression" dxfId="8" priority="7">
      <formula>J11=I10</formula>
    </cfRule>
    <cfRule type="expression" dxfId="7" priority="8">
      <formula>J11&gt;I10</formula>
    </cfRule>
    <cfRule type="expression" dxfId="6" priority="9">
      <formula>J11&lt;I10</formula>
    </cfRule>
  </conditionalFormatting>
  <conditionalFormatting sqref="K12">
    <cfRule type="expression" dxfId="5" priority="4">
      <formula>K12=J11</formula>
    </cfRule>
    <cfRule type="expression" dxfId="4" priority="5">
      <formula>K12&gt;J11</formula>
    </cfRule>
    <cfRule type="expression" dxfId="3" priority="6">
      <formula>K12&lt;J11</formula>
    </cfRule>
  </conditionalFormatting>
  <conditionalFormatting sqref="L13">
    <cfRule type="expression" dxfId="2" priority="1">
      <formula>L13=K12</formula>
    </cfRule>
    <cfRule type="expression" dxfId="1" priority="2">
      <formula>L13&gt;K12</formula>
    </cfRule>
    <cfRule type="expression" dxfId="0" priority="3">
      <formula>L13&lt;K12</formula>
    </cfRule>
  </conditionalFormatting>
  <pageMargins left="0.25" right="0.25" top="0.75" bottom="0.75" header="0.3" footer="0.3"/>
  <pageSetup paperSize="9" scale="78" fitToHeight="0" orientation="landscape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Planilha15">
    <pageSetUpPr fitToPage="1"/>
  </sheetPr>
  <dimension ref="D1:U126"/>
  <sheetViews>
    <sheetView showGridLines="0" showRowColHeaders="0" workbookViewId="0">
      <pane ySplit="6" topLeftCell="A7" activePane="bottomLeft" state="frozen"/>
      <selection activeCell="V11" sqref="V11"/>
      <selection pane="bottomLeft" activeCell="Y13" sqref="Y13"/>
    </sheetView>
  </sheetViews>
  <sheetFormatPr defaultRowHeight="15" customHeight="1" x14ac:dyDescent="0.25"/>
  <cols>
    <col min="1" max="2" width="1.7109375" style="2" customWidth="1"/>
    <col min="3" max="3" width="9.140625" style="2"/>
    <col min="4" max="4" width="2.7109375" style="2" customWidth="1"/>
    <col min="5" max="6" width="15.5703125" style="2" customWidth="1"/>
    <col min="7" max="10" width="9.140625" style="2"/>
    <col min="11" max="11" width="15.5703125" style="2" customWidth="1"/>
    <col min="12" max="19" width="9.140625" style="2"/>
    <col min="20" max="21" width="2.7109375" style="2" customWidth="1"/>
    <col min="22" max="16384" width="9.140625" style="2"/>
  </cols>
  <sheetData>
    <row r="1" spans="4:21" s="1" customFormat="1" ht="35.1" customHeight="1" x14ac:dyDescent="0.25"/>
    <row r="2" spans="4:21" s="3" customFormat="1" ht="30" customHeight="1" x14ac:dyDescent="0.25"/>
    <row r="5" spans="4:21" ht="30" customHeight="1" x14ac:dyDescent="0.25"/>
    <row r="6" spans="4:21" ht="30" customHeight="1" x14ac:dyDescent="0.25"/>
    <row r="7" spans="4:21" ht="15" customHeight="1" x14ac:dyDescent="0.25"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</row>
    <row r="8" spans="4:21" ht="15" customHeight="1" x14ac:dyDescent="0.25">
      <c r="D8" s="18"/>
      <c r="E8" s="296" t="s">
        <v>14</v>
      </c>
      <c r="F8" s="296"/>
      <c r="G8" s="296"/>
      <c r="H8" s="296"/>
      <c r="I8" s="296"/>
      <c r="J8" s="296"/>
      <c r="K8" s="296"/>
      <c r="L8" s="296"/>
      <c r="M8" s="296"/>
      <c r="N8" s="296"/>
      <c r="O8" s="296"/>
      <c r="P8" s="296"/>
      <c r="Q8" s="296"/>
      <c r="R8" s="296"/>
      <c r="S8" s="296"/>
      <c r="T8" s="296"/>
      <c r="U8" s="18"/>
    </row>
    <row r="9" spans="4:21" ht="15" customHeight="1" x14ac:dyDescent="0.25">
      <c r="D9" s="18"/>
      <c r="E9" s="296"/>
      <c r="F9" s="296"/>
      <c r="G9" s="296"/>
      <c r="H9" s="296"/>
      <c r="I9" s="296"/>
      <c r="J9" s="296"/>
      <c r="K9" s="296"/>
      <c r="L9" s="296"/>
      <c r="M9" s="296"/>
      <c r="N9" s="296"/>
      <c r="O9" s="296"/>
      <c r="P9" s="296"/>
      <c r="Q9" s="296"/>
      <c r="R9" s="296"/>
      <c r="S9" s="296"/>
      <c r="T9" s="296"/>
      <c r="U9" s="18"/>
    </row>
    <row r="10" spans="4:21" ht="15" customHeight="1" x14ac:dyDescent="0.25">
      <c r="D10" s="18"/>
      <c r="E10" s="296"/>
      <c r="F10" s="296"/>
      <c r="G10" s="296"/>
      <c r="H10" s="296"/>
      <c r="I10" s="296"/>
      <c r="J10" s="296"/>
      <c r="K10" s="296"/>
      <c r="L10" s="296"/>
      <c r="M10" s="296"/>
      <c r="N10" s="296"/>
      <c r="O10" s="296"/>
      <c r="P10" s="296"/>
      <c r="Q10" s="296"/>
      <c r="R10" s="296"/>
      <c r="S10" s="296"/>
      <c r="T10" s="296"/>
      <c r="U10" s="18"/>
    </row>
    <row r="11" spans="4:21" ht="15" customHeight="1" x14ac:dyDescent="0.25">
      <c r="D11" s="18"/>
      <c r="E11" s="296"/>
      <c r="F11" s="296"/>
      <c r="G11" s="296"/>
      <c r="H11" s="296"/>
      <c r="I11" s="296"/>
      <c r="J11" s="296"/>
      <c r="K11" s="296"/>
      <c r="L11" s="296"/>
      <c r="M11" s="296"/>
      <c r="N11" s="296"/>
      <c r="O11" s="296"/>
      <c r="P11" s="296"/>
      <c r="Q11" s="296"/>
      <c r="R11" s="296"/>
      <c r="S11" s="296"/>
      <c r="T11" s="296"/>
      <c r="U11" s="18"/>
    </row>
    <row r="12" spans="4:21" ht="15" customHeight="1" x14ac:dyDescent="0.25">
      <c r="D12" s="18"/>
      <c r="E12" s="296"/>
      <c r="F12" s="296"/>
      <c r="G12" s="296"/>
      <c r="H12" s="296"/>
      <c r="I12" s="296"/>
      <c r="J12" s="296"/>
      <c r="K12" s="296"/>
      <c r="L12" s="296"/>
      <c r="M12" s="296"/>
      <c r="N12" s="296"/>
      <c r="O12" s="296"/>
      <c r="P12" s="296"/>
      <c r="Q12" s="296"/>
      <c r="R12" s="296"/>
      <c r="S12" s="296"/>
      <c r="T12" s="296"/>
      <c r="U12" s="18"/>
    </row>
    <row r="13" spans="4:21" ht="15" customHeight="1" x14ac:dyDescent="0.25">
      <c r="D13" s="18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6"/>
      <c r="P13" s="296"/>
      <c r="Q13" s="296"/>
      <c r="R13" s="296"/>
      <c r="S13" s="296"/>
      <c r="T13" s="296"/>
      <c r="U13" s="18"/>
    </row>
    <row r="14" spans="4:21" ht="15" customHeight="1" x14ac:dyDescent="0.25"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</row>
    <row r="15" spans="4:21" ht="15" customHeight="1" x14ac:dyDescent="0.25">
      <c r="D15" s="18"/>
      <c r="E15" s="2" t="s">
        <v>27</v>
      </c>
      <c r="F15" s="289" t="str">
        <f>IF(Par!D4="","",Par!D4)</f>
        <v>Empresa Exemplo LTDA</v>
      </c>
      <c r="G15" s="290"/>
      <c r="H15" s="290"/>
      <c r="I15" s="290"/>
      <c r="J15" s="290"/>
      <c r="K15" s="290"/>
      <c r="L15" s="290"/>
      <c r="M15" s="290"/>
      <c r="N15" s="290"/>
      <c r="O15" s="291"/>
      <c r="P15" s="292" t="s">
        <v>324</v>
      </c>
      <c r="Q15" s="292"/>
      <c r="R15" s="293">
        <f>IF(Par!D6="","",Par!D6)</f>
        <v>46030</v>
      </c>
      <c r="S15" s="294"/>
      <c r="T15" s="295"/>
      <c r="U15" s="18"/>
    </row>
    <row r="16" spans="4:21" ht="15" customHeight="1" x14ac:dyDescent="0.25"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4:21" ht="15" customHeight="1" x14ac:dyDescent="0.25"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4:21" ht="15" customHeight="1" x14ac:dyDescent="0.25"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</row>
    <row r="19" spans="4:21" ht="15" customHeight="1" x14ac:dyDescent="0.25"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</row>
    <row r="20" spans="4:21" ht="15" customHeight="1" x14ac:dyDescent="0.25"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</row>
    <row r="21" spans="4:21" ht="15" customHeight="1" x14ac:dyDescent="0.25"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</row>
    <row r="22" spans="4:21" ht="15" customHeight="1" x14ac:dyDescent="0.25"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</row>
    <row r="23" spans="4:21" ht="15" customHeight="1" x14ac:dyDescent="0.25"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</row>
    <row r="24" spans="4:21" ht="15" customHeight="1" x14ac:dyDescent="0.25"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</row>
    <row r="25" spans="4:21" ht="15" customHeight="1" x14ac:dyDescent="0.25"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</row>
    <row r="26" spans="4:21" ht="15" customHeight="1" x14ac:dyDescent="0.25"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7" spans="4:21" ht="15" customHeight="1" x14ac:dyDescent="0.25"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8" spans="4:21" ht="15" customHeight="1" x14ac:dyDescent="0.25"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29" spans="4:21" ht="15" customHeight="1" x14ac:dyDescent="0.25"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0" spans="4:21" ht="15" customHeight="1" x14ac:dyDescent="0.25"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4:21" ht="15" customHeight="1" x14ac:dyDescent="0.25"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</row>
    <row r="32" spans="4:21" ht="15" customHeight="1" x14ac:dyDescent="0.25"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</row>
    <row r="33" spans="4:21" ht="15" customHeight="1" x14ac:dyDescent="0.25"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</row>
    <row r="34" spans="4:21" ht="15" customHeight="1" x14ac:dyDescent="0.25"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</row>
    <row r="35" spans="4:21" ht="15" customHeight="1" x14ac:dyDescent="0.25"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</row>
    <row r="36" spans="4:21" ht="15" customHeight="1" x14ac:dyDescent="0.25"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</row>
    <row r="37" spans="4:21" ht="15" customHeight="1" x14ac:dyDescent="0.25"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</row>
    <row r="38" spans="4:21" ht="15" customHeight="1" x14ac:dyDescent="0.25"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39" spans="4:21" ht="15" customHeight="1" x14ac:dyDescent="0.25"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</row>
    <row r="40" spans="4:21" ht="15" customHeight="1" x14ac:dyDescent="0.25"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</row>
    <row r="41" spans="4:21" ht="15" customHeight="1" x14ac:dyDescent="0.25"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2" spans="4:21" ht="15" customHeight="1" x14ac:dyDescent="0.25"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</row>
    <row r="43" spans="4:21" ht="15" customHeight="1" x14ac:dyDescent="0.25"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</row>
    <row r="44" spans="4:21" ht="15" customHeight="1" x14ac:dyDescent="0.25"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</row>
    <row r="45" spans="4:21" ht="15" customHeight="1" x14ac:dyDescent="0.25"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</row>
    <row r="46" spans="4:21" ht="15" customHeight="1" x14ac:dyDescent="0.25"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7" spans="4:21" ht="15" customHeight="1" x14ac:dyDescent="0.25"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8" spans="4:21" ht="15" customHeight="1" x14ac:dyDescent="0.25">
      <c r="D48" s="18"/>
      <c r="E48" s="296" t="s">
        <v>14</v>
      </c>
      <c r="F48" s="296"/>
      <c r="G48" s="296"/>
      <c r="H48" s="296"/>
      <c r="I48" s="296"/>
      <c r="J48" s="296"/>
      <c r="K48" s="296"/>
      <c r="L48" s="296"/>
      <c r="M48" s="296"/>
      <c r="N48" s="296"/>
      <c r="O48" s="296"/>
      <c r="P48" s="296"/>
      <c r="Q48" s="296"/>
      <c r="R48" s="296"/>
      <c r="S48" s="296"/>
      <c r="T48" s="296"/>
      <c r="U48" s="18"/>
    </row>
    <row r="49" spans="4:21" ht="15" customHeight="1" x14ac:dyDescent="0.25">
      <c r="D49" s="18"/>
      <c r="E49" s="296"/>
      <c r="F49" s="296"/>
      <c r="G49" s="296"/>
      <c r="H49" s="296"/>
      <c r="I49" s="296"/>
      <c r="J49" s="296"/>
      <c r="K49" s="296"/>
      <c r="L49" s="296"/>
      <c r="M49" s="296"/>
      <c r="N49" s="296"/>
      <c r="O49" s="296"/>
      <c r="P49" s="296"/>
      <c r="Q49" s="296"/>
      <c r="R49" s="296"/>
      <c r="S49" s="296"/>
      <c r="T49" s="296"/>
      <c r="U49" s="18"/>
    </row>
    <row r="50" spans="4:21" ht="15" customHeight="1" x14ac:dyDescent="0.25">
      <c r="D50" s="18"/>
      <c r="E50" s="296"/>
      <c r="F50" s="296"/>
      <c r="G50" s="296"/>
      <c r="H50" s="296"/>
      <c r="I50" s="296"/>
      <c r="J50" s="296"/>
      <c r="K50" s="296"/>
      <c r="L50" s="296"/>
      <c r="M50" s="296"/>
      <c r="N50" s="296"/>
      <c r="O50" s="296"/>
      <c r="P50" s="296"/>
      <c r="Q50" s="296"/>
      <c r="R50" s="296"/>
      <c r="S50" s="296"/>
      <c r="T50" s="296"/>
      <c r="U50" s="18"/>
    </row>
    <row r="51" spans="4:21" ht="15" customHeight="1" x14ac:dyDescent="0.25">
      <c r="D51" s="18"/>
      <c r="E51" s="296"/>
      <c r="F51" s="296"/>
      <c r="G51" s="296"/>
      <c r="H51" s="296"/>
      <c r="I51" s="296"/>
      <c r="J51" s="296"/>
      <c r="K51" s="296"/>
      <c r="L51" s="296"/>
      <c r="M51" s="296"/>
      <c r="N51" s="296"/>
      <c r="O51" s="296"/>
      <c r="P51" s="296"/>
      <c r="Q51" s="296"/>
      <c r="R51" s="296"/>
      <c r="S51" s="296"/>
      <c r="T51" s="296"/>
      <c r="U51" s="18"/>
    </row>
    <row r="52" spans="4:21" ht="15" customHeight="1" x14ac:dyDescent="0.25">
      <c r="D52" s="18"/>
      <c r="E52" s="296"/>
      <c r="F52" s="296"/>
      <c r="G52" s="296"/>
      <c r="H52" s="296"/>
      <c r="I52" s="296"/>
      <c r="J52" s="296"/>
      <c r="K52" s="296"/>
      <c r="L52" s="296"/>
      <c r="M52" s="296"/>
      <c r="N52" s="296"/>
      <c r="O52" s="296"/>
      <c r="P52" s="296"/>
      <c r="Q52" s="296"/>
      <c r="R52" s="296"/>
      <c r="S52" s="296"/>
      <c r="T52" s="296"/>
      <c r="U52" s="18"/>
    </row>
    <row r="53" spans="4:21" ht="15" customHeight="1" x14ac:dyDescent="0.25">
      <c r="D53" s="18"/>
      <c r="E53" s="296"/>
      <c r="F53" s="296"/>
      <c r="G53" s="296"/>
      <c r="H53" s="296"/>
      <c r="I53" s="296"/>
      <c r="J53" s="296"/>
      <c r="K53" s="296"/>
      <c r="L53" s="296"/>
      <c r="M53" s="296"/>
      <c r="N53" s="296"/>
      <c r="O53" s="296"/>
      <c r="P53" s="296"/>
      <c r="Q53" s="296"/>
      <c r="R53" s="296"/>
      <c r="S53" s="296"/>
      <c r="T53" s="296"/>
      <c r="U53" s="18"/>
    </row>
    <row r="54" spans="4:21" ht="15" customHeight="1" x14ac:dyDescent="0.25"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</row>
    <row r="55" spans="4:21" ht="15" customHeight="1" x14ac:dyDescent="0.25">
      <c r="D55" s="18"/>
      <c r="E55" s="2" t="s">
        <v>27</v>
      </c>
      <c r="F55" s="289" t="str">
        <f>F15</f>
        <v>Empresa Exemplo LTDA</v>
      </c>
      <c r="G55" s="290"/>
      <c r="H55" s="290"/>
      <c r="I55" s="290"/>
      <c r="J55" s="290"/>
      <c r="K55" s="290"/>
      <c r="L55" s="290"/>
      <c r="M55" s="290"/>
      <c r="N55" s="290"/>
      <c r="O55" s="291"/>
      <c r="P55" s="292" t="s">
        <v>324</v>
      </c>
      <c r="Q55" s="292"/>
      <c r="R55" s="293">
        <f>R15</f>
        <v>46030</v>
      </c>
      <c r="S55" s="294"/>
      <c r="T55" s="295"/>
      <c r="U55" s="18"/>
    </row>
    <row r="56" spans="4:21" ht="15" customHeight="1" x14ac:dyDescent="0.25"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</row>
    <row r="57" spans="4:21" ht="15" customHeight="1" x14ac:dyDescent="0.25"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</row>
    <row r="58" spans="4:21" ht="15" customHeight="1" x14ac:dyDescent="0.25"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</row>
    <row r="59" spans="4:21" ht="15" customHeight="1" x14ac:dyDescent="0.25"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</row>
    <row r="60" spans="4:21" ht="15" customHeight="1" x14ac:dyDescent="0.25"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</row>
    <row r="61" spans="4:21" ht="15" customHeight="1" x14ac:dyDescent="0.25"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</row>
    <row r="62" spans="4:21" ht="15" customHeight="1" x14ac:dyDescent="0.25"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4:21" ht="15" customHeight="1" x14ac:dyDescent="0.25"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4:21" ht="15" customHeight="1" x14ac:dyDescent="0.25"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</row>
    <row r="65" spans="4:21" ht="15" customHeight="1" x14ac:dyDescent="0.25"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</row>
    <row r="66" spans="4:21" ht="15" customHeight="1" x14ac:dyDescent="0.25"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</row>
    <row r="67" spans="4:21" ht="15" customHeight="1" x14ac:dyDescent="0.25"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</row>
    <row r="68" spans="4:21" ht="15" customHeight="1" x14ac:dyDescent="0.25"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</row>
    <row r="69" spans="4:21" ht="15" customHeight="1" x14ac:dyDescent="0.25"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</row>
    <row r="70" spans="4:21" ht="15" customHeight="1" x14ac:dyDescent="0.25"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</row>
    <row r="71" spans="4:21" ht="15" customHeight="1" x14ac:dyDescent="0.25"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</row>
    <row r="72" spans="4:21" ht="15" customHeight="1" x14ac:dyDescent="0.25"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</row>
    <row r="73" spans="4:21" ht="15" customHeight="1" x14ac:dyDescent="0.25"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</row>
    <row r="74" spans="4:21" ht="15" customHeight="1" x14ac:dyDescent="0.25"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</row>
    <row r="75" spans="4:21" ht="15" customHeight="1" x14ac:dyDescent="0.25"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</row>
    <row r="76" spans="4:21" ht="15" customHeight="1" x14ac:dyDescent="0.25"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</row>
    <row r="77" spans="4:21" ht="15" customHeight="1" x14ac:dyDescent="0.25"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</row>
    <row r="78" spans="4:21" ht="15" customHeight="1" x14ac:dyDescent="0.25"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</row>
    <row r="79" spans="4:21" ht="15" customHeight="1" x14ac:dyDescent="0.25"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</row>
    <row r="80" spans="4:21" ht="15" customHeight="1" x14ac:dyDescent="0.25"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</row>
    <row r="81" spans="4:21" ht="15" customHeight="1" x14ac:dyDescent="0.25"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4:21" ht="15" customHeight="1" x14ac:dyDescent="0.25"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</row>
    <row r="83" spans="4:21" ht="15" customHeight="1" x14ac:dyDescent="0.25"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</row>
    <row r="84" spans="4:21" ht="15" customHeight="1" x14ac:dyDescent="0.25"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</row>
    <row r="85" spans="4:21" ht="15" customHeight="1" x14ac:dyDescent="0.25"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</row>
    <row r="86" spans="4:21" ht="15" customHeight="1" x14ac:dyDescent="0.25"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</row>
    <row r="87" spans="4:21" ht="15" customHeight="1" x14ac:dyDescent="0.25"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</row>
    <row r="88" spans="4:21" ht="15" customHeight="1" x14ac:dyDescent="0.25">
      <c r="D88" s="18"/>
      <c r="E88" s="296" t="s">
        <v>14</v>
      </c>
      <c r="F88" s="296"/>
      <c r="G88" s="296"/>
      <c r="H88" s="296"/>
      <c r="I88" s="296"/>
      <c r="J88" s="296"/>
      <c r="K88" s="296"/>
      <c r="L88" s="296"/>
      <c r="M88" s="296"/>
      <c r="N88" s="296"/>
      <c r="O88" s="296"/>
      <c r="P88" s="296"/>
      <c r="Q88" s="296"/>
      <c r="R88" s="296"/>
      <c r="S88" s="296"/>
      <c r="T88" s="296"/>
      <c r="U88" s="18"/>
    </row>
    <row r="89" spans="4:21" ht="15" customHeight="1" x14ac:dyDescent="0.25">
      <c r="D89" s="18"/>
      <c r="E89" s="296"/>
      <c r="F89" s="296"/>
      <c r="G89" s="296"/>
      <c r="H89" s="296"/>
      <c r="I89" s="296"/>
      <c r="J89" s="296"/>
      <c r="K89" s="296"/>
      <c r="L89" s="296"/>
      <c r="M89" s="296"/>
      <c r="N89" s="296"/>
      <c r="O89" s="296"/>
      <c r="P89" s="296"/>
      <c r="Q89" s="296"/>
      <c r="R89" s="296"/>
      <c r="S89" s="296"/>
      <c r="T89" s="296"/>
      <c r="U89" s="18"/>
    </row>
    <row r="90" spans="4:21" ht="15" customHeight="1" x14ac:dyDescent="0.25">
      <c r="D90" s="18"/>
      <c r="E90" s="296"/>
      <c r="F90" s="296"/>
      <c r="G90" s="296"/>
      <c r="H90" s="296"/>
      <c r="I90" s="296"/>
      <c r="J90" s="296"/>
      <c r="K90" s="296"/>
      <c r="L90" s="296"/>
      <c r="M90" s="296"/>
      <c r="N90" s="296"/>
      <c r="O90" s="296"/>
      <c r="P90" s="296"/>
      <c r="Q90" s="296"/>
      <c r="R90" s="296"/>
      <c r="S90" s="296"/>
      <c r="T90" s="296"/>
      <c r="U90" s="18"/>
    </row>
    <row r="91" spans="4:21" ht="15" customHeight="1" x14ac:dyDescent="0.25">
      <c r="D91" s="18"/>
      <c r="E91" s="296"/>
      <c r="F91" s="296"/>
      <c r="G91" s="296"/>
      <c r="H91" s="296"/>
      <c r="I91" s="296"/>
      <c r="J91" s="296"/>
      <c r="K91" s="296"/>
      <c r="L91" s="296"/>
      <c r="M91" s="296"/>
      <c r="N91" s="296"/>
      <c r="O91" s="296"/>
      <c r="P91" s="296"/>
      <c r="Q91" s="296"/>
      <c r="R91" s="296"/>
      <c r="S91" s="296"/>
      <c r="T91" s="296"/>
      <c r="U91" s="18"/>
    </row>
    <row r="92" spans="4:21" ht="15" customHeight="1" x14ac:dyDescent="0.25">
      <c r="D92" s="18"/>
      <c r="E92" s="296"/>
      <c r="F92" s="296"/>
      <c r="G92" s="296"/>
      <c r="H92" s="296"/>
      <c r="I92" s="296"/>
      <c r="J92" s="296"/>
      <c r="K92" s="296"/>
      <c r="L92" s="296"/>
      <c r="M92" s="296"/>
      <c r="N92" s="296"/>
      <c r="O92" s="296"/>
      <c r="P92" s="296"/>
      <c r="Q92" s="296"/>
      <c r="R92" s="296"/>
      <c r="S92" s="296"/>
      <c r="T92" s="296"/>
      <c r="U92" s="18"/>
    </row>
    <row r="93" spans="4:21" ht="15" customHeight="1" x14ac:dyDescent="0.25">
      <c r="D93" s="18"/>
      <c r="E93" s="296"/>
      <c r="F93" s="296"/>
      <c r="G93" s="296"/>
      <c r="H93" s="296"/>
      <c r="I93" s="296"/>
      <c r="J93" s="296"/>
      <c r="K93" s="296"/>
      <c r="L93" s="296"/>
      <c r="M93" s="296"/>
      <c r="N93" s="296"/>
      <c r="O93" s="296"/>
      <c r="P93" s="296"/>
      <c r="Q93" s="296"/>
      <c r="R93" s="296"/>
      <c r="S93" s="296"/>
      <c r="T93" s="296"/>
      <c r="U93" s="18"/>
    </row>
    <row r="94" spans="4:21" ht="15" customHeight="1" x14ac:dyDescent="0.25"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4:21" ht="15" customHeight="1" x14ac:dyDescent="0.25">
      <c r="D95" s="18"/>
      <c r="E95" s="2" t="s">
        <v>27</v>
      </c>
      <c r="F95" s="289" t="str">
        <f>F55</f>
        <v>Empresa Exemplo LTDA</v>
      </c>
      <c r="G95" s="290"/>
      <c r="H95" s="290"/>
      <c r="I95" s="290"/>
      <c r="J95" s="290"/>
      <c r="K95" s="290"/>
      <c r="L95" s="290"/>
      <c r="M95" s="290"/>
      <c r="N95" s="290"/>
      <c r="O95" s="291"/>
      <c r="P95" s="292" t="s">
        <v>324</v>
      </c>
      <c r="Q95" s="292"/>
      <c r="R95" s="293">
        <f>R55</f>
        <v>46030</v>
      </c>
      <c r="S95" s="294"/>
      <c r="T95" s="295"/>
      <c r="U95" s="18"/>
    </row>
    <row r="96" spans="4:21" ht="15" customHeight="1" x14ac:dyDescent="0.25"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4:21" ht="15" customHeight="1" x14ac:dyDescent="0.25"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</row>
    <row r="98" spans="4:21" ht="15" customHeight="1" x14ac:dyDescent="0.25"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</row>
    <row r="99" spans="4:21" ht="15" customHeight="1" x14ac:dyDescent="0.25"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</row>
    <row r="100" spans="4:21" ht="15" customHeight="1" x14ac:dyDescent="0.25"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</row>
    <row r="101" spans="4:21" ht="15" customHeight="1" x14ac:dyDescent="0.25"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</row>
    <row r="102" spans="4:21" ht="15" customHeight="1" x14ac:dyDescent="0.25"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</row>
    <row r="103" spans="4:21" ht="15" customHeight="1" x14ac:dyDescent="0.25"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</row>
    <row r="104" spans="4:21" ht="15" customHeight="1" x14ac:dyDescent="0.25"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</row>
    <row r="105" spans="4:21" ht="15" customHeight="1" x14ac:dyDescent="0.25"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</row>
    <row r="106" spans="4:21" ht="15" customHeight="1" x14ac:dyDescent="0.25"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</row>
    <row r="107" spans="4:21" ht="15" customHeight="1" x14ac:dyDescent="0.25"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</row>
    <row r="108" spans="4:21" ht="15" customHeight="1" x14ac:dyDescent="0.25"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</row>
    <row r="109" spans="4:21" ht="15" customHeight="1" x14ac:dyDescent="0.25"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</row>
    <row r="110" spans="4:21" ht="15" customHeight="1" x14ac:dyDescent="0.25"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</row>
    <row r="111" spans="4:21" ht="15" customHeight="1" x14ac:dyDescent="0.25"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</row>
    <row r="112" spans="4:21" ht="15" customHeight="1" x14ac:dyDescent="0.25"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</row>
    <row r="113" spans="4:21" ht="15" customHeight="1" x14ac:dyDescent="0.25"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</row>
    <row r="114" spans="4:21" ht="15" customHeight="1" x14ac:dyDescent="0.25"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</row>
    <row r="115" spans="4:21" ht="15" customHeight="1" x14ac:dyDescent="0.25"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</row>
    <row r="116" spans="4:21" ht="15" customHeight="1" x14ac:dyDescent="0.25"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</row>
    <row r="117" spans="4:21" ht="15" customHeight="1" x14ac:dyDescent="0.25"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</row>
    <row r="118" spans="4:21" ht="15" customHeight="1" x14ac:dyDescent="0.25"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</row>
    <row r="119" spans="4:21" ht="15" customHeight="1" x14ac:dyDescent="0.25"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</row>
    <row r="120" spans="4:21" ht="15" customHeight="1" x14ac:dyDescent="0.25"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</row>
    <row r="121" spans="4:21" ht="15" customHeight="1" x14ac:dyDescent="0.25"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</row>
    <row r="122" spans="4:21" ht="15" customHeight="1" x14ac:dyDescent="0.25"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</row>
    <row r="123" spans="4:21" ht="15" customHeight="1" x14ac:dyDescent="0.25"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</row>
    <row r="124" spans="4:21" ht="15" customHeight="1" x14ac:dyDescent="0.25"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</row>
    <row r="125" spans="4:21" ht="15" customHeight="1" x14ac:dyDescent="0.25"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</row>
    <row r="126" spans="4:21" ht="15" customHeight="1" x14ac:dyDescent="0.25"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</row>
  </sheetData>
  <sheetProtection sheet="1" objects="1" scenarios="1" selectLockedCells="1" selectUnlockedCells="1"/>
  <mergeCells count="12">
    <mergeCell ref="F95:O95"/>
    <mergeCell ref="P95:Q95"/>
    <mergeCell ref="R95:T95"/>
    <mergeCell ref="E8:T13"/>
    <mergeCell ref="E48:T53"/>
    <mergeCell ref="E88:T93"/>
    <mergeCell ref="P15:Q15"/>
    <mergeCell ref="F15:O15"/>
    <mergeCell ref="R15:T15"/>
    <mergeCell ref="F55:O55"/>
    <mergeCell ref="P55:Q55"/>
    <mergeCell ref="R55:T55"/>
  </mergeCells>
  <pageMargins left="0.511811024" right="0.511811024" top="0.78740157499999996" bottom="0.78740157499999996" header="0.31496062000000002" footer="0.31496062000000002"/>
  <pageSetup paperSize="9" scale="82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Macro1">
                <anchor moveWithCells="1">
                  <from>
                    <xdr:col>17</xdr:col>
                    <xdr:colOff>142875</xdr:colOff>
                    <xdr:row>3</xdr:row>
                    <xdr:rowOff>104775</xdr:rowOff>
                  </from>
                  <to>
                    <xdr:col>21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Planilha53">
    <tabColor rgb="FF00C5C0"/>
  </sheetPr>
  <dimension ref="C1:I17"/>
  <sheetViews>
    <sheetView showGridLines="0" showRowColHeaders="0" workbookViewId="0">
      <pane ySplit="3" topLeftCell="A4" activePane="bottomLeft" state="frozen"/>
      <selection pane="bottomLeft"/>
    </sheetView>
  </sheetViews>
  <sheetFormatPr defaultRowHeight="30" customHeight="1" x14ac:dyDescent="0.25"/>
  <cols>
    <col min="1" max="2" width="1.7109375" style="18" customWidth="1"/>
    <col min="3" max="3" width="45.7109375" style="18" customWidth="1"/>
    <col min="4" max="4" width="0.85546875" style="18" customWidth="1"/>
    <col min="5" max="5" width="45.7109375" style="18" customWidth="1"/>
    <col min="6" max="6" width="0.85546875" style="18" customWidth="1"/>
    <col min="7" max="7" width="45.7109375" style="18" customWidth="1"/>
    <col min="8" max="8" width="0.85546875" style="18" customWidth="1"/>
    <col min="9" max="9" width="45.7109375" style="18" customWidth="1"/>
    <col min="10" max="16384" width="9.140625" style="18"/>
  </cols>
  <sheetData>
    <row r="1" spans="3:9" s="1" customFormat="1" ht="35.1" customHeight="1" x14ac:dyDescent="0.25"/>
    <row r="2" spans="3:9" s="3" customFormat="1" ht="30" customHeight="1" x14ac:dyDescent="0.25"/>
    <row r="4" spans="3:9" ht="5.0999999999999996" customHeight="1" x14ac:dyDescent="0.25"/>
    <row r="5" spans="3:9" ht="50.1" customHeight="1" x14ac:dyDescent="0.4">
      <c r="C5" s="241">
        <f>Relatórios!P16</f>
        <v>247038.86263999998</v>
      </c>
      <c r="D5" s="242"/>
      <c r="E5" s="241">
        <f>'2026'!P20</f>
        <v>247038.86263999998</v>
      </c>
      <c r="F5" s="242"/>
      <c r="G5" s="241">
        <f>'2027'!P18</f>
        <v>301527.59830000001</v>
      </c>
      <c r="H5" s="242"/>
      <c r="I5" s="241">
        <f>'2028'!P18</f>
        <v>301527.59830000001</v>
      </c>
    </row>
    <row r="6" spans="3:9" ht="5.0999999999999996" customHeight="1" x14ac:dyDescent="0.4">
      <c r="C6" s="242"/>
      <c r="D6" s="242"/>
      <c r="E6" s="242"/>
      <c r="F6" s="242"/>
      <c r="G6" s="242"/>
      <c r="H6" s="242"/>
      <c r="I6" s="242"/>
    </row>
    <row r="7" spans="3:9" ht="50.1" customHeight="1" x14ac:dyDescent="0.4">
      <c r="C7" s="241">
        <f>'2029'!P18</f>
        <v>308093.02969999996</v>
      </c>
      <c r="D7" s="242"/>
      <c r="E7" s="241">
        <f>'2030'!P18</f>
        <v>316050.67809999996</v>
      </c>
      <c r="F7" s="242"/>
      <c r="G7" s="241">
        <f>'2031'!P18</f>
        <v>324008.32649999997</v>
      </c>
      <c r="H7" s="242"/>
      <c r="I7" s="241">
        <f>'2032'!P18</f>
        <v>331965.97489999997</v>
      </c>
    </row>
    <row r="8" spans="3:9" ht="5.0999999999999996" customHeight="1" x14ac:dyDescent="0.4">
      <c r="C8" s="242"/>
      <c r="D8" s="242"/>
      <c r="E8" s="242"/>
      <c r="F8" s="242"/>
      <c r="G8" s="242"/>
      <c r="H8" s="242"/>
      <c r="I8" s="242"/>
    </row>
    <row r="9" spans="3:9" ht="50.1" customHeight="1" x14ac:dyDescent="0.4">
      <c r="C9" s="241">
        <f>'2033'!P18</f>
        <v>379711.8653</v>
      </c>
      <c r="D9" s="242"/>
      <c r="E9" s="241" t="str">
        <f>'BH (1)'!T21</f>
        <v>8 anos</v>
      </c>
      <c r="F9" s="243"/>
      <c r="G9" s="241">
        <f>'BH (1)'!T23</f>
        <v>306329.1995977778</v>
      </c>
      <c r="H9" s="243"/>
      <c r="I9" s="244">
        <f>'BH (1)'!T24</f>
        <v>0.22002977955144762</v>
      </c>
    </row>
    <row r="10" spans="3:9" ht="5.0999999999999996" customHeight="1" x14ac:dyDescent="0.25"/>
    <row r="11" spans="3:9" ht="30" customHeight="1" x14ac:dyDescent="0.25">
      <c r="C11" s="2"/>
      <c r="D11" s="2"/>
      <c r="E11" s="2"/>
      <c r="G11" s="2"/>
      <c r="H11" s="2"/>
      <c r="I11" s="2"/>
    </row>
    <row r="12" spans="3:9" ht="30" customHeight="1" x14ac:dyDescent="0.25">
      <c r="C12" s="2"/>
      <c r="D12" s="2"/>
      <c r="E12" s="2"/>
      <c r="G12" s="2"/>
      <c r="H12" s="2"/>
      <c r="I12" s="2"/>
    </row>
    <row r="13" spans="3:9" ht="30" customHeight="1" x14ac:dyDescent="0.25">
      <c r="C13" s="2"/>
      <c r="D13" s="2"/>
      <c r="E13" s="2"/>
      <c r="G13" s="2"/>
      <c r="H13" s="2"/>
      <c r="I13" s="2"/>
    </row>
    <row r="14" spans="3:9" ht="30" customHeight="1" x14ac:dyDescent="0.25">
      <c r="C14" s="2"/>
      <c r="D14" s="2"/>
      <c r="E14" s="2"/>
      <c r="G14" s="2"/>
      <c r="H14" s="2"/>
      <c r="I14" s="2"/>
    </row>
    <row r="15" spans="3:9" ht="30" customHeight="1" x14ac:dyDescent="0.25">
      <c r="C15" s="2"/>
      <c r="D15" s="2"/>
      <c r="E15" s="2"/>
      <c r="G15" s="2"/>
      <c r="H15" s="2"/>
      <c r="I15" s="2"/>
    </row>
    <row r="16" spans="3:9" ht="24.75" customHeight="1" x14ac:dyDescent="0.25">
      <c r="C16" s="2"/>
      <c r="D16" s="2"/>
      <c r="E16" s="2"/>
      <c r="G16" s="2"/>
      <c r="H16" s="2"/>
      <c r="I16" s="2"/>
    </row>
    <row r="17" spans="3:9" ht="25.5" customHeight="1" x14ac:dyDescent="0.25">
      <c r="C17" s="2"/>
      <c r="D17" s="2"/>
      <c r="E17" s="2"/>
      <c r="G17" s="2"/>
      <c r="H17" s="2"/>
      <c r="I17" s="2"/>
    </row>
  </sheetData>
  <sheetProtection sheet="1" objects="1" scenarios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Planilha16">
    <tabColor rgb="FF00C5C0"/>
  </sheetPr>
  <dimension ref="C1:I6"/>
  <sheetViews>
    <sheetView showGridLines="0" showRowColHeaders="0" workbookViewId="0">
      <pane ySplit="3" topLeftCell="A4" activePane="bottomLeft" state="frozen"/>
      <selection pane="bottomLeft"/>
    </sheetView>
  </sheetViews>
  <sheetFormatPr defaultRowHeight="30" customHeight="1" x14ac:dyDescent="0.25"/>
  <cols>
    <col min="1" max="2" width="1.7109375" style="18" customWidth="1"/>
    <col min="3" max="3" width="45.7109375" style="18" customWidth="1"/>
    <col min="4" max="4" width="0.85546875" style="18" customWidth="1"/>
    <col min="5" max="5" width="45.7109375" style="18" customWidth="1"/>
    <col min="6" max="6" width="0.85546875" style="18" customWidth="1"/>
    <col min="7" max="7" width="45.7109375" style="18" customWidth="1"/>
    <col min="8" max="8" width="0.85546875" style="18" customWidth="1"/>
    <col min="9" max="9" width="45.7109375" style="18" customWidth="1"/>
    <col min="10" max="16384" width="9.140625" style="18"/>
  </cols>
  <sheetData>
    <row r="1" spans="3:9" s="1" customFormat="1" ht="35.1" customHeight="1" x14ac:dyDescent="0.25"/>
    <row r="2" spans="3:9" s="3" customFormat="1" ht="30" customHeight="1" x14ac:dyDescent="0.25"/>
    <row r="3" spans="3:9" ht="69.95" customHeight="1" x14ac:dyDescent="0.25"/>
    <row r="4" spans="3:9" ht="5.0999999999999996" customHeight="1" x14ac:dyDescent="0.25"/>
    <row r="5" spans="3:9" ht="80.099999999999994" customHeight="1" x14ac:dyDescent="0.25">
      <c r="C5" s="245">
        <f>'BH (1)'!W5</f>
        <v>1392217</v>
      </c>
      <c r="D5" s="246"/>
      <c r="E5" s="245">
        <f>'BH (1)'!W6</f>
        <v>379711.8653</v>
      </c>
      <c r="F5" s="246"/>
      <c r="G5" s="245">
        <f>'BH (1)'!W7</f>
        <v>93720.134700000053</v>
      </c>
      <c r="H5" s="246"/>
      <c r="I5" s="247">
        <f>'BH (1)'!W8</f>
        <v>6.7317188843405915E-2</v>
      </c>
    </row>
    <row r="6" spans="3:9" ht="5.0999999999999996" customHeight="1" x14ac:dyDescent="0.25"/>
  </sheetData>
  <sheetProtection sheet="1" objects="1" scenarios="1" selectLockedCells="1" selectUnlockedCells="1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3" name="Drop Down 1">
              <controlPr defaultSize="0" autoLine="0" autoPict="0">
                <anchor>
                  <from>
                    <xdr:col>2</xdr:col>
                    <xdr:colOff>1676400</xdr:colOff>
                    <xdr:row>2</xdr:row>
                    <xdr:rowOff>285750</xdr:rowOff>
                  </from>
                  <to>
                    <xdr:col>4</xdr:col>
                    <xdr:colOff>9525</xdr:colOff>
                    <xdr:row>2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Planilha54">
    <tabColor rgb="FF00C5C0"/>
  </sheetPr>
  <dimension ref="C1:I16"/>
  <sheetViews>
    <sheetView showGridLines="0" showRowColHeaders="0" workbookViewId="0">
      <pane ySplit="3" topLeftCell="A4" activePane="bottomLeft" state="frozen"/>
      <selection pane="bottomLeft"/>
    </sheetView>
  </sheetViews>
  <sheetFormatPr defaultRowHeight="30" customHeight="1" x14ac:dyDescent="0.25"/>
  <cols>
    <col min="1" max="2" width="1.7109375" style="18" customWidth="1"/>
    <col min="3" max="3" width="45.7109375" style="18" customWidth="1"/>
    <col min="4" max="4" width="0.85546875" style="18" customWidth="1"/>
    <col min="5" max="5" width="45.7109375" style="18" customWidth="1"/>
    <col min="6" max="6" width="0.85546875" style="18" customWidth="1"/>
    <col min="7" max="7" width="45.7109375" style="18" customWidth="1"/>
    <col min="8" max="8" width="0.85546875" style="18" customWidth="1"/>
    <col min="9" max="9" width="45.7109375" style="18" customWidth="1"/>
    <col min="10" max="16384" width="9.140625" style="18"/>
  </cols>
  <sheetData>
    <row r="1" spans="3:9" s="1" customFormat="1" ht="35.1" customHeight="1" x14ac:dyDescent="0.25"/>
    <row r="2" spans="3:9" s="3" customFormat="1" ht="30" customHeight="1" x14ac:dyDescent="0.25"/>
    <row r="4" spans="3:9" ht="5.0999999999999996" customHeight="1" x14ac:dyDescent="0.25"/>
    <row r="5" spans="3:9" ht="80.099999999999994" customHeight="1" x14ac:dyDescent="0.25">
      <c r="C5" s="245">
        <f>'BH (1)'!T25</f>
        <v>173784.92130500003</v>
      </c>
      <c r="D5" s="246"/>
      <c r="E5" s="248">
        <f>'BH (1)'!T26</f>
        <v>0.12482603021296251</v>
      </c>
      <c r="F5" s="4"/>
      <c r="G5" s="236"/>
      <c r="H5" s="2"/>
      <c r="I5" s="237"/>
    </row>
    <row r="6" spans="3:9" ht="5.0999999999999996" customHeight="1" x14ac:dyDescent="0.25"/>
    <row r="16" spans="3:9" ht="39.75" customHeight="1" x14ac:dyDescent="0.25"/>
  </sheetData>
  <sheetProtection sheet="1" objects="1" scenarios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58</vt:i4>
      </vt:variant>
      <vt:variant>
        <vt:lpstr>Intervalos Nomeados</vt:lpstr>
      </vt:variant>
      <vt:variant>
        <vt:i4>17</vt:i4>
      </vt:variant>
    </vt:vector>
  </HeadingPairs>
  <TitlesOfParts>
    <vt:vector size="75" baseType="lpstr">
      <vt:lpstr>BH (1)</vt:lpstr>
      <vt:lpstr>BH (2)</vt:lpstr>
      <vt:lpstr>Real</vt:lpstr>
      <vt:lpstr>Presumido</vt:lpstr>
      <vt:lpstr>Sim1</vt:lpstr>
      <vt:lpstr>Sim2</vt:lpstr>
      <vt:lpstr>Sim3</vt:lpstr>
      <vt:lpstr>Sim4</vt:lpstr>
      <vt:lpstr>Sim5</vt:lpstr>
      <vt:lpstr>Suporte</vt:lpstr>
      <vt:lpstr>Info</vt:lpstr>
      <vt:lpstr>Acesso</vt:lpstr>
      <vt:lpstr>GO</vt:lpstr>
      <vt:lpstr>Início</vt:lpstr>
      <vt:lpstr>Cadastros</vt:lpstr>
      <vt:lpstr>Par</vt:lpstr>
      <vt:lpstr>TabR</vt:lpstr>
      <vt:lpstr>TabP</vt:lpstr>
      <vt:lpstr>TabS</vt:lpstr>
      <vt:lpstr>TransR</vt:lpstr>
      <vt:lpstr>Lançamentos</vt:lpstr>
      <vt:lpstr>Base</vt:lpstr>
      <vt:lpstr>Fat1</vt:lpstr>
      <vt:lpstr>Fat2</vt:lpstr>
      <vt:lpstr>Fat3</vt:lpstr>
      <vt:lpstr>Fat4</vt:lpstr>
      <vt:lpstr>Fat5</vt:lpstr>
      <vt:lpstr>Fat6</vt:lpstr>
      <vt:lpstr>Simp1</vt:lpstr>
      <vt:lpstr>Simp2</vt:lpstr>
      <vt:lpstr>Simp3</vt:lpstr>
      <vt:lpstr>Simp4</vt:lpstr>
      <vt:lpstr>Simp5</vt:lpstr>
      <vt:lpstr>Simp6</vt:lpstr>
      <vt:lpstr>Ref1</vt:lpstr>
      <vt:lpstr>Ref2</vt:lpstr>
      <vt:lpstr>Ref3</vt:lpstr>
      <vt:lpstr>Ref4</vt:lpstr>
      <vt:lpstr>Cus</vt:lpstr>
      <vt:lpstr>Desp</vt:lpstr>
      <vt:lpstr>Relatórios</vt:lpstr>
      <vt:lpstr>2026</vt:lpstr>
      <vt:lpstr>2027</vt:lpstr>
      <vt:lpstr>2028</vt:lpstr>
      <vt:lpstr>2029</vt:lpstr>
      <vt:lpstr>2030</vt:lpstr>
      <vt:lpstr>2031</vt:lpstr>
      <vt:lpstr>2032</vt:lpstr>
      <vt:lpstr>2033</vt:lpstr>
      <vt:lpstr>Controles</vt:lpstr>
      <vt:lpstr>Crono</vt:lpstr>
      <vt:lpstr>Carga</vt:lpstr>
      <vt:lpstr>Lucra</vt:lpstr>
      <vt:lpstr>Evolu</vt:lpstr>
      <vt:lpstr>Impressão</vt:lpstr>
      <vt:lpstr>Dashboard</vt:lpstr>
      <vt:lpstr>Dash2</vt:lpstr>
      <vt:lpstr>Dash3</vt:lpstr>
      <vt:lpstr>Anexo</vt:lpstr>
      <vt:lpstr>'2026'!Area_de_impressao</vt:lpstr>
      <vt:lpstr>'2027'!Area_de_impressao</vt:lpstr>
      <vt:lpstr>'2028'!Area_de_impressao</vt:lpstr>
      <vt:lpstr>'2029'!Area_de_impressao</vt:lpstr>
      <vt:lpstr>'2030'!Area_de_impressao</vt:lpstr>
      <vt:lpstr>'2031'!Area_de_impressao</vt:lpstr>
      <vt:lpstr>'2032'!Area_de_impressao</vt:lpstr>
      <vt:lpstr>'2033'!Area_de_impressao</vt:lpstr>
      <vt:lpstr>Carga!Area_de_impressao</vt:lpstr>
      <vt:lpstr>Controles!Area_de_impressao</vt:lpstr>
      <vt:lpstr>Crono!Area_de_impressao</vt:lpstr>
      <vt:lpstr>Evolu!Area_de_impressao</vt:lpstr>
      <vt:lpstr>Impressão!Area_de_impressao</vt:lpstr>
      <vt:lpstr>Lucra!Area_de_impressao</vt:lpstr>
      <vt:lpstr>Relatórios!Area_de_impressao</vt:lpstr>
      <vt:lpstr>Regime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Usuário</cp:lastModifiedBy>
  <cp:lastPrinted>2025-12-03T14:07:10Z</cp:lastPrinted>
  <dcterms:created xsi:type="dcterms:W3CDTF">2020-09-21T15:46:55Z</dcterms:created>
  <dcterms:modified xsi:type="dcterms:W3CDTF">2026-08-13T18:20:11Z</dcterms:modified>
</cp:coreProperties>
</file>